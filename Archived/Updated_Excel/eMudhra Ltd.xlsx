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A788563-4781-4E12-9BBA-6C0C1D60015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B106" i="2"/>
  <c r="AE65" i="2"/>
  <c r="AE89" i="2"/>
  <c r="AC84" i="2"/>
  <c r="AC90" i="2"/>
  <c r="AF12" i="2"/>
  <c r="AB61" i="2"/>
  <c r="AB69" i="2"/>
  <c r="AB77" i="2"/>
  <c r="AB93" i="2"/>
  <c r="AC93" i="2"/>
  <c r="AF18" i="2"/>
  <c r="AF53" i="2"/>
  <c r="AC61" i="2"/>
  <c r="AC85" i="2"/>
  <c r="AB32" i="2"/>
  <c r="AB68" i="2"/>
  <c r="AE54" i="2"/>
  <c r="AE23" i="2"/>
  <c r="AD89" i="2"/>
  <c r="AB7" i="2"/>
  <c r="AC15" i="2"/>
  <c r="AC54" i="2"/>
  <c r="AB14" i="2"/>
  <c r="AB49" i="2"/>
  <c r="AD78" i="2"/>
  <c r="AD94" i="2"/>
  <c r="AC97" i="2"/>
  <c r="AD58" i="2"/>
  <c r="AC63" i="2"/>
  <c r="AC87" i="2"/>
  <c r="AF41" i="2"/>
  <c r="AC12" i="2"/>
  <c r="AD87" i="2"/>
  <c r="AE67" i="2"/>
  <c r="AE42" i="2"/>
  <c r="AF92" i="2"/>
  <c r="AE73" i="2"/>
  <c r="AC74" i="2"/>
  <c r="AD43" i="2"/>
  <c r="AC17" i="2"/>
  <c r="AD17" i="2"/>
  <c r="AF71" i="2"/>
  <c r="AF95" i="2"/>
  <c r="AE21" i="2"/>
  <c r="AD11" i="2"/>
  <c r="AC28" i="2"/>
  <c r="AE95" i="2"/>
  <c r="AE11" i="2"/>
  <c r="AB82" i="2"/>
  <c r="AB35" i="2"/>
  <c r="AC33" i="2"/>
  <c r="AB22" i="2"/>
  <c r="AD7" i="2"/>
  <c r="AE59" i="2"/>
  <c r="AF68" i="2"/>
  <c r="AF11" i="2"/>
  <c r="AF46" i="2"/>
  <c r="AE22" i="2"/>
  <c r="AE34" i="2"/>
  <c r="AF24" i="2"/>
  <c r="AB67" i="2"/>
  <c r="AB91" i="2"/>
  <c r="AC30" i="2"/>
  <c r="AF60" i="2"/>
  <c r="AC80" i="2"/>
  <c r="AD85" i="2"/>
  <c r="AC86" i="2"/>
  <c r="AB5" i="2"/>
  <c r="AB113" i="2" s="1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20" i="2"/>
  <c r="AF72" i="2"/>
  <c r="AF88" i="2"/>
  <c r="AF108" i="2"/>
  <c r="AC66" i="2"/>
  <c r="AC52" i="2"/>
  <c r="AF28" i="2"/>
  <c r="AF47" i="2"/>
  <c r="AB85" i="2"/>
  <c r="AB105" i="2"/>
  <c r="AE13" i="2"/>
  <c r="AE40" i="2"/>
  <c r="AC73" i="2"/>
  <c r="AE106" i="2"/>
  <c r="AF64" i="2"/>
  <c r="AB84" i="2"/>
  <c r="AB104" i="2"/>
  <c r="AE87" i="2"/>
  <c r="AD73" i="2"/>
  <c r="AD109" i="2"/>
  <c r="AE69" i="2"/>
  <c r="AE93" i="2"/>
  <c r="AB23" i="2"/>
  <c r="AB42" i="2"/>
  <c r="AB50" i="2"/>
  <c r="AC27" i="2"/>
  <c r="AD62" i="2"/>
  <c r="AD106" i="2"/>
  <c r="AD23" i="2"/>
  <c r="AE44" i="2"/>
  <c r="AE110" i="2"/>
  <c r="AD71" i="2"/>
  <c r="AD107" i="2"/>
  <c r="AF76" i="2"/>
  <c r="AD93" i="2"/>
  <c r="AC98" i="2"/>
  <c r="AD8" i="2"/>
  <c r="AD51" i="2"/>
  <c r="AC56" i="2"/>
  <c r="AF87" i="2"/>
  <c r="AF107" i="2"/>
  <c r="AB60" i="2"/>
  <c r="AC89" i="2"/>
  <c r="AF74" i="2"/>
  <c r="AB78" i="2"/>
  <c r="AB54" i="2"/>
  <c r="AD110" i="2"/>
  <c r="AC81" i="2"/>
  <c r="AD79" i="2"/>
  <c r="AF104" i="2"/>
  <c r="AF35" i="2"/>
  <c r="AF43" i="2"/>
  <c r="AF45" i="2"/>
  <c r="AE82" i="2"/>
  <c r="AC64" i="2"/>
  <c r="AF5" i="2"/>
  <c r="AF13" i="2"/>
  <c r="AF21" i="2"/>
  <c r="AF29" i="2"/>
  <c r="AF40" i="2"/>
  <c r="AF48" i="2"/>
  <c r="AF56" i="2"/>
  <c r="AC13" i="2"/>
  <c r="AC25" i="2"/>
  <c r="AC40" i="2"/>
  <c r="AD16" i="2"/>
  <c r="AD24" i="2"/>
  <c r="AC5" i="2"/>
  <c r="AC29" i="2"/>
  <c r="AD33" i="2"/>
  <c r="AF63" i="2"/>
  <c r="AE71" i="2"/>
  <c r="AE105" i="2"/>
  <c r="AC82" i="2"/>
  <c r="AC110" i="2"/>
  <c r="AB19" i="2"/>
  <c r="AC21" i="2"/>
  <c r="AD74" i="2"/>
  <c r="AD98" i="2"/>
  <c r="AE29" i="2"/>
  <c r="AC69" i="2"/>
  <c r="AF57" i="2"/>
  <c r="AD95" i="2"/>
  <c r="AF84" i="2"/>
  <c r="AE10" i="2"/>
  <c r="AC57" i="2"/>
  <c r="AB96" i="2"/>
  <c r="AD69" i="2"/>
  <c r="AC62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B15" i="2"/>
  <c r="AB31" i="2"/>
  <c r="AB58" i="2"/>
  <c r="AC42" i="2"/>
  <c r="AB30" i="2"/>
  <c r="AD70" i="2"/>
  <c r="AD86" i="2"/>
  <c r="AE17" i="2"/>
  <c r="AC75" i="2"/>
  <c r="AE91" i="2"/>
  <c r="AE97" i="2"/>
  <c r="AC8" i="2"/>
  <c r="AD32" i="2"/>
  <c r="AC44" i="2"/>
  <c r="AD52" i="2"/>
  <c r="AF79" i="2"/>
  <c r="AC105" i="2"/>
  <c r="AB28" i="2"/>
  <c r="AE48" i="2"/>
  <c r="AC65" i="2"/>
  <c r="AC77" i="2"/>
  <c r="AD46" i="2"/>
  <c r="AF110" i="2"/>
  <c r="AE58" i="2"/>
  <c r="AB94" i="2"/>
  <c r="AE77" i="2"/>
  <c r="AC43" i="2"/>
  <c r="AB27" i="2"/>
  <c r="AB46" i="2"/>
  <c r="AB6" i="2"/>
  <c r="AB57" i="2"/>
  <c r="AD66" i="2"/>
  <c r="AD82" i="2"/>
  <c r="AD90" i="2"/>
  <c r="AE5" i="2"/>
  <c r="AE56" i="2"/>
  <c r="AF22" i="2"/>
  <c r="AE107" i="2"/>
  <c r="AE85" i="2"/>
  <c r="AF19" i="2"/>
  <c r="AF54" i="2"/>
  <c r="AB59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92" i="2"/>
  <c r="AC55" i="2"/>
  <c r="AD77" i="2"/>
  <c r="AF90" i="2"/>
  <c r="AE19" i="2"/>
  <c r="AE46" i="2"/>
  <c r="AE49" i="2"/>
  <c r="AB83" i="2"/>
  <c r="AB99" i="2"/>
  <c r="AF10" i="2"/>
  <c r="AE70" i="2"/>
  <c r="AB24" i="2"/>
  <c r="AB80" i="2"/>
  <c r="AC108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72" i="2"/>
  <c r="AC96" i="2"/>
  <c r="AC60" i="2"/>
  <c r="AF80" i="2"/>
  <c r="AF96" i="2"/>
  <c r="AC24" i="2"/>
  <c r="AC78" i="2"/>
  <c r="AC106" i="2"/>
  <c r="AB92" i="2"/>
  <c r="AE75" i="2"/>
  <c r="AE63" i="2"/>
  <c r="AD97" i="2"/>
  <c r="AE81" i="2"/>
  <c r="AD10" i="2"/>
  <c r="AE8" i="2"/>
  <c r="AD56" i="2"/>
  <c r="AF73" i="2"/>
  <c r="AF81" i="2"/>
  <c r="AF97" i="2"/>
  <c r="AF109" i="2"/>
  <c r="AB64" i="2"/>
  <c r="AC53" i="2"/>
  <c r="AD19" i="2"/>
  <c r="AF78" i="2"/>
  <c r="AC16" i="2"/>
  <c r="AC104" i="2"/>
  <c r="AB98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E99" i="2"/>
  <c r="AD81" i="2"/>
  <c r="AE27" i="2"/>
  <c r="AE109" i="2"/>
  <c r="AD18" i="2"/>
  <c r="AD26" i="2"/>
  <c r="AD34" i="2"/>
  <c r="AD45" i="2"/>
  <c r="AD53" i="2"/>
  <c r="AE20" i="2"/>
  <c r="AE32" i="2"/>
  <c r="AE47" i="2"/>
  <c r="AD5" i="2"/>
  <c r="AD111" i="2" s="1"/>
  <c r="AD21" i="2"/>
  <c r="AD40" i="2"/>
  <c r="AF65" i="2"/>
  <c r="AF89" i="2"/>
  <c r="AF6" i="2"/>
  <c r="AB36" i="2"/>
  <c r="AC26" i="2"/>
  <c r="AE68" i="2"/>
  <c r="AE80" i="2"/>
  <c r="AE92" i="2"/>
  <c r="AD54" i="2"/>
  <c r="AE50" i="2"/>
  <c r="AF94" i="2"/>
  <c r="AC76" i="2"/>
  <c r="AB66" i="2"/>
  <c r="AB11" i="2"/>
  <c r="AC9" i="2"/>
  <c r="AC48" i="2"/>
  <c r="AB41" i="2"/>
  <c r="AD42" i="2"/>
  <c r="AE94" i="2"/>
  <c r="AE79" i="2"/>
  <c r="AF27" i="2"/>
  <c r="AF8" i="2"/>
  <c r="AB75" i="2"/>
  <c r="AC6" i="2"/>
  <c r="AC95" i="2"/>
  <c r="AC32" i="2"/>
  <c r="AD105" i="2"/>
  <c r="AF112" i="2"/>
  <c r="AF113" i="2"/>
  <c r="AB111" i="2" l="1"/>
  <c r="AB112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231" i="1"/>
  <c r="AA194" i="1"/>
  <c r="AA183" i="1"/>
  <c r="AA179" i="1"/>
  <c r="AA161" i="1"/>
  <c r="AA168" i="1"/>
  <c r="AA109" i="1" s="1"/>
  <c r="AA154" i="1"/>
  <c r="AA156" i="1" s="1"/>
  <c r="AA182" i="1"/>
  <c r="AA180" i="1"/>
  <c r="AA173" i="1"/>
  <c r="AA120" i="1"/>
  <c r="AA252" i="1"/>
  <c r="AA134" i="1"/>
  <c r="AA138" i="1" s="1"/>
  <c r="AA129" i="1"/>
  <c r="AA37" i="1"/>
  <c r="AA10" i="1"/>
  <c r="B1" i="9"/>
  <c r="AE111" i="2"/>
  <c r="AC111" i="2"/>
  <c r="AE113" i="2"/>
  <c r="A1" i="9"/>
  <c r="AC113" i="2"/>
  <c r="AE112" i="2"/>
  <c r="AD113" i="2"/>
  <c r="AF111" i="2"/>
  <c r="L1" i="9"/>
  <c r="AD112" i="2"/>
  <c r="AC112" i="2"/>
  <c r="AA73" i="1" l="1"/>
  <c r="AA248" i="1"/>
  <c r="AA246" i="1"/>
  <c r="AA185" i="1"/>
  <c r="AA184" i="1" s="1"/>
  <c r="AA181" i="1"/>
  <c r="AA186" i="1"/>
  <c r="AA16" i="1"/>
  <c r="AA244" i="1"/>
  <c r="AA98" i="1"/>
  <c r="AA157" i="1"/>
  <c r="AA165" i="1" s="1"/>
  <c r="AA166" i="1" s="1"/>
  <c r="AA33" i="1"/>
  <c r="AA27" i="1"/>
  <c r="AA175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FF6" i="4" a="1"/>
  <c r="FB11" i="4" a="1"/>
  <c r="EY16" i="4" a="1"/>
  <c r="AA74" i="2"/>
  <c r="Y82" i="2"/>
  <c r="BD41" i="3"/>
  <c r="Y56" i="2"/>
  <c r="BC30" i="3"/>
  <c r="BB10" i="3"/>
  <c r="Z34" i="2"/>
  <c r="BB39" i="3"/>
  <c r="Y89" i="2"/>
  <c r="Z51" i="2"/>
  <c r="FA6" i="4" a="1"/>
  <c r="FC5" i="4" a="1"/>
  <c r="EY5" i="4" a="1"/>
  <c r="FD11" i="4" a="1"/>
  <c r="FB5" i="4" a="1"/>
  <c r="EX8" i="4" a="1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H23" i="3"/>
  <c r="Y76" i="2"/>
  <c r="Z11" i="2"/>
  <c r="Y91" i="2"/>
  <c r="BD10" i="3"/>
  <c r="BB5" i="3"/>
  <c r="BB21" i="3"/>
  <c r="AA56" i="2"/>
  <c r="Z31" i="2"/>
  <c r="Y92" i="2"/>
  <c r="Y55" i="2"/>
  <c r="Y30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Y73" i="2"/>
  <c r="Y75" i="2"/>
  <c r="Z104" i="2"/>
  <c r="Z30" i="2"/>
  <c r="AA94" i="2"/>
  <c r="BB24" i="3"/>
  <c r="BD26" i="3"/>
  <c r="BC32" i="3"/>
  <c r="BB41" i="3"/>
  <c r="BD13" i="3"/>
  <c r="Y9" i="2"/>
  <c r="AA48" i="2"/>
  <c r="Z80" i="2"/>
  <c r="Z86" i="2"/>
  <c r="Z45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A14" i="4" a="1"/>
  <c r="AA70" i="2"/>
  <c r="Z32" i="2"/>
  <c r="BB4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Z106" i="2"/>
  <c r="Z74" i="2"/>
  <c r="BB26" i="3"/>
  <c r="Y110" i="2"/>
  <c r="BB11" i="3"/>
  <c r="FE12" i="4" a="1"/>
  <c r="EZ6" i="4" a="1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FF13" i="4" a="1"/>
  <c r="FD8" i="4" a="1"/>
  <c r="EZ16" i="4" a="1"/>
  <c r="EY9" i="4" a="1"/>
  <c r="EZ13" i="4" a="1"/>
  <c r="FB16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6" i="4" a="1"/>
  <c r="FD15" i="4" a="1"/>
  <c r="EX15" i="4" a="1"/>
  <c r="FE6" i="4" a="1"/>
  <c r="FE7" i="4" a="1"/>
  <c r="EY6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EX7" i="4" a="1"/>
  <c r="EX12" i="4" a="1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EX9" i="4" a="1"/>
  <c r="EY15" i="4" a="1"/>
  <c r="FF5" i="4" a="1"/>
  <c r="BQ16" i="3"/>
  <c r="BQ34" i="3"/>
  <c r="BQ40" i="3"/>
  <c r="BR5" i="3"/>
  <c r="BS41" i="3"/>
  <c r="BT6" i="3"/>
  <c r="BH28" i="3"/>
  <c r="BN38" i="3"/>
  <c r="BV16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F24" i="3"/>
  <c r="BT9" i="3"/>
  <c r="BP14" i="3"/>
  <c r="BI33" i="3"/>
  <c r="BN9" i="3"/>
  <c r="BH26" i="3"/>
  <c r="BF45" i="3"/>
  <c r="CL63" i="1" s="1"/>
  <c r="CL65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FC15" i="4" a="1"/>
  <c r="BQ10" i="3"/>
  <c r="BQ22" i="3"/>
  <c r="BQ28" i="3"/>
  <c r="BR11" i="3"/>
  <c r="BI10" i="3"/>
  <c r="BG31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BM29" i="3"/>
  <c r="BT33" i="3"/>
  <c r="BK18" i="3"/>
  <c r="BT13" i="3"/>
  <c r="Y94" i="2"/>
  <c r="Z5" i="2"/>
  <c r="AA32" i="2"/>
  <c r="Z17" i="2"/>
  <c r="FB12" i="4" a="1"/>
  <c r="AA14" i="2"/>
  <c r="FC12" i="4" a="1"/>
  <c r="BV28" i="3"/>
  <c r="BF33" i="3"/>
  <c r="BH18" i="3"/>
  <c r="BJ11" i="3"/>
  <c r="Y61" i="2"/>
  <c r="EZ8" i="4" a="1"/>
  <c r="FB6" i="4" a="1"/>
  <c r="BV34" i="3"/>
  <c r="AA78" i="2"/>
  <c r="BF9" i="3"/>
  <c r="BM27" i="3"/>
  <c r="BI23" i="3"/>
  <c r="BP20" i="3"/>
  <c r="Z48" i="2"/>
  <c r="AA50" i="2"/>
  <c r="AA82" i="2"/>
  <c r="AA15" i="2"/>
  <c r="EZ15" i="4" a="1"/>
  <c r="Z70" i="2"/>
  <c r="AV10" i="3"/>
  <c r="FF8" i="4" a="1"/>
  <c r="Z108" i="2"/>
  <c r="BC36" i="3"/>
  <c r="BI12" i="3"/>
  <c r="BN37" i="3"/>
  <c r="BJ27" i="3"/>
  <c r="Z83" i="2"/>
  <c r="BV22" i="3"/>
  <c r="BJ9" i="3"/>
  <c r="BM39" i="3"/>
  <c r="BK34" i="3"/>
  <c r="EZ14" i="4" a="1"/>
  <c r="FD9" i="4" a="1"/>
  <c r="BV40" i="3"/>
  <c r="BI32" i="3"/>
  <c r="BI18" i="3"/>
  <c r="BK5" i="3"/>
  <c r="AA47" i="2"/>
  <c r="BA36" i="3"/>
  <c r="BC33" i="3"/>
  <c r="EX5" i="4" a="1"/>
  <c r="EX14" i="4" a="1"/>
  <c r="BC42" i="3"/>
  <c r="BA10" i="3"/>
  <c r="FC13" i="4" a="1"/>
  <c r="BC5" i="3"/>
  <c r="FC11" i="4" a="1"/>
  <c r="Z8" i="2"/>
  <c r="BS6" i="3"/>
  <c r="BN46" i="3"/>
  <c r="BM38" i="3"/>
  <c r="BG21" i="3"/>
  <c r="BC37" i="3"/>
  <c r="FA15" i="4" a="1"/>
  <c r="BS12" i="3"/>
  <c r="BT24" i="3"/>
  <c r="BL29" i="3"/>
  <c r="BG37" i="3"/>
  <c r="BB32" i="3"/>
  <c r="AA88" i="2"/>
  <c r="FD12" i="4" a="1"/>
  <c r="FE8" i="4" a="1"/>
  <c r="FF7" i="4" a="1"/>
  <c r="BS30" i="3"/>
  <c r="Z20" i="2"/>
  <c r="BS18" i="3"/>
  <c r="BP37" i="3"/>
  <c r="BH17" i="3"/>
  <c r="BH45" i="3"/>
  <c r="BD39" i="3"/>
  <c r="AA20" i="2"/>
  <c r="Y52" i="2"/>
  <c r="FD6" i="4" a="1"/>
  <c r="FB15" i="4" a="1"/>
  <c r="BS24" i="3"/>
  <c r="BP7" i="3"/>
  <c r="BJ36" i="3"/>
  <c r="BB37" i="3"/>
  <c r="Y47" i="2"/>
  <c r="BE9" i="3"/>
  <c r="BF32" i="3"/>
  <c r="Z94" i="2"/>
  <c r="BD5" i="3"/>
  <c r="FB9" i="4" a="1"/>
  <c r="BS38" i="3"/>
  <c r="BM13" i="3"/>
  <c r="BN36" i="3"/>
  <c r="AA40" i="2"/>
  <c r="Y19" i="2"/>
  <c r="AA13" i="2"/>
  <c r="Z93" i="2"/>
  <c r="FE14" i="4" a="1"/>
  <c r="BC13" i="3"/>
  <c r="FD13" i="4" a="1"/>
  <c r="AA52" i="1" l="1"/>
  <c r="AA54" i="1"/>
  <c r="AA193" i="1"/>
  <c r="AA195" i="1" s="1"/>
  <c r="BQ56" i="3"/>
  <c r="BQ62" i="3"/>
  <c r="BH62" i="3"/>
  <c r="BH59" i="3"/>
  <c r="CL231" i="1"/>
  <c r="CL10" i="1"/>
  <c r="CL253" i="1"/>
  <c r="CL194" i="1"/>
  <c r="CL252" i="1"/>
  <c r="CL26" i="1"/>
  <c r="CL27" i="1" s="1"/>
  <c r="CK9" i="1"/>
  <c r="CK23" i="1"/>
  <c r="CK14" i="1"/>
  <c r="CK35" i="1"/>
  <c r="CK25" i="1"/>
  <c r="CK46" i="1"/>
  <c r="CK63" i="1"/>
  <c r="CK47" i="1"/>
  <c r="CK21" i="1"/>
  <c r="CK39" i="1"/>
  <c r="CK13" i="1"/>
  <c r="CK22" i="1"/>
  <c r="CK32" i="1"/>
  <c r="CK8" i="1"/>
  <c r="CK15" i="1"/>
  <c r="CK36" i="1"/>
  <c r="CK24" i="1"/>
  <c r="CK64" i="1"/>
  <c r="CK51" i="1"/>
  <c r="CK20" i="1"/>
  <c r="CK45" i="1"/>
  <c r="CK10" i="1"/>
  <c r="CL12" i="1" s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BK84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H61" i="3"/>
  <c r="BP50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P92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V48" i="3"/>
  <c r="BP57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FH13" i="4" a="1"/>
  <c r="FU11" i="4" a="1"/>
  <c r="GA14" i="4" a="1"/>
  <c r="GD12" i="4" a="1"/>
  <c r="BG5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BT49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BU58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P83" i="3"/>
  <c r="BK50" i="3"/>
  <c r="BM49" i="3"/>
  <c r="BH54" i="3"/>
  <c r="BB80" i="3"/>
  <c r="BL71" i="3"/>
  <c r="BF71" i="3"/>
  <c r="BV65" i="3"/>
  <c r="BS78" i="3"/>
  <c r="BU70" i="3"/>
  <c r="BV50" i="3"/>
  <c r="BV55" i="3"/>
  <c r="BT54" i="3"/>
  <c r="BN55" i="3"/>
  <c r="BN81" i="3"/>
  <c r="BF48" i="3"/>
  <c r="BO93" i="3"/>
  <c r="BP55" i="3"/>
  <c r="BE47" i="3"/>
  <c r="BI56" i="3"/>
  <c r="BF68" i="3"/>
  <c r="CL134" i="1" s="1"/>
  <c r="BJ58" i="3"/>
  <c r="BJ64" i="3"/>
  <c r="BJ83" i="3"/>
  <c r="BK62" i="3"/>
  <c r="BK63" i="3"/>
  <c r="GH7" i="4" a="1"/>
  <c r="GQ7" i="4" a="1"/>
  <c r="GJ12" i="4" a="1"/>
  <c r="GH5" i="4" a="1"/>
  <c r="FL9" i="4" a="1"/>
  <c r="GO12" i="4" a="1"/>
  <c r="GO5" i="4" a="1"/>
  <c r="GM6" i="4" a="1"/>
  <c r="FO15" i="4" a="1"/>
  <c r="GD6" i="4" a="1"/>
  <c r="GT9" i="4" a="1"/>
  <c r="FZ15" i="4" a="1"/>
  <c r="GT6" i="4" a="1"/>
  <c r="GV8" i="4" a="1"/>
  <c r="GN14" i="4" a="1"/>
  <c r="GM7" i="4" a="1"/>
  <c r="FT9" i="4" a="1"/>
  <c r="GP11" i="4" a="1"/>
  <c r="FG11" i="4" a="1"/>
  <c r="FJ12" i="4" a="1"/>
  <c r="FI13" i="4" a="1"/>
  <c r="FN7" i="4" a="1"/>
  <c r="HB11" i="4" a="1"/>
  <c r="HA12" i="4" a="1"/>
  <c r="GX13" i="4" a="1"/>
  <c r="GW14" i="4" a="1"/>
  <c r="GR11" i="4" a="1"/>
  <c r="GU14" i="4" a="1"/>
  <c r="GT15" i="4" a="1"/>
  <c r="FR16" i="4" a="1"/>
  <c r="GT16" i="4" a="1"/>
  <c r="GD14" i="4" a="1"/>
  <c r="FN12" i="4" a="1"/>
  <c r="HG14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Y113" i="2"/>
  <c r="BC86" i="3"/>
  <c r="BA65" i="3"/>
  <c r="FK8" i="4" a="1"/>
  <c r="GL13" i="4" a="1"/>
  <c r="FW11" i="4" a="1"/>
  <c r="FW12" i="4" a="1"/>
  <c r="FT13" i="4" a="1"/>
  <c r="FM8" i="4" a="1"/>
  <c r="FM12" i="4" a="1"/>
  <c r="FJ13" i="4" a="1"/>
  <c r="GQ12" i="4" a="1"/>
  <c r="FS15" i="4" a="1"/>
  <c r="HB15" i="4" a="1"/>
  <c r="GZ16" i="4" a="1"/>
  <c r="GP6" i="4" a="1"/>
  <c r="FT15" i="4" a="1"/>
  <c r="HD13" i="4" a="1"/>
  <c r="GY16" i="4" a="1"/>
  <c r="BD48" i="3"/>
  <c r="BD81" i="3"/>
  <c r="FY13" i="4" a="1"/>
  <c r="FO13" i="4" a="1"/>
  <c r="FL14" i="4" a="1"/>
  <c r="FU13" i="4" a="1"/>
  <c r="HD15" i="4" a="1"/>
  <c r="HB16" i="4" a="1"/>
  <c r="GJ7" i="4" a="1"/>
  <c r="FX13" i="4" a="1"/>
  <c r="FG14" i="4" a="1"/>
  <c r="HG15" i="4" a="1"/>
  <c r="HA16" i="4" a="1"/>
  <c r="BC84" i="3"/>
  <c r="BC69" i="3"/>
  <c r="BD84" i="3"/>
  <c r="BD58" i="3"/>
  <c r="GD15" i="4" a="1"/>
  <c r="BC96" i="3"/>
  <c r="BL81" i="3"/>
  <c r="BC47" i="3"/>
  <c r="BM61" i="3"/>
  <c r="BH76" i="3"/>
  <c r="BB75" i="3"/>
  <c r="BL66" i="3"/>
  <c r="BF92" i="3"/>
  <c r="CL155" i="1" s="1"/>
  <c r="BV83" i="3"/>
  <c r="BS97" i="3"/>
  <c r="BR81" i="3"/>
  <c r="BV79" i="3"/>
  <c r="BV70" i="3"/>
  <c r="BT60" i="3"/>
  <c r="BN90" i="3"/>
  <c r="BN97" i="3"/>
  <c r="AA112" i="2"/>
  <c r="BO96" i="3"/>
  <c r="BP63" i="3"/>
  <c r="BE79" i="3"/>
  <c r="BI75" i="3"/>
  <c r="BF74" i="3"/>
  <c r="CL137" i="1" s="1"/>
  <c r="BJ60" i="3"/>
  <c r="BJ92" i="3"/>
  <c r="BJ85" i="3"/>
  <c r="BK76" i="3"/>
  <c r="BK71" i="3"/>
  <c r="HF7" i="4" a="1"/>
  <c r="FG9" i="4" a="1"/>
  <c r="HE12" i="4" a="1"/>
  <c r="HB5" i="4" a="1"/>
  <c r="GJ9" i="4" a="1"/>
  <c r="FK13" i="4" a="1"/>
  <c r="FK6" i="4" a="1"/>
  <c r="GB7" i="4" a="1"/>
  <c r="FI7" i="4" a="1"/>
  <c r="FH7" i="4" a="1"/>
  <c r="HF9" i="4" a="1"/>
  <c r="GZ7" i="4" a="1"/>
  <c r="FM7" i="4" a="1"/>
  <c r="GR9" i="4" a="1"/>
  <c r="FJ15" i="4" a="1"/>
  <c r="FL8" i="4" a="1"/>
  <c r="GM9" i="4" a="1"/>
  <c r="FL12" i="4" a="1"/>
  <c r="FO11" i="4" a="1"/>
  <c r="FO12" i="4" a="1"/>
  <c r="FL13" i="4" a="1"/>
  <c r="GI7" i="4" a="1"/>
  <c r="HG11" i="4" a="1"/>
  <c r="HD12" i="4" a="1"/>
  <c r="HC13" i="4" a="1"/>
  <c r="GZ14" i="4" a="1"/>
  <c r="FK12" i="4" a="1"/>
  <c r="HF14" i="4" a="1"/>
  <c r="GV15" i="4" a="1"/>
  <c r="FV16" i="4" a="1"/>
  <c r="GV16" i="4" a="1"/>
  <c r="GY14" i="4" a="1"/>
  <c r="GI12" i="4" a="1"/>
  <c r="FI15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BD47" i="3"/>
  <c r="BD91" i="3"/>
  <c r="BD68" i="3"/>
  <c r="GA6" i="4" a="1"/>
  <c r="HE15" i="4" a="1"/>
  <c r="GA16" i="4" a="1"/>
  <c r="FS14" i="4" a="1"/>
  <c r="BC79" i="3"/>
  <c r="BD57" i="3"/>
  <c r="Z112" i="2"/>
  <c r="FP12" i="4" a="1"/>
  <c r="BA81" i="3"/>
  <c r="BR71" i="3"/>
  <c r="BM76" i="3"/>
  <c r="BM92" i="3"/>
  <c r="BA77" i="3"/>
  <c r="BL74" i="3"/>
  <c r="BF80" i="3"/>
  <c r="CL159" i="1" s="1"/>
  <c r="BT75" i="3"/>
  <c r="BS64" i="3"/>
  <c r="BR74" i="3"/>
  <c r="BV54" i="3"/>
  <c r="BT63" i="3"/>
  <c r="BT62" i="3"/>
  <c r="BN48" i="3"/>
  <c r="BP54" i="3"/>
  <c r="AA111" i="2"/>
  <c r="BS62" i="3"/>
  <c r="BP65" i="3"/>
  <c r="BE54" i="3"/>
  <c r="BI79" i="3"/>
  <c r="BF58" i="3"/>
  <c r="CL119" i="1" s="1"/>
  <c r="BJ66" i="3"/>
  <c r="BJ94" i="3"/>
  <c r="BK73" i="3"/>
  <c r="BK86" i="3"/>
  <c r="BK79" i="3"/>
  <c r="GR5" i="4" a="1"/>
  <c r="GE9" i="4" a="1"/>
  <c r="GA13" i="4" a="1"/>
  <c r="GC6" i="4" a="1"/>
  <c r="GX6" i="4" a="1"/>
  <c r="GI13" i="4" a="1"/>
  <c r="GI6" i="4" a="1"/>
  <c r="FP8" i="4" a="1"/>
  <c r="GP8" i="4" a="1"/>
  <c r="GK7" i="4" a="1"/>
  <c r="FP11" i="4" a="1"/>
  <c r="FI9" i="4" a="1"/>
  <c r="FG8" i="4" a="1"/>
  <c r="HD9" i="4" a="1"/>
  <c r="GE6" i="4" a="1"/>
  <c r="HH5" i="4" a="1"/>
  <c r="FL7" i="4" a="1"/>
  <c r="FN13" i="4" a="1"/>
  <c r="FS11" i="4" a="1"/>
  <c r="FR12" i="4" a="1"/>
  <c r="FQ13" i="4" a="1"/>
  <c r="GT7" i="4" a="1"/>
  <c r="FH12" i="4" a="1"/>
  <c r="FG13" i="4" a="1"/>
  <c r="HF13" i="4" a="1"/>
  <c r="HE14" i="4" a="1"/>
  <c r="FV12" i="4" a="1"/>
  <c r="FL15" i="4" a="1"/>
  <c r="GZ15" i="4" a="1"/>
  <c r="FX16" i="4" a="1"/>
  <c r="GX16" i="4" a="1"/>
  <c r="FV15" i="4" a="1"/>
  <c r="GT12" i="4" a="1"/>
  <c r="FM15" i="4" a="1"/>
  <c r="GD8" i="4" a="1"/>
  <c r="GV13" i="4" a="1"/>
  <c r="GB15" i="4" a="1"/>
  <c r="HC15" i="4" a="1"/>
  <c r="FY16" i="4" a="1"/>
  <c r="GW16" i="4" a="1"/>
  <c r="GN13" i="4" a="1"/>
  <c r="BC63" i="3"/>
  <c r="BA49" i="3"/>
  <c r="BM91" i="3"/>
  <c r="BF63" i="3"/>
  <c r="CL125" i="1" s="1"/>
  <c r="BF90" i="3"/>
  <c r="CL126" i="1" s="1"/>
  <c r="BA79" i="3"/>
  <c r="BL92" i="3"/>
  <c r="BF85" i="3"/>
  <c r="CL147" i="1" s="1"/>
  <c r="BT91" i="3"/>
  <c r="BS57" i="3"/>
  <c r="BR72" i="3"/>
  <c r="BV57" i="3"/>
  <c r="BT58" i="3"/>
  <c r="BT89" i="3"/>
  <c r="BN58" i="3"/>
  <c r="BP69" i="3"/>
  <c r="BO48" i="3"/>
  <c r="BS66" i="3"/>
  <c r="BG47" i="3"/>
  <c r="BE89" i="3"/>
  <c r="BI61" i="3"/>
  <c r="BF64" i="3"/>
  <c r="CL149" i="1" s="1"/>
  <c r="BJ78" i="3"/>
  <c r="BJ50" i="3"/>
  <c r="BK55" i="3"/>
  <c r="BK90" i="3"/>
  <c r="FK15" i="4" a="1"/>
  <c r="FN6" i="4" a="1"/>
  <c r="GZ8" i="4" a="1"/>
  <c r="GQ13" i="4" a="1"/>
  <c r="FS6" i="4" a="1"/>
  <c r="GR7" i="4" a="1"/>
  <c r="GO7" i="4" a="1"/>
  <c r="HB6" i="4" a="1"/>
  <c r="FJ11" i="4" a="1"/>
  <c r="GO9" i="4" a="1"/>
  <c r="GP5" i="4" a="1"/>
  <c r="FX11" i="4" a="1"/>
  <c r="FQ5" i="4" a="1"/>
  <c r="GI8" i="4" a="1"/>
  <c r="FN11" i="4" a="1"/>
  <c r="FZ8" i="4" a="1"/>
  <c r="FI14" i="4" a="1"/>
  <c r="HH14" i="4" a="1"/>
  <c r="FZ16" i="4" a="1"/>
  <c r="FM13" i="4" a="1"/>
  <c r="HH8" i="4" a="1"/>
  <c r="GG15" i="4" a="1"/>
  <c r="BC64" i="3"/>
  <c r="FK9" i="4" a="1"/>
  <c r="FO6" i="4" a="1"/>
  <c r="GC15" i="4" a="1"/>
  <c r="GB16" i="4" a="1"/>
  <c r="FX15" i="4" a="1"/>
  <c r="GU9" i="4" a="1"/>
  <c r="GI15" i="4" a="1"/>
  <c r="GC16" i="4" a="1"/>
  <c r="BC55" i="3"/>
  <c r="BD95" i="3"/>
  <c r="HB8" i="4" a="1"/>
  <c r="FW14" i="4" a="1"/>
  <c r="FI16" i="4" a="1"/>
  <c r="HE16" i="4" a="1"/>
  <c r="BC78" i="3"/>
  <c r="BD60" i="3"/>
  <c r="BA69" i="3"/>
  <c r="BM77" i="3"/>
  <c r="BB79" i="3"/>
  <c r="BD88" i="3"/>
  <c r="BC85" i="3"/>
  <c r="BL56" i="3"/>
  <c r="BQ76" i="3"/>
  <c r="BO49" i="3"/>
  <c r="BS56" i="3"/>
  <c r="BR59" i="3"/>
  <c r="BV88" i="3"/>
  <c r="BT59" i="3"/>
  <c r="BT48" i="3"/>
  <c r="BN60" i="3"/>
  <c r="BP95" i="3"/>
  <c r="BO69" i="3"/>
  <c r="BS67" i="3"/>
  <c r="BG84" i="3"/>
  <c r="BE58" i="3"/>
  <c r="BI50" i="3"/>
  <c r="BF62" i="3"/>
  <c r="CL124" i="1" s="1"/>
  <c r="BJ80" i="3"/>
  <c r="BJ57" i="3"/>
  <c r="BK88" i="3"/>
  <c r="BK57" i="3"/>
  <c r="GE15" i="4" a="1"/>
  <c r="GL6" i="4" a="1"/>
  <c r="FR9" i="4" a="1"/>
  <c r="FH14" i="4" a="1"/>
  <c r="GQ6" i="4" a="1"/>
  <c r="FT8" i="4" a="1"/>
  <c r="GX8" i="4" a="1"/>
  <c r="FX7" i="4" a="1"/>
  <c r="FV11" i="4" a="1"/>
  <c r="FI5" i="4" a="1"/>
  <c r="FL6" i="4" a="1"/>
  <c r="HD5" i="4" a="1"/>
  <c r="GE5" i="4" a="1"/>
  <c r="GW8" i="4" a="1"/>
  <c r="GF11" i="4" a="1"/>
  <c r="GD9" i="4" a="1"/>
  <c r="FP7" i="4" a="1"/>
  <c r="HG8" i="4" a="1"/>
  <c r="FM14" i="4" a="1"/>
  <c r="GA11" i="4" a="1"/>
  <c r="FZ12" i="4" a="1"/>
  <c r="BD63" i="3"/>
  <c r="BA82" i="3"/>
  <c r="BP70" i="3"/>
  <c r="BB92" i="3"/>
  <c r="BD62" i="3"/>
  <c r="BD92" i="3"/>
  <c r="BL69" i="3"/>
  <c r="BQ74" i="3"/>
  <c r="BO63" i="3"/>
  <c r="BU60" i="3"/>
  <c r="BR60" i="3"/>
  <c r="BV84" i="3"/>
  <c r="BT67" i="3"/>
  <c r="BT97" i="3"/>
  <c r="BN74" i="3"/>
  <c r="BP90" i="3"/>
  <c r="BO54" i="3"/>
  <c r="BS70" i="3"/>
  <c r="BG90" i="3"/>
  <c r="BE91" i="3"/>
  <c r="BM69" i="3"/>
  <c r="BF57" i="3"/>
  <c r="CL118" i="1" s="1"/>
  <c r="BJ96" i="3"/>
  <c r="BJ61" i="3"/>
  <c r="BK83" i="3"/>
  <c r="BK92" i="3"/>
  <c r="FM5" i="4" a="1"/>
  <c r="GY6" i="4" a="1"/>
  <c r="GH9" i="4" a="1"/>
  <c r="GF14" i="4" a="1"/>
  <c r="HG6" i="4" a="1"/>
  <c r="GR8" i="4" a="1"/>
  <c r="GS9" i="4" a="1"/>
  <c r="GV7" i="4" a="1"/>
  <c r="GS5" i="4" a="1"/>
  <c r="FY5" i="4" a="1"/>
  <c r="FR6" i="4" a="1"/>
  <c r="GU6" i="4" a="1"/>
  <c r="FM6" i="4" a="1"/>
  <c r="GU5" i="4" a="1"/>
  <c r="GZ6" i="4" a="1"/>
  <c r="FK5" i="4" a="1"/>
  <c r="GN7" i="4" a="1"/>
  <c r="GV9" i="4" a="1"/>
  <c r="GK14" i="4" a="1"/>
  <c r="GE11" i="4" a="1"/>
  <c r="GE12" i="4" a="1"/>
  <c r="GB13" i="4" a="1"/>
  <c r="FP9" i="4" a="1"/>
  <c r="FU12" i="4" a="1"/>
  <c r="FR13" i="4" a="1"/>
  <c r="FQ14" i="4" a="1"/>
  <c r="FN8" i="4" a="1"/>
  <c r="GF13" i="4" a="1"/>
  <c r="GF15" i="4" a="1"/>
  <c r="HF15" i="4" a="1"/>
  <c r="GD16" i="4" a="1"/>
  <c r="HD16" i="4" a="1"/>
  <c r="FV8" i="4" a="1"/>
  <c r="GS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K75" i="3"/>
  <c r="BK94" i="3"/>
  <c r="FS5" i="4" a="1"/>
  <c r="FU7" i="4" a="1"/>
  <c r="GX9" i="4" a="1"/>
  <c r="HA14" i="4" a="1"/>
  <c r="GC7" i="4" a="1"/>
  <c r="FM9" i="4" a="1"/>
  <c r="FG5" i="4" a="1"/>
  <c r="FQ8" i="4" a="1"/>
  <c r="GK5" i="4" a="1"/>
  <c r="GI5" i="4" a="1"/>
  <c r="FK7" i="4" a="1"/>
  <c r="FH9" i="4" a="1"/>
  <c r="GK6" i="4" a="1"/>
  <c r="FT6" i="4" a="1"/>
  <c r="GY7" i="4" a="1"/>
  <c r="FW5" i="4" a="1"/>
  <c r="GA8" i="4" a="1"/>
  <c r="FH11" i="4" a="1"/>
  <c r="FG15" i="4" a="1"/>
  <c r="GK11" i="4" a="1"/>
  <c r="GH12" i="4" a="1"/>
  <c r="GG13" i="4" a="1"/>
  <c r="GA9" i="4" a="1"/>
  <c r="FX12" i="4" a="1"/>
  <c r="FW13" i="4" a="1"/>
  <c r="FY14" i="4" a="1"/>
  <c r="GT8" i="4" a="1"/>
  <c r="HA13" i="4" a="1"/>
  <c r="GH15" i="4" a="1"/>
  <c r="HH15" i="4" a="1"/>
  <c r="GF16" i="4" a="1"/>
  <c r="HF16" i="4" a="1"/>
  <c r="HH13" i="4" a="1"/>
  <c r="FY11" i="4" a="1"/>
  <c r="GM15" i="4" a="1"/>
  <c r="GG16" i="4" a="1"/>
  <c r="BC87" i="3"/>
  <c r="BA84" i="3"/>
  <c r="BG70" i="3"/>
  <c r="BB56" i="3"/>
  <c r="BU47" i="3"/>
  <c r="BQ54" i="3"/>
  <c r="BE78" i="3"/>
  <c r="BQ80" i="3"/>
  <c r="BO88" i="3"/>
  <c r="BU71" i="3"/>
  <c r="BR77" i="3"/>
  <c r="BV80" i="3"/>
  <c r="BT72" i="3"/>
  <c r="BN79" i="3"/>
  <c r="BN66" i="3"/>
  <c r="BP74" i="3"/>
  <c r="BO85" i="3"/>
  <c r="BS74" i="3"/>
  <c r="BH97" i="3"/>
  <c r="BE65" i="3"/>
  <c r="BM75" i="3"/>
  <c r="BF96" i="3"/>
  <c r="CL163" i="1" s="1"/>
  <c r="BJ95" i="3"/>
  <c r="BJ63" i="3"/>
  <c r="BA92" i="3"/>
  <c r="BG88" i="3"/>
  <c r="BB85" i="3"/>
  <c r="BU55" i="3"/>
  <c r="BQ60" i="3"/>
  <c r="BE93" i="3"/>
  <c r="BQ83" i="3"/>
  <c r="BO50" i="3"/>
  <c r="BU67" i="3"/>
  <c r="BR69" i="3"/>
  <c r="BV76" i="3"/>
  <c r="BT47" i="3"/>
  <c r="BN89" i="3"/>
  <c r="BN68" i="3"/>
  <c r="BP79" i="3"/>
  <c r="BO56" i="3"/>
  <c r="BS89" i="3"/>
  <c r="BH93" i="3"/>
  <c r="BE77" i="3"/>
  <c r="BM47" i="3"/>
  <c r="BJ49" i="3"/>
  <c r="BJ89" i="3"/>
  <c r="BJ73" i="3"/>
  <c r="BK59" i="3"/>
  <c r="BK49" i="3"/>
  <c r="GC5" i="4" a="1"/>
  <c r="GU8" i="4" a="1"/>
  <c r="HH9" i="4" a="1"/>
  <c r="HA9" i="4" a="1"/>
  <c r="HA7" i="4" a="1"/>
  <c r="GJ6" i="4" a="1"/>
  <c r="FU5" i="4" a="1"/>
  <c r="FQ6" i="4" a="1"/>
  <c r="FH8" i="4" a="1"/>
  <c r="GV6" i="4" a="1"/>
  <c r="HG7" i="4" a="1"/>
  <c r="GM11" i="4" a="1"/>
  <c r="FG7" i="4" a="1"/>
  <c r="GR6" i="4" a="1"/>
  <c r="GN9" i="4" a="1"/>
  <c r="FJ5" i="4" a="1"/>
  <c r="HA8" i="4" a="1"/>
  <c r="FT11" i="4" a="1"/>
  <c r="GV5" i="4" a="1"/>
  <c r="GN11" i="4" a="1"/>
  <c r="GM12" i="4" a="1"/>
  <c r="GJ13" i="4" a="1"/>
  <c r="GF9" i="4" a="1"/>
  <c r="GC12" i="4" a="1"/>
  <c r="GE13" i="4" a="1"/>
  <c r="GB14" i="4" a="1"/>
  <c r="FQ9" i="4" a="1"/>
  <c r="FJ14" i="4" a="1"/>
  <c r="GJ15" i="4" a="1"/>
  <c r="FH16" i="4" a="1"/>
  <c r="GH16" i="4" a="1"/>
  <c r="HH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Q58" i="3"/>
  <c r="BG89" i="3"/>
  <c r="BB90" i="3"/>
  <c r="BI49" i="3"/>
  <c r="BH79" i="3"/>
  <c r="BE48" i="3"/>
  <c r="BU74" i="3"/>
  <c r="BO77" i="3"/>
  <c r="BU85" i="3"/>
  <c r="BR96" i="3"/>
  <c r="BV58" i="3"/>
  <c r="BT56" i="3"/>
  <c r="BN67" i="3"/>
  <c r="BN70" i="3"/>
  <c r="BF77" i="3"/>
  <c r="CL140" i="1" s="1"/>
  <c r="BO73" i="3"/>
  <c r="BS49" i="3"/>
  <c r="BH91" i="3"/>
  <c r="BE81" i="3"/>
  <c r="BM54" i="3"/>
  <c r="BJ74" i="3"/>
  <c r="BJ93" i="3"/>
  <c r="BJ75" i="3"/>
  <c r="BK67" i="3"/>
  <c r="BK65" i="3"/>
  <c r="FL5" i="4" a="1"/>
  <c r="GM5" i="4" a="1"/>
  <c r="FR11" i="4" a="1"/>
  <c r="FO5" i="4" a="1"/>
  <c r="FS8" i="4" a="1"/>
  <c r="GD7" i="4" a="1"/>
  <c r="GG5" i="4" a="1"/>
  <c r="GB6" i="4" a="1"/>
  <c r="GH11" i="4" a="1"/>
  <c r="FO7" i="4" a="1"/>
  <c r="FW9" i="4" a="1"/>
  <c r="GD13" i="4" a="1"/>
  <c r="FZ7" i="4" a="1"/>
  <c r="GL7" i="4" a="1"/>
  <c r="HC11" i="4" a="1"/>
  <c r="GD5" i="4" a="1"/>
  <c r="HF5" i="4" a="1"/>
  <c r="GD11" i="4" a="1"/>
  <c r="FR8" i="4" a="1"/>
  <c r="GS11" i="4" a="1"/>
  <c r="GP12" i="4" a="1"/>
  <c r="GO13" i="4" a="1"/>
  <c r="GI11" i="4" a="1"/>
  <c r="GK12" i="4" a="1"/>
  <c r="GH13" i="4" a="1"/>
  <c r="GG14" i="4" a="1"/>
  <c r="GL9" i="4" a="1"/>
  <c r="FO14" i="4" a="1"/>
  <c r="BP88" i="3"/>
  <c r="BG85" i="3"/>
  <c r="BB89" i="3"/>
  <c r="BI83" i="3"/>
  <c r="BH69" i="3"/>
  <c r="BE92" i="3"/>
  <c r="BU87" i="3"/>
  <c r="BO87" i="3"/>
  <c r="BU90" i="3"/>
  <c r="BR90" i="3"/>
  <c r="BV94" i="3"/>
  <c r="BT55" i="3"/>
  <c r="BN95" i="3"/>
  <c r="BN72" i="3"/>
  <c r="BF73" i="3"/>
  <c r="BO60" i="3"/>
  <c r="BS54" i="3"/>
  <c r="BH89" i="3"/>
  <c r="BI63" i="3"/>
  <c r="BM85" i="3"/>
  <c r="BJ82" i="3"/>
  <c r="BJ97" i="3"/>
  <c r="BJ77" i="3"/>
  <c r="BK58" i="3"/>
  <c r="BK97" i="3"/>
  <c r="FP5" i="4" a="1"/>
  <c r="FI6" i="4" a="1"/>
  <c r="FZ11" i="4" a="1"/>
  <c r="GA5" i="4" a="1"/>
  <c r="GE8" i="4" a="1"/>
  <c r="FX9" i="4" a="1"/>
  <c r="FX5" i="4" a="1"/>
  <c r="FV7" i="4" a="1"/>
  <c r="HF11" i="4" a="1"/>
  <c r="GP7" i="4" a="1"/>
  <c r="HA5" i="4" a="1"/>
  <c r="HB13" i="4" a="1"/>
  <c r="HC7" i="4" a="1"/>
  <c r="FO9" i="4" a="1"/>
  <c r="FY12" i="4" a="1"/>
  <c r="FU6" i="4" a="1"/>
  <c r="GN5" i="4" a="1"/>
  <c r="GO6" i="4" a="1"/>
  <c r="FN9" i="4" a="1"/>
  <c r="GV11" i="4" a="1"/>
  <c r="GU12" i="4" a="1"/>
  <c r="GR13" i="4" a="1"/>
  <c r="GQ11" i="4" a="1"/>
  <c r="GN12" i="4" a="1"/>
  <c r="GM13" i="4" a="1"/>
  <c r="GJ14" i="4" a="1"/>
  <c r="HC9" i="4" a="1"/>
  <c r="FZ14" i="4" a="1"/>
  <c r="GN15" i="4" a="1"/>
  <c r="FL16" i="4" a="1"/>
  <c r="GL16" i="4" a="1"/>
  <c r="GO11" i="4" a="1"/>
  <c r="HG9" i="4" a="1"/>
  <c r="GL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S12" i="4" a="1"/>
  <c r="GP15" i="4" a="1"/>
  <c r="FN16" i="4" a="1"/>
  <c r="GN16" i="4" a="1"/>
  <c r="GJ11" i="4" a="1"/>
  <c r="GI14" i="4" a="1"/>
  <c r="HC14" i="4" a="1"/>
  <c r="FQ16" i="4" a="1"/>
  <c r="GY9" i="4" a="1"/>
  <c r="BC95" i="3"/>
  <c r="BD66" i="3"/>
  <c r="BH72" i="3"/>
  <c r="BE74" i="3"/>
  <c r="BG72" i="3"/>
  <c r="BI86" i="3"/>
  <c r="BH90" i="3"/>
  <c r="BI94" i="3"/>
  <c r="BR58" i="3"/>
  <c r="BS84" i="3"/>
  <c r="BU91" i="3"/>
  <c r="BR94" i="3"/>
  <c r="BV96" i="3"/>
  <c r="BT78" i="3"/>
  <c r="BN59" i="3"/>
  <c r="BN63" i="3"/>
  <c r="BF69" i="3"/>
  <c r="BO61" i="3"/>
  <c r="BS94" i="3"/>
  <c r="BL54" i="3"/>
  <c r="BI65" i="3"/>
  <c r="BM87" i="3"/>
  <c r="BJ84" i="3"/>
  <c r="BJ87" i="3"/>
  <c r="BJ79" i="3"/>
  <c r="BK48" i="3"/>
  <c r="BK47" i="3"/>
  <c r="GB5" i="4" a="1"/>
  <c r="FG6" i="4" a="1"/>
  <c r="FW6" i="4" a="1"/>
  <c r="FH5" i="4" a="1"/>
  <c r="GQ8" i="4" a="1"/>
  <c r="GU11" i="4" a="1"/>
  <c r="GL5" i="4" a="1"/>
  <c r="HF8" i="4" a="1"/>
  <c r="GB12" i="4" a="1"/>
  <c r="FI8" i="4" a="1"/>
  <c r="HC6" i="4" a="1"/>
  <c r="FX14" i="4" a="1"/>
  <c r="GZ5" i="4" a="1"/>
  <c r="FJ6" i="4" a="1"/>
  <c r="FV13" i="4" a="1"/>
  <c r="GS6" i="4" a="1"/>
  <c r="GW6" i="4" a="1"/>
  <c r="FS7" i="4" a="1"/>
  <c r="GW9" i="4" a="1"/>
  <c r="HA11" i="4" a="1"/>
  <c r="GX12" i="4" a="1"/>
  <c r="GZ13" i="4" a="1"/>
  <c r="GT11" i="4" a="1"/>
  <c r="GP13" i="4" a="1"/>
  <c r="GO14" i="4" a="1"/>
  <c r="FQ11" i="4" a="1"/>
  <c r="GE14" i="4" a="1"/>
  <c r="FS12" i="4" a="1"/>
  <c r="GQ14" i="4" a="1"/>
  <c r="GL12" i="4" a="1"/>
  <c r="GU15" i="4" a="1"/>
  <c r="GO16" i="4" a="1"/>
  <c r="BC61" i="3"/>
  <c r="BC76" i="3"/>
  <c r="BD97" i="3"/>
  <c r="BK64" i="3"/>
  <c r="BM93" i="3"/>
  <c r="BN73" i="3"/>
  <c r="FJ7" i="4" a="1"/>
  <c r="FV6" i="4" a="1"/>
  <c r="GU13" i="4" a="1"/>
  <c r="GQ9" i="4" a="1"/>
  <c r="FM16" i="4" a="1"/>
  <c r="BD87" i="3"/>
  <c r="BH84" i="3"/>
  <c r="FV5" i="4" a="1"/>
  <c r="GP14" i="4" a="1"/>
  <c r="HB14" i="4" a="1"/>
  <c r="GQ16" i="4" a="1"/>
  <c r="BD77" i="3"/>
  <c r="BC48" i="3"/>
  <c r="BE49" i="3"/>
  <c r="HB7" i="4" a="1"/>
  <c r="BV62" i="3"/>
  <c r="BJ81" i="3"/>
  <c r="FN15" i="4" a="1"/>
  <c r="BT79" i="3"/>
  <c r="BH86" i="3"/>
  <c r="BC97" i="3"/>
  <c r="BG93" i="3"/>
  <c r="BF55" i="3"/>
  <c r="HH6" i="4" a="1"/>
  <c r="GG7" i="4" a="1"/>
  <c r="GR14" i="4" a="1"/>
  <c r="HE11" i="4" a="1"/>
  <c r="FS16" i="4" a="1"/>
  <c r="BD56" i="3"/>
  <c r="FR7" i="4" a="1"/>
  <c r="GA7" i="4" a="1"/>
  <c r="GC13" i="4" a="1"/>
  <c r="GS14" i="4" a="1"/>
  <c r="HE5" i="4" a="1"/>
  <c r="BC91" i="3"/>
  <c r="FN14" i="4" a="1"/>
  <c r="BI84" i="3"/>
  <c r="BO91" i="3"/>
  <c r="FT12" i="4" a="1"/>
  <c r="FP14" i="4" a="1"/>
  <c r="GG11" i="4" a="1"/>
  <c r="FV14" i="4" a="1"/>
  <c r="GK16" i="4" a="1"/>
  <c r="BD71" i="3"/>
  <c r="BS58" i="3"/>
  <c r="BI54" i="3"/>
  <c r="GL15" i="4" a="1"/>
  <c r="GL8" i="4" a="1"/>
  <c r="BJ62" i="3"/>
  <c r="HE6" i="4" a="1"/>
  <c r="BK87" i="3"/>
  <c r="BK96" i="3"/>
  <c r="GJ16" i="4" a="1"/>
  <c r="FZ9" i="4" a="1"/>
  <c r="GV12" i="4" a="1"/>
  <c r="BR57" i="3"/>
  <c r="BI71" i="3"/>
  <c r="FQ12" i="4" a="1"/>
  <c r="FS9" i="4" a="1"/>
  <c r="GR15" i="4" a="1"/>
  <c r="FH15" i="4" a="1"/>
  <c r="GC11" i="4" a="1"/>
  <c r="GB9" i="4" a="1"/>
  <c r="FP16" i="4" a="1"/>
  <c r="GY11" i="4" a="1"/>
  <c r="BS88" i="3"/>
  <c r="BM55" i="3"/>
  <c r="GU7" i="4" a="1"/>
  <c r="HE9" i="4" a="1"/>
  <c r="FJ16" i="4" a="1"/>
  <c r="HH11" i="4" a="1"/>
  <c r="BC70" i="3"/>
  <c r="BJ47" i="3"/>
  <c r="HD11" i="4" a="1"/>
  <c r="HG12" i="4" a="1"/>
  <c r="HF12" i="4" a="1"/>
  <c r="GM14" i="4" a="1"/>
  <c r="GP16" i="4" a="1"/>
  <c r="GQ15" i="4" a="1"/>
  <c r="GV14" i="4" a="1"/>
  <c r="GW15" i="4" a="1"/>
  <c r="BU88" i="3"/>
  <c r="BC92" i="3"/>
  <c r="BC81" i="3"/>
  <c r="BV63" i="3"/>
  <c r="BC59" i="3"/>
  <c r="HE7" i="4" a="1"/>
  <c r="BN50" i="3"/>
  <c r="CO20" i="1" l="1"/>
  <c r="CS20" i="1" s="1"/>
  <c r="JO16" i="4" s="1"/>
  <c r="JO9" i="4" s="1"/>
  <c r="JN9" i="4" s="1"/>
  <c r="JN16" i="4" s="1"/>
  <c r="CI137" i="1"/>
  <c r="Z194" i="1"/>
  <c r="Y194" i="1"/>
  <c r="JP9" i="4" s="1"/>
  <c r="JP16" i="4" s="1"/>
  <c r="CH140" i="1"/>
  <c r="CI140" i="1" s="1"/>
  <c r="AA202" i="1"/>
  <c r="CL98" i="1"/>
  <c r="CL99" i="1" s="1"/>
  <c r="X10" i="1"/>
  <c r="X183" i="1"/>
  <c r="X253" i="1"/>
  <c r="CL156" i="1"/>
  <c r="CL185" i="1" s="1"/>
  <c r="CL184" i="1" s="1"/>
  <c r="CL128" i="1"/>
  <c r="CL16" i="1"/>
  <c r="Y134" i="1"/>
  <c r="Y183" i="1"/>
  <c r="Y10" i="1"/>
  <c r="Y231" i="1"/>
  <c r="Z231" i="1"/>
  <c r="Z180" i="1"/>
  <c r="Z253" i="1"/>
  <c r="CL161" i="1"/>
  <c r="CL168" i="1"/>
  <c r="CL109" i="1" s="1"/>
  <c r="CL148" i="1"/>
  <c r="CL120" i="1"/>
  <c r="CL129" i="1" s="1"/>
  <c r="CL138" i="1"/>
  <c r="CK16" i="1"/>
  <c r="CL19" i="1" s="1"/>
  <c r="CK26" i="1"/>
  <c r="CK27" i="1" s="1"/>
  <c r="Z252" i="1"/>
  <c r="Y179" i="1"/>
  <c r="Y252" i="1"/>
  <c r="Y26" i="1"/>
  <c r="X180" i="1"/>
  <c r="X252" i="1"/>
  <c r="X179" i="1"/>
  <c r="X231" i="1"/>
  <c r="Y173" i="1"/>
  <c r="Z183" i="1"/>
  <c r="Y253" i="1"/>
  <c r="KB16" i="4" s="1"/>
  <c r="KG9" i="4" s="1"/>
  <c r="JZ16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K73" i="1"/>
  <c r="CJ140" i="1"/>
  <c r="CJ202" i="1" s="1"/>
  <c r="CJ152" i="1"/>
  <c r="CJ151" i="1"/>
  <c r="KE9" i="4" s="1"/>
  <c r="CJ143" i="1"/>
  <c r="JY9" i="4" s="1"/>
  <c r="KA16" i="4" s="1"/>
  <c r="JS16" i="4" s="1"/>
  <c r="JR16" i="4" s="1"/>
  <c r="JS9" i="4" s="1"/>
  <c r="JS21" i="4" s="1"/>
  <c r="JV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H16" i="4" s="1"/>
  <c r="KH9" i="4" s="1"/>
  <c r="KH21" i="4" s="1"/>
  <c r="JY16" i="4" s="1"/>
  <c r="JY21" i="4" s="1"/>
  <c r="JW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X16" i="4" s="1"/>
  <c r="KA14" i="4" s="1"/>
  <c r="KD9" i="4" s="1"/>
  <c r="KC9" i="4" s="1"/>
  <c r="CJ155" i="1"/>
  <c r="CJ124" i="1"/>
  <c r="CK124" i="1" s="1"/>
  <c r="CM124" i="1" s="1"/>
  <c r="CJ125" i="1"/>
  <c r="CK125" i="1" s="1"/>
  <c r="JX9" i="4" s="1"/>
  <c r="JT9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Q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H8" i="4" s="1"/>
  <c r="CG73" i="1"/>
  <c r="JV16" i="4" s="1"/>
  <c r="JQ9" i="4" s="1"/>
  <c r="JT8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U14" i="4" s="1"/>
  <c r="JW16" i="4" s="1"/>
  <c r="CJ134" i="1"/>
  <c r="CK33" i="1" s="1"/>
  <c r="CJ154" i="1"/>
  <c r="CJ149" i="1"/>
  <c r="KD16" i="4" s="1"/>
  <c r="KA9" i="4" s="1"/>
  <c r="JX7" i="4" s="1"/>
  <c r="JZ9" i="4" s="1"/>
  <c r="KH7" i="4" s="1"/>
  <c r="Z73" i="1"/>
  <c r="CJ119" i="1"/>
  <c r="CJ120" i="1" s="1"/>
  <c r="CJ146" i="1"/>
  <c r="JQ14" i="4" s="1"/>
  <c r="KF16" i="4" s="1"/>
  <c r="CJ144" i="1"/>
  <c r="CJ179" i="1" s="1"/>
  <c r="CK179" i="1" s="1"/>
  <c r="KE16" i="4" s="1"/>
  <c r="KE21" i="4" s="1"/>
  <c r="CJ159" i="1"/>
  <c r="CJ150" i="1"/>
  <c r="KC16" i="4" s="1"/>
  <c r="JU16" i="4" s="1"/>
  <c r="JT16" i="4" s="1"/>
  <c r="KB14" i="4" s="1"/>
  <c r="JR9" i="4" s="1"/>
  <c r="CJ73" i="1"/>
  <c r="CG74" i="1"/>
  <c r="CJ133" i="1"/>
  <c r="CK133" i="1" s="1"/>
  <c r="CM133" i="1" s="1"/>
  <c r="CN133" i="1" s="1"/>
  <c r="CO133" i="1" s="1"/>
  <c r="CP133" i="1" s="1"/>
  <c r="CI73" i="1"/>
  <c r="CJ145" i="1"/>
  <c r="CJ180" i="1" s="1"/>
  <c r="CK180" i="1" s="1"/>
  <c r="CH74" i="1"/>
  <c r="JU9" i="4" s="1"/>
  <c r="JU21" i="4" s="1"/>
  <c r="KF9" i="4" s="1"/>
  <c r="JU7" i="4" s="1"/>
  <c r="X73" i="1"/>
  <c r="JW7" i="4" s="1"/>
  <c r="KB8" i="4" s="1"/>
  <c r="KB9" i="4" s="1"/>
  <c r="Z74" i="1"/>
  <c r="CJ153" i="1"/>
  <c r="CJ183" i="1" s="1"/>
  <c r="CK183" i="1" s="1"/>
  <c r="CJ147" i="1"/>
  <c r="Y74" i="1"/>
  <c r="CI74" i="1"/>
  <c r="CJ160" i="1"/>
  <c r="CK74" i="1"/>
  <c r="CJ142" i="1"/>
  <c r="CH73" i="1"/>
  <c r="CJ74" i="1"/>
  <c r="CH144" i="1"/>
  <c r="Z179" i="1"/>
  <c r="CH117" i="1"/>
  <c r="CI117" i="1" s="1"/>
  <c r="Z120" i="1"/>
  <c r="CH161" i="1"/>
  <c r="CI209" i="1" s="1"/>
  <c r="Z161" i="1"/>
  <c r="AA209" i="1" s="1"/>
  <c r="CH143" i="1"/>
  <c r="CH148" i="1" s="1"/>
  <c r="CH182" i="1" s="1"/>
  <c r="Z148" i="1"/>
  <c r="X148" i="1"/>
  <c r="X182" i="1" s="1"/>
  <c r="Y148" i="1"/>
  <c r="Z131" i="1"/>
  <c r="X173" i="1"/>
  <c r="Z154" i="1"/>
  <c r="CH154" i="1" s="1"/>
  <c r="CK65" i="1"/>
  <c r="CK98" i="1"/>
  <c r="CK17" i="1"/>
  <c r="CK28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CK11" i="1" s="1"/>
  <c r="Z173" i="1"/>
  <c r="Z10" i="1"/>
  <c r="X156" i="1"/>
  <c r="JW15" i="4"/>
  <c r="JZ14" i="4"/>
  <c r="Y120" i="1"/>
  <c r="X128" i="1"/>
  <c r="X161" i="1"/>
  <c r="X120" i="1"/>
  <c r="X175" i="1" s="1"/>
  <c r="Y128" i="1"/>
  <c r="Z26" i="1"/>
  <c r="X26" i="1"/>
  <c r="X27" i="1" s="1"/>
  <c r="KA8" i="4"/>
  <c r="KA7" i="4"/>
  <c r="KG7" i="4"/>
  <c r="JT14" i="4"/>
  <c r="JS14" i="4"/>
  <c r="JV15" i="4"/>
  <c r="KE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Y138" i="1"/>
  <c r="Y33" i="1"/>
  <c r="CH128" i="1"/>
  <c r="Z209" i="1"/>
  <c r="Y98" i="1"/>
  <c r="Y188" i="1"/>
  <c r="Y27" i="1"/>
  <c r="Y16" i="1"/>
  <c r="Y11" i="1"/>
  <c r="X98" i="1"/>
  <c r="X16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H156" i="1" l="1"/>
  <c r="CH185" i="1" s="1"/>
  <c r="Z248" i="1"/>
  <c r="Z156" i="1"/>
  <c r="AA197" i="1" s="1"/>
  <c r="Z134" i="1"/>
  <c r="CH131" i="1"/>
  <c r="KF21" i="4"/>
  <c r="KC21" i="4"/>
  <c r="Z175" i="1"/>
  <c r="AA207" i="1"/>
  <c r="Z182" i="1"/>
  <c r="Z181" i="1" s="1"/>
  <c r="AA196" i="1"/>
  <c r="AA198" i="1" s="1"/>
  <c r="AA199" i="1" s="1"/>
  <c r="AA11" i="1"/>
  <c r="AA188" i="1"/>
  <c r="AA249" i="1"/>
  <c r="AA206" i="1"/>
  <c r="CJ156" i="1"/>
  <c r="CJ185" i="1" s="1"/>
  <c r="CJ184" i="1" s="1"/>
  <c r="CK184" i="1" s="1"/>
  <c r="JS8" i="4"/>
  <c r="JV7" i="4"/>
  <c r="JV8" i="4"/>
  <c r="JV20" i="4" s="1"/>
  <c r="KE8" i="4"/>
  <c r="KE20" i="4" s="1"/>
  <c r="KG14" i="4"/>
  <c r="KG19" i="4" s="1"/>
  <c r="KG8" i="4"/>
  <c r="CL28" i="1"/>
  <c r="CL17" i="1"/>
  <c r="CL248" i="1"/>
  <c r="CL246" i="1"/>
  <c r="CL157" i="1"/>
  <c r="CL165" i="1" s="1"/>
  <c r="CL166" i="1" s="1"/>
  <c r="CL182" i="1"/>
  <c r="CL92" i="1"/>
  <c r="KB21" i="4"/>
  <c r="KC15" i="4"/>
  <c r="KC14" i="4"/>
  <c r="JS15" i="4"/>
  <c r="KF7" i="4"/>
  <c r="JY14" i="4"/>
  <c r="KA21" i="4"/>
  <c r="KE14" i="4"/>
  <c r="JR21" i="4"/>
  <c r="CL77" i="1" s="1"/>
  <c r="KB15" i="4"/>
  <c r="KB20" i="4" s="1"/>
  <c r="KF8" i="4"/>
  <c r="JZ15" i="4"/>
  <c r="KD8" i="4"/>
  <c r="JQ15" i="4"/>
  <c r="JQ20" i="4" s="1"/>
  <c r="CK79" i="1" s="1"/>
  <c r="JW8" i="4"/>
  <c r="JW20" i="4" s="1"/>
  <c r="JX21" i="4"/>
  <c r="KD7" i="4"/>
  <c r="JT21" i="4"/>
  <c r="JZ7" i="4"/>
  <c r="JZ19" i="4" s="1"/>
  <c r="JY7" i="4"/>
  <c r="JT15" i="4"/>
  <c r="JT20" i="4" s="1"/>
  <c r="JR8" i="4"/>
  <c r="CJ161" i="1"/>
  <c r="CI16" i="1"/>
  <c r="CL244" i="1"/>
  <c r="CL225" i="1"/>
  <c r="CL188" i="1"/>
  <c r="CL11" i="1"/>
  <c r="CJ131" i="1"/>
  <c r="CK131" i="1" s="1"/>
  <c r="KE7" i="4"/>
  <c r="JX8" i="4"/>
  <c r="JQ7" i="4"/>
  <c r="JS7" i="4"/>
  <c r="JV21" i="4"/>
  <c r="JV14" i="4"/>
  <c r="CH120" i="1"/>
  <c r="CH92" i="1" s="1"/>
  <c r="CH94" i="1" s="1"/>
  <c r="JZ8" i="4"/>
  <c r="Z196" i="1"/>
  <c r="CJ148" i="1"/>
  <c r="CJ182" i="1" s="1"/>
  <c r="JX14" i="4"/>
  <c r="JX19" i="4" s="1"/>
  <c r="JY8" i="4"/>
  <c r="KD14" i="4"/>
  <c r="KD15" i="4"/>
  <c r="JU15" i="4"/>
  <c r="KG15" i="4"/>
  <c r="KF14" i="4"/>
  <c r="KF15" i="4"/>
  <c r="JQ21" i="4"/>
  <c r="CK77" i="1" s="1"/>
  <c r="KC7" i="4"/>
  <c r="KH14" i="4"/>
  <c r="KH19" i="4" s="1"/>
  <c r="JT7" i="4"/>
  <c r="JT19" i="4" s="1"/>
  <c r="KB7" i="4"/>
  <c r="KB19" i="4" s="1"/>
  <c r="JY15" i="4"/>
  <c r="JY20" i="4" s="1"/>
  <c r="JR14" i="4"/>
  <c r="JR19" i="4" s="1"/>
  <c r="CL78" i="1" s="1"/>
  <c r="JZ21" i="4"/>
  <c r="KG21" i="4"/>
  <c r="JW14" i="4"/>
  <c r="JW19" i="4" s="1"/>
  <c r="JR15" i="4"/>
  <c r="JQ8" i="4"/>
  <c r="JX15" i="4"/>
  <c r="JU8" i="4"/>
  <c r="JU20" i="4" s="1"/>
  <c r="KC8" i="4"/>
  <c r="KD21" i="4"/>
  <c r="KH15" i="4"/>
  <c r="KH20" i="4" s="1"/>
  <c r="JR7" i="4"/>
  <c r="JW21" i="4"/>
  <c r="KA15" i="4"/>
  <c r="Y182" i="1"/>
  <c r="Y181" i="1" s="1"/>
  <c r="X157" i="1"/>
  <c r="CK140" i="1"/>
  <c r="CK99" i="1"/>
  <c r="CJ128" i="1"/>
  <c r="CJ129" i="1" s="1"/>
  <c r="CJ138" i="1"/>
  <c r="Y196" i="1"/>
  <c r="CK29" i="1"/>
  <c r="CK34" i="1"/>
  <c r="CK38" i="1" s="1"/>
  <c r="KA20" i="4"/>
  <c r="CK102" i="1"/>
  <c r="JU19" i="4"/>
  <c r="Z27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Y165" i="1" s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J92" i="1"/>
  <c r="CJ94" i="1" s="1"/>
  <c r="CI206" i="1"/>
  <c r="X185" i="1"/>
  <c r="Y197" i="1"/>
  <c r="Y249" i="1"/>
  <c r="Y206" i="1"/>
  <c r="Y168" i="1"/>
  <c r="Y109" i="1" s="1"/>
  <c r="CK128" i="1"/>
  <c r="KA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Y246" i="1"/>
  <c r="CH157" i="1"/>
  <c r="Y244" i="1"/>
  <c r="CH168" i="1"/>
  <c r="CI249" i="1"/>
  <c r="Z185" i="1"/>
  <c r="Z157" i="1"/>
  <c r="Z197" i="1"/>
  <c r="CI131" i="1"/>
  <c r="CI134" i="1" s="1"/>
  <c r="CJ33" i="1" s="1"/>
  <c r="CH134" i="1"/>
  <c r="Y18" i="1"/>
  <c r="X28" i="1"/>
  <c r="X17" i="1"/>
  <c r="Y28" i="1"/>
  <c r="Y17" i="1"/>
  <c r="X181" i="1"/>
  <c r="Z138" i="1"/>
  <c r="AA203" i="1" s="1"/>
  <c r="AA201" i="1" s="1"/>
  <c r="Z33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CH186" i="1"/>
  <c r="AA213" i="1" l="1"/>
  <c r="AA205" i="1"/>
  <c r="AA210" i="1" s="1"/>
  <c r="AA211" i="1" s="1"/>
  <c r="JY19" i="4"/>
  <c r="KE19" i="4"/>
  <c r="KD19" i="4"/>
  <c r="KD20" i="4"/>
  <c r="KF19" i="4"/>
  <c r="KF20" i="4"/>
  <c r="KC19" i="4"/>
  <c r="JR20" i="4"/>
  <c r="CL79" i="1" s="1"/>
  <c r="JX20" i="4"/>
  <c r="KG20" i="4"/>
  <c r="JV19" i="4"/>
  <c r="KC20" i="4"/>
  <c r="JS20" i="4"/>
  <c r="JQ19" i="4"/>
  <c r="CK78" i="1" s="1"/>
  <c r="JS19" i="4"/>
  <c r="JZ20" i="4"/>
  <c r="CI17" i="1"/>
  <c r="CI28" i="1"/>
  <c r="CL202" i="1"/>
  <c r="CK202" i="1"/>
  <c r="CL31" i="1"/>
  <c r="CL34" i="1"/>
  <c r="CL38" i="1" s="1"/>
  <c r="CL232" i="1"/>
  <c r="CL233" i="1" s="1"/>
  <c r="CL29" i="1"/>
  <c r="CL250" i="1"/>
  <c r="CL186" i="1"/>
  <c r="CL189" i="1" s="1"/>
  <c r="CL181" i="1"/>
  <c r="CL102" i="1"/>
  <c r="CL94" i="1"/>
  <c r="Z198" i="1"/>
  <c r="CK209" i="1"/>
  <c r="CJ248" i="1"/>
  <c r="CH248" i="1"/>
  <c r="CH129" i="1"/>
  <c r="Z18" i="1"/>
  <c r="Z17" i="1"/>
  <c r="Z28" i="1"/>
  <c r="CL103" i="1"/>
  <c r="CL95" i="1"/>
  <c r="CL107" i="1"/>
  <c r="CL110" i="1" s="1"/>
  <c r="CL249" i="1"/>
  <c r="CL206" i="1"/>
  <c r="CJ157" i="1"/>
  <c r="CJ244" i="1"/>
  <c r="CJ165" i="1"/>
  <c r="CJ206" i="1"/>
  <c r="CJ249" i="1"/>
  <c r="Y198" i="1"/>
  <c r="CJ166" i="1"/>
  <c r="CJ246" i="1"/>
  <c r="CK40" i="1"/>
  <c r="CK41" i="1"/>
  <c r="CK104" i="1"/>
  <c r="CK108" i="1"/>
  <c r="CU133" i="1"/>
  <c r="CV133" i="1" s="1"/>
  <c r="CW133" i="1" s="1"/>
  <c r="CX133" i="1" s="1"/>
  <c r="AC133" i="1"/>
  <c r="X244" i="1"/>
  <c r="X246" i="1"/>
  <c r="X165" i="1"/>
  <c r="X166" i="1" s="1"/>
  <c r="Y203" i="1"/>
  <c r="Y201" i="1" s="1"/>
  <c r="CJ96" i="1"/>
  <c r="CJ95" i="1"/>
  <c r="CH96" i="1"/>
  <c r="CG28" i="1"/>
  <c r="CK30" i="1" s="1"/>
  <c r="CG17" i="1"/>
  <c r="CK185" i="1"/>
  <c r="Y184" i="1"/>
  <c r="Y186" i="1"/>
  <c r="CI185" i="1"/>
  <c r="CI152" i="1"/>
  <c r="CM140" i="1"/>
  <c r="CJ181" i="1"/>
  <c r="CK181" i="1" s="1"/>
  <c r="CJ186" i="1"/>
  <c r="Y166" i="1"/>
  <c r="CH95" i="1"/>
  <c r="CI19" i="1"/>
  <c r="CH17" i="1"/>
  <c r="X184" i="1"/>
  <c r="X186" i="1"/>
  <c r="Y189" i="1" s="1"/>
  <c r="Y190" i="1" s="1"/>
  <c r="CM125" i="1"/>
  <c r="CJ19" i="1"/>
  <c r="CJ28" i="1"/>
  <c r="CJ17" i="1"/>
  <c r="CK206" i="1"/>
  <c r="CK249" i="1"/>
  <c r="CH28" i="1"/>
  <c r="CL30" i="1" s="1"/>
  <c r="CH19" i="1"/>
  <c r="CI37" i="1"/>
  <c r="CH109" i="1"/>
  <c r="CI138" i="1"/>
  <c r="CJ203" i="1" s="1"/>
  <c r="CJ201" i="1" s="1"/>
  <c r="Z186" i="1"/>
  <c r="AA189" i="1" s="1"/>
  <c r="AA190" i="1" s="1"/>
  <c r="Z184" i="1"/>
  <c r="Z203" i="1"/>
  <c r="Z201" i="1" s="1"/>
  <c r="Z165" i="1"/>
  <c r="Z166" i="1" s="1"/>
  <c r="Z246" i="1"/>
  <c r="Z244" i="1"/>
  <c r="Y250" i="1"/>
  <c r="Y251" i="1" s="1"/>
  <c r="X232" i="1"/>
  <c r="X233" i="1" s="1"/>
  <c r="X34" i="1"/>
  <c r="X112" i="1"/>
  <c r="X29" i="1"/>
  <c r="Y30" i="1"/>
  <c r="Y112" i="1"/>
  <c r="Y34" i="1"/>
  <c r="Y29" i="1"/>
  <c r="Y232" i="1"/>
  <c r="Y233" i="1" s="1"/>
  <c r="CI33" i="1"/>
  <c r="CH138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I34" i="1"/>
  <c r="CI232" i="1"/>
  <c r="CI233" i="1" s="1"/>
  <c r="CI29" i="1"/>
  <c r="CL104" i="1" l="1"/>
  <c r="CL96" i="1"/>
  <c r="CL108" i="1"/>
  <c r="CL111" i="1" s="1"/>
  <c r="CK103" i="1"/>
  <c r="CK107" i="1"/>
  <c r="AA30" i="1"/>
  <c r="AA250" i="1"/>
  <c r="AA251" i="1" s="1"/>
  <c r="CL251" i="1"/>
  <c r="Z189" i="1"/>
  <c r="Z190" i="1" s="1"/>
  <c r="CL40" i="1"/>
  <c r="CL41" i="1"/>
  <c r="Z250" i="1"/>
  <c r="Z251" i="1" s="1"/>
  <c r="Z112" i="1"/>
  <c r="Z29" i="1"/>
  <c r="Z232" i="1"/>
  <c r="Z233" i="1" s="1"/>
  <c r="Z34" i="1"/>
  <c r="Z30" i="1"/>
  <c r="CK31" i="1"/>
  <c r="CL226" i="1"/>
  <c r="CL112" i="1"/>
  <c r="CI38" i="1"/>
  <c r="CK48" i="1"/>
  <c r="CK42" i="1"/>
  <c r="CI250" i="1"/>
  <c r="CI251" i="1" s="1"/>
  <c r="CK112" i="1"/>
  <c r="CM17" i="1"/>
  <c r="CY133" i="1"/>
  <c r="CZ133" i="1" s="1"/>
  <c r="DA133" i="1" s="1"/>
  <c r="DB133" i="1" s="1"/>
  <c r="AE133" i="1" s="1"/>
  <c r="AD133" i="1"/>
  <c r="CG29" i="1"/>
  <c r="CG34" i="1"/>
  <c r="CG38" i="1" s="1"/>
  <c r="CG232" i="1"/>
  <c r="CG233" i="1" s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X38" i="1"/>
  <c r="X55" i="1"/>
  <c r="Y55" i="1"/>
  <c r="Y38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41" i="1" l="1"/>
  <c r="CI40" i="1"/>
  <c r="Z38" i="1"/>
  <c r="Z40" i="1" s="1"/>
  <c r="Z55" i="1"/>
  <c r="CL44" i="1"/>
  <c r="CL234" i="1"/>
  <c r="CL48" i="1"/>
  <c r="CL42" i="1"/>
  <c r="CL245" i="1" s="1"/>
  <c r="CL113" i="1"/>
  <c r="CL114" i="1"/>
  <c r="CJ38" i="1"/>
  <c r="CL55" i="1"/>
  <c r="CK134" i="1"/>
  <c r="CL132" i="1"/>
  <c r="CL131" i="1" s="1"/>
  <c r="CK52" i="1"/>
  <c r="CK66" i="1"/>
  <c r="CN202" i="1"/>
  <c r="CO140" i="1"/>
  <c r="CG41" i="1"/>
  <c r="CK43" i="1" s="1"/>
  <c r="CG40" i="1"/>
  <c r="CN184" i="1"/>
  <c r="CM185" i="1"/>
  <c r="CH41" i="1"/>
  <c r="CL43" i="1" s="1"/>
  <c r="CH40" i="1"/>
  <c r="CM181" i="1"/>
  <c r="CO125" i="1"/>
  <c r="CN128" i="1"/>
  <c r="CN249" i="1" s="1"/>
  <c r="CM206" i="1"/>
  <c r="Y40" i="1"/>
  <c r="Y41" i="1"/>
  <c r="X40" i="1"/>
  <c r="X41" i="1"/>
  <c r="Z41" i="1"/>
  <c r="AA43" i="1" s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I234" i="1"/>
  <c r="CI48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J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66" i="1"/>
  <c r="CL193" i="1"/>
  <c r="CL195" i="1" s="1"/>
  <c r="CL52" i="1"/>
  <c r="CM131" i="1"/>
  <c r="CN131" i="1" s="1"/>
  <c r="CO131" i="1" s="1"/>
  <c r="CP131" i="1" s="1"/>
  <c r="CK44" i="1"/>
  <c r="CL227" i="1"/>
  <c r="CK203" i="1"/>
  <c r="CK201" i="1" s="1"/>
  <c r="CL203" i="1"/>
  <c r="CL201" i="1" s="1"/>
  <c r="CI119" i="1"/>
  <c r="CJ227" i="1"/>
  <c r="CO202" i="1"/>
  <c r="CP140" i="1"/>
  <c r="CJ44" i="1"/>
  <c r="CJ42" i="1"/>
  <c r="CJ245" i="1" s="1"/>
  <c r="CJ234" i="1"/>
  <c r="CJ48" i="1"/>
  <c r="CL54" i="1" s="1"/>
  <c r="CO184" i="1"/>
  <c r="CN185" i="1"/>
  <c r="CG42" i="1"/>
  <c r="CG245" i="1" s="1"/>
  <c r="CG234" i="1"/>
  <c r="CG48" i="1"/>
  <c r="CH44" i="1"/>
  <c r="CI44" i="1"/>
  <c r="CH48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S14" i="3"/>
  <c r="AU32" i="3"/>
  <c r="AS6" i="6" a="1"/>
  <c r="U5" i="6" a="1"/>
  <c r="AQ5" i="6" a="1"/>
  <c r="AU31" i="3"/>
  <c r="AW26" i="3"/>
  <c r="AZ40" i="3"/>
  <c r="EQ11" i="4" a="1"/>
  <c r="EP8" i="4" a="1"/>
  <c r="EU8" i="4" a="1"/>
  <c r="EL16" i="4" a="1"/>
  <c r="EW13" i="4" a="1"/>
  <c r="EN15" i="4" a="1"/>
  <c r="EL15" i="4" a="1"/>
  <c r="EQ6" i="4" a="1"/>
  <c r="EO15" i="4" a="1"/>
  <c r="AW6" i="3"/>
  <c r="AW45" i="3"/>
  <c r="E5" i="6" a="1"/>
  <c r="AV29" i="3"/>
  <c r="AX45" i="3"/>
  <c r="AY8" i="3"/>
  <c r="AF16" i="3"/>
  <c r="AZ19" i="3"/>
  <c r="EV15" i="4" a="1"/>
  <c r="ET11" i="4" a="1"/>
  <c r="EW5" i="4" a="1"/>
  <c r="EP16" i="4" a="1"/>
  <c r="ER13" i="4" a="1"/>
  <c r="EU16" i="4" a="1"/>
  <c r="EO13" i="4" a="1"/>
  <c r="EV5" i="4" a="1"/>
  <c r="AY46" i="3"/>
  <c r="H6" i="6" a="1"/>
  <c r="AY22" i="3"/>
  <c r="AP5" i="3"/>
  <c r="AF12" i="3"/>
  <c r="AY34" i="3"/>
  <c r="AP6" i="3"/>
  <c r="AF14" i="3"/>
  <c r="W6" i="6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EQ13" i="4" a="1"/>
  <c r="EN8" i="4" a="1"/>
  <c r="EO5" i="4" a="1"/>
  <c r="ET7" i="4" a="1"/>
  <c r="EN6" i="4" a="1"/>
  <c r="EO8" i="4" a="1"/>
  <c r="ES9" i="4" a="1"/>
  <c r="AX38" i="3"/>
  <c r="AI5" i="6" a="1"/>
  <c r="AY35" i="3"/>
  <c r="AV45" i="3"/>
  <c r="AZ33" i="3"/>
  <c r="AF31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O7" i="4" a="1"/>
  <c r="EN16" i="4" a="1"/>
  <c r="EV7" i="4" a="1"/>
  <c r="EM8" i="4" a="1"/>
  <c r="ER14" i="4" a="1"/>
  <c r="EW8" i="4" a="1"/>
  <c r="AT31" i="3"/>
  <c r="AX30" i="3"/>
  <c r="AW46" i="3"/>
  <c r="AU23" i="3"/>
  <c r="AT27" i="3"/>
  <c r="AZ23" i="3"/>
  <c r="AS34" i="3"/>
  <c r="AV23" i="3"/>
  <c r="AF39" i="3"/>
  <c r="ER12" i="4" a="1"/>
  <c r="ET9" i="4" a="1"/>
  <c r="EP5" i="4" a="1"/>
  <c r="EU15" i="4" a="1"/>
  <c r="ES11" i="4" a="1"/>
  <c r="AT22" i="3"/>
  <c r="H5" i="6" a="1"/>
  <c r="AX19" i="3"/>
  <c r="AT9" i="3"/>
  <c r="AY41" i="3"/>
  <c r="EO14" i="4" a="1"/>
  <c r="EW14" i="4" a="1"/>
  <c r="EO11" i="4" a="1"/>
  <c r="ET13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F34" i="3"/>
  <c r="AU26" i="3"/>
  <c r="AT6" i="6" a="1"/>
  <c r="AV27" i="3"/>
  <c r="AP7" i="3"/>
  <c r="AZ34" i="3"/>
  <c r="AF5" i="6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S22" i="3"/>
  <c r="AS13" i="3"/>
  <c r="AU40" i="3"/>
  <c r="AD6" i="6" a="1"/>
  <c r="AB5" i="6" a="1"/>
  <c r="AV13" i="3"/>
  <c r="AV12" i="3"/>
  <c r="EP15" i="4" a="1"/>
  <c r="EU14" i="4" a="1"/>
  <c r="EO9" i="4" a="1"/>
  <c r="EU6" i="4" a="1"/>
  <c r="EU5" i="4" a="1"/>
  <c r="EN9" i="4" a="1"/>
  <c r="EN12" i="4" a="1"/>
  <c r="D5" i="6" a="1"/>
  <c r="AC6" i="6" a="1"/>
  <c r="EN5" i="4" a="1"/>
  <c r="AE6" i="6" a="1"/>
  <c r="AU6" i="6" a="1"/>
  <c r="AU37" i="3"/>
  <c r="EM7" i="4" a="1"/>
  <c r="EW12" i="4" a="1"/>
  <c r="EL7" i="4" a="1"/>
  <c r="AW5" i="3"/>
  <c r="AF20" i="3"/>
  <c r="AV28" i="3"/>
  <c r="AW14" i="3"/>
  <c r="AU35" i="3"/>
  <c r="AT18" i="3"/>
  <c r="EQ9" i="4" a="1"/>
  <c r="ES15" i="4" a="1"/>
  <c r="EQ14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AY39" i="3"/>
  <c r="ET6" i="4" a="1"/>
  <c r="EQ7" i="4" a="1"/>
  <c r="EW6" i="4" a="1"/>
  <c r="AF25" i="3"/>
  <c r="AV38" i="3"/>
  <c r="AW13" i="3"/>
  <c r="AY13" i="3"/>
  <c r="AV20" i="3"/>
  <c r="EO16" i="4" a="1"/>
  <c r="EM9" i="4" a="1"/>
  <c r="ES8" i="4" a="1"/>
  <c r="AS42" i="3"/>
  <c r="EQ5" i="4" a="1"/>
  <c r="AW11" i="3"/>
  <c r="AY14" i="3"/>
  <c r="S5" i="6" a="1"/>
  <c r="AY10" i="3"/>
  <c r="AV32" i="3"/>
  <c r="AS5" i="3"/>
  <c r="C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EV13" i="4" a="1"/>
  <c r="EO6" i="4" a="1"/>
  <c r="EQ8" i="4" a="1"/>
  <c r="ES13" i="4" a="1"/>
  <c r="AF26" i="3"/>
  <c r="AV25" i="3"/>
  <c r="AZ31" i="3"/>
  <c r="F45" i="3"/>
  <c r="AS25" i="3"/>
  <c r="D6" i="6" a="1"/>
  <c r="AX27" i="3"/>
  <c r="ET14" i="4" a="1"/>
  <c r="P5" i="6" a="1"/>
  <c r="AV6" i="3"/>
  <c r="AV22" i="3"/>
  <c r="AZ38" i="3"/>
  <c r="EQ16" i="4" a="1"/>
  <c r="ES7" i="4" a="1"/>
  <c r="EL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T15" i="4" a="1"/>
  <c r="EL13" i="4" a="1"/>
  <c r="EW9" i="4" a="1"/>
  <c r="F5" i="6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F28" i="3"/>
  <c r="AY16" i="3"/>
  <c r="AX11" i="3"/>
  <c r="AT6" i="3"/>
  <c r="S6" i="6" a="1"/>
  <c r="EN14" i="4" a="1"/>
  <c r="AO5" i="6" a="1"/>
  <c r="G6" i="6" a="1"/>
  <c r="Y6" i="6" a="1"/>
  <c r="EU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H5" i="6" a="1"/>
  <c r="AF33" i="3"/>
  <c r="AV15" i="3"/>
  <c r="AT16" i="3"/>
  <c r="AT34" i="3"/>
  <c r="X6" i="6" a="1"/>
  <c r="AY45" i="3"/>
  <c r="AU38" i="3"/>
  <c r="AZ30" i="3"/>
  <c r="AW33" i="3"/>
  <c r="AP5" i="6" a="1"/>
  <c r="AB131" i="1" l="1"/>
  <c r="CQ131" i="1"/>
  <c r="CR131" i="1" s="1"/>
  <c r="CS131" i="1" s="1"/>
  <c r="CT131" i="1" s="1"/>
  <c r="CP202" i="1"/>
  <c r="CQ140" i="1"/>
  <c r="CQ202" i="1" s="1"/>
  <c r="CJ66" i="1"/>
  <c r="CL69" i="1" s="1"/>
  <c r="CJ193" i="1"/>
  <c r="CJ195" i="1" s="1"/>
  <c r="CJ52" i="1"/>
  <c r="CP184" i="1"/>
  <c r="CO185" i="1"/>
  <c r="CJ54" i="1"/>
  <c r="CG193" i="1"/>
  <c r="CG195" i="1" s="1"/>
  <c r="CG52" i="1"/>
  <c r="CG66" i="1"/>
  <c r="CH193" i="1"/>
  <c r="CH195" i="1" s="1"/>
  <c r="CH66" i="1"/>
  <c r="CK69" i="1" s="1"/>
  <c r="CH52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Z59" i="3"/>
  <c r="AT56" i="3"/>
  <c r="AV86" i="3"/>
  <c r="AT88" i="3"/>
  <c r="AS59" i="3"/>
  <c r="AV80" i="3"/>
  <c r="AY67" i="3"/>
  <c r="AV50" i="3"/>
  <c r="AU65" i="3"/>
  <c r="AY74" i="3"/>
  <c r="AT55" i="3"/>
  <c r="C65" i="3"/>
  <c r="C78" i="3"/>
  <c r="AU87" i="3"/>
  <c r="AZ70" i="3"/>
  <c r="AY78" i="3"/>
  <c r="AV88" i="3"/>
  <c r="AW78" i="3"/>
  <c r="AW92" i="3"/>
  <c r="AS75" i="3"/>
  <c r="AV58" i="3"/>
  <c r="AU48" i="3"/>
  <c r="C74" i="3"/>
  <c r="AW55" i="3"/>
  <c r="AT83" i="3"/>
  <c r="AZ55" i="3"/>
  <c r="AF97" i="3"/>
  <c r="C83" i="3"/>
  <c r="AY95" i="3"/>
  <c r="AZ77" i="3"/>
  <c r="AZ60" i="3"/>
  <c r="AX95" i="3"/>
  <c r="AU93" i="3"/>
  <c r="AT94" i="3"/>
  <c r="AZ57" i="3"/>
  <c r="AU90" i="3"/>
  <c r="AF71" i="3"/>
  <c r="AF79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U60" i="3"/>
  <c r="AT89" i="3"/>
  <c r="AU56" i="3"/>
  <c r="AV91" i="3"/>
  <c r="C61" i="3"/>
  <c r="AS89" i="3"/>
  <c r="AU57" i="3"/>
  <c r="AZ72" i="3"/>
  <c r="AU68" i="3"/>
  <c r="C50" i="3"/>
  <c r="AU55" i="3"/>
  <c r="AV90" i="3"/>
  <c r="AV96" i="3"/>
  <c r="AZ74" i="3"/>
  <c r="AF95" i="3"/>
  <c r="AX60" i="3"/>
  <c r="AZ76" i="3"/>
  <c r="AT91" i="3"/>
  <c r="AZ50" i="3"/>
  <c r="AX97" i="3"/>
  <c r="AF65" i="3"/>
  <c r="AF75" i="3"/>
  <c r="AF96" i="3"/>
  <c r="AW83" i="3"/>
  <c r="AF82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W48" i="3"/>
  <c r="AX50" i="3"/>
  <c r="AV64" i="3"/>
  <c r="AZ73" i="3"/>
  <c r="AU73" i="3"/>
  <c r="AT69" i="3"/>
  <c r="AV81" i="3"/>
  <c r="AZ88" i="3"/>
  <c r="AS76" i="3"/>
  <c r="AF93" i="3"/>
  <c r="AX88" i="3"/>
  <c r="AX79" i="3"/>
  <c r="AU84" i="3"/>
  <c r="AZ90" i="3"/>
  <c r="AW65" i="3"/>
  <c r="AF55" i="3"/>
  <c r="AF76" i="3"/>
  <c r="AT79" i="3"/>
  <c r="AF73" i="3"/>
  <c r="AZ58" i="3"/>
  <c r="AW90" i="3"/>
  <c r="AY69" i="3"/>
  <c r="AZ96" i="3"/>
  <c r="AF62" i="3"/>
  <c r="AW50" i="3"/>
  <c r="AV6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F89" i="3"/>
  <c r="AW95" i="3"/>
  <c r="AT54" i="3"/>
  <c r="AS70" i="3"/>
  <c r="AS63" i="3"/>
  <c r="AT75" i="3"/>
  <c r="C69" i="3"/>
  <c r="AU94" i="3"/>
  <c r="AS62" i="3"/>
  <c r="AU6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54" i="3"/>
  <c r="AF88" i="3"/>
  <c r="AX56" i="3"/>
  <c r="AZ63" i="3"/>
  <c r="AU70" i="3"/>
  <c r="AT73" i="3"/>
  <c r="AY49" i="3"/>
  <c r="AZ79" i="3"/>
  <c r="C97" i="3"/>
  <c r="AW93" i="3"/>
  <c r="AZ62" i="3"/>
  <c r="AT78" i="3"/>
  <c r="AX70" i="3"/>
  <c r="AS54" i="3"/>
  <c r="C75" i="3"/>
  <c r="AV72" i="3"/>
  <c r="C79" i="3"/>
  <c r="AV48" i="3"/>
  <c r="AV68" i="3"/>
  <c r="AT90" i="3"/>
  <c r="AU78" i="3"/>
  <c r="C80" i="3"/>
  <c r="AU75" i="3"/>
  <c r="AW67" i="3"/>
  <c r="AT62" i="3"/>
  <c r="AF61" i="3"/>
  <c r="AZ67" i="3"/>
  <c r="AU71" i="3"/>
  <c r="AS56" i="3"/>
  <c r="AW73" i="3"/>
  <c r="AS96" i="3"/>
  <c r="C95" i="3"/>
  <c r="AX72" i="3"/>
  <c r="AY92" i="3"/>
  <c r="AX94" i="3"/>
  <c r="AZ81" i="3"/>
  <c r="AV9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78" i="3"/>
  <c r="AZ47" i="3"/>
  <c r="AS90" i="3"/>
  <c r="AF81" i="3"/>
  <c r="AS92" i="3"/>
  <c r="AT47" i="3"/>
  <c r="AX82" i="3"/>
  <c r="AV93" i="3"/>
  <c r="AV69" i="3"/>
  <c r="AW68" i="3"/>
  <c r="AF67" i="3"/>
  <c r="AF63" i="3"/>
  <c r="AY54" i="3"/>
  <c r="C71" i="3"/>
  <c r="AZ9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F84" i="3"/>
  <c r="AV94" i="3"/>
  <c r="AT50" i="3"/>
  <c r="AU76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S80" i="3"/>
  <c r="AY57" i="3"/>
  <c r="C96" i="3"/>
  <c r="AV76" i="3"/>
  <c r="AV61" i="3"/>
  <c r="AU62" i="3"/>
  <c r="AF47" i="3"/>
  <c r="AX83" i="3"/>
  <c r="C92" i="3"/>
  <c r="AX61" i="3"/>
  <c r="AS64" i="3"/>
  <c r="AT64" i="3"/>
  <c r="AV49" i="3"/>
  <c r="C73" i="3"/>
  <c r="AT61" i="3"/>
  <c r="AU69" i="3"/>
  <c r="AF64" i="3"/>
  <c r="AS65" i="3"/>
  <c r="AV67" i="3"/>
  <c r="AF74" i="3"/>
  <c r="C57" i="3"/>
  <c r="AS94" i="3"/>
  <c r="AW81" i="3"/>
  <c r="AY96" i="3"/>
  <c r="AY59" i="3"/>
  <c r="C59" i="3"/>
  <c r="AT93" i="3"/>
  <c r="CR140" i="1" l="1"/>
  <c r="CR202" i="1" s="1"/>
  <c r="CU131" i="1"/>
  <c r="CV131" i="1" s="1"/>
  <c r="CW131" i="1" s="1"/>
  <c r="CX131" i="1" s="1"/>
  <c r="AC131" i="1"/>
  <c r="CL85" i="1"/>
  <c r="CL87" i="1"/>
  <c r="CL86" i="1"/>
  <c r="CK85" i="1"/>
  <c r="CK87" i="1"/>
  <c r="CK86" i="1"/>
  <c r="CP185" i="1"/>
  <c r="CQ184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T140" i="1" l="1"/>
  <c r="CT202" i="1" s="1"/>
  <c r="CF28" i="1"/>
  <c r="AA60" i="1" s="1"/>
  <c r="AA59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T184" i="1" l="1"/>
  <c r="CS185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DF11" i="4" a="1"/>
  <c r="EE12" i="4" a="1"/>
  <c r="CQ8" i="4" a="1"/>
  <c r="DI13" i="4" a="1"/>
  <c r="DP5" i="4" a="1"/>
  <c r="BK11" i="4" a="1"/>
  <c r="BG12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P13" i="2"/>
  <c r="G9" i="2"/>
  <c r="Q36" i="2"/>
  <c r="D11" i="2"/>
  <c r="AR91" i="3"/>
  <c r="H5" i="2"/>
  <c r="AA46" i="3"/>
  <c r="G5" i="3"/>
  <c r="AR40" i="3"/>
  <c r="G18" i="3"/>
  <c r="AR39" i="3"/>
  <c r="F15" i="3"/>
  <c r="D14" i="3"/>
  <c r="DV16" i="4" a="1"/>
  <c r="DZ14" i="4" a="1"/>
  <c r="AV9" i="4" a="1"/>
  <c r="EG12" i="4" a="1"/>
  <c r="BZ15" i="4" a="1"/>
  <c r="EC7" i="4" a="1"/>
  <c r="CB13" i="4" a="1"/>
  <c r="BZ5" i="4" a="1"/>
  <c r="U16" i="4" a="1"/>
  <c r="BS7" i="4" a="1"/>
  <c r="AE7" i="4" a="1"/>
  <c r="AI13" i="4" a="1"/>
  <c r="AC12" i="4" a="1"/>
  <c r="AL5" i="4" a="1"/>
  <c r="X8" i="4" a="1"/>
  <c r="EA13" i="4" a="1"/>
  <c r="AP16" i="4" a="1"/>
  <c r="AH15" i="4" a="1"/>
  <c r="DU5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T9" i="2"/>
  <c r="K6" i="2"/>
  <c r="AR56" i="3"/>
  <c r="T32" i="2"/>
  <c r="C16" i="2"/>
  <c r="F15" i="2"/>
  <c r="E9" i="3"/>
  <c r="AR9" i="3"/>
  <c r="T45" i="3"/>
  <c r="AP46" i="3"/>
  <c r="M45" i="3"/>
  <c r="AR28" i="3"/>
  <c r="K45" i="3"/>
  <c r="DO5" i="4" a="1"/>
  <c r="EC15" i="4" a="1"/>
  <c r="EI16" i="4" a="1"/>
  <c r="AS6" i="4" a="1"/>
  <c r="DF15" i="4" a="1"/>
  <c r="Q12" i="4" a="1"/>
  <c r="T7" i="4" a="1"/>
  <c r="BA5" i="4" a="1"/>
  <c r="R14" i="4" a="1"/>
  <c r="DO12" i="4" a="1"/>
  <c r="CV6" i="4" a="1"/>
  <c r="CC8" i="4" a="1"/>
  <c r="J7" i="4" a="1"/>
  <c r="DP16" i="4" a="1"/>
  <c r="DL11" i="4" a="1"/>
  <c r="CM6" i="4" a="1"/>
  <c r="BE6" i="4" a="1"/>
  <c r="DG16" i="4" a="1"/>
  <c r="EA8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F9" i="2"/>
  <c r="M7" i="2"/>
  <c r="AS49" i="3"/>
  <c r="Q57" i="2"/>
  <c r="V8" i="2"/>
  <c r="D25" i="2"/>
  <c r="X46" i="3"/>
  <c r="AC46" i="3"/>
  <c r="G14" i="3"/>
  <c r="D27" i="3"/>
  <c r="Z46" i="3"/>
  <c r="AH45" i="3"/>
  <c r="E8" i="3"/>
  <c r="AZ15" i="4" a="1"/>
  <c r="BU6" i="4" a="1"/>
  <c r="CF7" i="4" a="1"/>
  <c r="D8" i="4" a="1"/>
  <c r="BD6" i="4" a="1"/>
  <c r="DF5" i="4" a="1"/>
  <c r="T16" i="4" a="1"/>
  <c r="BY13" i="4" a="1"/>
  <c r="DH8" i="4" a="1"/>
  <c r="DU8" i="4" a="1"/>
  <c r="DA7" i="4" a="1"/>
  <c r="CA8" i="4" a="1"/>
  <c r="X15" i="4" a="1"/>
  <c r="AD7" i="4" a="1"/>
  <c r="BL8" i="4" a="1"/>
  <c r="BK12" i="4" a="1"/>
  <c r="AK5" i="4" a="1"/>
  <c r="U9" i="4" a="1"/>
  <c r="EA15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E8" i="2"/>
  <c r="F16" i="2"/>
  <c r="AR49" i="3"/>
  <c r="J23" i="2"/>
  <c r="N8" i="2"/>
  <c r="U9" i="2"/>
  <c r="W45" i="3"/>
  <c r="D26" i="3"/>
  <c r="AH46" i="3"/>
  <c r="F11" i="3"/>
  <c r="AR14" i="3"/>
  <c r="E15" i="3"/>
  <c r="G22" i="3"/>
  <c r="AZ14" i="4" a="1"/>
  <c r="BM8" i="4" a="1"/>
  <c r="J9" i="4" a="1"/>
  <c r="S11" i="4" a="1"/>
  <c r="C15" i="4" a="1"/>
  <c r="BC12" i="4" a="1"/>
  <c r="G28" i="2"/>
  <c r="T20" i="2"/>
  <c r="AR88" i="3"/>
  <c r="J14" i="2"/>
  <c r="AR65" i="3"/>
  <c r="J30" i="2"/>
  <c r="F17" i="3"/>
  <c r="D34" i="3"/>
  <c r="AR17" i="3"/>
  <c r="D45" i="3"/>
  <c r="AO45" i="3"/>
  <c r="AR10" i="3"/>
  <c r="F26" i="3"/>
  <c r="X13" i="4" a="1"/>
  <c r="AK11" i="4" a="1"/>
  <c r="J16" i="4" a="1"/>
  <c r="BV5" i="4" a="1"/>
  <c r="L9" i="4" a="1"/>
  <c r="DP9" i="4" a="1"/>
  <c r="DM12" i="4" a="1"/>
  <c r="CQ13" i="4" a="1"/>
  <c r="AE6" i="4" a="1"/>
  <c r="DY16" i="4" a="1"/>
  <c r="P16" i="4" a="1"/>
  <c r="CK14" i="4" a="1"/>
  <c r="CW7" i="4" a="1"/>
  <c r="F16" i="4" a="1"/>
  <c r="BE7" i="4" a="1"/>
  <c r="AU11" i="4" a="1"/>
  <c r="T8" i="4" a="1"/>
  <c r="Q5" i="4" a="1"/>
  <c r="CM7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E28" i="2"/>
  <c r="M10" i="2"/>
  <c r="E7" i="2"/>
  <c r="R22" i="2"/>
  <c r="W19" i="2"/>
  <c r="X12" i="2"/>
  <c r="D13" i="3"/>
  <c r="F33" i="3"/>
  <c r="AR15" i="3"/>
  <c r="AD7" i="3"/>
  <c r="AR8" i="3"/>
  <c r="G20" i="3"/>
  <c r="AK45" i="3"/>
  <c r="AB12" i="4" a="1"/>
  <c r="BF13" i="4" a="1"/>
  <c r="DG12" i="4" a="1"/>
  <c r="DT12" i="4" a="1"/>
  <c r="I14" i="4" a="1"/>
  <c r="CS14" i="4" a="1"/>
  <c r="DR5" i="4" a="1"/>
  <c r="AR11" i="4" a="1"/>
  <c r="W5" i="4" a="1"/>
  <c r="DC12" i="4" a="1"/>
  <c r="CD8" i="4" a="1"/>
  <c r="AG9" i="4" a="1"/>
  <c r="DX6" i="4" a="1"/>
  <c r="AK6" i="4" a="1"/>
  <c r="BD5" i="4" a="1"/>
  <c r="DF13" i="4" a="1"/>
  <c r="V5" i="4" a="1"/>
  <c r="AI8" i="4" a="1"/>
  <c r="AR12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G8" i="4" a="1"/>
  <c r="F14" i="4" a="1"/>
  <c r="CZ11" i="4" a="1"/>
  <c r="DI9" i="4" a="1"/>
  <c r="H26" i="2"/>
  <c r="M11" i="2"/>
  <c r="J5" i="2"/>
  <c r="C23" i="2"/>
  <c r="P21" i="2"/>
  <c r="J34" i="2"/>
  <c r="G11" i="3"/>
  <c r="AD18" i="3"/>
  <c r="C46" i="3"/>
  <c r="AC45" i="3"/>
  <c r="E30" i="3"/>
  <c r="F7" i="3"/>
  <c r="F41" i="3"/>
  <c r="DO14" i="4" a="1"/>
  <c r="J8" i="4" a="1"/>
  <c r="AI16" i="4" a="1"/>
  <c r="DK5" i="4" a="1"/>
  <c r="DS12" i="4" a="1"/>
  <c r="EI14" i="4" a="1"/>
  <c r="CG12" i="4" a="1"/>
  <c r="EA5" i="4" a="1"/>
  <c r="BK6" i="4" a="1"/>
  <c r="AO11" i="4" a="1"/>
  <c r="CH7" i="4" a="1"/>
  <c r="M14" i="4" a="1"/>
  <c r="AK7" i="4" a="1"/>
  <c r="CP14" i="4" a="1"/>
  <c r="EC11" i="4" a="1"/>
  <c r="CP13" i="4" a="1"/>
  <c r="DK13" i="4" a="1"/>
  <c r="DP12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S5" i="4" a="1"/>
  <c r="AR7" i="4" a="1"/>
  <c r="R9" i="4" a="1"/>
  <c r="EH6" i="4" a="1"/>
  <c r="M8" i="4" a="1"/>
  <c r="BH15" i="4" a="1"/>
  <c r="M36" i="2"/>
  <c r="L30" i="2"/>
  <c r="AR72" i="3"/>
  <c r="O31" i="2"/>
  <c r="W34" i="2"/>
  <c r="AR77" i="3"/>
  <c r="D19" i="3"/>
  <c r="AP45" i="3"/>
  <c r="F13" i="3"/>
  <c r="G10" i="3"/>
  <c r="D31" i="2"/>
  <c r="T21" i="2"/>
  <c r="K18" i="2"/>
  <c r="S24" i="2"/>
  <c r="H33" i="2"/>
  <c r="N15" i="2"/>
  <c r="AD10" i="3"/>
  <c r="F12" i="3"/>
  <c r="E37" i="3"/>
  <c r="G13" i="3"/>
  <c r="E29" i="3"/>
  <c r="AB46" i="3"/>
  <c r="F28" i="3"/>
  <c r="BY7" i="4" a="1"/>
  <c r="CM12" i="4" a="1"/>
  <c r="CM16" i="4" a="1"/>
  <c r="CZ12" i="4" a="1"/>
  <c r="DP14" i="4" a="1"/>
  <c r="DC9" i="4" a="1"/>
  <c r="BN11" i="4" a="1"/>
  <c r="AQ12" i="4" a="1"/>
  <c r="BL12" i="4" a="1"/>
  <c r="V14" i="4" a="1"/>
  <c r="CN14" i="4" a="1"/>
  <c r="AM5" i="4" a="1"/>
  <c r="CU8" i="4" a="1"/>
  <c r="CU9" i="4" a="1"/>
  <c r="DP11" i="4" a="1"/>
  <c r="BI7" i="4" a="1"/>
  <c r="EE11" i="4" a="1"/>
  <c r="CR5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32" i="2"/>
  <c r="E17" i="2"/>
  <c r="X36" i="2"/>
  <c r="AR80" i="3"/>
  <c r="Q54" i="2"/>
  <c r="AR34" i="3"/>
  <c r="F25" i="3"/>
  <c r="N45" i="3"/>
  <c r="G21" i="3"/>
  <c r="H21" i="2"/>
  <c r="D24" i="3"/>
  <c r="G30" i="3"/>
  <c r="DM5" i="4" a="1"/>
  <c r="BO8" i="4" a="1"/>
  <c r="DG15" i="4" a="1"/>
  <c r="CS8" i="4" a="1"/>
  <c r="AY7" i="4" a="1"/>
  <c r="DW6" i="4" a="1"/>
  <c r="DG5" i="4" a="1"/>
  <c r="DJ14" i="4" a="1"/>
  <c r="EJ16" i="4" a="1"/>
  <c r="BA7" i="4" a="1"/>
  <c r="I5" i="4" a="1"/>
  <c r="AV8" i="4" a="1"/>
  <c r="DX8" i="4" a="1"/>
  <c r="AA16" i="4" a="1"/>
  <c r="E9" i="4" a="1"/>
  <c r="W6" i="4" a="1"/>
  <c r="CE13" i="4" a="1"/>
  <c r="P6" i="4" a="1"/>
  <c r="L11" i="4" a="1"/>
  <c r="AZ5" i="4" a="1"/>
  <c r="DS13" i="4" a="1"/>
  <c r="CF15" i="4" a="1"/>
  <c r="L13" i="4" a="1"/>
  <c r="AU12" i="4" a="1"/>
  <c r="CO14" i="4" a="1"/>
  <c r="CT6" i="4" a="1"/>
  <c r="DA13" i="4" a="1"/>
  <c r="CO16" i="4" a="1"/>
  <c r="Q8" i="4" a="1"/>
  <c r="C11" i="4" a="1"/>
  <c r="CD7" i="4" a="1"/>
  <c r="BL14" i="4" a="1"/>
  <c r="C14" i="4" a="1"/>
  <c r="AR15" i="4" a="1"/>
  <c r="BG16" i="4" a="1"/>
  <c r="AW11" i="4" a="1"/>
  <c r="AS16" i="4" a="1"/>
  <c r="EB12" i="4" a="1"/>
  <c r="P13" i="4" a="1"/>
  <c r="ED8" i="4" a="1"/>
  <c r="O14" i="4" a="1"/>
  <c r="AZ11" i="4" a="1"/>
  <c r="CK7" i="4" a="1"/>
  <c r="BS5" i="4" a="1"/>
  <c r="AF5" i="4" a="1"/>
  <c r="CY11" i="4" a="1"/>
  <c r="BA8" i="4" a="1"/>
  <c r="L15" i="4" a="1"/>
  <c r="BQ14" i="4" a="1"/>
  <c r="CL14" i="4" a="1"/>
  <c r="EE5" i="4" a="1"/>
  <c r="T14" i="4" a="1"/>
  <c r="AN14" i="4" a="1"/>
  <c r="DZ5" i="4" a="1"/>
  <c r="EK13" i="4" a="1"/>
  <c r="AV7" i="4" a="1"/>
  <c r="BF6" i="4" a="1"/>
  <c r="BW5" i="4" a="1"/>
  <c r="AW16" i="4" a="1"/>
  <c r="G5" i="4" a="1"/>
  <c r="CI6" i="4" a="1"/>
  <c r="W14" i="4" a="1"/>
  <c r="AS12" i="4" a="1"/>
  <c r="DS14" i="4" a="1"/>
  <c r="BH8" i="4" a="1"/>
  <c r="DM14" i="4" a="1"/>
  <c r="EK7" i="4" a="1"/>
  <c r="DY7" i="4" a="1"/>
  <c r="AU9" i="4" a="1"/>
  <c r="CP16" i="4" a="1"/>
  <c r="S8" i="4" a="1"/>
  <c r="BW8" i="4" a="1"/>
  <c r="CZ7" i="4" a="1"/>
  <c r="AU6" i="4" a="1"/>
  <c r="AE5" i="4" a="1"/>
  <c r="EF12" i="4" a="1"/>
  <c r="CO8" i="4" a="1"/>
  <c r="DE7" i="4" a="1"/>
  <c r="Z14" i="4" a="1"/>
  <c r="CY7" i="4" a="1"/>
  <c r="BE14" i="4" a="1"/>
  <c r="DW8" i="4" a="1"/>
  <c r="CM5" i="4" a="1"/>
  <c r="BK14" i="4" a="1"/>
  <c r="AT7" i="4" a="1"/>
  <c r="DM7" i="4" a="1"/>
  <c r="DW16" i="4" a="1"/>
  <c r="DK8" i="4" a="1"/>
  <c r="CY12" i="4" a="1"/>
  <c r="CH16" i="4" a="1"/>
  <c r="AO13" i="4" a="1"/>
  <c r="Z6" i="4" a="1"/>
  <c r="DH7" i="4" a="1"/>
  <c r="CW6" i="4" a="1"/>
  <c r="AL9" i="4" a="1"/>
  <c r="BO7" i="4" a="1"/>
  <c r="DO7" i="4" a="1"/>
  <c r="EF8" i="4" a="1"/>
  <c r="BF16" i="4" a="1"/>
  <c r="DU14" i="4" a="1"/>
  <c r="CL8" i="4" a="1"/>
  <c r="DB15" i="4" a="1"/>
  <c r="CI9" i="4" a="1"/>
  <c r="AS7" i="4" a="1"/>
  <c r="DR13" i="4" a="1"/>
  <c r="CX16" i="4" a="1"/>
  <c r="BN12" i="4" a="1"/>
  <c r="CP5" i="4" a="1"/>
  <c r="CU12" i="4" a="1"/>
  <c r="EG11" i="4" a="1"/>
  <c r="DD14" i="4" a="1"/>
  <c r="CC9" i="4" a="1"/>
  <c r="K5" i="4" a="1"/>
  <c r="EE7" i="4" a="1"/>
  <c r="CQ16" i="4" a="1"/>
  <c r="DL8" i="4" a="1"/>
  <c r="X12" i="4" a="1"/>
  <c r="Z12" i="4" a="1"/>
  <c r="CW15" i="4" a="1"/>
  <c r="AL11" i="4" a="1"/>
  <c r="BQ5" i="4" a="1"/>
  <c r="L6" i="4" a="1"/>
  <c r="DH13" i="4" a="1"/>
  <c r="AS14" i="4" a="1"/>
  <c r="BZ12" i="4" a="1"/>
  <c r="AP6" i="4" a="1"/>
  <c r="AO16" i="4" a="1"/>
  <c r="S13" i="4" a="1"/>
  <c r="V9" i="2"/>
  <c r="E28" i="3"/>
  <c r="D18" i="3"/>
  <c r="BL13" i="4" a="1"/>
  <c r="CN11" i="4" a="1"/>
  <c r="K15" i="4" a="1"/>
  <c r="CO9" i="4" a="1"/>
  <c r="X5" i="4" a="1"/>
  <c r="O6" i="4" a="1"/>
  <c r="EJ7" i="4" a="1"/>
  <c r="AY6" i="4" a="1"/>
  <c r="CT7" i="4" a="1"/>
  <c r="BA6" i="4" a="1"/>
  <c r="DG14" i="4" a="1"/>
  <c r="U12" i="4" a="1"/>
  <c r="BM16" i="4" a="1"/>
  <c r="O11" i="4" a="1"/>
  <c r="EG7" i="4" a="1"/>
  <c r="BU14" i="4" a="1"/>
  <c r="D12" i="4" a="1"/>
  <c r="DM11" i="4" a="1"/>
  <c r="BP15" i="4" a="1"/>
  <c r="DC13" i="4" a="1"/>
  <c r="CN12" i="4" a="1"/>
  <c r="AQ7" i="4" a="1"/>
  <c r="DB13" i="4" a="1"/>
  <c r="BK9" i="4" a="1"/>
  <c r="BZ7" i="4" a="1"/>
  <c r="BL11" i="4" a="1"/>
  <c r="CW13" i="4" a="1"/>
  <c r="E13" i="4" a="1"/>
  <c r="CU14" i="4" a="1"/>
  <c r="DT5" i="4" a="1"/>
  <c r="S7" i="4" a="1"/>
  <c r="AH6" i="4" a="1"/>
  <c r="DR9" i="4" a="1"/>
  <c r="CB8" i="4" a="1"/>
  <c r="BM12" i="4" a="1"/>
  <c r="EI11" i="4" a="1"/>
  <c r="DC6" i="4" a="1"/>
  <c r="Y13" i="4" a="1"/>
  <c r="AL16" i="4" a="1"/>
  <c r="N16" i="4" a="1"/>
  <c r="N5" i="4" a="1"/>
  <c r="Z11" i="4" a="1"/>
  <c r="AX5" i="4" a="1"/>
  <c r="BN15" i="4" a="1"/>
  <c r="CT16" i="4" a="1"/>
  <c r="CZ13" i="4" a="1"/>
  <c r="DW9" i="4" a="1"/>
  <c r="AH16" i="4" a="1"/>
  <c r="DJ15" i="4" a="1"/>
  <c r="U13" i="4" a="1"/>
  <c r="CN5" i="4" a="1"/>
  <c r="DE8" i="4" a="1"/>
  <c r="AR9" i="4" a="1"/>
  <c r="DO8" i="4" a="1"/>
  <c r="DZ13" i="4" a="1"/>
  <c r="DJ9" i="4" a="1"/>
  <c r="EI15" i="4" a="1"/>
  <c r="DG9" i="4" a="1"/>
  <c r="BE13" i="4" a="1"/>
  <c r="AY8" i="4" a="1"/>
  <c r="BQ13" i="4" a="1"/>
  <c r="BY6" i="4" a="1"/>
  <c r="BI8" i="4" a="1"/>
  <c r="N21" i="2"/>
  <c r="AN45" i="3"/>
  <c r="D7" i="3"/>
  <c r="BC9" i="4" a="1"/>
  <c r="DV7" i="4" a="1"/>
  <c r="CA15" i="4" a="1"/>
  <c r="DI8" i="4" a="1"/>
  <c r="CB9" i="4" a="1"/>
  <c r="ED9" i="4" a="1"/>
  <c r="G12" i="4" a="1"/>
  <c r="F8" i="4" a="1"/>
  <c r="DZ6" i="4" a="1"/>
  <c r="AU7" i="4" a="1"/>
  <c r="EE16" i="4" a="1"/>
  <c r="AT8" i="4" a="1"/>
  <c r="AJ9" i="4" a="1"/>
  <c r="AN13" i="4" a="1"/>
  <c r="AJ13" i="4" a="1"/>
  <c r="AN15" i="4" a="1"/>
  <c r="BC16" i="4" a="1"/>
  <c r="CV14" i="4" a="1"/>
  <c r="BJ7" i="4" a="1"/>
  <c r="CL11" i="4" a="1"/>
  <c r="C13" i="4" a="1"/>
  <c r="E12" i="4" a="1"/>
  <c r="V9" i="4" a="1"/>
  <c r="BE9" i="4" a="1"/>
  <c r="DO11" i="4" a="1"/>
  <c r="D16" i="4" a="1"/>
  <c r="CD14" i="4" a="1"/>
  <c r="DB6" i="4" a="1"/>
  <c r="AD6" i="4" a="1"/>
  <c r="CV15" i="4" a="1"/>
  <c r="W9" i="4" a="1"/>
  <c r="U7" i="4" a="1"/>
  <c r="DS9" i="4" a="1"/>
  <c r="EF16" i="4" a="1"/>
  <c r="CB16" i="4" a="1"/>
  <c r="DS15" i="4" a="1"/>
  <c r="E7" i="4" a="1"/>
  <c r="AN16" i="4" a="1"/>
  <c r="BU16" i="4" a="1"/>
  <c r="BF15" i="4" a="1"/>
  <c r="AM15" i="4" a="1"/>
  <c r="EG9" i="4" a="1"/>
  <c r="T11" i="4" a="1"/>
  <c r="EA7" i="4" a="1"/>
  <c r="DC16" i="4" a="1"/>
  <c r="EG15" i="4" a="1"/>
  <c r="CS9" i="4" a="1"/>
  <c r="AV16" i="4" a="1"/>
  <c r="CS7" i="4" a="1"/>
  <c r="AA6" i="4" a="1"/>
  <c r="BM9" i="4" a="1"/>
  <c r="CD16" i="4" a="1"/>
  <c r="CM11" i="4" a="1"/>
  <c r="T13" i="4" a="1"/>
  <c r="ED15" i="4" a="1"/>
  <c r="CR15" i="4" a="1"/>
  <c r="AU14" i="4" a="1"/>
  <c r="BQ12" i="4" a="1"/>
  <c r="EI13" i="4" a="1"/>
  <c r="BT11" i="4" a="1"/>
  <c r="AP12" i="4" a="1"/>
  <c r="CQ9" i="4" a="1"/>
  <c r="DL9" i="4" a="1"/>
  <c r="C7" i="4" a="1"/>
  <c r="DR11" i="4" a="1"/>
  <c r="DJ6" i="4" a="1"/>
  <c r="F15" i="4" a="1"/>
  <c r="DB12" i="4" a="1"/>
  <c r="AX9" i="4" a="1"/>
  <c r="DJ7" i="4" a="1"/>
  <c r="BF5" i="4" a="1"/>
  <c r="EG8" i="4" a="1"/>
  <c r="EE9" i="4" a="1"/>
  <c r="DV11" i="4" a="1"/>
  <c r="BX15" i="4" a="1"/>
  <c r="CE16" i="4" a="1"/>
  <c r="CU11" i="4" a="1"/>
  <c r="DU12" i="4" a="1"/>
  <c r="BY12" i="4" a="1"/>
  <c r="H32" i="2"/>
  <c r="AR42" i="3"/>
  <c r="AR23" i="3"/>
  <c r="AI9" i="4" a="1"/>
  <c r="AB13" i="4" a="1"/>
  <c r="DM15" i="4" a="1"/>
  <c r="DC7" i="4" a="1"/>
  <c r="BO12" i="4" a="1"/>
  <c r="AB9" i="4" a="1"/>
  <c r="BY15" i="4" a="1"/>
  <c r="DA8" i="4" a="1"/>
  <c r="DP15" i="4" a="1"/>
  <c r="DC15" i="4" a="1"/>
  <c r="CJ13" i="4" a="1"/>
  <c r="CT15" i="4" a="1"/>
  <c r="BJ6" i="4" a="1"/>
  <c r="AZ12" i="4" a="1"/>
  <c r="AL13" i="4" a="1"/>
  <c r="DN15" i="4" a="1"/>
  <c r="BJ8" i="4" a="1"/>
  <c r="BG15" i="4" a="1"/>
  <c r="U6" i="4" a="1"/>
  <c r="CP15" i="4" a="1"/>
  <c r="AX14" i="4" a="1"/>
  <c r="AC9" i="4" a="1"/>
  <c r="W15" i="4" a="1"/>
  <c r="BX13" i="4" a="1"/>
  <c r="CP7" i="4" a="1"/>
  <c r="AA8" i="4" a="1"/>
  <c r="DF9" i="4" a="1"/>
  <c r="K8" i="4" a="1"/>
  <c r="EK14" i="4" a="1"/>
  <c r="W7" i="4" a="1"/>
  <c r="EC13" i="4" a="1"/>
  <c r="CH5" i="4" a="1"/>
  <c r="BV6" i="4" a="1"/>
  <c r="CK8" i="4" a="1"/>
  <c r="AM8" i="4" a="1"/>
  <c r="CL13" i="4" a="1"/>
  <c r="BH13" i="4" a="1"/>
  <c r="EB13" i="4" a="1"/>
  <c r="AE8" i="4" a="1"/>
  <c r="DD16" i="4" a="1"/>
  <c r="DW12" i="4" a="1"/>
  <c r="DH6" i="4" a="1"/>
  <c r="L16" i="4" a="1"/>
  <c r="CL6" i="4" a="1"/>
  <c r="CY9" i="4" a="1"/>
  <c r="BD14" i="4" a="1"/>
  <c r="CV11" i="4" a="1"/>
  <c r="L14" i="4" a="1"/>
  <c r="AB7" i="4" a="1"/>
  <c r="CC12" i="4" a="1"/>
  <c r="DY9" i="4" a="1"/>
  <c r="P15" i="4" a="1"/>
  <c r="CX13" i="4" a="1"/>
  <c r="S6" i="4" a="1"/>
  <c r="DE9" i="4" a="1"/>
  <c r="DJ5" i="4" a="1"/>
  <c r="H8" i="4" a="1"/>
  <c r="H7" i="4" a="1"/>
  <c r="CZ14" i="4" a="1"/>
  <c r="CJ15" i="4" a="1"/>
  <c r="BP13" i="4" a="1"/>
  <c r="BH11" i="4" a="1"/>
  <c r="CJ8" i="4" a="1"/>
  <c r="R8" i="4" a="1"/>
  <c r="DT13" i="4" a="1"/>
  <c r="P5" i="4" a="1"/>
  <c r="Y14" i="4" a="1"/>
  <c r="BU9" i="4" a="1"/>
  <c r="CJ16" i="4" a="1"/>
  <c r="BC6" i="4" a="1"/>
  <c r="U28" i="2"/>
  <c r="F6" i="3"/>
  <c r="D35" i="3"/>
  <c r="DH14" i="4" a="1"/>
  <c r="C9" i="4" a="1"/>
  <c r="BE12" i="4" a="1"/>
  <c r="P14" i="4" a="1"/>
  <c r="DQ9" i="4" a="1"/>
  <c r="AF8" i="4" a="1"/>
  <c r="CS15" i="4" a="1"/>
  <c r="BB16" i="4" a="1"/>
  <c r="L5" i="4" a="1"/>
  <c r="CC13" i="4" a="1"/>
  <c r="EI9" i="4" a="1"/>
  <c r="AT6" i="4" a="1"/>
  <c r="J15" i="4" a="1"/>
  <c r="CG15" i="4" a="1"/>
  <c r="DN5" i="4" a="1"/>
  <c r="M34" i="2"/>
  <c r="AL46" i="3"/>
  <c r="AR35" i="3"/>
  <c r="AI14" i="4" a="1"/>
  <c r="CN16" i="4" a="1"/>
  <c r="M7" i="4" a="1"/>
  <c r="CZ15" i="4" a="1"/>
  <c r="W13" i="4" a="1"/>
  <c r="CM13" i="4" a="1"/>
  <c r="CF12" i="4" a="1"/>
  <c r="DR12" i="4" a="1"/>
  <c r="BX5" i="4" a="1"/>
  <c r="AY11" i="4" a="1"/>
  <c r="CH6" i="4" a="1"/>
  <c r="CL12" i="4" a="1"/>
  <c r="BT16" i="4" a="1"/>
  <c r="AA13" i="4" a="1"/>
  <c r="EB6" i="4" a="1"/>
  <c r="AN9" i="4" a="1"/>
  <c r="CP9" i="4" a="1"/>
  <c r="AV11" i="4" a="1"/>
  <c r="CQ15" i="4" a="1"/>
  <c r="BT5" i="4" a="1"/>
  <c r="CT13" i="4" a="1"/>
  <c r="AT5" i="4" a="1"/>
  <c r="BM6" i="4" a="1"/>
  <c r="DN14" i="4" a="1"/>
  <c r="CN13" i="4" a="1"/>
  <c r="CC6" i="4" a="1"/>
  <c r="I9" i="4" a="1"/>
  <c r="DX14" i="4" a="1"/>
  <c r="EF11" i="4" a="1"/>
  <c r="AW13" i="4" a="1"/>
  <c r="CR12" i="4" a="1"/>
  <c r="EA11" i="4" a="1"/>
  <c r="CD13" i="4" a="1"/>
  <c r="CX8" i="4" a="1"/>
  <c r="AI6" i="4" a="1"/>
  <c r="EK9" i="4" a="1"/>
  <c r="DO13" i="4" a="1"/>
  <c r="EC16" i="4" a="1"/>
  <c r="DQ12" i="4" a="1"/>
  <c r="M15" i="4" a="1"/>
  <c r="CX9" i="4" a="1"/>
  <c r="AQ14" i="4" a="1"/>
  <c r="BL15" i="4" a="1"/>
  <c r="DW11" i="4" a="1"/>
  <c r="DH16" i="4" a="1"/>
  <c r="DZ15" i="4" a="1"/>
  <c r="O15" i="4" a="1"/>
  <c r="Y15" i="4" a="1"/>
  <c r="AN6" i="4" a="1"/>
  <c r="CA14" i="4" a="1"/>
  <c r="CX11" i="4" a="1"/>
  <c r="J6" i="4" a="1"/>
  <c r="CB11" i="4" a="1"/>
  <c r="CP11" i="4" a="1"/>
  <c r="AD14" i="4" a="1"/>
  <c r="BS9" i="4" a="1"/>
  <c r="BO11" i="4" a="1"/>
  <c r="DN11" i="4" a="1"/>
  <c r="BK16" i="4" a="1"/>
  <c r="BU5" i="4" a="1"/>
  <c r="AW6" i="4" a="1"/>
  <c r="Q16" i="4" a="1"/>
  <c r="DV13" i="4" a="1"/>
  <c r="DK11" i="4" a="1"/>
  <c r="DA15" i="4" a="1"/>
  <c r="DK12" i="4" a="1"/>
  <c r="CZ6" i="4" a="1"/>
  <c r="AO15" i="4" a="1"/>
  <c r="BD7" i="4" a="1"/>
  <c r="AJ15" i="4" a="1"/>
  <c r="EB9" i="4" a="1"/>
  <c r="DA5" i="4" a="1"/>
  <c r="DT15" i="4" a="1"/>
  <c r="BF8" i="4" a="1"/>
  <c r="O13" i="4" a="1"/>
  <c r="AR94" i="3"/>
  <c r="G23" i="3"/>
  <c r="N9" i="4" a="1"/>
  <c r="D14" i="4" a="1"/>
  <c r="BB13" i="4" a="1"/>
  <c r="AD11" i="4" a="1"/>
  <c r="CV12" i="4" a="1"/>
  <c r="DL13" i="4" a="1"/>
  <c r="AH5" i="4" a="1"/>
  <c r="AZ8" i="4" a="1"/>
  <c r="CR9" i="4" a="1"/>
  <c r="T12" i="4" a="1"/>
  <c r="DW15" i="4" a="1"/>
  <c r="DP7" i="4" a="1"/>
  <c r="EH13" i="4" a="1"/>
  <c r="DJ16" i="4" a="1"/>
  <c r="BW12" i="4" a="1"/>
  <c r="CB14" i="4" a="1"/>
  <c r="F9" i="4" a="1"/>
  <c r="BD12" i="4" a="1"/>
  <c r="BW6" i="4" a="1"/>
  <c r="Q9" i="4" a="1"/>
  <c r="EH12" i="4" a="1"/>
  <c r="AQ6" i="4" a="1"/>
  <c r="AL12" i="4" a="1"/>
  <c r="BO13" i="4" a="1"/>
  <c r="DB7" i="4" a="1"/>
  <c r="BN9" i="4" a="1"/>
  <c r="CV13" i="4" a="1"/>
  <c r="CI11" i="4" a="1"/>
  <c r="DX15" i="4" a="1"/>
  <c r="AG13" i="4" a="1"/>
  <c r="CN6" i="4" a="1"/>
  <c r="F5" i="4" a="1"/>
  <c r="DJ13" i="4" a="1"/>
  <c r="BA13" i="4" a="1"/>
  <c r="EK6" i="4" a="1"/>
  <c r="K11" i="4" a="1"/>
  <c r="CA13" i="4" a="1"/>
  <c r="AR26" i="3"/>
  <c r="DQ13" i="4" a="1"/>
  <c r="BU13" i="4" a="1"/>
  <c r="CW9" i="4" a="1"/>
  <c r="BP12" i="4" a="1"/>
  <c r="BC13" i="4" a="1"/>
  <c r="DP6" i="4" a="1"/>
  <c r="X14" i="4" a="1"/>
  <c r="AK16" i="4" a="1"/>
  <c r="CA5" i="4" a="1"/>
  <c r="V13" i="4" a="1"/>
  <c r="CW16" i="4" a="1"/>
  <c r="AR6" i="4" a="1"/>
  <c r="DI11" i="4" a="1"/>
  <c r="Q6" i="4" a="1"/>
  <c r="BC11" i="4" a="1"/>
  <c r="R7" i="2"/>
  <c r="E24" i="3"/>
  <c r="F35" i="3"/>
  <c r="BE15" i="4" a="1"/>
  <c r="DQ16" i="4" a="1"/>
  <c r="J5" i="4" a="1"/>
  <c r="AQ15" i="4" a="1"/>
  <c r="AX6" i="4" a="1"/>
  <c r="DB16" i="4" a="1"/>
  <c r="DQ14" i="4" a="1"/>
  <c r="BK15" i="4" a="1"/>
  <c r="AI5" i="4" a="1"/>
  <c r="BM14" i="4" a="1"/>
  <c r="DY14" i="4" a="1"/>
  <c r="BE5" i="4" a="1"/>
  <c r="DI7" i="4" a="1"/>
  <c r="I7" i="4" a="1"/>
  <c r="AS15" i="4" a="1"/>
  <c r="CM15" i="4" a="1"/>
  <c r="AO7" i="4" a="1"/>
  <c r="AG16" i="4" a="1"/>
  <c r="T9" i="4" a="1"/>
  <c r="DX11" i="4" a="1"/>
  <c r="BS11" i="4" a="1"/>
  <c r="CD12" i="4" a="1"/>
  <c r="ED5" i="4" a="1"/>
  <c r="V11" i="4" a="1"/>
  <c r="DW7" i="4" a="1"/>
  <c r="BR15" i="4" a="1"/>
  <c r="EA14" i="4" a="1"/>
  <c r="DR8" i="4" a="1"/>
  <c r="DS16" i="4" a="1"/>
  <c r="M12" i="4" a="1"/>
  <c r="CS13" i="4" a="1"/>
  <c r="AW15" i="4" a="1"/>
  <c r="AW9" i="4" a="1"/>
  <c r="CG9" i="4" a="1"/>
  <c r="DN7" i="4" a="1"/>
  <c r="DJ11" i="4" a="1"/>
  <c r="G13" i="4" a="1"/>
  <c r="AV6" i="4" a="1"/>
  <c r="CG11" i="4" a="1"/>
  <c r="S14" i="4" a="1"/>
  <c r="CL7" i="4" a="1"/>
  <c r="AA15" i="4" a="1"/>
  <c r="DB9" i="4" a="1"/>
  <c r="O5" i="4" a="1"/>
  <c r="CV16" i="4" a="1"/>
  <c r="AG5" i="4" a="1"/>
  <c r="AT11" i="4" a="1"/>
  <c r="CC15" i="4" a="1"/>
  <c r="DV9" i="4" a="1"/>
  <c r="AO6" i="4" a="1"/>
  <c r="I6" i="4" a="1"/>
  <c r="BK7" i="4" a="1"/>
  <c r="C12" i="4" a="1"/>
  <c r="EJ8" i="4" a="1"/>
  <c r="DP13" i="4" a="1"/>
  <c r="DX12" i="4" a="1"/>
  <c r="AI15" i="4" a="1"/>
  <c r="U8" i="4" a="1"/>
  <c r="AZ13" i="4" a="1"/>
  <c r="BB5" i="4" a="1"/>
  <c r="BZ6" i="4" a="1"/>
  <c r="H5" i="4" a="1"/>
  <c r="DZ7" i="4" a="1"/>
  <c r="O9" i="4" a="1"/>
  <c r="DU6" i="4" a="1"/>
  <c r="EE8" i="4" a="1"/>
  <c r="DD5" i="4" a="1"/>
  <c r="CE8" i="4" a="1"/>
  <c r="CJ6" i="4" a="1"/>
  <c r="CH12" i="4" a="1"/>
  <c r="H16" i="4" a="1"/>
  <c r="CP6" i="4" a="1"/>
  <c r="CH11" i="4" a="1"/>
  <c r="DU13" i="4" a="1"/>
  <c r="BB7" i="4" a="1"/>
  <c r="BM11" i="4" a="1"/>
  <c r="L8" i="4" a="1"/>
  <c r="CU15" i="4" a="1"/>
  <c r="AQ11" i="4" a="1"/>
  <c r="CK12" i="4" a="1"/>
  <c r="CF11" i="4" a="1"/>
  <c r="DT14" i="4" a="1"/>
  <c r="BT12" i="4" a="1"/>
  <c r="Q15" i="4" a="1"/>
  <c r="CG13" i="4" a="1"/>
  <c r="W16" i="4" a="1"/>
  <c r="DG6" i="4" a="1"/>
  <c r="N20" i="2"/>
  <c r="N46" i="3"/>
  <c r="R16" i="4" a="1"/>
  <c r="DE11" i="4" a="1"/>
  <c r="DH12" i="4" a="1"/>
  <c r="CN8" i="4" a="1"/>
  <c r="CU6" i="4" a="1"/>
  <c r="BI16" i="4" a="1"/>
  <c r="DQ11" i="4" a="1"/>
  <c r="CL9" i="4" a="1"/>
  <c r="BB6" i="4" a="1"/>
  <c r="DF16" i="4" a="1"/>
  <c r="BH7" i="4" a="1"/>
  <c r="BQ11" i="4" a="1"/>
  <c r="AX15" i="4" a="1"/>
  <c r="E6" i="4" a="1"/>
  <c r="CO15" i="4" a="1"/>
  <c r="ED7" i="4" a="1"/>
  <c r="N15" i="4" a="1"/>
  <c r="DK15" i="4" a="1"/>
  <c r="BE16" i="4" a="1"/>
  <c r="AT12" i="4" a="1"/>
  <c r="EJ9" i="4" a="1"/>
  <c r="CR14" i="4" a="1"/>
  <c r="S15" i="4" a="1"/>
  <c r="Z5" i="4" a="1"/>
  <c r="DK14" i="4" a="1"/>
  <c r="EA9" i="4" a="1"/>
  <c r="AE11" i="4" a="1"/>
  <c r="DR7" i="4" a="1"/>
  <c r="CJ14" i="4" a="1"/>
  <c r="BT6" i="4" a="1"/>
  <c r="U15" i="4" a="1"/>
  <c r="BD9" i="4" a="1"/>
  <c r="AX12" i="4" a="1"/>
  <c r="BA11" i="4" a="1"/>
  <c r="CU7" i="4" a="1"/>
  <c r="BW14" i="4" a="1"/>
  <c r="AP8" i="4" a="1"/>
  <c r="Q11" i="4" a="1"/>
  <c r="CO12" i="4" a="1"/>
  <c r="EK5" i="4" a="1"/>
  <c r="DQ8" i="4" a="1"/>
  <c r="CA12" i="4" a="1"/>
  <c r="BJ16" i="4" a="1"/>
  <c r="BX12" i="4" a="1"/>
  <c r="EE15" i="4" a="1"/>
  <c r="N6" i="4" a="1"/>
  <c r="AW8" i="4" a="1"/>
  <c r="AD13" i="4" a="1"/>
  <c r="CB6" i="4" a="1"/>
  <c r="DS7" i="4" a="1"/>
  <c r="DI12" i="4" a="1"/>
  <c r="EC6" i="4" a="1"/>
  <c r="BU15" i="4" a="1"/>
  <c r="CO11" i="4" a="1"/>
  <c r="C13" i="2"/>
  <c r="E12" i="3"/>
  <c r="BF7" i="4" a="1"/>
  <c r="AC14" i="4" a="1"/>
  <c r="DD9" i="4" a="1"/>
  <c r="DN12" i="4" a="1"/>
  <c r="Y6" i="4" a="1"/>
  <c r="EG6" i="4" a="1"/>
  <c r="AB5" i="4" a="1"/>
  <c r="H14" i="4" a="1"/>
  <c r="DK9" i="4" a="1"/>
  <c r="EC5" i="4" a="1"/>
  <c r="CE14" i="4" a="1"/>
  <c r="BR8" i="4" a="1"/>
  <c r="BR16" i="4" a="1"/>
  <c r="BD8" i="4" a="1"/>
  <c r="BW9" i="4" a="1"/>
  <c r="DN13" i="4" a="1"/>
  <c r="DD15" i="4" a="1"/>
  <c r="BA16" i="4" a="1"/>
  <c r="BD15" i="4" a="1"/>
  <c r="DQ5" i="4" a="1"/>
  <c r="Y12" i="4" a="1"/>
  <c r="CR16" i="4" a="1"/>
  <c r="ED11" i="4" a="1"/>
  <c r="AB14" i="4" a="1"/>
  <c r="CI5" i="4" a="1"/>
  <c r="M11" i="4" a="1"/>
  <c r="R7" i="4" a="1"/>
  <c r="BJ13" i="4" a="1"/>
  <c r="R12" i="4" a="1"/>
  <c r="DU15" i="4" a="1"/>
  <c r="EI7" i="4" a="1"/>
  <c r="BI11" i="4" a="1"/>
  <c r="DY13" i="4" a="1"/>
  <c r="E45" i="2"/>
  <c r="AR78" i="3"/>
  <c r="E7" i="3"/>
  <c r="CY6" i="4" a="1"/>
  <c r="AD8" i="4" a="1"/>
  <c r="EK15" i="4" a="1"/>
  <c r="AE16" i="4" a="1"/>
  <c r="Y8" i="4" a="1"/>
  <c r="BF12" i="4" a="1"/>
  <c r="EI6" i="4" a="1"/>
  <c r="DS6" i="4" a="1"/>
  <c r="CS12" i="4" a="1"/>
  <c r="EJ12" i="4" a="1"/>
  <c r="V16" i="4" a="1"/>
  <c r="V6" i="4" a="1"/>
  <c r="BY14" i="4" a="1"/>
  <c r="DT16" i="4" a="1"/>
  <c r="BP16" i="4" a="1"/>
  <c r="AO9" i="4" a="1"/>
  <c r="EB5" i="4" a="1"/>
  <c r="DG7" i="4" a="1"/>
  <c r="L7" i="4" a="1"/>
  <c r="EI5" i="4" a="1"/>
  <c r="CF13" i="4" a="1"/>
  <c r="T15" i="4" a="1"/>
  <c r="EC12" i="4" a="1"/>
  <c r="E8" i="4" a="1"/>
  <c r="CT9" i="4" a="1"/>
  <c r="BB9" i="4" a="1"/>
  <c r="DJ8" i="4" a="1"/>
  <c r="CG5" i="4" a="1"/>
  <c r="DK6" i="4" a="1"/>
  <c r="AP5" i="4" a="1"/>
  <c r="DQ6" i="4" a="1"/>
  <c r="CX5" i="4" a="1"/>
  <c r="BY16" i="4" a="1"/>
  <c r="DI15" i="4" a="1"/>
  <c r="CL5" i="4" a="1"/>
  <c r="E15" i="4" a="1"/>
  <c r="AF12" i="4" a="1"/>
  <c r="DR15" i="4" a="1"/>
  <c r="BG13" i="4" a="1"/>
  <c r="BX7" i="4" a="1"/>
  <c r="BR9" i="4" a="1"/>
  <c r="AM13" i="4" a="1"/>
  <c r="AR14" i="4" a="1"/>
  <c r="AY15" i="4" a="1"/>
  <c r="CY5" i="4" a="1"/>
  <c r="DY12" i="4" a="1"/>
  <c r="ED13" i="4" a="1"/>
  <c r="BL5" i="4" a="1"/>
  <c r="BP6" i="4" a="1"/>
  <c r="EJ15" i="4" a="1"/>
  <c r="DB5" i="4" a="1"/>
  <c r="BI12" i="4" a="1"/>
  <c r="AC8" i="4" a="1"/>
  <c r="BX11" i="4" a="1"/>
  <c r="EJ11" i="4" a="1"/>
  <c r="AA5" i="4" a="1"/>
  <c r="DA16" i="4" a="1"/>
  <c r="AG6" i="4" a="1"/>
  <c r="EH14" i="4" a="1"/>
  <c r="DY15" i="4" a="1"/>
  <c r="BM7" i="4" a="1"/>
  <c r="DA6" i="4" a="1"/>
  <c r="DF8" i="4" a="1"/>
  <c r="DT8" i="4" a="1"/>
  <c r="DH9" i="4" a="1"/>
  <c r="BN5" i="4" a="1"/>
  <c r="CF5" i="4" a="1"/>
  <c r="BD13" i="4" a="1"/>
  <c r="BS8" i="4" a="1"/>
  <c r="EB7" i="4" a="1"/>
  <c r="AJ11" i="4" a="1"/>
  <c r="BG9" i="4" a="1"/>
  <c r="DE5" i="4" a="1"/>
  <c r="DN16" i="4" a="1"/>
  <c r="DI6" i="4" a="1"/>
  <c r="ED12" i="4" a="1"/>
  <c r="DS11" i="4" a="1"/>
  <c r="BV12" i="4" a="1"/>
  <c r="AT9" i="4" a="1"/>
  <c r="DE6" i="4" a="1"/>
  <c r="E11" i="4" a="1"/>
  <c r="N8" i="4" a="1"/>
  <c r="CI16" i="4" a="1"/>
  <c r="BA15" i="4" a="1"/>
  <c r="K12" i="4" a="1"/>
  <c r="AF13" i="4" a="1"/>
  <c r="DO15" i="4" a="1"/>
  <c r="H12" i="4" a="1"/>
  <c r="Z9" i="4" a="1"/>
  <c r="DL7" i="4" a="1"/>
  <c r="CA16" i="4" a="1"/>
  <c r="EI8" i="4" a="1"/>
  <c r="AC13" i="4" a="1"/>
  <c r="H11" i="4" a="1"/>
  <c r="BG14" i="4" a="1"/>
  <c r="CK16" i="4" a="1"/>
  <c r="DJ12" i="4" a="1"/>
  <c r="EG13" i="4" a="1"/>
  <c r="BN14" i="4" a="1"/>
  <c r="DV14" i="4" a="1"/>
  <c r="CR7" i="4" a="1"/>
  <c r="CW12" i="4" a="1"/>
  <c r="EA12" i="4" a="1"/>
  <c r="G15" i="4" a="1"/>
  <c r="CV8" i="4" a="1"/>
  <c r="AL14" i="4" a="1"/>
  <c r="DH11" i="4" a="1"/>
  <c r="BL6" i="4" a="1"/>
  <c r="CB12" i="4" a="1"/>
  <c r="J13" i="4" a="1"/>
  <c r="AY14" i="4" a="1"/>
  <c r="AA14" i="4" a="1"/>
  <c r="AX7" i="4" a="1"/>
  <c r="H9" i="4" a="1"/>
  <c r="DB11" i="4" a="1"/>
  <c r="G56" i="3"/>
  <c r="F59" i="3"/>
  <c r="F55" i="3"/>
  <c r="F60" i="3"/>
  <c r="G69" i="3"/>
  <c r="F95" i="3"/>
  <c r="G96" i="3"/>
  <c r="G79" i="3"/>
  <c r="F81" i="3"/>
  <c r="G91" i="3"/>
  <c r="G70" i="3"/>
  <c r="F63" i="3"/>
  <c r="G64" i="3"/>
  <c r="F80" i="3"/>
  <c r="G57" i="3"/>
  <c r="F54" i="3"/>
  <c r="G97" i="3"/>
  <c r="F73" i="3"/>
  <c r="G93" i="3"/>
  <c r="F87" i="3"/>
  <c r="G85" i="3"/>
  <c r="F96" i="3"/>
  <c r="F48" i="3"/>
  <c r="G84" i="3"/>
  <c r="F50" i="3"/>
  <c r="F93" i="3"/>
  <c r="G65" i="3"/>
  <c r="F56" i="3"/>
  <c r="F62" i="3"/>
  <c r="F86" i="3"/>
  <c r="F66" i="3"/>
  <c r="G72" i="3"/>
  <c r="F64" i="3"/>
  <c r="G68" i="3"/>
  <c r="G83" i="3"/>
  <c r="G90" i="3"/>
  <c r="G95" i="3"/>
  <c r="G55" i="3"/>
  <c r="G76" i="3"/>
  <c r="F57" i="3"/>
  <c r="G75" i="3"/>
  <c r="F68" i="3"/>
  <c r="G63" i="3"/>
  <c r="G89" i="3"/>
  <c r="G88" i="3"/>
  <c r="G86" i="3"/>
  <c r="G54" i="3"/>
  <c r="F58" i="3"/>
  <c r="F94" i="3"/>
  <c r="G80" i="3"/>
  <c r="F78" i="3"/>
  <c r="G73" i="3"/>
  <c r="F65" i="3"/>
  <c r="G94" i="3"/>
  <c r="F91" i="3"/>
  <c r="G61" i="3"/>
  <c r="F69" i="3"/>
  <c r="G71" i="3"/>
  <c r="F84" i="3"/>
  <c r="G81" i="3"/>
  <c r="F47" i="3"/>
  <c r="G59" i="3"/>
  <c r="F92" i="3"/>
  <c r="F83" i="3"/>
  <c r="G74" i="3"/>
  <c r="F85" i="3"/>
  <c r="G58" i="3"/>
  <c r="F71" i="3"/>
  <c r="G87" i="3"/>
  <c r="F70" i="3"/>
  <c r="G62" i="3"/>
  <c r="F49" i="3"/>
  <c r="G77" i="3"/>
  <c r="F61" i="3"/>
  <c r="G67" i="3"/>
  <c r="F76" i="3"/>
  <c r="F82" i="3"/>
  <c r="F97" i="3"/>
  <c r="F77" i="3"/>
  <c r="F75" i="3"/>
  <c r="G92" i="3"/>
  <c r="F79" i="3"/>
  <c r="F90" i="3"/>
  <c r="F89" i="3"/>
  <c r="G82" i="3"/>
  <c r="F74" i="3"/>
  <c r="G66" i="3"/>
  <c r="F67" i="3"/>
  <c r="F88" i="3"/>
  <c r="F72" i="3"/>
  <c r="G60" i="3"/>
  <c r="G78" i="3"/>
  <c r="D77" i="3" l="1"/>
  <c r="D82" i="3"/>
  <c r="D64" i="3"/>
  <c r="D59" i="3"/>
  <c r="D57" i="3"/>
  <c r="D74" i="3"/>
  <c r="D71" i="3"/>
  <c r="D65" i="3"/>
  <c r="D94" i="3"/>
  <c r="D56" i="3"/>
  <c r="D81" i="3"/>
  <c r="D92" i="3"/>
  <c r="D54" i="3"/>
  <c r="D70" i="3"/>
  <c r="D60" i="3"/>
  <c r="D90" i="3"/>
  <c r="D85" i="3"/>
  <c r="D67" i="3"/>
  <c r="D66" i="3"/>
  <c r="D96" i="3"/>
  <c r="D55" i="3"/>
  <c r="D88" i="3"/>
  <c r="D95" i="3"/>
  <c r="D91" i="3"/>
  <c r="D79" i="3"/>
  <c r="D62" i="3"/>
  <c r="D75" i="3"/>
  <c r="D89" i="3"/>
  <c r="D78" i="3"/>
  <c r="D87" i="3"/>
  <c r="D97" i="3"/>
  <c r="D72" i="3"/>
  <c r="D93" i="3"/>
  <c r="D83" i="3"/>
  <c r="D73" i="3"/>
  <c r="D76" i="3"/>
  <c r="D68" i="3"/>
  <c r="D63" i="3"/>
  <c r="D61" i="3"/>
  <c r="D69" i="3"/>
  <c r="D84" i="3"/>
  <c r="D86" i="3"/>
  <c r="D58" i="3"/>
  <c r="D80" i="3"/>
  <c r="E87" i="3"/>
  <c r="E84" i="3"/>
  <c r="E89" i="3"/>
  <c r="E85" i="3"/>
  <c r="E71" i="3"/>
  <c r="E83" i="3"/>
  <c r="E60" i="3"/>
  <c r="E93" i="3"/>
  <c r="E80" i="3"/>
  <c r="E81" i="3"/>
  <c r="E70" i="3"/>
  <c r="E94" i="3"/>
  <c r="E73" i="3"/>
  <c r="E55" i="3"/>
  <c r="E64" i="3"/>
  <c r="E96" i="3"/>
  <c r="E75" i="3"/>
  <c r="E69" i="3"/>
  <c r="E57" i="3"/>
  <c r="E82" i="3"/>
  <c r="E77" i="3"/>
  <c r="E74" i="3"/>
  <c r="E59" i="3"/>
  <c r="E65" i="3"/>
  <c r="E88" i="3"/>
  <c r="E61" i="3"/>
  <c r="E97" i="3"/>
  <c r="E66" i="3"/>
  <c r="E86" i="3"/>
  <c r="E63" i="3"/>
  <c r="E92" i="3"/>
  <c r="E76" i="3"/>
  <c r="E68" i="3"/>
  <c r="E54" i="3"/>
  <c r="E90" i="3"/>
  <c r="E56" i="3"/>
  <c r="E58" i="3"/>
  <c r="E95" i="3"/>
  <c r="E91" i="3"/>
  <c r="E78" i="3"/>
  <c r="E67" i="3"/>
  <c r="E72" i="3"/>
  <c r="E79" i="3"/>
  <c r="E62" i="3"/>
  <c r="AD65" i="3"/>
  <c r="BJ150" i="1" s="1"/>
  <c r="BK150" i="1" s="1"/>
  <c r="AD95" i="3"/>
  <c r="BJ164" i="1" s="1"/>
  <c r="AD86" i="3"/>
  <c r="AD82" i="3"/>
  <c r="BJ145" i="1" s="1"/>
  <c r="AD89" i="3"/>
  <c r="BJ153" i="1" s="1"/>
  <c r="AD68" i="3"/>
  <c r="BJ131" i="1" s="1"/>
  <c r="AD59" i="3"/>
  <c r="AD92" i="3"/>
  <c r="BJ155" i="1" s="1"/>
  <c r="BK155" i="1" s="1"/>
  <c r="AD78" i="3"/>
  <c r="BJ142" i="1" s="1"/>
  <c r="BK142" i="1" s="1"/>
  <c r="AD81" i="3"/>
  <c r="BJ144" i="1" s="1"/>
  <c r="AD54" i="3"/>
  <c r="AD58" i="3"/>
  <c r="BJ119" i="1" s="1"/>
  <c r="AD70" i="3"/>
  <c r="BJ133" i="1" s="1"/>
  <c r="AD96" i="3"/>
  <c r="BJ163" i="1" s="1"/>
  <c r="BK163" i="1" s="1"/>
  <c r="AD71" i="3"/>
  <c r="AD69" i="3"/>
  <c r="BJ132" i="1" s="1"/>
  <c r="AD80" i="3"/>
  <c r="BJ159" i="1" s="1"/>
  <c r="AD63" i="3"/>
  <c r="BJ125" i="1" s="1"/>
  <c r="BK125" i="1" s="1"/>
  <c r="AD55" i="3"/>
  <c r="AD88" i="3"/>
  <c r="BJ127" i="1" s="1"/>
  <c r="BK127" i="1" s="1"/>
  <c r="AD97" i="3"/>
  <c r="AD62" i="3"/>
  <c r="BJ124" i="1" s="1"/>
  <c r="BK124" i="1" s="1"/>
  <c r="AD64" i="3"/>
  <c r="BJ149" i="1" s="1"/>
  <c r="AD94" i="3"/>
  <c r="AD87" i="3"/>
  <c r="BJ152" i="1" s="1"/>
  <c r="BK152" i="1" s="1"/>
  <c r="AD67" i="3"/>
  <c r="AD79" i="3"/>
  <c r="BJ143" i="1" s="1"/>
  <c r="AD85" i="3"/>
  <c r="BJ147" i="1" s="1"/>
  <c r="BK147" i="1" s="1"/>
  <c r="AD66" i="3"/>
  <c r="BJ151" i="1" s="1"/>
  <c r="BK151" i="1" s="1"/>
  <c r="AD91" i="3"/>
  <c r="BJ154" i="1" s="1"/>
  <c r="BK154" i="1" s="1"/>
  <c r="AD90" i="3"/>
  <c r="BJ126" i="1" s="1"/>
  <c r="BK126" i="1" s="1"/>
  <c r="AD76" i="3"/>
  <c r="AD57" i="3"/>
  <c r="BJ118" i="1" s="1"/>
  <c r="BK118" i="1" s="1"/>
  <c r="AD72" i="3"/>
  <c r="BJ135" i="1" s="1"/>
  <c r="BK135" i="1" s="1"/>
  <c r="AD61" i="3"/>
  <c r="AD60" i="3"/>
  <c r="BJ122" i="1" s="1"/>
  <c r="BK122" i="1" s="1"/>
  <c r="AD75" i="3"/>
  <c r="AD73" i="3"/>
  <c r="AD77" i="3"/>
  <c r="BJ140" i="1" s="1"/>
  <c r="BK140" i="1" s="1"/>
  <c r="BL202" i="1" s="1"/>
  <c r="AD84" i="3"/>
  <c r="BJ146" i="1" s="1"/>
  <c r="BK146" i="1" s="1"/>
  <c r="AD83" i="3"/>
  <c r="BJ160" i="1" s="1"/>
  <c r="AD56" i="3"/>
  <c r="BJ117" i="1" s="1"/>
  <c r="AD74" i="3"/>
  <c r="BJ137" i="1" s="1"/>
  <c r="BK137" i="1" s="1"/>
  <c r="AD93" i="3"/>
  <c r="IQ16" i="4" s="1"/>
  <c r="IW16" i="4" s="1"/>
  <c r="IF9" i="4" s="1"/>
  <c r="BX142" i="1"/>
  <c r="BY142" i="1" s="1"/>
  <c r="D122" i="1"/>
  <c r="IT16" i="4" s="1"/>
  <c r="IM9" i="4" s="1"/>
  <c r="IX9" i="4" s="1"/>
  <c r="AK14" i="1"/>
  <c r="B24" i="1"/>
  <c r="IG16" i="4" s="1"/>
  <c r="IR9" i="4" s="1"/>
  <c r="HT16" i="4" s="1"/>
  <c r="HS9" i="4" s="1"/>
  <c r="JD9" i="4" s="1"/>
  <c r="JC16" i="4" s="1"/>
  <c r="IL15" i="4" s="1"/>
  <c r="HY16" i="4" s="1"/>
  <c r="AL46" i="1"/>
  <c r="Q9" i="1"/>
  <c r="BX47" i="1"/>
  <c r="IJ9" i="4" s="1"/>
  <c r="HP9" i="4" s="1"/>
  <c r="IZ16" i="4" s="1"/>
  <c r="JE15" i="4" s="1"/>
  <c r="IT9" i="4" s="1"/>
  <c r="AM35" i="1"/>
  <c r="JF9" i="4" s="1"/>
  <c r="II16" i="4" s="1"/>
  <c r="IV9" i="4" s="1"/>
  <c r="JI9" i="4" s="1"/>
  <c r="HQ9" i="4" s="1"/>
  <c r="IL16" i="4" s="1"/>
  <c r="BX46" i="1"/>
  <c r="IF16" i="4" s="1"/>
  <c r="AJ46" i="1"/>
  <c r="AL8" i="1"/>
  <c r="JE9" i="4" s="1"/>
  <c r="HX7" i="4" s="1"/>
  <c r="HR16" i="4" s="1"/>
  <c r="IX16" i="4" s="1"/>
  <c r="HY8" i="4" s="1"/>
  <c r="JB15" i="4" s="1"/>
  <c r="BX35" i="1"/>
  <c r="BX51" i="1"/>
  <c r="G45" i="1"/>
  <c r="JG9" i="4" s="1"/>
  <c r="HP15" i="4" s="1"/>
  <c r="IT15" i="4" s="1"/>
  <c r="ID16" i="4" s="1"/>
  <c r="AJ25" i="1"/>
  <c r="AK32" i="1"/>
  <c r="AK194" i="1" s="1"/>
  <c r="IO9" i="4" s="1"/>
  <c r="IV16" i="4" s="1"/>
  <c r="IQ9" i="4" s="1"/>
  <c r="AM22" i="1"/>
  <c r="AL36" i="1"/>
  <c r="BX45" i="1"/>
  <c r="P153" i="1"/>
  <c r="BX159" i="1"/>
  <c r="D21" i="1"/>
  <c r="B45" i="1"/>
  <c r="HV16" i="4" s="1"/>
  <c r="JF16" i="4" s="1"/>
  <c r="AL32" i="1"/>
  <c r="AL194" i="1" s="1"/>
  <c r="AK39" i="1"/>
  <c r="AL14" i="1"/>
  <c r="BJ13" i="1"/>
  <c r="M23" i="1"/>
  <c r="G46" i="1"/>
  <c r="J25" i="1"/>
  <c r="AM13" i="1"/>
  <c r="BX140" i="1"/>
  <c r="BY140" i="1" s="1"/>
  <c r="BZ202" i="1" s="1"/>
  <c r="BX135" i="1"/>
  <c r="BY135" i="1" s="1"/>
  <c r="K39" i="1"/>
  <c r="HS8" i="4" s="1"/>
  <c r="HT9" i="4" s="1"/>
  <c r="BJ25" i="1"/>
  <c r="AM15" i="1"/>
  <c r="B35" i="1"/>
  <c r="L13" i="1"/>
  <c r="HQ8" i="4" s="1"/>
  <c r="HY15" i="4" s="1"/>
  <c r="IA16" i="4" s="1"/>
  <c r="AM9" i="1"/>
  <c r="BX8" i="1"/>
  <c r="BX24" i="1"/>
  <c r="W15" i="1"/>
  <c r="V22" i="1"/>
  <c r="D9" i="1"/>
  <c r="HW7" i="4" s="1"/>
  <c r="IE16" i="4" s="1"/>
  <c r="IP8" i="4" s="1"/>
  <c r="JH8" i="4" s="1"/>
  <c r="HU14" i="4" s="1"/>
  <c r="IQ14" i="4" s="1"/>
  <c r="IO16" i="4" s="1"/>
  <c r="IO21" i="4" s="1"/>
  <c r="BI77" i="1" s="1"/>
  <c r="HP16" i="4" s="1"/>
  <c r="JE16" i="4" s="1"/>
  <c r="AL47" i="1"/>
  <c r="BX13" i="1"/>
  <c r="BX21" i="1"/>
  <c r="AJ45" i="1"/>
  <c r="AL21" i="1"/>
  <c r="I39" i="1"/>
  <c r="BX150" i="1"/>
  <c r="BY150" i="1" s="1"/>
  <c r="I20" i="1"/>
  <c r="BX127" i="1"/>
  <c r="BY127" i="1" s="1"/>
  <c r="AK24" i="1"/>
  <c r="BX23" i="1"/>
  <c r="AL15" i="1"/>
  <c r="AJ47" i="1"/>
  <c r="I35" i="1"/>
  <c r="BX73" i="1"/>
  <c r="IA9" i="4" s="1"/>
  <c r="HS16" i="4" s="1"/>
  <c r="AM23" i="1"/>
  <c r="C36" i="1"/>
  <c r="C252" i="1" s="1"/>
  <c r="P155" i="1"/>
  <c r="BY73" i="1"/>
  <c r="L9" i="1"/>
  <c r="IK16" i="4" s="1"/>
  <c r="JI16" i="4" s="1"/>
  <c r="IC9" i="4" s="1"/>
  <c r="HT8" i="4" s="1"/>
  <c r="IY16" i="4" s="1"/>
  <c r="JB16" i="4" s="1"/>
  <c r="BX32" i="1"/>
  <c r="BX194" i="1" s="1"/>
  <c r="E23" i="1"/>
  <c r="S45" i="1"/>
  <c r="BX117" i="1"/>
  <c r="BY117" i="1" s="1"/>
  <c r="J8" i="1"/>
  <c r="HZ16" i="4" s="1"/>
  <c r="AJ23" i="1"/>
  <c r="AL24" i="1"/>
  <c r="AM25" i="1"/>
  <c r="BX154" i="1"/>
  <c r="BY154" i="1" s="1"/>
  <c r="C13" i="1"/>
  <c r="O24" i="1"/>
  <c r="AJ8" i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K45" i="1"/>
  <c r="I36" i="1"/>
  <c r="S39" i="1"/>
  <c r="I23" i="1"/>
  <c r="E51" i="1"/>
  <c r="J35" i="1"/>
  <c r="F46" i="1"/>
  <c r="P39" i="1"/>
  <c r="K15" i="1"/>
  <c r="R36" i="1"/>
  <c r="L25" i="1"/>
  <c r="T15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P14" i="4" s="1"/>
  <c r="IJ16" i="4" s="1"/>
  <c r="IZ14" i="4" s="1"/>
  <c r="IF7" i="4" s="1"/>
  <c r="IT14" i="4" s="1"/>
  <c r="IB7" i="4" s="1"/>
  <c r="II8" i="4" s="1"/>
  <c r="IQ7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K9" i="4" s="1"/>
  <c r="IL9" i="4" s="1"/>
  <c r="IH8" i="4" s="1"/>
  <c r="IP9" i="4" s="1"/>
  <c r="HW8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E9" i="4" s="1"/>
  <c r="IN9" i="4" s="1"/>
  <c r="IV15" i="4" s="1"/>
  <c r="IU8" i="4" s="1"/>
  <c r="IX14" i="4" s="1"/>
  <c r="IP16" i="4" s="1"/>
  <c r="AJ36" i="1"/>
  <c r="BJ23" i="1"/>
  <c r="AJ15" i="1"/>
  <c r="AK25" i="1"/>
  <c r="BJ21" i="1"/>
  <c r="BX144" i="1"/>
  <c r="BX179" i="1" s="1"/>
  <c r="BY179" i="1" s="1"/>
  <c r="G36" i="1"/>
  <c r="B13" i="1"/>
  <c r="O15" i="1"/>
  <c r="BX160" i="1"/>
  <c r="J22" i="1"/>
  <c r="G20" i="1"/>
  <c r="U21" i="1"/>
  <c r="O25" i="1"/>
  <c r="BX118" i="1"/>
  <c r="BY118" i="1" s="1"/>
  <c r="B9" i="1"/>
  <c r="B10" i="1" s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IV14" i="4" s="1"/>
  <c r="JH16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194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J194" i="1" s="1"/>
  <c r="AL22" i="1"/>
  <c r="AM14" i="1"/>
  <c r="AK20" i="1"/>
  <c r="AM8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L135" i="1"/>
  <c r="AM135" i="1" s="1"/>
  <c r="AL133" i="1"/>
  <c r="AL163" i="1"/>
  <c r="AM163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HU8" i="4"/>
  <c r="HX8" i="4"/>
  <c r="IJ15" i="4"/>
  <c r="JC15" i="4"/>
  <c r="IA7" i="4"/>
  <c r="C231" i="1"/>
  <c r="HS15" i="4"/>
  <c r="HP7" i="4"/>
  <c r="IR15" i="4"/>
  <c r="HU15" i="4"/>
  <c r="JF8" i="4"/>
  <c r="HT15" i="4"/>
  <c r="IM8" i="4"/>
  <c r="IU7" i="4"/>
  <c r="IT7" i="4"/>
  <c r="JD15" i="4"/>
  <c r="IH7" i="4"/>
  <c r="JD8" i="4"/>
  <c r="IK14" i="4"/>
  <c r="JF14" i="4"/>
  <c r="IF8" i="4"/>
  <c r="JH15" i="4"/>
  <c r="JB14" i="4"/>
  <c r="CP77" i="1"/>
  <c r="CN63" i="1"/>
  <c r="CM65" i="1"/>
  <c r="F252" i="1" l="1"/>
  <c r="S10" i="1"/>
  <c r="S252" i="1"/>
  <c r="D253" i="1"/>
  <c r="E10" i="1"/>
  <c r="L252" i="1"/>
  <c r="F10" i="1"/>
  <c r="R252" i="1"/>
  <c r="W98" i="1"/>
  <c r="E231" i="1"/>
  <c r="BX253" i="1"/>
  <c r="AJ124" i="1"/>
  <c r="AK124" i="1" s="1"/>
  <c r="AJ163" i="1"/>
  <c r="AK163" i="1" s="1"/>
  <c r="AJ127" i="1"/>
  <c r="AK127" i="1" s="1"/>
  <c r="AJ159" i="1"/>
  <c r="AJ122" i="1"/>
  <c r="AK122" i="1" s="1"/>
  <c r="AJ150" i="1"/>
  <c r="AK150" i="1" s="1"/>
  <c r="AJ153" i="1"/>
  <c r="AJ151" i="1"/>
  <c r="AK151" i="1" s="1"/>
  <c r="AJ149" i="1"/>
  <c r="AK149" i="1" s="1"/>
  <c r="AJ152" i="1"/>
  <c r="AK152" i="1" s="1"/>
  <c r="AJ142" i="1"/>
  <c r="AK142" i="1" s="1"/>
  <c r="AJ154" i="1"/>
  <c r="AK154" i="1" s="1"/>
  <c r="AJ133" i="1"/>
  <c r="AJ144" i="1"/>
  <c r="AJ145" i="1"/>
  <c r="AJ160" i="1"/>
  <c r="AJ119" i="1"/>
  <c r="AJ146" i="1"/>
  <c r="AK146" i="1" s="1"/>
  <c r="AJ125" i="1"/>
  <c r="AK125" i="1" s="1"/>
  <c r="AJ117" i="1"/>
  <c r="AK117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J131" i="1"/>
  <c r="AJ135" i="1"/>
  <c r="AK135" i="1" s="1"/>
  <c r="AJ147" i="1"/>
  <c r="AK147" i="1" s="1"/>
  <c r="AJ143" i="1"/>
  <c r="AK143" i="1" s="1"/>
  <c r="AJ137" i="1"/>
  <c r="AK137" i="1" s="1"/>
  <c r="I253" i="1"/>
  <c r="U253" i="1"/>
  <c r="BX10" i="1"/>
  <c r="IQ21" i="4"/>
  <c r="BK77" i="1" s="1"/>
  <c r="JD14" i="4" s="1"/>
  <c r="IK7" i="4" s="1"/>
  <c r="IZ7" i="4" s="1"/>
  <c r="HW14" i="4" s="1"/>
  <c r="IY7" i="4" s="1"/>
  <c r="IC16" i="4" s="1"/>
  <c r="IC21" i="4" s="1"/>
  <c r="AW77" i="1" s="1"/>
  <c r="IC15" i="4" s="1"/>
  <c r="IJ14" i="4" s="1"/>
  <c r="IS16" i="4" s="1"/>
  <c r="HW16" i="4" s="1"/>
  <c r="IK8" i="4" s="1"/>
  <c r="JF21" i="4"/>
  <c r="BZ77" i="1" s="1"/>
  <c r="BZ94" i="1" s="1"/>
  <c r="IH16" i="4" s="1"/>
  <c r="HT21" i="4"/>
  <c r="AN77" i="1" s="1"/>
  <c r="IW9" i="4" s="1"/>
  <c r="JA16" i="4" s="1"/>
  <c r="IW8" i="4" s="1"/>
  <c r="HX16" i="4" s="1"/>
  <c r="IQ8" i="4" s="1"/>
  <c r="HS14" i="4" s="1"/>
  <c r="JI14" i="4" s="1"/>
  <c r="HR8" i="4" s="1"/>
  <c r="IA21" i="4"/>
  <c r="AU77" i="1" s="1"/>
  <c r="JA9" i="4" s="1"/>
  <c r="JA21" i="4" s="1"/>
  <c r="BU77" i="1" s="1"/>
  <c r="IO7" i="4" s="1"/>
  <c r="IH9" i="4" s="1"/>
  <c r="JH9" i="4" s="1"/>
  <c r="JE21" i="4"/>
  <c r="BY77" i="1" s="1"/>
  <c r="JB9" i="4" s="1"/>
  <c r="HS21" i="4"/>
  <c r="AM77" i="1" s="1"/>
  <c r="IR7" i="4" s="1"/>
  <c r="IU16" i="4" s="1"/>
  <c r="O252" i="1"/>
  <c r="V16" i="1"/>
  <c r="V17" i="1" s="1"/>
  <c r="IF21" i="4"/>
  <c r="AZ77" i="1" s="1"/>
  <c r="C26" i="1"/>
  <c r="Q10" i="1"/>
  <c r="I26" i="1"/>
  <c r="AJ37" i="1"/>
  <c r="BX26" i="1"/>
  <c r="F194" i="1"/>
  <c r="P252" i="1"/>
  <c r="IX21" i="4"/>
  <c r="BR77" i="1" s="1"/>
  <c r="IL21" i="4"/>
  <c r="BF77" i="1" s="1"/>
  <c r="IT21" i="4"/>
  <c r="BN77" i="1" s="1"/>
  <c r="C194" i="1"/>
  <c r="C253" i="1"/>
  <c r="P231" i="1"/>
  <c r="P10" i="1"/>
  <c r="C10" i="1"/>
  <c r="BY128" i="1"/>
  <c r="JC7" i="4"/>
  <c r="IU15" i="4"/>
  <c r="IC14" i="4"/>
  <c r="IX7" i="4"/>
  <c r="JE7" i="4"/>
  <c r="ID7" i="4"/>
  <c r="IL14" i="4"/>
  <c r="IG7" i="4"/>
  <c r="HP21" i="4"/>
  <c r="AJ77" i="1" s="1"/>
  <c r="P253" i="1"/>
  <c r="IK21" i="4"/>
  <c r="BE77" i="1" s="1"/>
  <c r="HZ8" i="4"/>
  <c r="IE21" i="4"/>
  <c r="AY77" i="1" s="1"/>
  <c r="H26" i="1"/>
  <c r="IB15" i="4"/>
  <c r="HS7" i="4"/>
  <c r="HX15" i="4"/>
  <c r="HX20" i="4" s="1"/>
  <c r="AR79" i="1" s="1"/>
  <c r="AR108" i="1" s="1"/>
  <c r="JG14" i="4"/>
  <c r="IB8" i="4"/>
  <c r="IM14" i="4"/>
  <c r="JD7" i="4"/>
  <c r="AM10" i="1"/>
  <c r="AM16" i="1" s="1"/>
  <c r="BX180" i="1"/>
  <c r="BY180" i="1" s="1"/>
  <c r="AL183" i="1"/>
  <c r="AM183" i="1" s="1"/>
  <c r="AJ179" i="1"/>
  <c r="CA98" i="1"/>
  <c r="CA99" i="1" s="1"/>
  <c r="BX231" i="1"/>
  <c r="J253" i="1"/>
  <c r="J231" i="1"/>
  <c r="AJ231" i="1"/>
  <c r="AJ10" i="1"/>
  <c r="G194" i="1"/>
  <c r="G253" i="1"/>
  <c r="W194" i="1"/>
  <c r="W253" i="1"/>
  <c r="O10" i="1"/>
  <c r="O231" i="1"/>
  <c r="O253" i="1"/>
  <c r="G231" i="1"/>
  <c r="G183" i="1"/>
  <c r="G10" i="1"/>
  <c r="B231" i="1"/>
  <c r="B253" i="1"/>
  <c r="W188" i="1"/>
  <c r="X188" i="1"/>
  <c r="W11" i="1"/>
  <c r="X11" i="1"/>
  <c r="V11" i="1"/>
  <c r="U98" i="1"/>
  <c r="AK10" i="1"/>
  <c r="AK231" i="1"/>
  <c r="HP14" i="4"/>
  <c r="IW15" i="4"/>
  <c r="IW20" i="4" s="1"/>
  <c r="BQ79" i="1" s="1"/>
  <c r="BQ108" i="1" s="1"/>
  <c r="IS7" i="4"/>
  <c r="HZ14" i="4"/>
  <c r="HR14" i="4"/>
  <c r="HV7" i="4"/>
  <c r="F253" i="1"/>
  <c r="BX134" i="1"/>
  <c r="D252" i="1"/>
  <c r="AJ16" i="1"/>
  <c r="AJ17" i="1" s="1"/>
  <c r="R194" i="1"/>
  <c r="R253" i="1"/>
  <c r="V194" i="1"/>
  <c r="V253" i="1"/>
  <c r="IA14" i="4"/>
  <c r="IA19" i="4" s="1"/>
  <c r="AU78" i="1" s="1"/>
  <c r="AU107" i="1" s="1"/>
  <c r="JI8" i="4"/>
  <c r="IL8" i="4"/>
  <c r="IL20" i="4" s="1"/>
  <c r="BF79" i="1" s="1"/>
  <c r="BF108" i="1" s="1"/>
  <c r="JH14" i="4"/>
  <c r="IW21" i="4"/>
  <c r="BQ77" i="1" s="1"/>
  <c r="IE15" i="4"/>
  <c r="IZ15" i="4"/>
  <c r="JI7" i="4"/>
  <c r="HX14" i="4"/>
  <c r="HX19" i="4" s="1"/>
  <c r="AR78" i="1" s="1"/>
  <c r="AR107" i="1" s="1"/>
  <c r="IG15" i="4"/>
  <c r="HQ14" i="4"/>
  <c r="IM15" i="4"/>
  <c r="IM20" i="4" s="1"/>
  <c r="BG79" i="1" s="1"/>
  <c r="BG108" i="1" s="1"/>
  <c r="JC8" i="4"/>
  <c r="JC20" i="4" s="1"/>
  <c r="BW79" i="1" s="1"/>
  <c r="BW108" i="1" s="1"/>
  <c r="IR14" i="4"/>
  <c r="IR19" i="4" s="1"/>
  <c r="BL78" i="1" s="1"/>
  <c r="JA15" i="4"/>
  <c r="JG7" i="4"/>
  <c r="IS15" i="4"/>
  <c r="JG8" i="4"/>
  <c r="HW15" i="4"/>
  <c r="HW20" i="4" s="1"/>
  <c r="AQ79" i="1" s="1"/>
  <c r="AQ108" i="1" s="1"/>
  <c r="JB7" i="4"/>
  <c r="JB19" i="4" s="1"/>
  <c r="BV78" i="1" s="1"/>
  <c r="BV107" i="1" s="1"/>
  <c r="JE14" i="4"/>
  <c r="JC14" i="4"/>
  <c r="IJ21" i="4"/>
  <c r="BD77" i="1" s="1"/>
  <c r="P183" i="1"/>
  <c r="U16" i="1"/>
  <c r="AL252" i="1"/>
  <c r="HQ7" i="4"/>
  <c r="IA8" i="4"/>
  <c r="IR8" i="4"/>
  <c r="IR20" i="4" s="1"/>
  <c r="BL79" i="1" s="1"/>
  <c r="BL96" i="1" s="1"/>
  <c r="HV15" i="4"/>
  <c r="IX15" i="4"/>
  <c r="ID14" i="4"/>
  <c r="JG15" i="4"/>
  <c r="HU7" i="4"/>
  <c r="HU19" i="4" s="1"/>
  <c r="AO78" i="1" s="1"/>
  <c r="AO107" i="1" s="1"/>
  <c r="IC7" i="4"/>
  <c r="JA8" i="4"/>
  <c r="JE8" i="4"/>
  <c r="JE20" i="4" s="1"/>
  <c r="BY79" i="1" s="1"/>
  <c r="BY108" i="1" s="1"/>
  <c r="IW7" i="4"/>
  <c r="BX161" i="1"/>
  <c r="HZ7" i="4"/>
  <c r="Q26" i="1"/>
  <c r="IO14" i="4"/>
  <c r="IN7" i="4"/>
  <c r="IH15" i="4"/>
  <c r="IH20" i="4" s="1"/>
  <c r="BB79" i="1" s="1"/>
  <c r="BB108" i="1" s="1"/>
  <c r="JF15" i="4"/>
  <c r="JF20" i="4" s="1"/>
  <c r="BZ79" i="1" s="1"/>
  <c r="IJ7" i="4"/>
  <c r="IJ19" i="4" s="1"/>
  <c r="BD78" i="1" s="1"/>
  <c r="BD107" i="1" s="1"/>
  <c r="IC8" i="4"/>
  <c r="IC20" i="4" s="1"/>
  <c r="AW79" i="1" s="1"/>
  <c r="AW108" i="1" s="1"/>
  <c r="HY14" i="4"/>
  <c r="IN14" i="4"/>
  <c r="IG8" i="4"/>
  <c r="IV7" i="4"/>
  <c r="IV19" i="4" s="1"/>
  <c r="BP78" i="1" s="1"/>
  <c r="BP107" i="1" s="1"/>
  <c r="IN8" i="4"/>
  <c r="F26" i="1"/>
  <c r="IK15" i="4"/>
  <c r="IK20" i="4" s="1"/>
  <c r="BE79" i="1" s="1"/>
  <c r="BE108" i="1" s="1"/>
  <c r="IH14" i="4"/>
  <c r="IH19" i="4" s="1"/>
  <c r="BB78" i="1" s="1"/>
  <c r="BB107" i="1" s="1"/>
  <c r="IX8" i="4"/>
  <c r="IJ8" i="4"/>
  <c r="IJ20" i="4" s="1"/>
  <c r="BD79" i="1" s="1"/>
  <c r="BD108" i="1" s="1"/>
  <c r="HP8" i="4"/>
  <c r="HP20" i="4" s="1"/>
  <c r="AJ79" i="1" s="1"/>
  <c r="IP7" i="4"/>
  <c r="IP19" i="4" s="1"/>
  <c r="BJ78" i="1" s="1"/>
  <c r="BJ107" i="1" s="1"/>
  <c r="JI21" i="4"/>
  <c r="CC77" i="1" s="1"/>
  <c r="JH7" i="4"/>
  <c r="IY14" i="4"/>
  <c r="IY19" i="4" s="1"/>
  <c r="BS78" i="1" s="1"/>
  <c r="BS107" i="1" s="1"/>
  <c r="HT14" i="4"/>
  <c r="BY120" i="1"/>
  <c r="II14" i="4"/>
  <c r="IF14" i="4"/>
  <c r="IF19" i="4" s="1"/>
  <c r="AZ78" i="1" s="1"/>
  <c r="AZ107" i="1" s="1"/>
  <c r="HV8" i="4"/>
  <c r="HZ15" i="4"/>
  <c r="AJ26" i="1"/>
  <c r="I10" i="1"/>
  <c r="N252" i="1"/>
  <c r="J26" i="1"/>
  <c r="W16" i="1"/>
  <c r="JA7" i="4"/>
  <c r="IP21" i="4"/>
  <c r="BJ77" i="1" s="1"/>
  <c r="G252" i="1"/>
  <c r="D26" i="1"/>
  <c r="T26" i="1"/>
  <c r="P26" i="1"/>
  <c r="IM7" i="4"/>
  <c r="JA14" i="4"/>
  <c r="JA19" i="4" s="1"/>
  <c r="BU78" i="1" s="1"/>
  <c r="BU107" i="1" s="1"/>
  <c r="R26" i="1"/>
  <c r="J252" i="1"/>
  <c r="K26" i="1"/>
  <c r="BJ179" i="1"/>
  <c r="BK179" i="1" s="1"/>
  <c r="BJ180" i="1"/>
  <c r="BK180" i="1" s="1"/>
  <c r="BJ183" i="1"/>
  <c r="BK183" i="1" s="1"/>
  <c r="I231" i="1"/>
  <c r="I252" i="1"/>
  <c r="AM231" i="1"/>
  <c r="AM252" i="1"/>
  <c r="IV21" i="4"/>
  <c r="BP77" i="1" s="1"/>
  <c r="HQ15" i="4"/>
  <c r="HQ20" i="4" s="1"/>
  <c r="AK79" i="1" s="1"/>
  <c r="BX128" i="1"/>
  <c r="IA15" i="4"/>
  <c r="AL231" i="1"/>
  <c r="AM26" i="1"/>
  <c r="V26" i="1"/>
  <c r="B252" i="1"/>
  <c r="J10" i="1"/>
  <c r="O26" i="1"/>
  <c r="M26" i="1"/>
  <c r="AK26" i="1"/>
  <c r="IE14" i="4"/>
  <c r="S26" i="1"/>
  <c r="L253" i="1"/>
  <c r="AJ183" i="1"/>
  <c r="AL10" i="1"/>
  <c r="AL180" i="1"/>
  <c r="AM180" i="1" s="1"/>
  <c r="U26" i="1"/>
  <c r="E26" i="1"/>
  <c r="E27" i="1" s="1"/>
  <c r="IE8" i="4"/>
  <c r="G26" i="1"/>
  <c r="B26" i="1"/>
  <c r="B27" i="1" s="1"/>
  <c r="L26" i="1"/>
  <c r="W26" i="1"/>
  <c r="W27" i="1" s="1"/>
  <c r="HT7" i="4"/>
  <c r="BX156" i="1"/>
  <c r="BX185" i="1" s="1"/>
  <c r="AL26" i="1"/>
  <c r="IT8" i="4"/>
  <c r="IT20" i="4" s="1"/>
  <c r="BN79" i="1" s="1"/>
  <c r="BN108" i="1" s="1"/>
  <c r="HY7" i="4"/>
  <c r="IB14" i="4"/>
  <c r="IB19" i="4" s="1"/>
  <c r="AV78" i="1" s="1"/>
  <c r="AV107" i="1" s="1"/>
  <c r="N26" i="1"/>
  <c r="IP15" i="4"/>
  <c r="IP20" i="4" s="1"/>
  <c r="BJ79" i="1" s="1"/>
  <c r="BJ108" i="1" s="1"/>
  <c r="IV8" i="4"/>
  <c r="IV20" i="4" s="1"/>
  <c r="BP79" i="1" s="1"/>
  <c r="BP108" i="1" s="1"/>
  <c r="Q253" i="1"/>
  <c r="Q252" i="1"/>
  <c r="Q183" i="1"/>
  <c r="M253" i="1"/>
  <c r="AL253" i="1"/>
  <c r="AL179" i="1"/>
  <c r="AM179" i="1" s="1"/>
  <c r="IG14" i="4"/>
  <c r="Q231" i="1"/>
  <c r="AM98" i="1"/>
  <c r="AM99" i="1" s="1"/>
  <c r="AM102" i="1" s="1"/>
  <c r="M252" i="1"/>
  <c r="M10" i="1"/>
  <c r="L10" i="1"/>
  <c r="L194" i="1"/>
  <c r="BX183" i="1"/>
  <c r="BY183" i="1" s="1"/>
  <c r="V188" i="1"/>
  <c r="H253" i="1"/>
  <c r="AJ33" i="1"/>
  <c r="K10" i="1"/>
  <c r="H252" i="1"/>
  <c r="B16" i="1"/>
  <c r="B17" i="1" s="1"/>
  <c r="T10" i="1"/>
  <c r="U11" i="1" s="1"/>
  <c r="D10" i="1"/>
  <c r="E188" i="1" s="1"/>
  <c r="T253" i="1"/>
  <c r="S253" i="1"/>
  <c r="N10" i="1"/>
  <c r="N16" i="1" s="1"/>
  <c r="D231" i="1"/>
  <c r="T252" i="1"/>
  <c r="AM253" i="1"/>
  <c r="K252" i="1"/>
  <c r="BX120" i="1"/>
  <c r="H10" i="1"/>
  <c r="H16" i="1" s="1"/>
  <c r="H17" i="1" s="1"/>
  <c r="N253" i="1"/>
  <c r="K253" i="1"/>
  <c r="BX148" i="1"/>
  <c r="BX182" i="1" s="1"/>
  <c r="BJ161" i="1"/>
  <c r="BK209" i="1" s="1"/>
  <c r="BJ134" i="1"/>
  <c r="BK128" i="1"/>
  <c r="BK117" i="1"/>
  <c r="BJ120" i="1"/>
  <c r="AM128" i="1"/>
  <c r="AL161" i="1"/>
  <c r="AM209" i="1" s="1"/>
  <c r="BJ156" i="1"/>
  <c r="BJ185" i="1" s="1"/>
  <c r="AL134" i="1"/>
  <c r="AM134" i="1" s="1"/>
  <c r="AM138" i="1" s="1"/>
  <c r="BK149" i="1"/>
  <c r="BJ128" i="1"/>
  <c r="AL156" i="1"/>
  <c r="AL185" i="1" s="1"/>
  <c r="AL120" i="1"/>
  <c r="AL128" i="1"/>
  <c r="BK143" i="1"/>
  <c r="BJ148" i="1"/>
  <c r="AM143" i="1"/>
  <c r="AL148" i="1"/>
  <c r="IU20" i="4"/>
  <c r="BO79" i="1" s="1"/>
  <c r="BO108" i="1" s="1"/>
  <c r="S98" i="1"/>
  <c r="S16" i="1"/>
  <c r="S17" i="1" s="1"/>
  <c r="HT20" i="4"/>
  <c r="AN79" i="1" s="1"/>
  <c r="AN108" i="1" s="1"/>
  <c r="HY20" i="4"/>
  <c r="AS79" i="1" s="1"/>
  <c r="AS108" i="1" s="1"/>
  <c r="JH20" i="4"/>
  <c r="CB79" i="1" s="1"/>
  <c r="HU20" i="4"/>
  <c r="AO79" i="1" s="1"/>
  <c r="AO108" i="1" s="1"/>
  <c r="IZ19" i="4"/>
  <c r="BT78" i="1" s="1"/>
  <c r="BT107" i="1" s="1"/>
  <c r="IQ19" i="4"/>
  <c r="BK78" i="1" s="1"/>
  <c r="BK107" i="1" s="1"/>
  <c r="R16" i="1"/>
  <c r="HW19" i="4"/>
  <c r="AQ78" i="1" s="1"/>
  <c r="AQ107" i="1" s="1"/>
  <c r="HS20" i="4"/>
  <c r="AM79" i="1" s="1"/>
  <c r="F98" i="1"/>
  <c r="F16" i="1"/>
  <c r="F17" i="1" s="1"/>
  <c r="S11" i="1"/>
  <c r="S188" i="1"/>
  <c r="IK19" i="4"/>
  <c r="BE78" i="1" s="1"/>
  <c r="BE107" i="1" s="1"/>
  <c r="JD20" i="4"/>
  <c r="BX79" i="1" s="1"/>
  <c r="BX108" i="1" s="1"/>
  <c r="IT19" i="4"/>
  <c r="BN78" i="1" s="1"/>
  <c r="BN107" i="1" s="1"/>
  <c r="BY12" i="1"/>
  <c r="CB11" i="1"/>
  <c r="CC188" i="1"/>
  <c r="BX16" i="1"/>
  <c r="E98" i="1"/>
  <c r="F188" i="1"/>
  <c r="F11" i="1"/>
  <c r="E16" i="1"/>
  <c r="AL202" i="1"/>
  <c r="AK202" i="1"/>
  <c r="BK202" i="1"/>
  <c r="BY202" i="1"/>
  <c r="CM32" i="1"/>
  <c r="AB77" i="1"/>
  <c r="CQ77" i="1"/>
  <c r="AC140" i="1"/>
  <c r="CN65" i="1"/>
  <c r="CO63" i="1"/>
  <c r="IN19" i="4" l="1"/>
  <c r="BH78" i="1" s="1"/>
  <c r="BH107" i="1" s="1"/>
  <c r="IA20" i="4"/>
  <c r="AU79" i="1" s="1"/>
  <c r="AU108" i="1" s="1"/>
  <c r="J188" i="1"/>
  <c r="AK27" i="1"/>
  <c r="IG20" i="4"/>
  <c r="BA79" i="1" s="1"/>
  <c r="BA108" i="1" s="1"/>
  <c r="AJ161" i="1"/>
  <c r="AK209" i="1" s="1"/>
  <c r="BJ184" i="1"/>
  <c r="AJ128" i="1"/>
  <c r="AL184" i="1"/>
  <c r="AJ202" i="1"/>
  <c r="AI196" i="1"/>
  <c r="AI198" i="1" s="1"/>
  <c r="AJ134" i="1"/>
  <c r="AK33" i="1" s="1"/>
  <c r="AJ148" i="1"/>
  <c r="AJ180" i="1"/>
  <c r="AK180" i="1" s="1"/>
  <c r="AK128" i="1"/>
  <c r="AJ120" i="1"/>
  <c r="AJ156" i="1"/>
  <c r="AM17" i="1"/>
  <c r="JH21" i="4"/>
  <c r="CB77" i="1" s="1"/>
  <c r="JB8" i="4"/>
  <c r="JB21" i="4"/>
  <c r="BV77" i="1" s="1"/>
  <c r="IY15" i="4" s="1"/>
  <c r="HR9" i="4"/>
  <c r="HR21" i="4" s="1"/>
  <c r="AL77" i="1" s="1"/>
  <c r="IH21" i="4"/>
  <c r="BB77" i="1" s="1"/>
  <c r="IU9" i="4" s="1"/>
  <c r="IB20" i="4"/>
  <c r="AV79" i="1" s="1"/>
  <c r="AV108" i="1" s="1"/>
  <c r="AK12" i="1"/>
  <c r="P188" i="1"/>
  <c r="JE19" i="4"/>
  <c r="BY78" i="1" s="1"/>
  <c r="JC19" i="4"/>
  <c r="BW78" i="1" s="1"/>
  <c r="BW107" i="1" s="1"/>
  <c r="IX20" i="4"/>
  <c r="BR79" i="1" s="1"/>
  <c r="BR108" i="1" s="1"/>
  <c r="ID19" i="4"/>
  <c r="AX78" i="1" s="1"/>
  <c r="AX107" i="1" s="1"/>
  <c r="JG20" i="4"/>
  <c r="CA79" i="1" s="1"/>
  <c r="IC19" i="4"/>
  <c r="AW78" i="1" s="1"/>
  <c r="AW107" i="1" s="1"/>
  <c r="HZ19" i="4"/>
  <c r="AT78" i="1" s="1"/>
  <c r="AT107" i="1" s="1"/>
  <c r="IO19" i="4"/>
  <c r="BI78" i="1" s="1"/>
  <c r="BI107" i="1" s="1"/>
  <c r="HZ20" i="4"/>
  <c r="AT79" i="1" s="1"/>
  <c r="AT108" i="1" s="1"/>
  <c r="IM19" i="4"/>
  <c r="BG78" i="1" s="1"/>
  <c r="BG107" i="1" s="1"/>
  <c r="IG19" i="4"/>
  <c r="BA78" i="1" s="1"/>
  <c r="BA107" i="1" s="1"/>
  <c r="K188" i="1"/>
  <c r="BX186" i="1"/>
  <c r="CB189" i="1" s="1"/>
  <c r="IX19" i="4"/>
  <c r="BR78" i="1" s="1"/>
  <c r="BR107" i="1" s="1"/>
  <c r="HS19" i="4"/>
  <c r="AM78" i="1" s="1"/>
  <c r="R11" i="1"/>
  <c r="JD19" i="4"/>
  <c r="BX78" i="1" s="1"/>
  <c r="JI19" i="4"/>
  <c r="CC78" i="1" s="1"/>
  <c r="O16" i="1"/>
  <c r="O17" i="1" s="1"/>
  <c r="O98" i="1"/>
  <c r="C27" i="1"/>
  <c r="HP19" i="4"/>
  <c r="AJ78" i="1" s="1"/>
  <c r="R188" i="1"/>
  <c r="C16" i="1"/>
  <c r="C188" i="1"/>
  <c r="C11" i="1"/>
  <c r="BX27" i="1"/>
  <c r="AK16" i="1"/>
  <c r="Q188" i="1"/>
  <c r="Q16" i="1"/>
  <c r="Q17" i="1" s="1"/>
  <c r="Q98" i="1"/>
  <c r="Q11" i="1"/>
  <c r="P98" i="1"/>
  <c r="P16" i="1"/>
  <c r="P11" i="1"/>
  <c r="JG19" i="4"/>
  <c r="CA78" i="1" s="1"/>
  <c r="BZ249" i="1"/>
  <c r="BZ251" i="1" s="1"/>
  <c r="BZ206" i="1"/>
  <c r="BY134" i="1"/>
  <c r="BY33" i="1"/>
  <c r="BX138" i="1"/>
  <c r="HQ19" i="4"/>
  <c r="AK78" i="1" s="1"/>
  <c r="HV20" i="4"/>
  <c r="AP79" i="1" s="1"/>
  <c r="AP108" i="1" s="1"/>
  <c r="JA20" i="4"/>
  <c r="BU79" i="1" s="1"/>
  <c r="BU108" i="1" s="1"/>
  <c r="JH19" i="4"/>
  <c r="CB78" i="1" s="1"/>
  <c r="IE20" i="4"/>
  <c r="AY79" i="1" s="1"/>
  <c r="AY108" i="1" s="1"/>
  <c r="AL27" i="1"/>
  <c r="HY19" i="4"/>
  <c r="AS78" i="1" s="1"/>
  <c r="AS107" i="1" s="1"/>
  <c r="G98" i="1"/>
  <c r="G16" i="1"/>
  <c r="G188" i="1"/>
  <c r="G11" i="1"/>
  <c r="AM28" i="1"/>
  <c r="AM27" i="1"/>
  <c r="V27" i="1"/>
  <c r="V28" i="1"/>
  <c r="AL16" i="1"/>
  <c r="AL12" i="1"/>
  <c r="AM12" i="1"/>
  <c r="AM225" i="1"/>
  <c r="L16" i="1"/>
  <c r="L98" i="1"/>
  <c r="BX184" i="1"/>
  <c r="U17" i="1"/>
  <c r="V18" i="1"/>
  <c r="BX168" i="1"/>
  <c r="BY206" i="1"/>
  <c r="BY249" i="1"/>
  <c r="AL17" i="1"/>
  <c r="AM19" i="1"/>
  <c r="AL28" i="1"/>
  <c r="K11" i="1"/>
  <c r="HT19" i="4"/>
  <c r="AN78" i="1" s="1"/>
  <c r="AN107" i="1" s="1"/>
  <c r="M11" i="1"/>
  <c r="BY209" i="1"/>
  <c r="BX248" i="1"/>
  <c r="CC85" i="1"/>
  <c r="CC94" i="1"/>
  <c r="CC102" i="1"/>
  <c r="BY129" i="1"/>
  <c r="BY92" i="1"/>
  <c r="BY207" i="1"/>
  <c r="BZ207" i="1"/>
  <c r="AJ28" i="1"/>
  <c r="AJ27" i="1"/>
  <c r="I188" i="1"/>
  <c r="I98" i="1"/>
  <c r="I16" i="1"/>
  <c r="X18" i="1"/>
  <c r="W17" i="1"/>
  <c r="W18" i="1"/>
  <c r="L188" i="1"/>
  <c r="L11" i="1"/>
  <c r="K98" i="1"/>
  <c r="K16" i="1"/>
  <c r="BX92" i="1"/>
  <c r="BX96" i="1" s="1"/>
  <c r="BX129" i="1"/>
  <c r="B28" i="1"/>
  <c r="J98" i="1"/>
  <c r="J16" i="1"/>
  <c r="BK249" i="1"/>
  <c r="N188" i="1"/>
  <c r="W28" i="1"/>
  <c r="M98" i="1"/>
  <c r="D16" i="1"/>
  <c r="D28" i="1" s="1"/>
  <c r="J11" i="1"/>
  <c r="D27" i="1"/>
  <c r="M16" i="1"/>
  <c r="M188" i="1"/>
  <c r="O11" i="1"/>
  <c r="N98" i="1"/>
  <c r="BX157" i="1"/>
  <c r="BX181" i="1"/>
  <c r="N11" i="1"/>
  <c r="D11" i="1"/>
  <c r="H98" i="1"/>
  <c r="U188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D188" i="1"/>
  <c r="H11" i="1"/>
  <c r="H188" i="1"/>
  <c r="O188" i="1"/>
  <c r="E11" i="1"/>
  <c r="I11" i="1"/>
  <c r="T98" i="1"/>
  <c r="T16" i="1"/>
  <c r="U18" i="1" s="1"/>
  <c r="T11" i="1"/>
  <c r="T188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AJ165" i="1" s="1"/>
  <c r="BK206" i="1"/>
  <c r="AL249" i="1"/>
  <c r="AL129" i="1"/>
  <c r="AJ196" i="1"/>
  <c r="AJ182" i="1"/>
  <c r="BJ182" i="1"/>
  <c r="BJ157" i="1"/>
  <c r="AL182" i="1"/>
  <c r="AL157" i="1"/>
  <c r="AM108" i="1"/>
  <c r="AM104" i="1"/>
  <c r="S18" i="1"/>
  <c r="BL107" i="1"/>
  <c r="BL110" i="1" s="1"/>
  <c r="BL95" i="1"/>
  <c r="N17" i="1"/>
  <c r="BZ108" i="1"/>
  <c r="BZ111" i="1" s="1"/>
  <c r="BZ96" i="1"/>
  <c r="CB96" i="1"/>
  <c r="CB108" i="1"/>
  <c r="CB111" i="1" s="1"/>
  <c r="CB114" i="1" s="1"/>
  <c r="R17" i="1"/>
  <c r="CB104" i="1"/>
  <c r="BL108" i="1"/>
  <c r="BL111" i="1" s="1"/>
  <c r="CB87" i="1"/>
  <c r="BX17" i="1"/>
  <c r="CB18" i="1"/>
  <c r="BY19" i="1"/>
  <c r="BX28" i="1"/>
  <c r="E28" i="1"/>
  <c r="E29" i="1" s="1"/>
  <c r="F18" i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J129" i="1" l="1"/>
  <c r="CB94" i="1"/>
  <c r="CB102" i="1"/>
  <c r="CB85" i="1"/>
  <c r="IS8" i="4"/>
  <c r="JB20" i="4"/>
  <c r="BV79" i="1" s="1"/>
  <c r="BV108" i="1" s="1"/>
  <c r="IS14" i="4"/>
  <c r="IU21" i="4"/>
  <c r="BO77" i="1" s="1"/>
  <c r="IN16" i="4" s="1"/>
  <c r="HV14" i="4"/>
  <c r="HV19" i="4" s="1"/>
  <c r="AP78" i="1" s="1"/>
  <c r="AP107" i="1" s="1"/>
  <c r="CA96" i="1"/>
  <c r="CC95" i="1"/>
  <c r="CC103" i="1"/>
  <c r="O18" i="1"/>
  <c r="P18" i="1"/>
  <c r="CA107" i="1"/>
  <c r="BY89" i="1"/>
  <c r="P17" i="1"/>
  <c r="C28" i="1"/>
  <c r="AM34" i="1"/>
  <c r="AM38" i="1" s="1"/>
  <c r="AL19" i="1"/>
  <c r="AK19" i="1"/>
  <c r="AM103" i="1"/>
  <c r="AM107" i="1"/>
  <c r="L17" i="1"/>
  <c r="BX89" i="1"/>
  <c r="BX107" i="1"/>
  <c r="CA108" i="1"/>
  <c r="CA104" i="1"/>
  <c r="CC107" i="1"/>
  <c r="CC86" i="1"/>
  <c r="CF90" i="1" s="1"/>
  <c r="CA103" i="1"/>
  <c r="CA95" i="1"/>
  <c r="BY107" i="1"/>
  <c r="R18" i="1"/>
  <c r="Q18" i="1"/>
  <c r="C18" i="1"/>
  <c r="C17" i="1"/>
  <c r="AM29" i="1"/>
  <c r="AK28" i="1"/>
  <c r="AK17" i="1"/>
  <c r="AM232" i="1"/>
  <c r="AM233" i="1" s="1"/>
  <c r="BZ33" i="1"/>
  <c r="BY138" i="1"/>
  <c r="BZ203" i="1" s="1"/>
  <c r="BZ201" i="1" s="1"/>
  <c r="BY205" i="1"/>
  <c r="BZ205" i="1"/>
  <c r="BX165" i="1"/>
  <c r="BX166" i="1" s="1"/>
  <c r="BX246" i="1"/>
  <c r="BY203" i="1"/>
  <c r="BY201" i="1" s="1"/>
  <c r="CB86" i="1"/>
  <c r="CB103" i="1"/>
  <c r="CB95" i="1"/>
  <c r="CB107" i="1"/>
  <c r="CB110" i="1" s="1"/>
  <c r="CB113" i="1" s="1"/>
  <c r="G17" i="1"/>
  <c r="H18" i="1"/>
  <c r="G18" i="1"/>
  <c r="V34" i="1"/>
  <c r="V38" i="1" s="1"/>
  <c r="V112" i="1"/>
  <c r="V232" i="1"/>
  <c r="V233" i="1" s="1"/>
  <c r="V29" i="1"/>
  <c r="BX109" i="1"/>
  <c r="BY37" i="1"/>
  <c r="AM250" i="1"/>
  <c r="AL232" i="1"/>
  <c r="AL233" i="1" s="1"/>
  <c r="AM31" i="1"/>
  <c r="AL34" i="1"/>
  <c r="AL38" i="1" s="1"/>
  <c r="AL29" i="1"/>
  <c r="AJ29" i="1"/>
  <c r="AJ34" i="1"/>
  <c r="AJ38" i="1" s="1"/>
  <c r="AJ232" i="1"/>
  <c r="AJ233" i="1" s="1"/>
  <c r="K17" i="1"/>
  <c r="L18" i="1"/>
  <c r="BX95" i="1"/>
  <c r="AJ166" i="1"/>
  <c r="BY94" i="1"/>
  <c r="BY95" i="1"/>
  <c r="BY96" i="1"/>
  <c r="I18" i="1"/>
  <c r="I17" i="1"/>
  <c r="J18" i="1"/>
  <c r="B29" i="1"/>
  <c r="B112" i="1"/>
  <c r="J17" i="1"/>
  <c r="K18" i="1"/>
  <c r="W232" i="1"/>
  <c r="W233" i="1" s="1"/>
  <c r="X30" i="1"/>
  <c r="X250" i="1"/>
  <c r="W34" i="1"/>
  <c r="W38" i="1" s="1"/>
  <c r="W30" i="1"/>
  <c r="W29" i="1"/>
  <c r="W112" i="1"/>
  <c r="W250" i="1"/>
  <c r="M17" i="1"/>
  <c r="M18" i="1"/>
  <c r="D18" i="1"/>
  <c r="E18" i="1"/>
  <c r="D17" i="1"/>
  <c r="T17" i="1"/>
  <c r="T18" i="1"/>
  <c r="N18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109" i="1"/>
  <c r="AM37" i="1"/>
  <c r="AJ203" i="1"/>
  <c r="AJ201" i="1" s="1"/>
  <c r="BJ186" i="1"/>
  <c r="BJ181" i="1"/>
  <c r="AL181" i="1"/>
  <c r="AL186" i="1"/>
  <c r="D29" i="1"/>
  <c r="D34" i="1"/>
  <c r="D38" i="1" s="1"/>
  <c r="D232" i="1"/>
  <c r="D233" i="1" s="1"/>
  <c r="E30" i="1"/>
  <c r="D112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M226" i="1" l="1"/>
  <c r="AK232" i="1"/>
  <c r="AK233" i="1" s="1"/>
  <c r="AL31" i="1"/>
  <c r="AK29" i="1"/>
  <c r="AK34" i="1"/>
  <c r="AK38" i="1" s="1"/>
  <c r="AM112" i="1"/>
  <c r="AK31" i="1"/>
  <c r="CE90" i="1"/>
  <c r="V40" i="1"/>
  <c r="AL250" i="1"/>
  <c r="AL251" i="1" s="1"/>
  <c r="V41" i="1"/>
  <c r="IS20" i="4"/>
  <c r="BM79" i="1" s="1"/>
  <c r="BM108" i="1" s="1"/>
  <c r="HR7" i="4"/>
  <c r="IS19" i="4"/>
  <c r="BM78" i="1" s="1"/>
  <c r="BM107" i="1" s="1"/>
  <c r="IF15" i="4"/>
  <c r="IN21" i="4"/>
  <c r="BH77" i="1" s="1"/>
  <c r="HW9" i="4"/>
  <c r="HW21" i="4" s="1"/>
  <c r="AQ77" i="1" s="1"/>
  <c r="IR16" i="4" s="1"/>
  <c r="AM41" i="1"/>
  <c r="AM42" i="1" s="1"/>
  <c r="AM245" i="1" s="1"/>
  <c r="AM251" i="1"/>
  <c r="AM40" i="1"/>
  <c r="D250" i="1"/>
  <c r="C250" i="1"/>
  <c r="C29" i="1"/>
  <c r="D30" i="1"/>
  <c r="C30" i="1"/>
  <c r="AL41" i="1"/>
  <c r="AL40" i="1"/>
  <c r="BX110" i="1"/>
  <c r="BX111" i="1"/>
  <c r="AJ41" i="1"/>
  <c r="AJ40" i="1"/>
  <c r="W41" i="1"/>
  <c r="W40" i="1"/>
  <c r="AL203" i="1"/>
  <c r="AL201" i="1" s="1"/>
  <c r="AK203" i="1"/>
  <c r="AK201" i="1" s="1"/>
  <c r="AJ42" i="1"/>
  <c r="AJ48" i="1"/>
  <c r="AL234" i="1"/>
  <c r="AL48" i="1"/>
  <c r="AL42" i="1"/>
  <c r="AL245" i="1" s="1"/>
  <c r="BX38" i="1"/>
  <c r="CA55" i="1"/>
  <c r="AK41" i="1"/>
  <c r="AK40" i="1"/>
  <c r="D41" i="1"/>
  <c r="D40" i="1"/>
  <c r="W48" i="1"/>
  <c r="W52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2" i="1" l="1"/>
  <c r="V245" i="1" s="1"/>
  <c r="V48" i="1"/>
  <c r="AM44" i="1"/>
  <c r="HR19" i="4"/>
  <c r="AL78" i="1" s="1"/>
  <c r="IL7" i="4"/>
  <c r="IF20" i="4"/>
  <c r="AZ79" i="1" s="1"/>
  <c r="AZ108" i="1" s="1"/>
  <c r="II15" i="4"/>
  <c r="IR21" i="4"/>
  <c r="BL77" i="1" s="1"/>
  <c r="BL94" i="1" s="1"/>
  <c r="HU9" i="4"/>
  <c r="AJ234" i="1"/>
  <c r="W234" i="1"/>
  <c r="W42" i="1"/>
  <c r="W245" i="1" s="1"/>
  <c r="W43" i="1"/>
  <c r="X43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95" i="1" l="1"/>
  <c r="AL107" i="1"/>
  <c r="AL110" i="1" s="1"/>
  <c r="IL19" i="4"/>
  <c r="BF78" i="1" s="1"/>
  <c r="BF107" i="1" s="1"/>
  <c r="IQ15" i="4"/>
  <c r="II20" i="4"/>
  <c r="BC79" i="1" s="1"/>
  <c r="BC108" i="1" s="1"/>
  <c r="ID15" i="4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IQ20" i="4" l="1"/>
  <c r="BK79" i="1" s="1"/>
  <c r="BK108" i="1" s="1"/>
  <c r="HX9" i="4"/>
  <c r="HX21" i="4" s="1"/>
  <c r="AR77" i="1" s="1"/>
  <c r="IM16" i="4"/>
  <c r="IM21" i="4" s="1"/>
  <c r="BG77" i="1" s="1"/>
  <c r="HV9" i="4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HV21" i="4" l="1"/>
  <c r="AP77" i="1" s="1"/>
  <c r="IW14" i="4"/>
  <c r="R43" i="1"/>
  <c r="CE70" i="1"/>
  <c r="CA87" i="1"/>
  <c r="CA86" i="1"/>
  <c r="CD90" i="1" s="1"/>
  <c r="BW89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W19" i="4" l="1"/>
  <c r="BQ78" i="1" s="1"/>
  <c r="BQ107" i="1" s="1"/>
  <c r="HY9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HY21" i="4" l="1"/>
  <c r="AS77" i="1" s="1"/>
  <c r="IU14" i="4"/>
  <c r="IU19" i="4" s="1"/>
  <c r="BO78" i="1" s="1"/>
  <c r="BO107" i="1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M85" i="2"/>
  <c r="S74" i="2"/>
  <c r="I106" i="2"/>
  <c r="V75" i="2"/>
  <c r="G99" i="2"/>
  <c r="L112" i="2"/>
  <c r="K74" i="2"/>
  <c r="X93" i="2"/>
  <c r="I82" i="2"/>
  <c r="F42" i="2"/>
  <c r="V73" i="2"/>
  <c r="C76" i="2"/>
  <c r="W68" i="2"/>
  <c r="K95" i="2"/>
  <c r="C47" i="2"/>
  <c r="N40" i="2"/>
  <c r="U88" i="2"/>
  <c r="W107" i="2"/>
  <c r="M89" i="2"/>
  <c r="R82" i="2"/>
  <c r="G91" i="2"/>
  <c r="H79" i="2"/>
  <c r="K51" i="2"/>
  <c r="X42" i="2"/>
  <c r="X67" i="2"/>
  <c r="L56" i="2"/>
  <c r="J40" i="2"/>
  <c r="C105" i="2"/>
  <c r="F43" i="2"/>
  <c r="J111" i="2"/>
  <c r="G105" i="2"/>
  <c r="M58" i="2"/>
  <c r="N99" i="2"/>
  <c r="N42" i="2"/>
  <c r="N75" i="2"/>
  <c r="C77" i="2"/>
  <c r="U106" i="2"/>
  <c r="G56" i="2"/>
  <c r="E40" i="2"/>
  <c r="V109" i="2"/>
  <c r="X91" i="2"/>
  <c r="V46" i="2"/>
  <c r="W45" i="2"/>
  <c r="Q60" i="2"/>
  <c r="I51" i="2"/>
  <c r="R107" i="2"/>
  <c r="L106" i="2"/>
  <c r="D106" i="2"/>
  <c r="M64" i="2"/>
  <c r="F59" i="2"/>
  <c r="P74" i="2"/>
  <c r="D94" i="2"/>
  <c r="G64" i="2"/>
  <c r="G55" i="2"/>
  <c r="H77" i="2"/>
  <c r="W52" i="2"/>
  <c r="P92" i="2"/>
  <c r="R50" i="2"/>
  <c r="C108" i="2"/>
  <c r="V83" i="2"/>
  <c r="M42" i="2"/>
  <c r="R60" i="2"/>
  <c r="C63" i="2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O84" i="2"/>
  <c r="P64" i="2"/>
  <c r="L93" i="2"/>
  <c r="K52" i="2"/>
  <c r="U75" i="2"/>
  <c r="D45" i="2"/>
  <c r="F95" i="2"/>
  <c r="W60" i="2"/>
  <c r="C49" i="2"/>
  <c r="J82" i="2"/>
  <c r="D72" i="2"/>
  <c r="F106" i="2"/>
  <c r="C42" i="2"/>
  <c r="X44" i="2"/>
  <c r="U62" i="2"/>
  <c r="T75" i="2"/>
  <c r="O90" i="2"/>
  <c r="L45" i="2"/>
  <c r="J99" i="2"/>
  <c r="F86" i="2"/>
  <c r="C57" i="2"/>
  <c r="K66" i="2"/>
  <c r="N52" i="2"/>
  <c r="W80" i="2"/>
  <c r="R93" i="2"/>
  <c r="K84" i="2"/>
  <c r="P43" i="2"/>
  <c r="J42" i="2"/>
  <c r="O92" i="2"/>
  <c r="X76" i="2"/>
  <c r="C54" i="2"/>
  <c r="X105" i="2"/>
  <c r="L80" i="2"/>
  <c r="E44" i="2"/>
  <c r="F64" i="2"/>
  <c r="L99" i="2"/>
  <c r="N91" i="2"/>
  <c r="C90" i="2"/>
  <c r="M74" i="2"/>
  <c r="G54" i="2"/>
  <c r="J77" i="2"/>
  <c r="I81" i="2"/>
  <c r="H106" i="2"/>
  <c r="T86" i="2"/>
  <c r="S56" i="2"/>
  <c r="U86" i="2"/>
  <c r="E73" i="2"/>
  <c r="V44" i="2"/>
  <c r="G42" i="2"/>
  <c r="F66" i="2"/>
  <c r="T49" i="2"/>
  <c r="T58" i="2"/>
  <c r="N67" i="2"/>
  <c r="J95" i="2"/>
  <c r="R40" i="2"/>
  <c r="N55" i="2"/>
  <c r="H76" i="2"/>
  <c r="C95" i="2"/>
  <c r="N57" i="2"/>
  <c r="F82" i="2"/>
  <c r="E96" i="2"/>
  <c r="L78" i="2"/>
  <c r="AB83" i="3"/>
  <c r="AP96" i="3"/>
  <c r="AB77" i="3"/>
  <c r="AP59" i="3"/>
  <c r="AB96" i="3"/>
  <c r="AP87" i="3"/>
  <c r="Q62" i="2"/>
  <c r="M62" i="2"/>
  <c r="S94" i="2"/>
  <c r="O74" i="2"/>
  <c r="D62" i="2"/>
  <c r="T43" i="2"/>
  <c r="O82" i="2"/>
  <c r="Q91" i="2"/>
  <c r="U53" i="2"/>
  <c r="S53" i="2"/>
  <c r="L50" i="2"/>
  <c r="L43" i="2"/>
  <c r="I66" i="2"/>
  <c r="W59" i="2"/>
  <c r="T94" i="2"/>
  <c r="C74" i="2"/>
  <c r="I72" i="2"/>
  <c r="E85" i="2"/>
  <c r="T68" i="2"/>
  <c r="W54" i="2"/>
  <c r="W111" i="2"/>
  <c r="I86" i="2"/>
  <c r="S48" i="2"/>
  <c r="X51" i="2"/>
  <c r="H89" i="2"/>
  <c r="N108" i="2"/>
  <c r="F44" i="2"/>
  <c r="N43" i="2"/>
  <c r="L98" i="2"/>
  <c r="D55" i="2"/>
  <c r="O53" i="2"/>
  <c r="V66" i="2"/>
  <c r="H69" i="2"/>
  <c r="X107" i="2"/>
  <c r="R96" i="2"/>
  <c r="U69" i="2"/>
  <c r="L64" i="2"/>
  <c r="M109" i="2"/>
  <c r="U93" i="2"/>
  <c r="K55" i="2"/>
  <c r="C83" i="2"/>
  <c r="K112" i="2"/>
  <c r="T96" i="2"/>
  <c r="Q72" i="2"/>
  <c r="E113" i="2"/>
  <c r="F85" i="2"/>
  <c r="G85" i="2"/>
  <c r="H57" i="2"/>
  <c r="P57" i="2"/>
  <c r="N54" i="2"/>
  <c r="R68" i="2"/>
  <c r="G86" i="2"/>
  <c r="D41" i="2"/>
  <c r="C51" i="2"/>
  <c r="U85" i="2"/>
  <c r="N70" i="2"/>
  <c r="E95" i="2"/>
  <c r="F70" i="2"/>
  <c r="M91" i="2"/>
  <c r="T69" i="2"/>
  <c r="K62" i="2"/>
  <c r="Q89" i="2"/>
  <c r="D63" i="2"/>
  <c r="O78" i="2"/>
  <c r="T65" i="2"/>
  <c r="L51" i="2"/>
  <c r="W75" i="2"/>
  <c r="S79" i="2"/>
  <c r="N105" i="2"/>
  <c r="P78" i="2"/>
  <c r="T80" i="2"/>
  <c r="O87" i="2"/>
  <c r="P62" i="2"/>
  <c r="R105" i="2"/>
  <c r="N80" i="2"/>
  <c r="Q88" i="2"/>
  <c r="U63" i="2"/>
  <c r="F51" i="2"/>
  <c r="D96" i="2"/>
  <c r="I97" i="2"/>
  <c r="U109" i="2"/>
  <c r="R83" i="2"/>
  <c r="N111" i="2"/>
  <c r="T41" i="2"/>
  <c r="G50" i="2"/>
  <c r="O99" i="2"/>
  <c r="M81" i="2"/>
  <c r="M83" i="2"/>
  <c r="K40" i="2"/>
  <c r="O112" i="2"/>
  <c r="D95" i="2"/>
  <c r="I87" i="2"/>
  <c r="K71" i="2"/>
  <c r="D104" i="2"/>
  <c r="Q80" i="2"/>
  <c r="V70" i="2"/>
  <c r="E80" i="2"/>
  <c r="S59" i="2"/>
  <c r="J49" i="2"/>
  <c r="M68" i="2"/>
  <c r="V59" i="2"/>
  <c r="C80" i="2"/>
  <c r="V91" i="2"/>
  <c r="D56" i="2"/>
  <c r="P52" i="2"/>
  <c r="K41" i="2"/>
  <c r="W104" i="2"/>
  <c r="X78" i="2"/>
  <c r="C66" i="2"/>
  <c r="K77" i="2"/>
  <c r="N63" i="2"/>
  <c r="I44" i="2"/>
  <c r="K106" i="2"/>
  <c r="I79" i="2"/>
  <c r="W96" i="2"/>
  <c r="D107" i="2"/>
  <c r="X85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E90" i="2"/>
  <c r="X65" i="2"/>
  <c r="E52" i="2"/>
  <c r="K49" i="2"/>
  <c r="F99" i="2"/>
  <c r="V65" i="2"/>
  <c r="K104" i="2"/>
  <c r="P107" i="2"/>
  <c r="R56" i="2"/>
  <c r="G89" i="2"/>
  <c r="V52" i="2"/>
  <c r="F111" i="2"/>
  <c r="W83" i="2"/>
  <c r="P41" i="2"/>
  <c r="M78" i="2"/>
  <c r="I84" i="2"/>
  <c r="W105" i="2"/>
  <c r="I56" i="2"/>
  <c r="R98" i="2"/>
  <c r="Q93" i="2"/>
  <c r="U87" i="2"/>
  <c r="D54" i="2"/>
  <c r="O86" i="2"/>
  <c r="L53" i="2"/>
  <c r="X89" i="2"/>
  <c r="P82" i="2"/>
  <c r="O110" i="2"/>
  <c r="U95" i="2"/>
  <c r="F112" i="2"/>
  <c r="V56" i="2"/>
  <c r="L96" i="2"/>
  <c r="M43" i="2"/>
  <c r="I42" i="2"/>
  <c r="D77" i="2"/>
  <c r="X52" i="2"/>
  <c r="D60" i="2"/>
  <c r="V81" i="2"/>
  <c r="E74" i="2"/>
  <c r="K65" i="2"/>
  <c r="N49" i="2"/>
  <c r="C104" i="2"/>
  <c r="G49" i="2"/>
  <c r="X53" i="2"/>
  <c r="C44" i="2"/>
  <c r="K85" i="2"/>
  <c r="W64" i="2"/>
  <c r="Q50" i="2"/>
  <c r="U110" i="2"/>
  <c r="X86" i="2"/>
  <c r="G94" i="2"/>
  <c r="T74" i="2"/>
  <c r="K83" i="2"/>
  <c r="T57" i="2"/>
  <c r="G70" i="2"/>
  <c r="U107" i="2"/>
  <c r="C79" i="2"/>
  <c r="G69" i="2"/>
  <c r="F81" i="2"/>
  <c r="H59" i="2"/>
  <c r="M108" i="2"/>
  <c r="K111" i="2"/>
  <c r="G83" i="2"/>
  <c r="E106" i="2"/>
  <c r="K50" i="2"/>
  <c r="K94" i="2"/>
  <c r="P63" i="2"/>
  <c r="M57" i="2"/>
  <c r="C58" i="2"/>
  <c r="F41" i="2"/>
  <c r="X108" i="2"/>
  <c r="T90" i="2"/>
  <c r="R81" i="2"/>
  <c r="T66" i="2"/>
  <c r="V80" i="2"/>
  <c r="R88" i="2"/>
  <c r="N72" i="2"/>
  <c r="S92" i="2"/>
  <c r="R63" i="2"/>
  <c r="W92" i="2"/>
  <c r="W94" i="2"/>
  <c r="J63" i="2"/>
  <c r="N66" i="2"/>
  <c r="K72" i="2"/>
  <c r="R89" i="2"/>
  <c r="L108" i="2"/>
  <c r="H56" i="2"/>
  <c r="C107" i="2"/>
  <c r="R80" i="2"/>
  <c r="S72" i="2"/>
  <c r="O51" i="2"/>
  <c r="J70" i="2"/>
  <c r="O60" i="2"/>
  <c r="V112" i="2"/>
  <c r="R72" i="2"/>
  <c r="X56" i="2"/>
  <c r="P53" i="2"/>
  <c r="F79" i="2"/>
  <c r="K89" i="2"/>
  <c r="U59" i="2"/>
  <c r="C75" i="2"/>
  <c r="D58" i="2"/>
  <c r="G87" i="2"/>
  <c r="R43" i="2"/>
  <c r="X111" i="2"/>
  <c r="F98" i="2"/>
  <c r="T61" i="2"/>
  <c r="C110" i="2"/>
  <c r="W86" i="2"/>
  <c r="I105" i="2"/>
  <c r="O88" i="2"/>
  <c r="X104" i="2"/>
  <c r="H88" i="2"/>
  <c r="S111" i="2"/>
  <c r="T62" i="2"/>
  <c r="E87" i="2"/>
  <c r="G79" i="2"/>
  <c r="L46" i="2"/>
  <c r="K58" i="2"/>
  <c r="H109" i="2"/>
  <c r="K64" i="2"/>
  <c r="N61" i="2"/>
  <c r="S64" i="2"/>
  <c r="O47" i="2"/>
  <c r="F69" i="2"/>
  <c r="U113" i="2"/>
  <c r="AB68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D99" i="2"/>
  <c r="F40" i="2"/>
  <c r="P46" i="2"/>
  <c r="N50" i="2"/>
  <c r="I80" i="2"/>
  <c r="E64" i="2"/>
  <c r="R48" i="2"/>
  <c r="L48" i="2"/>
  <c r="U92" i="2"/>
  <c r="L91" i="2"/>
  <c r="Q76" i="2"/>
  <c r="T40" i="2"/>
  <c r="L41" i="2"/>
  <c r="K88" i="2"/>
  <c r="I96" i="2"/>
  <c r="L77" i="2"/>
  <c r="D79" i="2"/>
  <c r="W42" i="2"/>
  <c r="V71" i="2"/>
  <c r="G95" i="2"/>
  <c r="R49" i="2"/>
  <c r="O46" i="2"/>
  <c r="W89" i="2"/>
  <c r="R111" i="2"/>
  <c r="J84" i="2"/>
  <c r="W67" i="2"/>
  <c r="E54" i="2"/>
  <c r="E83" i="2"/>
  <c r="X55" i="2"/>
  <c r="E107" i="2"/>
  <c r="G59" i="2"/>
  <c r="H62" i="2"/>
  <c r="O93" i="2"/>
  <c r="K92" i="2"/>
  <c r="C52" i="2"/>
  <c r="C93" i="2"/>
  <c r="E59" i="2"/>
  <c r="N109" i="2"/>
  <c r="P86" i="2"/>
  <c r="P93" i="2"/>
  <c r="R73" i="2"/>
  <c r="H108" i="2"/>
  <c r="W76" i="2"/>
  <c r="P49" i="2"/>
  <c r="H58" i="2"/>
  <c r="J96" i="2"/>
  <c r="G74" i="2"/>
  <c r="I69" i="2"/>
  <c r="G67" i="2"/>
  <c r="J90" i="2"/>
  <c r="I88" i="2"/>
  <c r="P48" i="2"/>
  <c r="H45" i="2"/>
  <c r="R99" i="2"/>
  <c r="D113" i="2"/>
  <c r="Q51" i="2"/>
  <c r="H93" i="2"/>
  <c r="G51" i="2"/>
  <c r="P45" i="2"/>
  <c r="O109" i="2"/>
  <c r="O108" i="2"/>
  <c r="M47" i="2"/>
  <c r="N47" i="2"/>
  <c r="AB60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D109" i="2"/>
  <c r="M104" i="2"/>
  <c r="O68" i="2"/>
  <c r="D85" i="2"/>
  <c r="G47" i="2"/>
  <c r="M82" i="2"/>
  <c r="T50" i="2"/>
  <c r="C96" i="2"/>
  <c r="C53" i="2"/>
  <c r="W88" i="2"/>
  <c r="D110" i="2"/>
  <c r="O42" i="2"/>
  <c r="S63" i="2"/>
  <c r="C89" i="2"/>
  <c r="F49" i="2"/>
  <c r="P47" i="2"/>
  <c r="J108" i="2"/>
  <c r="R74" i="2"/>
  <c r="G53" i="2"/>
  <c r="C99" i="2"/>
  <c r="F60" i="2"/>
  <c r="U73" i="2"/>
  <c r="Q94" i="2"/>
  <c r="G52" i="2"/>
  <c r="J68" i="2"/>
  <c r="W51" i="2"/>
  <c r="L60" i="2"/>
  <c r="H71" i="2"/>
  <c r="R70" i="2"/>
  <c r="J87" i="2"/>
  <c r="F107" i="2"/>
  <c r="J97" i="2"/>
  <c r="P89" i="2"/>
  <c r="M84" i="2"/>
  <c r="Q107" i="2"/>
  <c r="Q61" i="2"/>
  <c r="J86" i="2"/>
  <c r="I111" i="2"/>
  <c r="O104" i="2"/>
  <c r="S47" i="2"/>
  <c r="X87" i="2"/>
  <c r="Q111" i="2"/>
  <c r="D43" i="2"/>
  <c r="O52" i="2"/>
  <c r="T112" i="2"/>
  <c r="R94" i="2"/>
  <c r="O67" i="2"/>
  <c r="F77" i="2"/>
  <c r="V97" i="2"/>
  <c r="H90" i="2"/>
  <c r="K73" i="2"/>
  <c r="J45" i="2"/>
  <c r="L61" i="2"/>
  <c r="N44" i="2"/>
  <c r="Q73" i="2"/>
  <c r="F62" i="2"/>
  <c r="N98" i="2"/>
  <c r="X8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H76" i="3" s="1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I95" i="2"/>
  <c r="L81" i="2"/>
  <c r="T78" i="2"/>
  <c r="X70" i="2"/>
  <c r="D53" i="2"/>
  <c r="T95" i="2"/>
  <c r="F57" i="2"/>
  <c r="U68" i="2"/>
  <c r="X98" i="2"/>
  <c r="U96" i="2"/>
  <c r="E104" i="2"/>
  <c r="O106" i="2"/>
  <c r="E79" i="2"/>
  <c r="H81" i="2"/>
  <c r="X99" i="2"/>
  <c r="L69" i="2"/>
  <c r="L94" i="2"/>
  <c r="H85" i="2"/>
  <c r="O72" i="2"/>
  <c r="D86" i="2"/>
  <c r="R112" i="2"/>
  <c r="S97" i="2"/>
  <c r="E111" i="2"/>
  <c r="R84" i="2"/>
  <c r="R113" i="2"/>
  <c r="N74" i="2"/>
  <c r="U90" i="2"/>
  <c r="U61" i="2"/>
  <c r="W41" i="2"/>
  <c r="I43" i="2"/>
  <c r="E93" i="2"/>
  <c r="O65" i="2"/>
  <c r="N86" i="2"/>
  <c r="M72" i="2"/>
  <c r="W53" i="2"/>
  <c r="M70" i="2"/>
  <c r="M90" i="2"/>
  <c r="D59" i="2"/>
  <c r="J48" i="2"/>
  <c r="O79" i="2"/>
  <c r="T91" i="2"/>
  <c r="D73" i="2"/>
  <c r="C40" i="2"/>
  <c r="M63" i="2"/>
  <c r="V108" i="2"/>
  <c r="I110" i="2"/>
  <c r="U43" i="2"/>
  <c r="N110" i="2"/>
  <c r="D75" i="2"/>
  <c r="I75" i="2"/>
  <c r="L42" i="2"/>
  <c r="X74" i="2"/>
  <c r="N46" i="2"/>
  <c r="P56" i="2"/>
  <c r="J98" i="2"/>
  <c r="U108" i="2"/>
  <c r="L67" i="2"/>
  <c r="K63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G66" i="2"/>
  <c r="R86" i="2"/>
  <c r="P68" i="2"/>
  <c r="L65" i="2"/>
  <c r="N58" i="2"/>
  <c r="K90" i="2"/>
  <c r="O98" i="2"/>
  <c r="H84" i="2"/>
  <c r="R62" i="2"/>
  <c r="X62" i="2"/>
  <c r="U58" i="2"/>
  <c r="W87" i="2"/>
  <c r="W40" i="2"/>
  <c r="R87" i="2"/>
  <c r="I61" i="2"/>
  <c r="C64" i="2"/>
  <c r="N90" i="2"/>
  <c r="T48" i="2"/>
  <c r="Q82" i="2"/>
  <c r="J79" i="2"/>
  <c r="E71" i="2"/>
  <c r="W61" i="2"/>
  <c r="G93" i="2"/>
  <c r="J89" i="2"/>
  <c r="W106" i="2"/>
  <c r="L79" i="2"/>
  <c r="C86" i="2"/>
  <c r="D71" i="2"/>
  <c r="G88" i="2"/>
  <c r="V41" i="2"/>
  <c r="U89" i="2"/>
  <c r="E72" i="2"/>
  <c r="G63" i="2"/>
  <c r="V93" i="2"/>
  <c r="E56" i="2"/>
  <c r="S75" i="2"/>
  <c r="W82" i="2"/>
  <c r="T71" i="2"/>
  <c r="S113" i="2"/>
  <c r="S83" i="2"/>
  <c r="O97" i="2"/>
  <c r="W110" i="2"/>
  <c r="G80" i="2"/>
  <c r="T93" i="2"/>
  <c r="K46" i="2"/>
  <c r="H63" i="2"/>
  <c r="T52" i="2"/>
  <c r="M56" i="2"/>
  <c r="F45" i="2"/>
  <c r="O70" i="2"/>
  <c r="S42" i="2"/>
  <c r="S58" i="2"/>
  <c r="R59" i="2"/>
  <c r="T70" i="2"/>
  <c r="I58" i="2"/>
  <c r="X112" i="2"/>
  <c r="S66" i="2"/>
  <c r="G60" i="2"/>
  <c r="O61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K56" i="3" s="1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O95" i="2"/>
  <c r="U84" i="2"/>
  <c r="F113" i="2"/>
  <c r="M53" i="2"/>
  <c r="D108" i="2"/>
  <c r="T42" i="2"/>
  <c r="P42" i="2"/>
  <c r="S43" i="2"/>
  <c r="I77" i="2"/>
  <c r="Q74" i="2"/>
  <c r="P70" i="2"/>
  <c r="M45" i="2"/>
  <c r="F92" i="2"/>
  <c r="C69" i="2"/>
  <c r="L44" i="2"/>
  <c r="K105" i="2"/>
  <c r="R51" i="2"/>
  <c r="H50" i="2"/>
  <c r="U111" i="2"/>
  <c r="V62" i="2"/>
  <c r="D91" i="2"/>
  <c r="E51" i="2"/>
  <c r="S88" i="2"/>
  <c r="V69" i="2"/>
  <c r="O63" i="2"/>
  <c r="J73" i="2"/>
  <c r="T47" i="2"/>
  <c r="U77" i="2"/>
  <c r="O44" i="2"/>
  <c r="J113" i="2"/>
  <c r="J58" i="2"/>
  <c r="M107" i="2"/>
  <c r="M95" i="2"/>
  <c r="E88" i="2"/>
  <c r="U46" i="2"/>
  <c r="V82" i="2"/>
  <c r="M75" i="2"/>
  <c r="Q42" i="2"/>
  <c r="H42" i="2"/>
  <c r="S52" i="2"/>
  <c r="C97" i="2"/>
  <c r="P58" i="2"/>
  <c r="H80" i="2"/>
  <c r="Q86" i="2"/>
  <c r="C78" i="2"/>
  <c r="R45" i="2"/>
  <c r="O91" i="2"/>
  <c r="X97" i="2"/>
  <c r="P110" i="2"/>
  <c r="X80" i="2"/>
  <c r="R65" i="2"/>
  <c r="C61" i="2"/>
  <c r="Q44" i="2"/>
  <c r="W79" i="2"/>
  <c r="P77" i="2"/>
  <c r="H97" i="2"/>
  <c r="S54" i="2"/>
  <c r="Q47" i="2"/>
  <c r="J81" i="2"/>
  <c r="O62" i="2"/>
  <c r="D42" i="2"/>
  <c r="U51" i="2"/>
  <c r="C87" i="2"/>
  <c r="AB88" i="3"/>
  <c r="AP86" i="3"/>
  <c r="AB90" i="3"/>
  <c r="AP57" i="3"/>
  <c r="I49" i="2"/>
  <c r="E62" i="2"/>
  <c r="E86" i="2"/>
  <c r="W98" i="2"/>
  <c r="I104" i="2"/>
  <c r="N112" i="2"/>
  <c r="F46" i="2"/>
  <c r="I113" i="2"/>
  <c r="N81" i="2"/>
  <c r="Q52" i="2"/>
  <c r="U81" i="2"/>
  <c r="M86" i="2"/>
  <c r="J94" i="2"/>
  <c r="W44" i="2"/>
  <c r="V86" i="2"/>
  <c r="H44" i="2"/>
  <c r="P99" i="2"/>
  <c r="X96" i="2"/>
  <c r="R64" i="2"/>
  <c r="X69" i="2"/>
  <c r="G110" i="2"/>
  <c r="S93" i="2"/>
  <c r="C60" i="2"/>
  <c r="Q90" i="2"/>
  <c r="Q79" i="2"/>
  <c r="C62" i="2"/>
  <c r="K48" i="2"/>
  <c r="P44" i="2"/>
  <c r="F61" i="2"/>
  <c r="K81" i="2"/>
  <c r="V47" i="2"/>
  <c r="K68" i="2"/>
  <c r="O55" i="2"/>
  <c r="J69" i="2"/>
  <c r="T60" i="2"/>
  <c r="L66" i="2"/>
  <c r="T56" i="2"/>
  <c r="I55" i="2"/>
  <c r="N79" i="2"/>
  <c r="O111" i="2"/>
  <c r="X43" i="2"/>
  <c r="V53" i="2"/>
  <c r="P60" i="2"/>
  <c r="D67" i="2"/>
  <c r="D40" i="2"/>
  <c r="V68" i="2"/>
  <c r="E97" i="2"/>
  <c r="N71" i="2"/>
  <c r="J88" i="2"/>
  <c r="I93" i="2"/>
  <c r="J60" i="2"/>
  <c r="U70" i="2"/>
  <c r="G78" i="2"/>
  <c r="E48" i="2"/>
  <c r="I40" i="2"/>
  <c r="V45" i="2"/>
  <c r="X109" i="2"/>
  <c r="E78" i="2"/>
  <c r="M111" i="2"/>
  <c r="X68" i="2"/>
  <c r="L109" i="2"/>
  <c r="S98" i="2"/>
  <c r="F88" i="2"/>
  <c r="AP56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R97" i="2"/>
  <c r="AP97" i="3"/>
  <c r="AB86" i="3"/>
  <c r="AG39" i="3"/>
  <c r="N26" i="3"/>
  <c r="S31" i="3"/>
  <c r="Q36" i="3"/>
  <c r="S36" i="3"/>
  <c r="I37" i="3"/>
  <c r="L37" i="3"/>
  <c r="M11" i="3"/>
  <c r="P25" i="3"/>
  <c r="M15" i="3"/>
  <c r="I39" i="3"/>
  <c r="AB23" i="3"/>
  <c r="AG7" i="3"/>
  <c r="AH14" i="3"/>
  <c r="O35" i="3"/>
  <c r="Q26" i="3"/>
  <c r="C19" i="3"/>
  <c r="V34" i="3"/>
  <c r="Y38" i="3"/>
  <c r="AB21" i="3"/>
  <c r="Q19" i="3"/>
  <c r="L14" i="3"/>
  <c r="AQ9" i="3"/>
  <c r="C30" i="3"/>
  <c r="N36" i="3"/>
  <c r="AJ5" i="3"/>
  <c r="AG38" i="3"/>
  <c r="AK41" i="3"/>
  <c r="AB6" i="3"/>
  <c r="AJ34" i="3"/>
  <c r="L18" i="3"/>
  <c r="AQ33" i="3"/>
  <c r="I42" i="3"/>
  <c r="W10" i="3"/>
  <c r="L39" i="3"/>
  <c r="AP18" i="3"/>
  <c r="K17" i="3"/>
  <c r="Z5" i="3"/>
  <c r="W20" i="3"/>
  <c r="T29" i="3"/>
  <c r="AN39" i="3"/>
  <c r="AB8" i="3"/>
  <c r="AL5" i="3"/>
  <c r="Q8" i="3"/>
  <c r="X11" i="3"/>
  <c r="C16" i="3"/>
  <c r="AB9" i="3"/>
  <c r="X19" i="3"/>
  <c r="AO37" i="3"/>
  <c r="Z33" i="3"/>
  <c r="M41" i="3"/>
  <c r="AH39" i="3"/>
  <c r="X54" i="2"/>
  <c r="AB47" i="3"/>
  <c r="AP89" i="3"/>
  <c r="T8" i="3"/>
  <c r="AJ31" i="3"/>
  <c r="AN22" i="3"/>
  <c r="AB19" i="3"/>
  <c r="S12" i="3"/>
  <c r="AA34" i="3"/>
  <c r="AP19" i="3"/>
  <c r="G37" i="3"/>
  <c r="AP36" i="3"/>
  <c r="AP37" i="3"/>
  <c r="S42" i="3"/>
  <c r="H27" i="3"/>
  <c r="AN20" i="3"/>
  <c r="AN35" i="3"/>
  <c r="N10" i="3"/>
  <c r="AQ36" i="3"/>
  <c r="AC13" i="3"/>
  <c r="AJ23" i="3"/>
  <c r="AI38" i="3"/>
  <c r="AG26" i="3"/>
  <c r="AN6" i="3"/>
  <c r="U12" i="3"/>
  <c r="AE18" i="3"/>
  <c r="M7" i="3"/>
  <c r="Y31" i="3"/>
  <c r="T16" i="3"/>
  <c r="AG23" i="3"/>
  <c r="I29" i="3"/>
  <c r="AG6" i="3"/>
  <c r="K15" i="3"/>
  <c r="E48" i="3"/>
  <c r="AH29" i="3"/>
  <c r="AC16" i="3"/>
  <c r="I34" i="3"/>
  <c r="AC14" i="3"/>
  <c r="AI42" i="3"/>
  <c r="AJ32" i="3"/>
  <c r="AA10" i="3"/>
  <c r="AL7" i="3"/>
  <c r="AH34" i="3"/>
  <c r="AC31" i="3"/>
  <c r="AB27" i="3"/>
  <c r="AO17" i="3"/>
  <c r="M8" i="3"/>
  <c r="AN40" i="3"/>
  <c r="AL36" i="3"/>
  <c r="O25" i="3"/>
  <c r="L42" i="3"/>
  <c r="W42" i="3"/>
  <c r="AG31" i="3"/>
  <c r="AK33" i="3"/>
  <c r="AE37" i="3"/>
  <c r="P37" i="3"/>
  <c r="X17" i="3"/>
  <c r="N38" i="3"/>
  <c r="AD27" i="3"/>
  <c r="W17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AG35" i="3"/>
  <c r="S95" i="2"/>
  <c r="AP71" i="3"/>
  <c r="AP67" i="3"/>
  <c r="AL33" i="3"/>
  <c r="AK31" i="3"/>
  <c r="AE10" i="3"/>
  <c r="AH33" i="3"/>
  <c r="AE32" i="3"/>
  <c r="X7" i="3"/>
  <c r="AN9" i="3"/>
  <c r="AG17" i="3"/>
  <c r="AD20" i="3"/>
  <c r="W29" i="3"/>
  <c r="AB38" i="3"/>
  <c r="AJ16" i="3"/>
  <c r="AB37" i="3"/>
  <c r="C12" i="3"/>
  <c r="AD32" i="3"/>
  <c r="AN27" i="3"/>
  <c r="O16" i="3"/>
  <c r="V33" i="3"/>
  <c r="AN7" i="3"/>
  <c r="J27" i="3"/>
  <c r="R17" i="3"/>
  <c r="AA21" i="3"/>
  <c r="V25" i="3"/>
  <c r="AC25" i="3"/>
  <c r="U37" i="3"/>
  <c r="AE8" i="3"/>
  <c r="AG32" i="3"/>
  <c r="AI28" i="3"/>
  <c r="AC9" i="3"/>
  <c r="AK36" i="3"/>
  <c r="Z37" i="3"/>
  <c r="Y24" i="3"/>
  <c r="X13" i="3"/>
  <c r="W35" i="3"/>
  <c r="S41" i="3"/>
  <c r="N8" i="3"/>
  <c r="V11" i="3"/>
  <c r="AK10" i="3"/>
  <c r="H10" i="3"/>
  <c r="AK39" i="3"/>
  <c r="AA13" i="3"/>
  <c r="M37" i="3"/>
  <c r="AL12" i="3"/>
  <c r="N9" i="3"/>
  <c r="AP39" i="3"/>
  <c r="AD47" i="3"/>
  <c r="AL29" i="3"/>
  <c r="AK35" i="3"/>
  <c r="Y8" i="3"/>
  <c r="AK14" i="3"/>
  <c r="AA16" i="3"/>
  <c r="AQ26" i="3"/>
  <c r="Q12" i="3"/>
  <c r="AL18" i="3"/>
  <c r="U18" i="3"/>
  <c r="AA20" i="3"/>
  <c r="S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Y15" i="3"/>
  <c r="AG16" i="3"/>
  <c r="AC38" i="3"/>
  <c r="Z16" i="3"/>
  <c r="AM38" i="3"/>
  <c r="U20" i="3"/>
  <c r="W8" i="3"/>
  <c r="AE15" i="3"/>
  <c r="P15" i="3"/>
  <c r="T37" i="3"/>
  <c r="AJ35" i="3"/>
  <c r="X37" i="3"/>
  <c r="Y42" i="3"/>
  <c r="N17" i="3"/>
  <c r="AE40" i="3"/>
  <c r="J26" i="3"/>
  <c r="Y21" i="3"/>
  <c r="AH6" i="3"/>
  <c r="S26" i="3"/>
  <c r="Q20" i="3"/>
  <c r="V17" i="3"/>
  <c r="C18" i="3"/>
  <c r="M14" i="3"/>
  <c r="V37" i="3"/>
  <c r="AJ6" i="3"/>
  <c r="AO27" i="3"/>
  <c r="AB49" i="3"/>
  <c r="AC27" i="3"/>
  <c r="C32" i="3"/>
  <c r="AI10" i="3"/>
  <c r="O20" i="3"/>
  <c r="U22" i="3"/>
  <c r="AB29" i="3"/>
  <c r="I14" i="3"/>
  <c r="AC21" i="3"/>
  <c r="T39" i="3"/>
  <c r="S25" i="3"/>
  <c r="X20" i="3"/>
  <c r="V23" i="3"/>
  <c r="C35" i="3"/>
  <c r="S13" i="3"/>
  <c r="Q11" i="3"/>
  <c r="AD39" i="3"/>
  <c r="W112" i="2"/>
  <c r="C47" i="3"/>
  <c r="AB91" i="3"/>
  <c r="L19" i="3"/>
  <c r="T17" i="3"/>
  <c r="R24" i="3"/>
  <c r="AO15" i="3"/>
  <c r="O28" i="3"/>
  <c r="O37" i="3"/>
  <c r="L11" i="3"/>
  <c r="W18" i="3"/>
  <c r="AE14" i="3"/>
  <c r="AL37" i="3"/>
  <c r="AE39" i="3"/>
  <c r="AM14" i="3"/>
  <c r="AC42" i="3"/>
  <c r="AM12" i="3"/>
  <c r="G40" i="3"/>
  <c r="I13" i="3"/>
  <c r="AB11" i="3"/>
  <c r="C17" i="3"/>
  <c r="W24" i="3"/>
  <c r="AP14" i="3"/>
  <c r="P6" i="3"/>
  <c r="I41" i="3"/>
  <c r="AC6" i="3"/>
  <c r="L23" i="3"/>
  <c r="AQ23" i="3"/>
  <c r="K19" i="3"/>
  <c r="T26" i="3"/>
  <c r="AI19" i="3"/>
  <c r="C9" i="3"/>
  <c r="AJ11" i="3"/>
  <c r="I35" i="3"/>
  <c r="AQ14" i="3"/>
  <c r="AA41" i="3"/>
  <c r="AO29" i="3"/>
  <c r="H7" i="3"/>
  <c r="Z36" i="3"/>
  <c r="AD19" i="3"/>
  <c r="X22" i="3"/>
  <c r="J29" i="3"/>
  <c r="P23" i="3"/>
  <c r="Z23" i="3"/>
  <c r="I30" i="3"/>
  <c r="AO9" i="3"/>
  <c r="O10" i="3"/>
  <c r="S39" i="3"/>
  <c r="AN38" i="3"/>
  <c r="AJ18" i="3"/>
  <c r="AE36" i="3"/>
  <c r="AL6" i="3"/>
  <c r="AI35" i="3"/>
  <c r="Z21" i="3"/>
  <c r="I12" i="3"/>
  <c r="X33" i="3"/>
  <c r="N6" i="3"/>
  <c r="S29" i="3"/>
  <c r="I27" i="3"/>
  <c r="Y35" i="3"/>
  <c r="V26" i="3"/>
  <c r="AA29" i="3"/>
  <c r="J30" i="3"/>
  <c r="X8" i="3"/>
  <c r="AC30" i="3"/>
  <c r="V5" i="3"/>
  <c r="T38" i="3"/>
  <c r="N37" i="3"/>
  <c r="I31" i="3"/>
  <c r="AQ34" i="3"/>
  <c r="AL35" i="3"/>
  <c r="M16" i="3"/>
  <c r="AB16" i="3"/>
  <c r="R12" i="3"/>
  <c r="Q32" i="3"/>
  <c r="AK18" i="3"/>
  <c r="AG25" i="3"/>
  <c r="AD29" i="3"/>
  <c r="AA24" i="3"/>
  <c r="AB15" i="3"/>
  <c r="H33" i="3"/>
  <c r="X42" i="3"/>
  <c r="U13" i="3"/>
  <c r="AN30" i="3"/>
  <c r="AA7" i="3"/>
  <c r="N31" i="3"/>
  <c r="W25" i="3"/>
  <c r="U32" i="3"/>
  <c r="AK28" i="3"/>
  <c r="X6" i="3"/>
  <c r="J23" i="3"/>
  <c r="V6" i="3"/>
  <c r="U34" i="3"/>
  <c r="AK40" i="3"/>
  <c r="C4" i="3"/>
  <c r="AP29" i="3"/>
  <c r="AD34" i="3"/>
  <c r="AH9" i="3"/>
  <c r="AQ13" i="3"/>
  <c r="V41" i="3"/>
  <c r="M13" i="3"/>
  <c r="AJ14" i="3"/>
  <c r="AB12" i="3"/>
  <c r="T12" i="3"/>
  <c r="AJ28" i="3"/>
  <c r="AI22" i="3"/>
  <c r="Z18" i="3"/>
  <c r="AM28" i="3"/>
  <c r="H31" i="3"/>
  <c r="AI29" i="3"/>
  <c r="N33" i="3"/>
  <c r="AB31" i="3"/>
  <c r="L41" i="3"/>
  <c r="AK15" i="3"/>
  <c r="K16" i="3"/>
  <c r="AO13" i="3"/>
  <c r="N25" i="3"/>
  <c r="L105" i="2"/>
  <c r="AB71" i="3"/>
  <c r="AP49" i="3"/>
  <c r="N24" i="3"/>
  <c r="AL20" i="3"/>
  <c r="Z6" i="3"/>
  <c r="P5" i="3"/>
  <c r="P61" i="3" s="1"/>
  <c r="W33" i="3"/>
  <c r="U15" i="3"/>
  <c r="U19" i="3"/>
  <c r="X24" i="3"/>
  <c r="AJ41" i="3"/>
  <c r="AE34" i="3"/>
  <c r="AM21" i="3"/>
  <c r="U31" i="3"/>
  <c r="AC36" i="3"/>
  <c r="AK27" i="3"/>
  <c r="H40" i="3"/>
  <c r="AA40" i="3"/>
  <c r="K23" i="3"/>
  <c r="AH7" i="3"/>
  <c r="T41" i="3"/>
  <c r="AK11" i="3"/>
  <c r="T22" i="3"/>
  <c r="AC8" i="3"/>
  <c r="AO34" i="3"/>
  <c r="C42" i="3"/>
  <c r="AJ8" i="3"/>
  <c r="G50" i="3"/>
  <c r="V38" i="3"/>
  <c r="AO25" i="3"/>
  <c r="T10" i="3"/>
  <c r="AO10" i="3"/>
  <c r="W11" i="3"/>
  <c r="AB13" i="3"/>
  <c r="Q9" i="3"/>
  <c r="AK7" i="3"/>
  <c r="AO41" i="3"/>
  <c r="R38" i="3"/>
  <c r="AE38" i="3"/>
  <c r="Z29" i="3"/>
  <c r="AI36" i="3"/>
  <c r="AM29" i="3"/>
  <c r="T21" i="3"/>
  <c r="P24" i="3"/>
  <c r="Z7" i="3"/>
  <c r="AC26" i="3"/>
  <c r="I24" i="3"/>
  <c r="AO28" i="3"/>
  <c r="Z20" i="3"/>
  <c r="AD26" i="3"/>
  <c r="AO18" i="3"/>
  <c r="L17" i="3"/>
  <c r="R13" i="3"/>
  <c r="U27" i="3"/>
  <c r="AK42" i="3"/>
  <c r="C31" i="3"/>
  <c r="AI39" i="3"/>
  <c r="T9" i="3"/>
  <c r="Q24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C36" i="3"/>
  <c r="AN36" i="3"/>
  <c r="AA28" i="3"/>
  <c r="S10" i="3"/>
  <c r="K37" i="3"/>
  <c r="AL19" i="3"/>
  <c r="Q18" i="3"/>
  <c r="J10" i="3"/>
  <c r="L10" i="3"/>
  <c r="M18" i="3"/>
  <c r="U40" i="3"/>
  <c r="Q7" i="3"/>
  <c r="P17" i="3"/>
  <c r="AI18" i="3"/>
  <c r="L13" i="3"/>
  <c r="AG19" i="3"/>
  <c r="AC12" i="3"/>
  <c r="K30" i="3"/>
  <c r="I11" i="3"/>
  <c r="Z39" i="3"/>
  <c r="N11" i="3"/>
  <c r="AC10" i="3"/>
  <c r="AB40" i="3"/>
  <c r="AP35" i="3"/>
  <c r="AM18" i="3"/>
  <c r="AM27" i="3"/>
  <c r="K41" i="3"/>
  <c r="AA26" i="3"/>
  <c r="AQ28" i="3"/>
  <c r="AQ11" i="3"/>
  <c r="K5" i="3"/>
  <c r="AJ29" i="3"/>
  <c r="O19" i="3"/>
  <c r="AL8" i="3"/>
  <c r="AN29" i="3"/>
  <c r="P19" i="3"/>
  <c r="N42" i="3"/>
  <c r="L27" i="3"/>
  <c r="R9" i="3"/>
  <c r="AD40" i="3"/>
  <c r="V32" i="3"/>
  <c r="J20" i="3"/>
  <c r="AE23" i="3"/>
  <c r="V30" i="3"/>
  <c r="AB7" i="3"/>
  <c r="Q6" i="3"/>
  <c r="M42" i="3"/>
  <c r="AL32" i="3"/>
  <c r="AJ42" i="3"/>
  <c r="D48" i="3"/>
  <c r="L34" i="3"/>
  <c r="T40" i="3"/>
  <c r="G34" i="3"/>
  <c r="P12" i="3"/>
  <c r="AG13" i="3"/>
  <c r="T6" i="3"/>
  <c r="Q39" i="3"/>
  <c r="Z38" i="3"/>
  <c r="U35" i="3"/>
  <c r="AP42" i="3"/>
  <c r="AM35" i="3"/>
  <c r="Y10" i="3"/>
  <c r="AL14" i="3"/>
  <c r="AM36" i="3"/>
  <c r="X41" i="3"/>
  <c r="W39" i="3"/>
  <c r="AJ9" i="3"/>
  <c r="U17" i="3"/>
  <c r="AI26" i="3"/>
  <c r="H22" i="3"/>
  <c r="L35" i="3"/>
  <c r="AJ22" i="3"/>
  <c r="X35" i="3"/>
  <c r="Y11" i="3"/>
  <c r="AM39" i="3"/>
  <c r="AB10" i="3"/>
  <c r="AL26" i="3"/>
  <c r="M28" i="3"/>
  <c r="AK32" i="3"/>
  <c r="AI7" i="3"/>
  <c r="AJ10" i="3"/>
  <c r="U42" i="3"/>
  <c r="H29" i="3"/>
  <c r="X18" i="3"/>
  <c r="AD49" i="3"/>
  <c r="X84" i="2"/>
  <c r="AP58" i="3"/>
  <c r="AB85" i="3"/>
  <c r="AJ38" i="3"/>
  <c r="J16" i="3"/>
  <c r="N15" i="3"/>
  <c r="AD37" i="3"/>
  <c r="H38" i="3"/>
  <c r="O38" i="3"/>
  <c r="Q16" i="3"/>
  <c r="T32" i="3"/>
  <c r="AJ33" i="3"/>
  <c r="H6" i="3"/>
  <c r="AB34" i="3"/>
  <c r="Y18" i="3"/>
  <c r="AN32" i="3"/>
  <c r="Z28" i="3"/>
  <c r="O42" i="3"/>
  <c r="AB18" i="3"/>
  <c r="T30" i="3"/>
  <c r="N20" i="3"/>
  <c r="S17" i="3"/>
  <c r="L30" i="3"/>
  <c r="R20" i="3"/>
  <c r="AK9" i="3"/>
  <c r="C34" i="3"/>
  <c r="O24" i="3"/>
  <c r="U28" i="3"/>
  <c r="AH40" i="3"/>
  <c r="Y30" i="3"/>
  <c r="AK34" i="3"/>
  <c r="AP31" i="3"/>
  <c r="G48" i="3"/>
  <c r="H18" i="3"/>
  <c r="V7" i="3"/>
  <c r="AE5" i="3"/>
  <c r="AE85" i="3" s="1"/>
  <c r="Y37" i="3"/>
  <c r="AD48" i="3"/>
  <c r="AK13" i="3"/>
  <c r="K6" i="3"/>
  <c r="M5" i="3"/>
  <c r="M97" i="3" s="1"/>
  <c r="R10" i="3"/>
  <c r="O26" i="3"/>
  <c r="Y23" i="3"/>
  <c r="K10" i="3"/>
  <c r="AA14" i="3"/>
  <c r="M27" i="3"/>
  <c r="H23" i="3"/>
  <c r="AD25" i="3"/>
  <c r="AL17" i="3"/>
  <c r="AN28" i="3"/>
  <c r="Q30" i="3"/>
  <c r="L15" i="3"/>
  <c r="AN10" i="3"/>
  <c r="T7" i="3"/>
  <c r="Y26" i="3"/>
  <c r="AJ39" i="3"/>
  <c r="V22" i="3"/>
  <c r="R34" i="3"/>
  <c r="L12" i="3"/>
  <c r="Q21" i="3"/>
  <c r="K14" i="3"/>
  <c r="Q42" i="3"/>
  <c r="K39" i="3"/>
  <c r="Y9" i="3"/>
  <c r="R22" i="3"/>
  <c r="X39" i="3"/>
  <c r="AK8" i="3"/>
  <c r="R8" i="3"/>
  <c r="AG24" i="3"/>
  <c r="V42" i="3"/>
  <c r="AJ37" i="3"/>
  <c r="R19" i="3"/>
  <c r="AC34" i="3"/>
  <c r="AC41" i="3"/>
  <c r="AO36" i="3"/>
  <c r="N18" i="3"/>
  <c r="J31" i="3"/>
  <c r="V39" i="3"/>
  <c r="AH32" i="3"/>
  <c r="R39" i="3"/>
  <c r="AL40" i="3"/>
  <c r="AO12" i="3"/>
  <c r="Q15" i="3"/>
  <c r="I20" i="3"/>
  <c r="AJ26" i="3"/>
  <c r="AN21" i="3"/>
  <c r="AO35" i="3"/>
  <c r="AG33" i="3"/>
  <c r="J39" i="3"/>
  <c r="K28" i="3"/>
  <c r="O13" i="3"/>
  <c r="H12" i="3"/>
  <c r="AP38" i="3"/>
  <c r="T13" i="3"/>
  <c r="AA37" i="3"/>
  <c r="Q10" i="3"/>
  <c r="H25" i="3"/>
  <c r="AN24" i="3"/>
  <c r="AL34" i="3"/>
  <c r="M30" i="3"/>
  <c r="AD33" i="3"/>
  <c r="P31" i="3"/>
  <c r="AB28" i="3"/>
  <c r="N7" i="3"/>
  <c r="AH27" i="3"/>
  <c r="H26" i="3"/>
  <c r="AI17" i="3"/>
  <c r="R7" i="3"/>
  <c r="P36" i="3"/>
  <c r="N22" i="3"/>
  <c r="AD41" i="3"/>
  <c r="U14" i="3"/>
  <c r="C14" i="3"/>
  <c r="W23" i="3"/>
  <c r="Q37" i="3"/>
  <c r="AP24" i="3"/>
  <c r="C10" i="3"/>
  <c r="AP27" i="3"/>
  <c r="J22" i="3"/>
  <c r="T31" i="3"/>
  <c r="T25" i="3"/>
  <c r="AA25" i="3"/>
  <c r="N19" i="3"/>
  <c r="W40" i="3"/>
  <c r="I25" i="3"/>
  <c r="AB24" i="3"/>
  <c r="Q22" i="3"/>
  <c r="AP22" i="3"/>
  <c r="AI27" i="3"/>
  <c r="AL38" i="3"/>
  <c r="I6" i="3"/>
  <c r="AL13" i="3"/>
  <c r="U39" i="3"/>
  <c r="Z22" i="3"/>
  <c r="J40" i="3"/>
  <c r="AO8" i="3"/>
  <c r="AC24" i="3"/>
  <c r="AG29" i="3"/>
  <c r="AQ20" i="3"/>
  <c r="C11" i="3"/>
  <c r="F93" i="2"/>
  <c r="AP62" i="3"/>
  <c r="AB74" i="3"/>
  <c r="L32" i="3"/>
  <c r="Q34" i="3"/>
  <c r="AH21" i="3"/>
  <c r="AE31" i="3"/>
  <c r="W37" i="3"/>
  <c r="AA9" i="3"/>
  <c r="Y6" i="3"/>
  <c r="X34" i="3"/>
  <c r="O5" i="3"/>
  <c r="AI15" i="3"/>
  <c r="W15" i="3"/>
  <c r="Z35" i="3"/>
  <c r="AG27" i="3"/>
  <c r="AN37" i="3"/>
  <c r="M22" i="3"/>
  <c r="AN25" i="3"/>
  <c r="Q29" i="3"/>
  <c r="Y19" i="3"/>
  <c r="I15" i="3"/>
  <c r="T28" i="3"/>
  <c r="P18" i="3"/>
  <c r="J17" i="3"/>
  <c r="AO11" i="3"/>
  <c r="L28" i="3"/>
  <c r="W16" i="3"/>
  <c r="AQ12" i="3"/>
  <c r="H35" i="3"/>
  <c r="AE33" i="3"/>
  <c r="AL42" i="3"/>
  <c r="AM20" i="3"/>
  <c r="H37" i="3"/>
  <c r="W9" i="3"/>
  <c r="W31" i="3"/>
  <c r="AE6" i="3"/>
  <c r="X29" i="3"/>
  <c r="O27" i="3"/>
  <c r="AJ13" i="3"/>
  <c r="M38" i="3"/>
  <c r="AO30" i="3"/>
  <c r="M12" i="3"/>
  <c r="X32" i="3"/>
  <c r="H16" i="3"/>
  <c r="P7" i="3"/>
  <c r="H30" i="3"/>
  <c r="J24" i="3"/>
  <c r="T42" i="3"/>
  <c r="AK23" i="3"/>
  <c r="S20" i="3"/>
  <c r="K9" i="3"/>
  <c r="J11" i="3"/>
  <c r="M6" i="3"/>
  <c r="AG18" i="3"/>
  <c r="AG5" i="3"/>
  <c r="AA15" i="3"/>
  <c r="H39" i="3"/>
  <c r="AB25" i="3"/>
  <c r="O32" i="3"/>
  <c r="G33" i="3"/>
  <c r="V10" i="3"/>
  <c r="X23" i="3"/>
  <c r="V19" i="3"/>
  <c r="AO40" i="3"/>
  <c r="AP75" i="3"/>
  <c r="H36" i="3"/>
  <c r="R26" i="3"/>
  <c r="O7" i="3"/>
  <c r="S21" i="3"/>
  <c r="V13" i="3"/>
  <c r="AN5" i="3"/>
  <c r="AB36" i="3"/>
  <c r="S6" i="3"/>
  <c r="AM31" i="3"/>
  <c r="AK38" i="3"/>
  <c r="M24" i="3"/>
  <c r="AN41" i="3"/>
  <c r="N77" i="2"/>
  <c r="AP94" i="3"/>
  <c r="H20" i="3"/>
  <c r="O39" i="3"/>
  <c r="AH31" i="3"/>
  <c r="AL27" i="3"/>
  <c r="AC39" i="3"/>
  <c r="H28" i="3"/>
  <c r="J12" i="3"/>
  <c r="Z25" i="3"/>
  <c r="T33" i="3"/>
  <c r="X14" i="3"/>
  <c r="W34" i="3"/>
  <c r="R15" i="3"/>
  <c r="Y25" i="3"/>
  <c r="M32" i="3"/>
  <c r="C41" i="3"/>
  <c r="L31" i="3"/>
  <c r="AP16" i="3"/>
  <c r="AM5" i="3"/>
  <c r="AM67" i="3" s="1"/>
  <c r="J34" i="3"/>
  <c r="AP26" i="3"/>
  <c r="AN34" i="3"/>
  <c r="AP9" i="3"/>
  <c r="AO32" i="3"/>
  <c r="M31" i="3"/>
  <c r="J15" i="3"/>
  <c r="AQ19" i="3"/>
  <c r="P21" i="3"/>
  <c r="AN14" i="3"/>
  <c r="AP68" i="3"/>
  <c r="AB54" i="3"/>
  <c r="C28" i="3"/>
  <c r="H41" i="3"/>
  <c r="M10" i="3"/>
  <c r="Y17" i="3"/>
  <c r="X12" i="3"/>
  <c r="AI16" i="3"/>
  <c r="I9" i="3"/>
  <c r="AE21" i="3"/>
  <c r="H13" i="3"/>
  <c r="AI21" i="3"/>
  <c r="AN12" i="3"/>
  <c r="AG28" i="3"/>
  <c r="AG15" i="3"/>
  <c r="P8" i="3"/>
  <c r="H19" i="3"/>
  <c r="L6" i="3"/>
  <c r="R30" i="3"/>
  <c r="O18" i="3"/>
  <c r="AN23" i="3"/>
  <c r="W7" i="3"/>
  <c r="AG10" i="3"/>
  <c r="M26" i="3"/>
  <c r="X38" i="3"/>
  <c r="M33" i="3"/>
  <c r="AG21" i="3"/>
  <c r="R28" i="3"/>
  <c r="O11" i="3"/>
  <c r="X5" i="3"/>
  <c r="AG30" i="3"/>
  <c r="H32" i="3"/>
  <c r="AB26" i="3"/>
  <c r="T14" i="3"/>
  <c r="AQ41" i="3"/>
  <c r="AM30" i="3"/>
  <c r="K24" i="3"/>
  <c r="K18" i="3"/>
  <c r="AC5" i="3"/>
  <c r="AA23" i="3"/>
  <c r="X21" i="3"/>
  <c r="P40" i="3"/>
  <c r="Q41" i="3"/>
  <c r="AO16" i="3"/>
  <c r="P11" i="3"/>
  <c r="AK16" i="3"/>
  <c r="N41" i="3"/>
  <c r="V24" i="3"/>
  <c r="AO24" i="3"/>
  <c r="AN17" i="3"/>
  <c r="G39" i="3"/>
  <c r="AQ24" i="3"/>
  <c r="AH25" i="3"/>
  <c r="J6" i="3"/>
  <c r="J33" i="3"/>
  <c r="AE16" i="3"/>
  <c r="AB17" i="3"/>
  <c r="S28" i="3"/>
  <c r="AL11" i="3"/>
  <c r="AO26" i="3"/>
  <c r="AB81" i="3"/>
  <c r="AP80" i="3"/>
  <c r="Z30" i="3"/>
  <c r="Y22" i="3"/>
  <c r="T24" i="3"/>
  <c r="O21" i="3"/>
  <c r="Z8" i="3"/>
  <c r="AI41" i="3"/>
  <c r="P41" i="3"/>
  <c r="S32" i="3"/>
  <c r="AP13" i="3"/>
  <c r="I8" i="3"/>
  <c r="AM8" i="3"/>
  <c r="R32" i="3"/>
  <c r="K35" i="3"/>
  <c r="AP40" i="3"/>
  <c r="P22" i="3"/>
  <c r="AA42" i="3"/>
  <c r="S11" i="3"/>
  <c r="G32" i="3"/>
  <c r="Y28" i="3"/>
  <c r="AJ15" i="3"/>
  <c r="J7" i="3"/>
  <c r="Z9" i="3"/>
  <c r="O9" i="3"/>
  <c r="S30" i="3"/>
  <c r="Q5" i="3"/>
  <c r="P35" i="3"/>
  <c r="L26" i="3"/>
  <c r="L22" i="3"/>
  <c r="P16" i="3"/>
  <c r="W36" i="3"/>
  <c r="AI32" i="3"/>
  <c r="AP33" i="3"/>
  <c r="J21" i="3"/>
  <c r="AB33" i="3"/>
  <c r="AH41" i="3"/>
  <c r="N30" i="3"/>
  <c r="S23" i="3"/>
  <c r="AE41" i="3"/>
  <c r="R37" i="3"/>
  <c r="U36" i="3"/>
  <c r="AD21" i="3"/>
  <c r="Q28" i="3"/>
  <c r="AI20" i="3"/>
  <c r="AD30" i="3"/>
  <c r="J13" i="3"/>
  <c r="U9" i="3"/>
  <c r="AQ15" i="3"/>
  <c r="I33" i="3"/>
  <c r="Z13" i="3"/>
  <c r="AM17" i="3"/>
  <c r="AI25" i="3"/>
  <c r="C20" i="3"/>
  <c r="R27" i="3"/>
  <c r="Y14" i="3"/>
  <c r="U10" i="3"/>
  <c r="AN16" i="3"/>
  <c r="AN42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I22" i="3"/>
  <c r="AA8" i="3"/>
  <c r="AH10" i="3"/>
  <c r="AB59" i="3"/>
  <c r="AB97" i="3"/>
  <c r="K13" i="3"/>
  <c r="R18" i="3"/>
  <c r="R25" i="3"/>
  <c r="P34" i="3"/>
  <c r="AK12" i="3"/>
  <c r="Z15" i="3"/>
  <c r="AQ38" i="3"/>
  <c r="AM22" i="3"/>
  <c r="L33" i="3"/>
  <c r="V12" i="3"/>
  <c r="L8" i="3"/>
  <c r="W12" i="3"/>
  <c r="T35" i="3"/>
  <c r="J42" i="3"/>
  <c r="O41" i="3"/>
  <c r="V18" i="3"/>
  <c r="AI5" i="3"/>
  <c r="AI65" i="3" s="1"/>
  <c r="AK30" i="3"/>
  <c r="AL22" i="3"/>
  <c r="H9" i="3"/>
  <c r="AM13" i="3"/>
  <c r="AP28" i="3"/>
  <c r="J38" i="3"/>
  <c r="K42" i="3"/>
  <c r="O6" i="3"/>
  <c r="C27" i="3"/>
  <c r="R14" i="3"/>
  <c r="V27" i="3"/>
  <c r="I7" i="3"/>
  <c r="AQ21" i="3"/>
  <c r="AL15" i="3"/>
  <c r="AC23" i="3"/>
  <c r="AQ37" i="3"/>
  <c r="AO23" i="3"/>
  <c r="I18" i="3"/>
  <c r="AG36" i="3"/>
  <c r="AE20" i="3"/>
  <c r="Y36" i="3"/>
  <c r="P29" i="3"/>
  <c r="AG34" i="3"/>
  <c r="S19" i="3"/>
  <c r="AA33" i="3"/>
  <c r="Y33" i="3"/>
  <c r="AM37" i="3"/>
  <c r="U25" i="3"/>
  <c r="G38" i="3"/>
  <c r="J9" i="3"/>
  <c r="X40" i="3"/>
  <c r="AC28" i="3"/>
  <c r="J5" i="3"/>
  <c r="J56" i="3" s="1"/>
  <c r="AH26" i="3"/>
  <c r="Z32" i="3"/>
  <c r="W38" i="3"/>
  <c r="N13" i="3"/>
  <c r="AG20" i="3"/>
  <c r="Y29" i="3"/>
  <c r="AK6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I82" i="3" s="1"/>
  <c r="AI14" i="3"/>
  <c r="K26" i="3"/>
  <c r="U16" i="3"/>
  <c r="AJ7" i="3"/>
  <c r="C26" i="3"/>
  <c r="AP21" i="3"/>
  <c r="AA27" i="3"/>
  <c r="AA35" i="3"/>
  <c r="Z26" i="3"/>
  <c r="AQ42" i="3"/>
  <c r="AE29" i="3"/>
  <c r="R33" i="3"/>
  <c r="U23" i="3"/>
  <c r="U26" i="3"/>
  <c r="J32" i="3"/>
  <c r="Z40" i="3"/>
  <c r="AH28" i="3"/>
  <c r="AB35" i="3"/>
  <c r="T19" i="3"/>
  <c r="P42" i="3"/>
  <c r="AD36" i="3"/>
  <c r="AM7" i="3"/>
  <c r="AM34" i="3"/>
  <c r="AH19" i="3"/>
  <c r="T20" i="3"/>
  <c r="AI37" i="3"/>
  <c r="AL28" i="3"/>
  <c r="U29" i="3"/>
  <c r="C29" i="3"/>
  <c r="U5" i="3"/>
  <c r="Y5" i="3"/>
  <c r="K34" i="3"/>
  <c r="AG14" i="3"/>
  <c r="R11" i="3"/>
  <c r="AC40" i="3"/>
  <c r="K32" i="3"/>
  <c r="R16" i="3"/>
  <c r="L24" i="3"/>
  <c r="J35" i="3"/>
  <c r="AA39" i="3"/>
  <c r="AQ17" i="3"/>
  <c r="AG11" i="3"/>
  <c r="AK96" i="3"/>
  <c r="H92" i="3"/>
  <c r="AI64" i="3"/>
  <c r="AI58" i="3"/>
  <c r="Q58" i="3"/>
  <c r="J91" i="3"/>
  <c r="L82" i="3"/>
  <c r="O47" i="3"/>
  <c r="J80" i="3"/>
  <c r="AJ67" i="3"/>
  <c r="Q75" i="3"/>
  <c r="AA95" i="3"/>
  <c r="V87" i="3"/>
  <c r="W56" i="3"/>
  <c r="AK89" i="3"/>
  <c r="AA87" i="3"/>
  <c r="AL89" i="3"/>
  <c r="AH56" i="3"/>
  <c r="Z76" i="3"/>
  <c r="AL61" i="3"/>
  <c r="AH64" i="3"/>
  <c r="R54" i="3"/>
  <c r="H47" i="3"/>
  <c r="P69" i="3"/>
  <c r="AC86" i="3"/>
  <c r="S85" i="3"/>
  <c r="AO49" i="3"/>
  <c r="H70" i="3"/>
  <c r="Q74" i="3"/>
  <c r="AQ58" i="3"/>
  <c r="J92" i="3"/>
  <c r="Q71" i="3"/>
  <c r="S71" i="3"/>
  <c r="K54" i="3"/>
  <c r="AI87" i="3"/>
  <c r="O63" i="3"/>
  <c r="S58" i="3"/>
  <c r="AI69" i="3"/>
  <c r="M60" i="3"/>
  <c r="P88" i="3"/>
  <c r="O83" i="3"/>
  <c r="H96" i="3"/>
  <c r="P84" i="3"/>
  <c r="J90" i="3"/>
  <c r="AC75" i="3"/>
  <c r="O86" i="3"/>
  <c r="AI85" i="3"/>
  <c r="H68" i="3"/>
  <c r="L59" i="3"/>
  <c r="P58" i="3"/>
  <c r="L69" i="3"/>
  <c r="AJ95" i="3"/>
  <c r="AJ72" i="3"/>
  <c r="O90" i="3"/>
  <c r="AA59" i="3"/>
  <c r="K80" i="3"/>
  <c r="W96" i="3"/>
  <c r="AK85" i="3"/>
  <c r="AA76" i="3"/>
  <c r="AL96" i="3"/>
  <c r="AH66" i="3"/>
  <c r="S79" i="3"/>
  <c r="AC65" i="3"/>
  <c r="K72" i="3"/>
  <c r="AH71" i="3"/>
  <c r="R47" i="3"/>
  <c r="M69" i="3"/>
  <c r="O71" i="3"/>
  <c r="T58" i="3"/>
  <c r="AH77" i="3"/>
  <c r="V97" i="3"/>
  <c r="AJ65" i="3"/>
  <c r="AJ54" i="3"/>
  <c r="W65" i="3"/>
  <c r="AJ74" i="3"/>
  <c r="AH7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S95" i="3"/>
  <c r="AC71" i="3"/>
  <c r="W81" i="3"/>
  <c r="N97" i="3"/>
  <c r="AM96" i="3"/>
  <c r="Z97" i="3"/>
  <c r="R78" i="3"/>
  <c r="AJ76" i="3"/>
  <c r="V66" i="3"/>
  <c r="S75" i="3"/>
  <c r="U84" i="3"/>
  <c r="AH50" i="3"/>
  <c r="AL94" i="3"/>
  <c r="Z72" i="3"/>
  <c r="AQ92" i="3"/>
  <c r="Z68" i="3"/>
  <c r="J73" i="3"/>
  <c r="W76" i="3"/>
  <c r="Z82" i="3"/>
  <c r="T47" i="3"/>
  <c r="AI54" i="3"/>
  <c r="P66" i="3"/>
  <c r="J70" i="3"/>
  <c r="AI96" i="3"/>
  <c r="N64" i="3"/>
  <c r="L84" i="3"/>
  <c r="P47" i="3"/>
  <c r="H67" i="3"/>
  <c r="P56" i="3"/>
  <c r="AO76" i="3"/>
  <c r="AJ82" i="3"/>
  <c r="AH84" i="3"/>
  <c r="AL66" i="3"/>
  <c r="AI76" i="3"/>
  <c r="H75" i="3"/>
  <c r="M94" i="3"/>
  <c r="H81" i="3"/>
  <c r="O95" i="3"/>
  <c r="M61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R84" i="3"/>
  <c r="J69" i="3"/>
  <c r="T54" i="3"/>
  <c r="U66" i="3"/>
  <c r="V96" i="3"/>
  <c r="H77" i="3"/>
  <c r="W50" i="3"/>
  <c r="AO81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Q60" i="3"/>
  <c r="O84" i="3"/>
  <c r="U85" i="3"/>
  <c r="T65" i="3"/>
  <c r="W74" i="3"/>
  <c r="N84" i="3"/>
  <c r="AM75" i="3"/>
  <c r="AC58" i="3"/>
  <c r="R55" i="3"/>
  <c r="V64" i="3"/>
  <c r="S59" i="3"/>
  <c r="U67" i="3"/>
  <c r="AL50" i="3"/>
  <c r="Z89" i="3"/>
  <c r="AQ81" i="3"/>
  <c r="AJ79" i="3"/>
  <c r="W80" i="3"/>
  <c r="V71" i="3"/>
  <c r="Z86" i="3"/>
  <c r="Q61" i="3"/>
  <c r="AO89" i="3"/>
  <c r="AK59" i="3"/>
  <c r="AA74" i="3"/>
  <c r="AI83" i="3"/>
  <c r="AI60" i="3"/>
  <c r="L66" i="3"/>
  <c r="AC83" i="3"/>
  <c r="AA89" i="3"/>
  <c r="AA58" i="3"/>
  <c r="Z93" i="3"/>
  <c r="AA97" i="3"/>
  <c r="Z73" i="3"/>
  <c r="AA55" i="3"/>
  <c r="AO73" i="3"/>
  <c r="N96" i="3"/>
  <c r="Z47" i="3"/>
  <c r="AJ57" i="3"/>
  <c r="W82" i="3"/>
  <c r="AM71" i="3"/>
  <c r="K86" i="3"/>
  <c r="U74" i="3"/>
  <c r="Q81" i="3"/>
  <c r="AC73" i="3"/>
  <c r="K75" i="3"/>
  <c r="AH74" i="3"/>
  <c r="R86" i="3"/>
  <c r="AL85" i="3"/>
  <c r="AO63" i="3"/>
  <c r="AQ57" i="3"/>
  <c r="P76" i="3"/>
  <c r="V85" i="3"/>
  <c r="Z55" i="3"/>
  <c r="W85" i="3"/>
  <c r="AL77" i="3"/>
  <c r="U79" i="3"/>
  <c r="P94" i="3"/>
  <c r="V49" i="3"/>
  <c r="N93" i="3"/>
  <c r="AM74" i="3"/>
  <c r="AK49" i="3"/>
  <c r="H72" i="3"/>
  <c r="J83" i="3"/>
  <c r="AI77" i="3"/>
  <c r="P96" i="3"/>
  <c r="J79" i="3"/>
  <c r="H73" i="3"/>
  <c r="J94" i="3"/>
  <c r="M93" i="3"/>
  <c r="AJ60" i="3"/>
  <c r="AA72" i="3"/>
  <c r="T96" i="3"/>
  <c r="W67" i="3"/>
  <c r="N92" i="3"/>
  <c r="T69" i="3"/>
  <c r="R90" i="3"/>
  <c r="V86" i="3"/>
  <c r="S82" i="3"/>
  <c r="H63" i="3"/>
  <c r="AI78" i="3"/>
  <c r="AK69" i="3"/>
  <c r="AI90" i="3"/>
  <c r="L61" i="3"/>
  <c r="J68" i="3"/>
  <c r="L70" i="3"/>
  <c r="AO66" i="3"/>
  <c r="M67" i="3"/>
  <c r="V56" i="3"/>
  <c r="AA93" i="3"/>
  <c r="T55" i="3"/>
  <c r="Z92" i="3"/>
  <c r="N78" i="3"/>
  <c r="AM60" i="3"/>
  <c r="U47" i="3"/>
  <c r="AJ85" i="3"/>
  <c r="AO48" i="3"/>
  <c r="S55" i="3"/>
  <c r="AH83" i="3"/>
  <c r="S81" i="3"/>
  <c r="AJ83" i="3"/>
  <c r="V95" i="3"/>
  <c r="Z88" i="3"/>
  <c r="AQ86" i="3"/>
  <c r="AA80" i="3"/>
  <c r="Q48" i="3"/>
  <c r="U61" i="3"/>
  <c r="N87" i="3"/>
  <c r="AC94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M83" i="3"/>
  <c r="AO74" i="3"/>
  <c r="W68" i="3"/>
  <c r="N88" i="3"/>
  <c r="M49" i="3"/>
  <c r="V60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V83" i="3"/>
  <c r="AM80" i="3"/>
  <c r="AK95" i="3"/>
  <c r="AM59" i="3"/>
  <c r="O54" i="3"/>
  <c r="P92" i="3"/>
  <c r="L72" i="3"/>
  <c r="O69" i="3"/>
  <c r="O88" i="3"/>
  <c r="AI74" i="3"/>
  <c r="Q70" i="3"/>
  <c r="AO59" i="3"/>
  <c r="AC68" i="3"/>
  <c r="W77" i="3"/>
  <c r="N62" i="3"/>
  <c r="AM92" i="3"/>
  <c r="AC55" i="3"/>
  <c r="R48" i="3"/>
  <c r="V80" i="3"/>
  <c r="S94" i="3"/>
  <c r="U96" i="3"/>
  <c r="AL63" i="3"/>
  <c r="AC95" i="3"/>
  <c r="R63" i="3"/>
  <c r="J82" i="3"/>
  <c r="V81" i="3"/>
  <c r="J54" i="3"/>
  <c r="AK58" i="3"/>
  <c r="S88" i="3"/>
  <c r="V63" i="3"/>
  <c r="R91" i="3"/>
  <c r="AC93" i="3"/>
  <c r="P82" i="3"/>
  <c r="AL62" i="3"/>
  <c r="AK74" i="3"/>
  <c r="AK83" i="3"/>
  <c r="AI73" i="3"/>
  <c r="Q56" i="3"/>
  <c r="AI75" i="3"/>
  <c r="N49" i="3"/>
  <c r="L67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R88" i="3"/>
  <c r="V55" i="3"/>
  <c r="S97" i="3"/>
  <c r="U62" i="3"/>
  <c r="AQ62" i="3"/>
  <c r="AQ59" i="3"/>
  <c r="AL58" i="3"/>
  <c r="T59" i="3"/>
  <c r="R95" i="3"/>
  <c r="T48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R69" i="3"/>
  <c r="M63" i="3"/>
  <c r="O82" i="3"/>
  <c r="T88" i="3"/>
  <c r="AH65" i="3"/>
  <c r="AO55" i="3"/>
  <c r="AM57" i="3"/>
  <c r="U75" i="3"/>
  <c r="S74" i="3"/>
  <c r="V89" i="3"/>
  <c r="L74" i="3"/>
  <c r="L85" i="3"/>
  <c r="AA77" i="3"/>
  <c r="AI62" i="3"/>
  <c r="AK84" i="3"/>
  <c r="H59" i="3"/>
  <c r="H83" i="3"/>
  <c r="L87" i="3"/>
  <c r="AK60" i="3"/>
  <c r="N94" i="3"/>
  <c r="P71" i="3"/>
  <c r="AA65" i="3"/>
  <c r="L68" i="3"/>
  <c r="O78" i="3"/>
  <c r="O87" i="3"/>
  <c r="H82" i="3"/>
  <c r="Q82" i="3"/>
  <c r="O81" i="3"/>
  <c r="U68" i="3"/>
  <c r="T63" i="3"/>
  <c r="W55" i="3"/>
  <c r="N59" i="3"/>
  <c r="AM78" i="3"/>
  <c r="AO86" i="3"/>
  <c r="AC77" i="3"/>
  <c r="AL60" i="3"/>
  <c r="S66" i="3"/>
  <c r="U64" i="3"/>
  <c r="AQ56" i="3"/>
  <c r="AQ88" i="3"/>
  <c r="AL87" i="3"/>
  <c r="T50" i="3"/>
  <c r="R61" i="3"/>
  <c r="O75" i="3"/>
  <c r="T62" i="3"/>
  <c r="AM68" i="3"/>
  <c r="U54" i="3"/>
  <c r="K97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W71" i="3"/>
  <c r="AM90" i="3"/>
  <c r="J64" i="3"/>
  <c r="K84" i="3"/>
  <c r="U81" i="3"/>
  <c r="Q79" i="3"/>
  <c r="AC54" i="3"/>
  <c r="K68" i="3"/>
  <c r="AH82" i="3"/>
  <c r="R64" i="3"/>
  <c r="AL76" i="3"/>
  <c r="J55" i="3"/>
  <c r="T61" i="3"/>
  <c r="U71" i="3"/>
  <c r="V74" i="3"/>
  <c r="V91" i="3"/>
  <c r="Z94" i="3"/>
  <c r="AM49" i="3"/>
  <c r="R68" i="3"/>
  <c r="AH54" i="3"/>
  <c r="W83" i="3"/>
  <c r="AL72" i="3"/>
  <c r="AM65" i="3"/>
  <c r="L55" i="3"/>
  <c r="AJ73" i="3"/>
  <c r="AI48" i="3"/>
  <c r="H49" i="3"/>
  <c r="N69" i="3"/>
  <c r="H88" i="3"/>
  <c r="P59" i="3"/>
  <c r="Q87" i="3"/>
  <c r="M96" i="3"/>
  <c r="H97" i="3"/>
  <c r="J95" i="3"/>
  <c r="O50" i="3"/>
  <c r="AJ94" i="3"/>
  <c r="Z80" i="3"/>
  <c r="AO97" i="3"/>
  <c r="W86" i="3"/>
  <c r="N77" i="3"/>
  <c r="U48" i="3"/>
  <c r="V92" i="3"/>
  <c r="V54" i="3"/>
  <c r="AL83" i="3"/>
  <c r="S96" i="3"/>
  <c r="U86" i="3"/>
  <c r="AQ87" i="3"/>
  <c r="W78" i="3"/>
  <c r="R93" i="3"/>
  <c r="Z75" i="3"/>
  <c r="K90" i="3"/>
  <c r="T67" i="3"/>
  <c r="R80" i="3"/>
  <c r="Q72" i="3"/>
  <c r="AO69" i="3"/>
  <c r="R62" i="3"/>
  <c r="S80" i="3"/>
  <c r="K60" i="3"/>
  <c r="AM48" i="3"/>
  <c r="L96" i="3"/>
  <c r="T74" i="3"/>
  <c r="AI82" i="3"/>
  <c r="N67" i="3"/>
  <c r="AM87" i="3"/>
  <c r="L54" i="3"/>
  <c r="AC74" i="3"/>
  <c r="L48" i="3"/>
  <c r="H87" i="3"/>
  <c r="Q67" i="3"/>
  <c r="AH89" i="3"/>
  <c r="Q47" i="3"/>
  <c r="T95" i="3"/>
  <c r="W92" i="3"/>
  <c r="AM72" i="3"/>
  <c r="U73" i="3"/>
  <c r="J57" i="3"/>
  <c r="T66" i="3"/>
  <c r="K83" i="3"/>
  <c r="AH62" i="3"/>
  <c r="R59" i="3"/>
  <c r="AL95" i="3"/>
  <c r="AO60" i="3"/>
  <c r="S67" i="3"/>
  <c r="O61" i="3"/>
  <c r="T60" i="3"/>
  <c r="AM47" i="3"/>
  <c r="L77" i="3"/>
  <c r="U56" i="3"/>
  <c r="S54" i="3"/>
  <c r="AH68" i="3"/>
  <c r="AQ47" i="3"/>
  <c r="N95" i="3"/>
  <c r="AI93" i="3"/>
  <c r="P75" i="3"/>
  <c r="M65" i="3"/>
  <c r="AO82" i="3"/>
  <c r="W69" i="3"/>
  <c r="AA61" i="3"/>
  <c r="U69" i="3"/>
  <c r="AL67" i="3"/>
  <c r="H95" i="3"/>
  <c r="AC96" i="3"/>
  <c r="AO70" i="3"/>
  <c r="AK50" i="3"/>
  <c r="V48" i="3"/>
  <c r="AI55" i="3"/>
  <c r="Q91" i="3"/>
  <c r="AI61" i="3"/>
  <c r="P49" i="3"/>
  <c r="L62" i="3"/>
  <c r="L57" i="3"/>
  <c r="O89" i="3"/>
  <c r="P64" i="3"/>
  <c r="K94" i="3"/>
  <c r="V88" i="3"/>
  <c r="AL81" i="3"/>
  <c r="AQ69" i="3"/>
  <c r="T82" i="3"/>
  <c r="H57" i="3"/>
  <c r="Q83" i="3"/>
  <c r="N63" i="3"/>
  <c r="U55" i="3"/>
  <c r="AH47" i="3"/>
  <c r="AJ68" i="3"/>
  <c r="R85" i="3"/>
  <c r="AJ62" i="3"/>
  <c r="K76" i="3"/>
  <c r="AJ90" i="3"/>
  <c r="N55" i="3"/>
  <c r="K95" i="3"/>
  <c r="Z71" i="3"/>
  <c r="H56" i="3"/>
  <c r="AA67" i="3"/>
  <c r="J63" i="3"/>
  <c r="AC62" i="3"/>
  <c r="R57" i="3"/>
  <c r="AQ68" i="3"/>
  <c r="R81" i="3"/>
  <c r="AJ92" i="3"/>
  <c r="AH93" i="3"/>
  <c r="AK73" i="3"/>
  <c r="AC89" i="3"/>
  <c r="U89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O96" i="3"/>
  <c r="H58" i="3"/>
  <c r="M95" i="3"/>
  <c r="W59" i="3"/>
  <c r="S87" i="3"/>
  <c r="S73" i="3"/>
  <c r="I80" i="3"/>
  <c r="I48" i="3"/>
  <c r="AA88" i="3"/>
  <c r="S69" i="3"/>
  <c r="AI97" i="3"/>
  <c r="M86" i="3"/>
  <c r="AA96" i="3"/>
  <c r="T64" i="3"/>
  <c r="AO58" i="3"/>
  <c r="W66" i="3"/>
  <c r="AJ47" i="3"/>
  <c r="T57" i="3"/>
  <c r="K74" i="3"/>
  <c r="Y87" i="3"/>
  <c r="K64" i="3"/>
  <c r="AO84" i="3"/>
  <c r="AQ78" i="3"/>
  <c r="N48" i="3"/>
  <c r="AA69" i="3"/>
  <c r="K67" i="3"/>
  <c r="AJ89" i="3"/>
  <c r="AI71" i="3"/>
  <c r="P83" i="3"/>
  <c r="AI79" i="3"/>
  <c r="V68" i="3"/>
  <c r="L79" i="3"/>
  <c r="P70" i="3"/>
  <c r="AJ86" i="3"/>
  <c r="J65" i="3"/>
  <c r="M57" i="3"/>
  <c r="W62" i="3"/>
  <c r="AL84" i="3"/>
  <c r="K88" i="3"/>
  <c r="AQ89" i="3"/>
  <c r="V58" i="3"/>
  <c r="Y50" i="3"/>
  <c r="P65" i="3"/>
  <c r="P77" i="3"/>
  <c r="L92" i="3"/>
  <c r="Q57" i="3"/>
  <c r="M47" i="3"/>
  <c r="W57" i="3"/>
  <c r="U65" i="3"/>
  <c r="AH57" i="3"/>
  <c r="AE92" i="3"/>
  <c r="X88" i="3"/>
  <c r="K59" i="3"/>
  <c r="AQ84" i="3"/>
  <c r="AK81" i="3"/>
  <c r="AE68" i="3"/>
  <c r="J81" i="3"/>
  <c r="Y47" i="3"/>
  <c r="Z60" i="3"/>
  <c r="W60" i="3"/>
  <c r="K55" i="3"/>
  <c r="Y64" i="3"/>
  <c r="S93" i="3"/>
  <c r="V61" i="3"/>
  <c r="AQ82" i="3"/>
  <c r="Q97" i="3"/>
  <c r="AA85" i="3"/>
  <c r="K81" i="3"/>
  <c r="AI49" i="3"/>
  <c r="K66" i="3"/>
  <c r="AK55" i="3"/>
  <c r="AI59" i="3"/>
  <c r="H65" i="3"/>
  <c r="P90" i="3"/>
  <c r="AE78" i="3"/>
  <c r="AA63" i="3"/>
  <c r="W84" i="3"/>
  <c r="K71" i="3"/>
  <c r="R65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K93" i="3"/>
  <c r="J74" i="3"/>
  <c r="P55" i="3"/>
  <c r="N86" i="3"/>
  <c r="I78" i="3"/>
  <c r="AM64" i="3"/>
  <c r="M88" i="3"/>
  <c r="AQ66" i="3"/>
  <c r="AH87" i="3"/>
  <c r="AO92" i="3"/>
  <c r="AO80" i="3"/>
  <c r="P72" i="3"/>
  <c r="Y48" i="3"/>
  <c r="M66" i="3"/>
  <c r="AL47" i="3"/>
  <c r="X70" i="3"/>
  <c r="Z79" i="3"/>
  <c r="AH70" i="3"/>
  <c r="AM79" i="3"/>
  <c r="I89" i="3"/>
  <c r="P48" i="3"/>
  <c r="AO61" i="3"/>
  <c r="AL49" i="3"/>
  <c r="V62" i="3"/>
  <c r="AH88" i="3"/>
  <c r="I72" i="3"/>
  <c r="U90" i="3"/>
  <c r="AM77" i="3"/>
  <c r="T89" i="3"/>
  <c r="Z74" i="3"/>
  <c r="M80" i="3"/>
  <c r="T86" i="3"/>
  <c r="S78" i="3"/>
  <c r="AC63" i="3"/>
  <c r="M74" i="3"/>
  <c r="Y97" i="3"/>
  <c r="AK63" i="3"/>
  <c r="AA49" i="3"/>
  <c r="H64" i="3"/>
  <c r="H62" i="3"/>
  <c r="Q96" i="3"/>
  <c r="N47" i="3"/>
  <c r="U63" i="3"/>
  <c r="U97" i="3"/>
  <c r="P68" i="3"/>
  <c r="R89" i="3"/>
  <c r="AK57" i="3"/>
  <c r="O59" i="3"/>
  <c r="AE66" i="3"/>
  <c r="AI88" i="3"/>
  <c r="AA50" i="3"/>
  <c r="N56" i="3"/>
  <c r="AO93" i="3"/>
  <c r="S61" i="3"/>
  <c r="S65" i="3"/>
  <c r="AQ73" i="3"/>
  <c r="AQ70" i="3"/>
  <c r="AL86" i="3"/>
  <c r="R82" i="3"/>
  <c r="X60" i="3"/>
  <c r="AE56" i="3"/>
  <c r="AH80" i="3"/>
  <c r="AC61" i="3"/>
  <c r="AK94" i="3"/>
  <c r="AH49" i="3"/>
  <c r="AK75" i="3"/>
  <c r="AI94" i="3"/>
  <c r="O94" i="3"/>
  <c r="O73" i="3"/>
  <c r="T77" i="3"/>
  <c r="AJ69" i="3"/>
  <c r="AA48" i="3"/>
  <c r="W58" i="3"/>
  <c r="S50" i="3"/>
  <c r="I70" i="3"/>
  <c r="S70" i="3"/>
  <c r="O58" i="3"/>
  <c r="AM89" i="3"/>
  <c r="O76" i="3"/>
  <c r="H60" i="3"/>
  <c r="AO88" i="3"/>
  <c r="AM58" i="3"/>
  <c r="AJ58" i="3"/>
  <c r="Y83" i="3"/>
  <c r="V47" i="3"/>
  <c r="AQ91" i="3"/>
  <c r="AK65" i="3"/>
  <c r="S63" i="3"/>
  <c r="X83" i="3"/>
  <c r="O64" i="3"/>
  <c r="AJ88" i="3"/>
  <c r="Y67" i="3"/>
  <c r="I55" i="3"/>
  <c r="V72" i="3"/>
  <c r="K92" i="3"/>
  <c r="K58" i="3"/>
  <c r="K85" i="3"/>
  <c r="I58" i="3"/>
  <c r="J75" i="3"/>
  <c r="AA86" i="3"/>
  <c r="X76" i="3"/>
  <c r="R49" i="3"/>
  <c r="U93" i="3"/>
  <c r="AQ60" i="3"/>
  <c r="AH58" i="3"/>
  <c r="X61" i="3"/>
  <c r="W47" i="3"/>
  <c r="AJ97" i="3"/>
  <c r="AM88" i="3"/>
  <c r="S86" i="3"/>
  <c r="K69" i="3"/>
  <c r="M84" i="3"/>
  <c r="X85" i="3"/>
  <c r="U82" i="3"/>
  <c r="Z84" i="3"/>
  <c r="W97" i="3"/>
  <c r="AQ55" i="3"/>
  <c r="H74" i="3"/>
  <c r="R67" i="3"/>
  <c r="AE63" i="3"/>
  <c r="AL75" i="3"/>
  <c r="X95" i="3"/>
  <c r="Z59" i="3"/>
  <c r="U72" i="3"/>
  <c r="W72" i="3"/>
  <c r="S64" i="3"/>
  <c r="AQ50" i="3"/>
  <c r="S62" i="3"/>
  <c r="Q95" i="3"/>
  <c r="AI84" i="3"/>
  <c r="AE84" i="3"/>
  <c r="N71" i="3"/>
  <c r="Y96" i="3"/>
  <c r="Z64" i="3"/>
  <c r="Q86" i="3"/>
  <c r="AK93" i="3"/>
  <c r="AM81" i="3"/>
  <c r="P57" i="3"/>
  <c r="AA79" i="3"/>
  <c r="J50" i="3"/>
  <c r="N91" i="3"/>
  <c r="AL65" i="3"/>
  <c r="AJ59" i="3"/>
  <c r="S49" i="3"/>
  <c r="AQ61" i="3"/>
  <c r="AQ64" i="3"/>
  <c r="K82" i="3"/>
  <c r="R71" i="3"/>
  <c r="AC70" i="3"/>
  <c r="AL57" i="3"/>
  <c r="U57" i="3"/>
  <c r="AO75" i="3"/>
  <c r="N57" i="3"/>
  <c r="Z65" i="3"/>
  <c r="AK92" i="3"/>
  <c r="AM56" i="3"/>
  <c r="AA94" i="3"/>
  <c r="L71" i="3"/>
  <c r="AI81" i="3"/>
  <c r="V67" i="3"/>
  <c r="AE54" i="3"/>
  <c r="N81" i="3"/>
  <c r="AH75" i="3"/>
  <c r="S92" i="3"/>
  <c r="R83" i="3"/>
  <c r="H93" i="3"/>
  <c r="O70" i="3"/>
  <c r="AL79" i="3"/>
  <c r="Q90" i="3"/>
  <c r="L95" i="3"/>
  <c r="Y60" i="3"/>
  <c r="S60" i="3"/>
  <c r="T73" i="3"/>
  <c r="S83" i="3"/>
  <c r="J84" i="3"/>
  <c r="AM63" i="3"/>
  <c r="L47" i="3"/>
  <c r="V65" i="3"/>
  <c r="X65" i="3"/>
  <c r="T90" i="3"/>
  <c r="V77" i="3"/>
  <c r="AA62" i="3"/>
  <c r="U80" i="3"/>
  <c r="R94" i="3"/>
  <c r="V93" i="3"/>
  <c r="AL74" i="3"/>
  <c r="I47" i="3"/>
  <c r="I62" i="3"/>
  <c r="I94" i="3"/>
  <c r="Q73" i="3"/>
  <c r="X66" i="3"/>
  <c r="AQ74" i="3"/>
  <c r="AQ63" i="3"/>
  <c r="W73" i="3"/>
  <c r="AO94" i="3"/>
  <c r="AC92" i="3"/>
  <c r="Q77" i="3"/>
  <c r="V73" i="3"/>
  <c r="I73" i="3"/>
  <c r="R77" i="3"/>
  <c r="R87" i="3"/>
  <c r="Y72" i="3"/>
  <c r="Z66" i="3"/>
  <c r="AL88" i="3"/>
  <c r="AJ71" i="3"/>
  <c r="AH95" i="3"/>
  <c r="Z50" i="3"/>
  <c r="M56" i="3"/>
  <c r="AO78" i="3"/>
  <c r="Y55" i="3"/>
  <c r="J86" i="3"/>
  <c r="AC97" i="3"/>
  <c r="AC56" i="3"/>
  <c r="AM76" i="3"/>
  <c r="AE70" i="3"/>
  <c r="Y70" i="3"/>
  <c r="AO79" i="3"/>
  <c r="H86" i="3"/>
  <c r="Z81" i="3"/>
  <c r="H71" i="3"/>
  <c r="L97" i="3"/>
  <c r="O67" i="3"/>
  <c r="Z90" i="3"/>
  <c r="AO65" i="3"/>
  <c r="Z58" i="3"/>
  <c r="N82" i="3"/>
  <c r="AL92" i="3"/>
  <c r="AJ66" i="3"/>
  <c r="S57" i="3"/>
  <c r="AQ76" i="3"/>
  <c r="I88" i="3"/>
  <c r="K50" i="3"/>
  <c r="R58" i="3"/>
  <c r="AA71" i="3"/>
  <c r="U94" i="3"/>
  <c r="K96" i="3"/>
  <c r="O65" i="3"/>
  <c r="AI50" i="3"/>
  <c r="AK91" i="3"/>
  <c r="L60" i="3"/>
  <c r="AI72" i="3"/>
  <c r="P63" i="3"/>
  <c r="L78" i="3"/>
  <c r="AA56" i="3"/>
  <c r="N74" i="3"/>
  <c r="U50" i="3"/>
  <c r="AH69" i="3"/>
  <c r="N70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R50" i="3"/>
  <c r="M64" i="3"/>
  <c r="Q66" i="3"/>
  <c r="W94" i="3"/>
  <c r="S84" i="3"/>
  <c r="Q64" i="3"/>
  <c r="I86" i="3"/>
  <c r="Y90" i="3"/>
  <c r="Z63" i="3"/>
  <c r="AA92" i="3"/>
  <c r="AE58" i="3"/>
  <c r="AL69" i="3"/>
  <c r="I74" i="3"/>
  <c r="W61" i="3"/>
  <c r="U92" i="3"/>
  <c r="Y92" i="3"/>
  <c r="AC85" i="3"/>
  <c r="R70" i="3"/>
  <c r="I54" i="3"/>
  <c r="L89" i="3"/>
  <c r="M77" i="3"/>
  <c r="M89" i="3"/>
  <c r="J59" i="3"/>
  <c r="Z62" i="3"/>
  <c r="H94" i="3"/>
  <c r="AL54" i="3"/>
  <c r="X92" i="3"/>
  <c r="AQ67" i="3"/>
  <c r="M50" i="3"/>
  <c r="AM91" i="3"/>
  <c r="AO62" i="3"/>
  <c r="P95" i="3"/>
  <c r="X68" i="3"/>
  <c r="J58" i="3"/>
  <c r="AA73" i="3"/>
  <c r="AI91" i="3"/>
  <c r="S68" i="3"/>
  <c r="T72" i="3"/>
  <c r="X71" i="3"/>
  <c r="AK76" i="3"/>
  <c r="AO91" i="3"/>
  <c r="AQ49" i="3"/>
  <c r="Q92" i="3"/>
  <c r="P81" i="3"/>
  <c r="I91" i="3"/>
  <c r="J67" i="3"/>
  <c r="AA68" i="3"/>
  <c r="AM70" i="3"/>
  <c r="T56" i="3"/>
  <c r="AL80" i="3"/>
  <c r="AE76" i="3"/>
  <c r="K65" i="3"/>
  <c r="AM83" i="3"/>
  <c r="AE64" i="3"/>
  <c r="AE82" i="3"/>
  <c r="AO54" i="3"/>
  <c r="AM61" i="3"/>
  <c r="AJ96" i="3"/>
  <c r="Y75" i="3"/>
  <c r="AL56" i="3"/>
  <c r="AO77" i="3"/>
  <c r="AM93" i="3"/>
  <c r="AJ91" i="3"/>
  <c r="P50" i="3"/>
  <c r="X89" i="3"/>
  <c r="N58" i="3"/>
  <c r="Z48" i="3"/>
  <c r="AK71" i="3"/>
  <c r="X82" i="3"/>
  <c r="AH86" i="3"/>
  <c r="R75" i="3"/>
  <c r="P91" i="3"/>
  <c r="S89" i="3"/>
  <c r="I71" i="3"/>
  <c r="J61" i="3"/>
  <c r="Y82" i="3"/>
  <c r="AH55" i="3"/>
  <c r="V82" i="3"/>
  <c r="L49" i="3"/>
  <c r="AK54" i="3"/>
  <c r="H90" i="3"/>
  <c r="AK70" i="3"/>
  <c r="O68" i="3"/>
  <c r="L58" i="3"/>
  <c r="K47" i="3"/>
  <c r="AL82" i="3"/>
  <c r="AK47" i="3"/>
  <c r="AH94" i="3"/>
  <c r="AH61" i="3"/>
  <c r="AC48" i="3"/>
  <c r="H50" i="3"/>
  <c r="P67" i="3"/>
  <c r="J77" i="3"/>
  <c r="O55" i="3"/>
  <c r="AC67" i="3"/>
  <c r="X50" i="3"/>
  <c r="AO95" i="3"/>
  <c r="I84" i="3"/>
  <c r="Z56" i="3"/>
  <c r="L76" i="3"/>
  <c r="Y93" i="3"/>
  <c r="AQ48" i="3"/>
  <c r="N66" i="3"/>
  <c r="AH90" i="3"/>
  <c r="K78" i="3"/>
  <c r="AO83" i="3"/>
  <c r="AJ50" i="3"/>
  <c r="R92" i="3"/>
  <c r="AM94" i="3"/>
  <c r="AM62" i="3"/>
  <c r="M78" i="3"/>
  <c r="AK79" i="3"/>
  <c r="AI86" i="3"/>
  <c r="AH63" i="3"/>
  <c r="M73" i="3"/>
  <c r="AE86" i="3"/>
  <c r="O93" i="3"/>
  <c r="N75" i="3"/>
  <c r="H48" i="3"/>
  <c r="AO96" i="3"/>
  <c r="AA57" i="3"/>
  <c r="AA90" i="3"/>
  <c r="S76" i="3"/>
  <c r="AK78" i="3"/>
  <c r="O56" i="3"/>
  <c r="M72" i="3"/>
  <c r="O72" i="3"/>
  <c r="W88" i="3"/>
  <c r="S77" i="3"/>
  <c r="O80" i="3"/>
  <c r="S90" i="3"/>
  <c r="U59" i="3"/>
  <c r="Y66" i="3"/>
  <c r="J78" i="3"/>
  <c r="Q65" i="3"/>
  <c r="N60" i="3"/>
  <c r="AH92" i="3"/>
  <c r="AJ78" i="3"/>
  <c r="AI89" i="3"/>
  <c r="O66" i="3"/>
  <c r="M59" i="3"/>
  <c r="M48" i="3"/>
  <c r="Z70" i="3"/>
  <c r="AQ72" i="3"/>
  <c r="K89" i="3"/>
  <c r="N50" i="3"/>
  <c r="S47" i="3"/>
  <c r="H69" i="3"/>
  <c r="L94" i="3"/>
  <c r="AE81" i="3"/>
  <c r="P93" i="3"/>
  <c r="Q68" i="3"/>
  <c r="AO72" i="3"/>
  <c r="AK82" i="3"/>
  <c r="Z78" i="3"/>
  <c r="AH96" i="3"/>
  <c r="I49" i="3"/>
  <c r="AJ75" i="3"/>
  <c r="X94" i="3"/>
  <c r="AC57" i="3"/>
  <c r="K91" i="3"/>
  <c r="AH81" i="3"/>
  <c r="AQ77" i="3"/>
  <c r="X56" i="3"/>
  <c r="H54" i="3"/>
  <c r="AM85" i="3"/>
  <c r="N89" i="3"/>
  <c r="O79" i="3"/>
  <c r="P74" i="3"/>
  <c r="Q88" i="3"/>
  <c r="P80" i="3"/>
  <c r="AJ56" i="3"/>
  <c r="AQ90" i="3"/>
  <c r="AM54" i="3"/>
  <c r="Q94" i="3"/>
  <c r="U83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AK77" i="3"/>
  <c r="Q85" i="3"/>
  <c r="AC78" i="3"/>
  <c r="X47" i="3"/>
  <c r="AO67" i="3"/>
  <c r="Y58" i="3"/>
  <c r="L65" i="3"/>
  <c r="M71" i="3"/>
  <c r="J60" i="3"/>
  <c r="AE90" i="3"/>
  <c r="L93" i="3"/>
  <c r="J97" i="3"/>
  <c r="T71" i="3"/>
  <c r="AK68" i="3"/>
  <c r="K48" i="3"/>
  <c r="U91" i="3"/>
  <c r="X62" i="3"/>
  <c r="P54" i="3"/>
  <c r="J62" i="3"/>
  <c r="Y71" i="3"/>
  <c r="M79" i="3"/>
  <c r="T91" i="3"/>
  <c r="AE94" i="3"/>
  <c r="W91" i="3"/>
  <c r="AO56" i="3"/>
  <c r="AM73" i="3"/>
  <c r="T87" i="3"/>
  <c r="AJ49" i="3"/>
  <c r="AC87" i="3"/>
  <c r="AM95" i="3"/>
  <c r="W54" i="3"/>
  <c r="X87" i="3"/>
  <c r="AE77" i="3"/>
  <c r="AC49" i="3"/>
  <c r="AM84" i="3"/>
  <c r="J85" i="3"/>
  <c r="AE79" i="3"/>
  <c r="AO50" i="3"/>
  <c r="V79" i="3"/>
  <c r="AL93" i="3"/>
  <c r="W75" i="3"/>
  <c r="AO71" i="3"/>
  <c r="K62" i="3"/>
  <c r="M92" i="3"/>
  <c r="R74" i="3"/>
  <c r="H85" i="3"/>
  <c r="L63" i="3"/>
  <c r="H84" i="3"/>
  <c r="X73" i="3"/>
  <c r="AQ94" i="3"/>
  <c r="AH67" i="3"/>
  <c r="AO68" i="3"/>
  <c r="U76" i="3"/>
  <c r="I69" i="3"/>
  <c r="X84" i="3"/>
  <c r="T92" i="3"/>
  <c r="AA64" i="3"/>
  <c r="N90" i="3"/>
  <c r="AJ48" i="3"/>
  <c r="M75" i="3"/>
  <c r="R73" i="3"/>
  <c r="AJ64" i="3"/>
  <c r="AK97" i="3"/>
  <c r="P89" i="3"/>
  <c r="AA78" i="3"/>
  <c r="AE83" i="3"/>
  <c r="AA82" i="3"/>
  <c r="M68" i="3"/>
  <c r="T81" i="3"/>
  <c r="AC88" i="3"/>
  <c r="Q89" i="3"/>
  <c r="AC81" i="3"/>
  <c r="Y57" i="3"/>
  <c r="R60" i="3"/>
  <c r="AK90" i="3"/>
  <c r="AK64" i="3"/>
  <c r="AJ77" i="3"/>
  <c r="M55" i="3"/>
  <c r="W90" i="3"/>
  <c r="AJ61" i="3"/>
  <c r="AI70" i="3"/>
  <c r="V57" i="3"/>
  <c r="AH72" i="3"/>
  <c r="K77" i="3"/>
  <c r="K61" i="3"/>
  <c r="AQ80" i="3"/>
  <c r="W64" i="3"/>
  <c r="AE50" i="3"/>
  <c r="AM69" i="3"/>
  <c r="AI80" i="3"/>
  <c r="J47" i="3"/>
  <c r="AE95" i="3"/>
  <c r="Z77" i="3"/>
  <c r="W89" i="3"/>
  <c r="AA54" i="3"/>
  <c r="AL78" i="3"/>
  <c r="N65" i="3"/>
  <c r="AC59" i="3"/>
  <c r="T97" i="3"/>
  <c r="M58" i="3"/>
  <c r="AK66" i="3"/>
  <c r="T94" i="3"/>
  <c r="S48" i="3"/>
  <c r="I85" i="3"/>
  <c r="P97" i="3"/>
  <c r="N54" i="3"/>
  <c r="O49" i="3"/>
  <c r="AJ55" i="3"/>
  <c r="AH78" i="3"/>
  <c r="AO90" i="3"/>
  <c r="X48" i="3"/>
  <c r="Z95" i="3"/>
  <c r="V59" i="3"/>
  <c r="X74" i="3"/>
  <c r="AO87" i="3"/>
  <c r="X54" i="3" l="1"/>
  <c r="AG49" i="3"/>
  <c r="X80" i="3"/>
  <c r="X49" i="3"/>
  <c r="AE67" i="3"/>
  <c r="AN78" i="3"/>
  <c r="AN90" i="3"/>
  <c r="X63" i="3"/>
  <c r="AN62" i="3"/>
  <c r="AE69" i="3"/>
  <c r="AG90" i="3"/>
  <c r="AN48" i="3"/>
  <c r="X86" i="3"/>
  <c r="AN67" i="3"/>
  <c r="X90" i="3"/>
  <c r="AN89" i="3"/>
  <c r="AN75" i="3"/>
  <c r="AN96" i="3"/>
  <c r="AG58" i="3"/>
  <c r="X81" i="3"/>
  <c r="AN76" i="3"/>
  <c r="AE47" i="3"/>
  <c r="AE49" i="3"/>
  <c r="AG47" i="3"/>
  <c r="AN83" i="3"/>
  <c r="AN72" i="3"/>
  <c r="AN58" i="3"/>
  <c r="AN77" i="3"/>
  <c r="AE61" i="3"/>
  <c r="AG86" i="3"/>
  <c r="AE93" i="3"/>
  <c r="AE65" i="3"/>
  <c r="AN63" i="3"/>
  <c r="AE74" i="3"/>
  <c r="AE96" i="3"/>
  <c r="AN82" i="3"/>
  <c r="AG84" i="3"/>
  <c r="AG59" i="3"/>
  <c r="AN91" i="3"/>
  <c r="AE80" i="3"/>
  <c r="AG62" i="3"/>
  <c r="AN70" i="3"/>
  <c r="AG93" i="3"/>
  <c r="AG75" i="3"/>
  <c r="AN69" i="3"/>
  <c r="X78" i="3"/>
  <c r="AG64" i="3"/>
  <c r="AG66" i="3"/>
  <c r="X55" i="3"/>
  <c r="AG97" i="3"/>
  <c r="AG69" i="3"/>
  <c r="X69" i="3"/>
  <c r="X91" i="3"/>
  <c r="AG68" i="3"/>
  <c r="AN57" i="3"/>
  <c r="AN95" i="3"/>
  <c r="AG88" i="3"/>
  <c r="AN86" i="3"/>
  <c r="X57" i="3"/>
  <c r="AN61" i="3"/>
  <c r="X96" i="3"/>
  <c r="AE75" i="3"/>
  <c r="AE55" i="3"/>
  <c r="AG76" i="3"/>
  <c r="X67" i="3"/>
  <c r="X93" i="3"/>
  <c r="AE88" i="3"/>
  <c r="X77" i="3"/>
  <c r="AG65" i="3"/>
  <c r="AN64" i="3"/>
  <c r="AE72" i="3"/>
  <c r="AG61" i="3"/>
  <c r="X59" i="3"/>
  <c r="AN49" i="3"/>
  <c r="AG74" i="3"/>
  <c r="AE59" i="3"/>
  <c r="AE89" i="3"/>
  <c r="X58" i="3"/>
  <c r="AE91" i="3"/>
  <c r="AG96" i="3"/>
  <c r="AE57" i="3"/>
  <c r="AG81" i="3"/>
  <c r="X79" i="3"/>
  <c r="AN79" i="3"/>
  <c r="AE62" i="3"/>
  <c r="AE48" i="3"/>
  <c r="AN55" i="3"/>
  <c r="AE71" i="3"/>
  <c r="X64" i="3"/>
  <c r="AN56" i="3"/>
  <c r="AE60" i="3"/>
  <c r="AN97" i="3"/>
  <c r="X75" i="3"/>
  <c r="AN94" i="3"/>
  <c r="AG87" i="3"/>
  <c r="AN73" i="3"/>
  <c r="AN93" i="3"/>
  <c r="AG48" i="3"/>
  <c r="AG94" i="3"/>
  <c r="AN54" i="3"/>
  <c r="AN74" i="3"/>
  <c r="AG92" i="3"/>
  <c r="AG72" i="3"/>
  <c r="AN59" i="3"/>
  <c r="AG82" i="3"/>
  <c r="AG91" i="3"/>
  <c r="AG79" i="3"/>
  <c r="AN87" i="3"/>
  <c r="AG89" i="3"/>
  <c r="AN60" i="3"/>
  <c r="AG73" i="3"/>
  <c r="AG56" i="3"/>
  <c r="AN65" i="3"/>
  <c r="AN66" i="3"/>
  <c r="AN88" i="3"/>
  <c r="AG54" i="3"/>
  <c r="AN80" i="3"/>
  <c r="AG71" i="3"/>
  <c r="AG83" i="3"/>
  <c r="AG60" i="3"/>
  <c r="AG95" i="3"/>
  <c r="AN68" i="3"/>
  <c r="AG77" i="3"/>
  <c r="AN92" i="3"/>
  <c r="AG85" i="3"/>
  <c r="AG63" i="3"/>
  <c r="AG57" i="3"/>
  <c r="AN84" i="3"/>
  <c r="AG55" i="3"/>
  <c r="AN50" i="3"/>
  <c r="AN71" i="3"/>
  <c r="AG70" i="3"/>
  <c r="AG80" i="3"/>
  <c r="AN85" i="3"/>
  <c r="AN47" i="3"/>
  <c r="AG78" i="3"/>
  <c r="AG50" i="3"/>
  <c r="AN81" i="3"/>
  <c r="AG67" i="3"/>
  <c r="U70" i="3"/>
  <c r="U77" i="3"/>
  <c r="U58" i="3"/>
  <c r="Y77" i="3"/>
  <c r="Y49" i="3"/>
  <c r="BE73" i="1" s="1"/>
  <c r="I50" i="3"/>
  <c r="AO74" i="1" s="1"/>
  <c r="I59" i="3"/>
  <c r="I77" i="3"/>
  <c r="I90" i="3"/>
  <c r="I57" i="3"/>
  <c r="I63" i="3"/>
  <c r="I97" i="3"/>
  <c r="I93" i="3"/>
  <c r="I76" i="3"/>
  <c r="I87" i="3"/>
  <c r="I67" i="3"/>
  <c r="I92" i="3"/>
  <c r="I81" i="3"/>
  <c r="I61" i="3"/>
  <c r="I66" i="3"/>
  <c r="I60" i="3"/>
  <c r="I95" i="3"/>
  <c r="I79" i="3"/>
  <c r="I68" i="3"/>
  <c r="I64" i="3"/>
  <c r="I56" i="3"/>
  <c r="I96" i="3"/>
  <c r="Y84" i="3"/>
  <c r="Y94" i="3"/>
  <c r="Y63" i="3"/>
  <c r="Y61" i="3"/>
  <c r="Y69" i="3"/>
  <c r="Y74" i="3"/>
  <c r="Y80" i="3"/>
  <c r="Y89" i="3"/>
  <c r="Y88" i="3"/>
  <c r="Y79" i="3"/>
  <c r="Y56" i="3"/>
  <c r="Y54" i="3"/>
  <c r="Y81" i="3"/>
  <c r="Y85" i="3"/>
  <c r="Y86" i="3"/>
  <c r="Y59" i="3"/>
  <c r="Y65" i="3"/>
  <c r="Y73" i="3"/>
  <c r="Y62" i="3"/>
  <c r="Y78" i="3"/>
  <c r="Y95" i="3"/>
  <c r="Y91" i="3"/>
  <c r="Y76" i="3"/>
  <c r="BM15" i="1"/>
  <c r="BW21" i="1"/>
  <c r="AP46" i="1"/>
  <c r="AX20" i="1"/>
  <c r="AX15" i="1"/>
  <c r="BM23" i="1"/>
  <c r="AQ45" i="1"/>
  <c r="AI39" i="1"/>
  <c r="BA39" i="1"/>
  <c r="BR32" i="1"/>
  <c r="AZ9" i="1"/>
  <c r="BS45" i="1"/>
  <c r="AV51" i="1"/>
  <c r="BH46" i="1"/>
  <c r="BN32" i="1"/>
  <c r="BA47" i="1"/>
  <c r="BA35" i="1"/>
  <c r="BK39" i="1"/>
  <c r="BW51" i="1"/>
  <c r="BF47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BQ8" i="1"/>
  <c r="BE39" i="1"/>
  <c r="BM9" i="1"/>
  <c r="BN47" i="1"/>
  <c r="BI32" i="1"/>
  <c r="BA36" i="1"/>
  <c r="BM45" i="1"/>
  <c r="AV39" i="1"/>
  <c r="BK9" i="1"/>
  <c r="AO25" i="1"/>
  <c r="BU35" i="1"/>
  <c r="BI35" i="1"/>
  <c r="BR24" i="1"/>
  <c r="BW22" i="1"/>
  <c r="AX23" i="1"/>
  <c r="AU8" i="1"/>
  <c r="AQ51" i="1"/>
  <c r="BV32" i="1"/>
  <c r="BV194" i="1" s="1"/>
  <c r="BB25" i="1"/>
  <c r="AP51" i="1"/>
  <c r="AZ46" i="1"/>
  <c r="BC14" i="1"/>
  <c r="BB14" i="1"/>
  <c r="BF24" i="1"/>
  <c r="BQ14" i="1"/>
  <c r="AV45" i="1"/>
  <c r="AX36" i="1"/>
  <c r="AX25" i="1"/>
  <c r="BN13" i="1"/>
  <c r="BB9" i="1"/>
  <c r="AR22" i="1"/>
  <c r="BT24" i="1"/>
  <c r="AO21" i="1"/>
  <c r="AY24" i="1"/>
  <c r="AT35" i="1"/>
  <c r="BI15" i="1"/>
  <c r="AZ25" i="1"/>
  <c r="BB22" i="1"/>
  <c r="AQ14" i="1"/>
  <c r="BT15" i="1"/>
  <c r="BT51" i="1"/>
  <c r="BT20" i="1"/>
  <c r="BA13" i="1"/>
  <c r="BE23" i="1"/>
  <c r="AI9" i="1"/>
  <c r="BO36" i="1"/>
  <c r="BS21" i="1"/>
  <c r="BW24" i="1"/>
  <c r="BO9" i="1"/>
  <c r="AW32" i="1"/>
  <c r="AW194" i="1" s="1"/>
  <c r="BJ22" i="1"/>
  <c r="BJ26" i="1" s="1"/>
  <c r="AY35" i="1"/>
  <c r="AP22" i="1"/>
  <c r="AV20" i="1"/>
  <c r="AR47" i="1"/>
  <c r="AV46" i="1"/>
  <c r="BP24" i="1"/>
  <c r="BE32" i="1"/>
  <c r="BE194" i="1" s="1"/>
  <c r="AM47" i="1"/>
  <c r="AY15" i="1"/>
  <c r="BG51" i="1"/>
  <c r="AQ46" i="1"/>
  <c r="AU22" i="1"/>
  <c r="BV159" i="1"/>
  <c r="BH144" i="1"/>
  <c r="BU47" i="1"/>
  <c r="BR15" i="1"/>
  <c r="AY32" i="1"/>
  <c r="AY194" i="1" s="1"/>
  <c r="BH21" i="1"/>
  <c r="BK20" i="1"/>
  <c r="AP8" i="1"/>
  <c r="AP231" i="1" s="1"/>
  <c r="BN36" i="1"/>
  <c r="BT21" i="1"/>
  <c r="BQ20" i="1"/>
  <c r="AV15" i="1"/>
  <c r="BU20" i="1"/>
  <c r="BD22" i="1"/>
  <c r="BG35" i="1"/>
  <c r="AQ25" i="1"/>
  <c r="AZ23" i="1"/>
  <c r="BH47" i="1"/>
  <c r="AU15" i="1"/>
  <c r="AX32" i="1"/>
  <c r="AX194" i="1" s="1"/>
  <c r="BM22" i="1"/>
  <c r="AS47" i="1"/>
  <c r="BM13" i="1"/>
  <c r="BT35" i="1"/>
  <c r="AU25" i="1"/>
  <c r="AR8" i="1"/>
  <c r="AR231" i="1" s="1"/>
  <c r="BM24" i="1"/>
  <c r="BM32" i="1"/>
  <c r="BT14" i="1"/>
  <c r="BO22" i="1"/>
  <c r="BK22" i="1"/>
  <c r="BO20" i="1"/>
  <c r="BD14" i="1"/>
  <c r="BE21" i="1"/>
  <c r="AS13" i="1"/>
  <c r="AI32" i="1"/>
  <c r="AI194" i="1" s="1"/>
  <c r="BV131" i="1"/>
  <c r="BT23" i="1"/>
  <c r="AV22" i="1"/>
  <c r="AP24" i="1"/>
  <c r="BT45" i="1"/>
  <c r="BV47" i="1"/>
  <c r="AP45" i="1"/>
  <c r="BV20" i="1"/>
  <c r="BE36" i="1"/>
  <c r="AX24" i="1"/>
  <c r="BC45" i="1"/>
  <c r="BD23" i="1"/>
  <c r="BF36" i="1"/>
  <c r="AP14" i="1"/>
  <c r="AN32" i="1"/>
  <c r="AN9" i="1"/>
  <c r="M145" i="1"/>
  <c r="M180" i="1" s="1"/>
  <c r="AY8" i="1"/>
  <c r="AY22" i="1"/>
  <c r="AX47" i="1"/>
  <c r="BD35" i="1"/>
  <c r="BB13" i="1"/>
  <c r="BH36" i="1"/>
  <c r="BG24" i="1"/>
  <c r="BM25" i="1"/>
  <c r="AS8" i="1"/>
  <c r="AS231" i="1" s="1"/>
  <c r="AP15" i="1"/>
  <c r="AY9" i="1"/>
  <c r="BQ35" i="1"/>
  <c r="AZ51" i="1"/>
  <c r="AN20" i="1"/>
  <c r="AS14" i="1"/>
  <c r="BD39" i="1"/>
  <c r="BK8" i="1"/>
  <c r="BS9" i="1"/>
  <c r="BR51" i="1"/>
  <c r="AN46" i="1"/>
  <c r="BW14" i="1"/>
  <c r="BC20" i="1"/>
  <c r="AR32" i="1"/>
  <c r="AR194" i="1" s="1"/>
  <c r="BU15" i="1"/>
  <c r="AP21" i="1"/>
  <c r="AV25" i="1"/>
  <c r="AZ32" i="1"/>
  <c r="AZ194" i="1" s="1"/>
  <c r="AO24" i="1"/>
  <c r="AW39" i="1"/>
  <c r="BT36" i="1"/>
  <c r="BF46" i="1"/>
  <c r="BC24" i="1"/>
  <c r="BO24" i="1"/>
  <c r="BD45" i="1"/>
  <c r="BE8" i="1"/>
  <c r="BE231" i="1" s="1"/>
  <c r="BN22" i="1"/>
  <c r="AW45" i="1"/>
  <c r="BH137" i="1"/>
  <c r="BI137" i="1" s="1"/>
  <c r="BV124" i="1"/>
  <c r="BW124" i="1" s="1"/>
  <c r="E172" i="1"/>
  <c r="AI15" i="1"/>
  <c r="BW9" i="1"/>
  <c r="BM39" i="1"/>
  <c r="BU8" i="1"/>
  <c r="BU231" i="1" s="1"/>
  <c r="AO8" i="1"/>
  <c r="AO36" i="1"/>
  <c r="BG36" i="1"/>
  <c r="AZ36" i="1"/>
  <c r="AI13" i="1"/>
  <c r="BC35" i="1"/>
  <c r="AI23" i="1"/>
  <c r="BA23" i="1"/>
  <c r="BO21" i="1"/>
  <c r="AN47" i="1"/>
  <c r="BH32" i="1"/>
  <c r="BH194" i="1" s="1"/>
  <c r="BR45" i="1"/>
  <c r="AN36" i="1"/>
  <c r="AW13" i="1"/>
  <c r="AN14" i="1"/>
  <c r="AQ32" i="1"/>
  <c r="BU46" i="1"/>
  <c r="BT22" i="1"/>
  <c r="BP47" i="1"/>
  <c r="AO9" i="1"/>
  <c r="AO10" i="1" s="1"/>
  <c r="AW24" i="1"/>
  <c r="BU14" i="1"/>
  <c r="AT25" i="1"/>
  <c r="BI45" i="1"/>
  <c r="BB51" i="1"/>
  <c r="AW51" i="1"/>
  <c r="AQ23" i="1"/>
  <c r="AW22" i="1"/>
  <c r="AR14" i="1"/>
  <c r="AX45" i="1"/>
  <c r="BE47" i="1"/>
  <c r="BT13" i="1"/>
  <c r="AR24" i="1"/>
  <c r="BT32" i="1"/>
  <c r="BR21" i="1"/>
  <c r="BJ36" i="1"/>
  <c r="BJ252" i="1" s="1"/>
  <c r="AN35" i="1"/>
  <c r="BG23" i="1"/>
  <c r="AQ13" i="1"/>
  <c r="BE35" i="1"/>
  <c r="AU47" i="1"/>
  <c r="AX13" i="1"/>
  <c r="AQ8" i="1"/>
  <c r="AQ231" i="1" s="1"/>
  <c r="AN25" i="1"/>
  <c r="BQ45" i="1"/>
  <c r="BA32" i="1"/>
  <c r="AI45" i="1"/>
  <c r="AX9" i="1"/>
  <c r="AY21" i="1"/>
  <c r="AT9" i="1"/>
  <c r="BH25" i="1"/>
  <c r="AU51" i="1"/>
  <c r="BF32" i="1"/>
  <c r="BF194" i="1" s="1"/>
  <c r="BE25" i="1"/>
  <c r="BH45" i="1"/>
  <c r="AN8" i="1"/>
  <c r="AW20" i="1"/>
  <c r="AT24" i="1"/>
  <c r="AP20" i="1"/>
  <c r="BH147" i="1"/>
  <c r="BI147" i="1" s="1"/>
  <c r="BV119" i="1"/>
  <c r="BJ73" i="1"/>
  <c r="BD25" i="1"/>
  <c r="AN39" i="1"/>
  <c r="BA51" i="1"/>
  <c r="BP13" i="1"/>
  <c r="AS32" i="1"/>
  <c r="BR47" i="1"/>
  <c r="BH13" i="1"/>
  <c r="BE15" i="1"/>
  <c r="BD46" i="1"/>
  <c r="AR46" i="1"/>
  <c r="BO47" i="1"/>
  <c r="BA21" i="1"/>
  <c r="BR23" i="1"/>
  <c r="BE13" i="1"/>
  <c r="BS46" i="1"/>
  <c r="BV51" i="1"/>
  <c r="BA46" i="1"/>
  <c r="AZ8" i="1"/>
  <c r="AV14" i="1"/>
  <c r="AM45" i="1"/>
  <c r="AR45" i="1"/>
  <c r="BP51" i="1"/>
  <c r="AS51" i="1"/>
  <c r="AW8" i="1"/>
  <c r="BK35" i="1"/>
  <c r="AP9" i="1"/>
  <c r="AT51" i="1"/>
  <c r="BT39" i="1"/>
  <c r="BP39" i="1"/>
  <c r="BW15" i="1"/>
  <c r="BW32" i="1"/>
  <c r="BW194" i="1" s="1"/>
  <c r="BG47" i="1"/>
  <c r="BS25" i="1"/>
  <c r="BV46" i="1"/>
  <c r="BI13" i="1"/>
  <c r="AT15" i="1"/>
  <c r="AO15" i="1"/>
  <c r="BI14" i="1"/>
  <c r="BO25" i="1"/>
  <c r="AV21" i="1"/>
  <c r="AS25" i="1"/>
  <c r="AR13" i="1"/>
  <c r="AP13" i="1"/>
  <c r="AW25" i="1"/>
  <c r="AY13" i="1"/>
  <c r="BG32" i="1"/>
  <c r="AQ9" i="1"/>
  <c r="BB24" i="1"/>
  <c r="BN9" i="1"/>
  <c r="AW21" i="1"/>
  <c r="BC23" i="1"/>
  <c r="BJ35" i="1"/>
  <c r="BN25" i="1"/>
  <c r="AZ24" i="1"/>
  <c r="BS8" i="1"/>
  <c r="BK47" i="1"/>
  <c r="AU14" i="1"/>
  <c r="BB32" i="1"/>
  <c r="BB46" i="1"/>
  <c r="BW46" i="1"/>
  <c r="AV32" i="1"/>
  <c r="AV194" i="1" s="1"/>
  <c r="BQ51" i="1"/>
  <c r="AR21" i="1"/>
  <c r="BU25" i="1"/>
  <c r="BJ47" i="1"/>
  <c r="BF9" i="1"/>
  <c r="BU32" i="1"/>
  <c r="BU194" i="1" s="1"/>
  <c r="BI47" i="1"/>
  <c r="AZ22" i="1"/>
  <c r="BS39" i="1"/>
  <c r="BF39" i="1"/>
  <c r="BC15" i="1"/>
  <c r="BU13" i="1"/>
  <c r="AZ13" i="1"/>
  <c r="BU36" i="1"/>
  <c r="AM74" i="1"/>
  <c r="AI51" i="1"/>
  <c r="BU45" i="1"/>
  <c r="BQ15" i="1"/>
  <c r="AQ35" i="1"/>
  <c r="BS22" i="1"/>
  <c r="BK45" i="1"/>
  <c r="BA24" i="1"/>
  <c r="BF8" i="1"/>
  <c r="BR9" i="1"/>
  <c r="BV73" i="1"/>
  <c r="AT36" i="1"/>
  <c r="AQ20" i="1"/>
  <c r="BQ24" i="1"/>
  <c r="BO39" i="1"/>
  <c r="BS32" i="1"/>
  <c r="BF25" i="1"/>
  <c r="BP32" i="1"/>
  <c r="AZ14" i="1"/>
  <c r="BH14" i="1"/>
  <c r="BP23" i="1"/>
  <c r="BJ45" i="1"/>
  <c r="BV39" i="1"/>
  <c r="BA45" i="1"/>
  <c r="BB8" i="1"/>
  <c r="AP35" i="1"/>
  <c r="BD8" i="1"/>
  <c r="BQ32" i="1"/>
  <c r="BC36" i="1"/>
  <c r="BD51" i="1"/>
  <c r="BH24" i="1"/>
  <c r="BJ39" i="1"/>
  <c r="BM36" i="1"/>
  <c r="BQ25" i="1"/>
  <c r="AX14" i="1"/>
  <c r="BH20" i="1"/>
  <c r="AS20" i="1"/>
  <c r="BR46" i="1"/>
  <c r="BW45" i="1"/>
  <c r="BG39" i="1"/>
  <c r="BB47" i="1"/>
  <c r="BE46" i="1"/>
  <c r="AY39" i="1"/>
  <c r="AT8" i="1"/>
  <c r="AO14" i="1"/>
  <c r="BF22" i="1"/>
  <c r="BO46" i="1"/>
  <c r="BR8" i="1"/>
  <c r="BP25" i="1"/>
  <c r="AU13" i="1"/>
  <c r="BF35" i="1"/>
  <c r="AV35" i="1"/>
  <c r="AP39" i="1"/>
  <c r="BU39" i="1"/>
  <c r="BW23" i="1"/>
  <c r="AO46" i="1"/>
  <c r="BP15" i="1"/>
  <c r="AZ47" i="1"/>
  <c r="BW35" i="1"/>
  <c r="AR35" i="1"/>
  <c r="BI8" i="1"/>
  <c r="AV8" i="1"/>
  <c r="BV23" i="1"/>
  <c r="AI21" i="1"/>
  <c r="BH15" i="1"/>
  <c r="BS14" i="1"/>
  <c r="BI51" i="1"/>
  <c r="BS23" i="1"/>
  <c r="BK23" i="1"/>
  <c r="BC25" i="1"/>
  <c r="AR15" i="1"/>
  <c r="AU32" i="1"/>
  <c r="BU24" i="1"/>
  <c r="AZ21" i="1"/>
  <c r="BH154" i="1"/>
  <c r="BI154" i="1" s="1"/>
  <c r="V73" i="1"/>
  <c r="AW15" i="1"/>
  <c r="AI46" i="1"/>
  <c r="BB35" i="1"/>
  <c r="BD9" i="1"/>
  <c r="AY36" i="1"/>
  <c r="BI22" i="1"/>
  <c r="AO23" i="1"/>
  <c r="BH39" i="1"/>
  <c r="AU9" i="1"/>
  <c r="BO13" i="1"/>
  <c r="BH73" i="1"/>
  <c r="BP8" i="1"/>
  <c r="AS23" i="1"/>
  <c r="AI25" i="1"/>
  <c r="BB21" i="1"/>
  <c r="AW9" i="1"/>
  <c r="AY47" i="1"/>
  <c r="BN8" i="1"/>
  <c r="BE22" i="1"/>
  <c r="AP47" i="1"/>
  <c r="AT21" i="1"/>
  <c r="BE51" i="1"/>
  <c r="BP46" i="1"/>
  <c r="AV24" i="1"/>
  <c r="BK24" i="1"/>
  <c r="BA9" i="1"/>
  <c r="BF20" i="1"/>
  <c r="BM20" i="1"/>
  <c r="BE24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BG25" i="1"/>
  <c r="BK46" i="1"/>
  <c r="BG9" i="1"/>
  <c r="BA25" i="1"/>
  <c r="BR25" i="1"/>
  <c r="AW14" i="1"/>
  <c r="BW47" i="1"/>
  <c r="BG20" i="1"/>
  <c r="BQ23" i="1"/>
  <c r="BQ46" i="1"/>
  <c r="BR39" i="1"/>
  <c r="BR14" i="1"/>
  <c r="AN13" i="1"/>
  <c r="BQ13" i="1"/>
  <c r="BB15" i="1"/>
  <c r="BC46" i="1"/>
  <c r="BO32" i="1"/>
  <c r="BO194" i="1" s="1"/>
  <c r="BI36" i="1"/>
  <c r="BB36" i="1"/>
  <c r="BG22" i="1"/>
  <c r="AX21" i="1"/>
  <c r="AU20" i="1"/>
  <c r="AI14" i="1"/>
  <c r="BP20" i="1"/>
  <c r="BC39" i="1"/>
  <c r="BJ9" i="1"/>
  <c r="BJ10" i="1" s="1"/>
  <c r="BJ16" i="1" s="1"/>
  <c r="BJ17" i="1" s="1"/>
  <c r="BM21" i="1"/>
  <c r="BK13" i="1"/>
  <c r="R171" i="1"/>
  <c r="BM46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C21" i="1"/>
  <c r="BD21" i="1"/>
  <c r="BC51" i="1"/>
  <c r="AR51" i="1"/>
  <c r="AU36" i="1"/>
  <c r="BU21" i="1"/>
  <c r="BN45" i="1"/>
  <c r="BG13" i="1"/>
  <c r="BO51" i="1"/>
  <c r="BI23" i="1"/>
  <c r="AO45" i="1"/>
  <c r="BI20" i="1"/>
  <c r="BN39" i="1"/>
  <c r="AQ24" i="1"/>
  <c r="BM8" i="1"/>
  <c r="AO39" i="1"/>
  <c r="BM35" i="1"/>
  <c r="AZ20" i="1"/>
  <c r="BK25" i="1"/>
  <c r="BA14" i="1"/>
  <c r="BT8" i="1"/>
  <c r="BM47" i="1"/>
  <c r="BP35" i="1"/>
  <c r="AT13" i="1"/>
  <c r="BT46" i="1"/>
  <c r="BT9" i="1"/>
  <c r="AY51" i="1"/>
  <c r="BG45" i="1"/>
  <c r="AY14" i="1"/>
  <c r="BV153" i="1"/>
  <c r="W153" i="1"/>
  <c r="AI20" i="1"/>
  <c r="BD15" i="1"/>
  <c r="AZ39" i="1"/>
  <c r="BC9" i="1"/>
  <c r="AQ21" i="1"/>
  <c r="BV25" i="1"/>
  <c r="BC13" i="1"/>
  <c r="AO51" i="1"/>
  <c r="AR25" i="1"/>
  <c r="BP45" i="1"/>
  <c r="BH8" i="1"/>
  <c r="BH231" i="1" s="1"/>
  <c r="AR23" i="1"/>
  <c r="BH22" i="1"/>
  <c r="BB45" i="1"/>
  <c r="AW47" i="1"/>
  <c r="AU46" i="1"/>
  <c r="BN23" i="1"/>
  <c r="BH35" i="1"/>
  <c r="AS24" i="1"/>
  <c r="AV36" i="1"/>
  <c r="AS15" i="1"/>
  <c r="AT47" i="1"/>
  <c r="BV21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H124" i="1"/>
  <c r="BI124" i="1" s="1"/>
  <c r="BV143" i="1"/>
  <c r="BW143" i="1" s="1"/>
  <c r="BH155" i="1"/>
  <c r="BI155" i="1" s="1"/>
  <c r="BV117" i="1"/>
  <c r="W136" i="1"/>
  <c r="D160" i="1"/>
  <c r="U122" i="1"/>
  <c r="D125" i="1"/>
  <c r="F160" i="1"/>
  <c r="H172" i="1"/>
  <c r="M140" i="1"/>
  <c r="N202" i="1" s="1"/>
  <c r="U136" i="1"/>
  <c r="C137" i="1"/>
  <c r="W119" i="1"/>
  <c r="M146" i="1"/>
  <c r="S127" i="1"/>
  <c r="J136" i="1"/>
  <c r="U124" i="1"/>
  <c r="J125" i="1"/>
  <c r="B131" i="1"/>
  <c r="P146" i="1"/>
  <c r="R172" i="1"/>
  <c r="F67" i="1"/>
  <c r="Q133" i="1"/>
  <c r="U135" i="1"/>
  <c r="U131" i="1" s="1"/>
  <c r="L135" i="1"/>
  <c r="L131" i="1" s="1"/>
  <c r="P151" i="1"/>
  <c r="H74" i="1"/>
  <c r="M73" i="1"/>
  <c r="D135" i="1"/>
  <c r="D131" i="1"/>
  <c r="H163" i="1"/>
  <c r="BV118" i="1"/>
  <c r="BW118" i="1" s="1"/>
  <c r="BH126" i="1"/>
  <c r="BI126" i="1" s="1"/>
  <c r="BH127" i="1"/>
  <c r="BI127" i="1" s="1"/>
  <c r="B126" i="1"/>
  <c r="B154" i="1" s="1"/>
  <c r="T150" i="1"/>
  <c r="C118" i="1"/>
  <c r="P124" i="1"/>
  <c r="R153" i="1"/>
  <c r="R183" i="1" s="1"/>
  <c r="O145" i="1"/>
  <c r="O180" i="1" s="1"/>
  <c r="V146" i="1"/>
  <c r="W147" i="1"/>
  <c r="O67" i="1"/>
  <c r="Q122" i="1"/>
  <c r="B160" i="1"/>
  <c r="P135" i="1"/>
  <c r="P131" i="1" s="1"/>
  <c r="G147" i="1"/>
  <c r="R151" i="1"/>
  <c r="G118" i="1"/>
  <c r="P118" i="1"/>
  <c r="L159" i="1"/>
  <c r="L161" i="1" s="1"/>
  <c r="L171" i="1"/>
  <c r="L78" i="1"/>
  <c r="I74" i="1"/>
  <c r="T145" i="1"/>
  <c r="T180" i="1" s="1"/>
  <c r="S124" i="1"/>
  <c r="I143" i="1"/>
  <c r="N132" i="1"/>
  <c r="D150" i="1"/>
  <c r="G149" i="1"/>
  <c r="Q150" i="1"/>
  <c r="L122" i="1"/>
  <c r="H145" i="1"/>
  <c r="H180" i="1" s="1"/>
  <c r="R119" i="1"/>
  <c r="O118" i="1"/>
  <c r="S118" i="1"/>
  <c r="C79" i="1"/>
  <c r="E74" i="1"/>
  <c r="N171" i="1"/>
  <c r="BD24" i="1"/>
  <c r="BD13" i="1"/>
  <c r="AN15" i="1"/>
  <c r="BW8" i="1"/>
  <c r="AW46" i="1"/>
  <c r="BU9" i="1"/>
  <c r="BU10" i="1" s="1"/>
  <c r="BC22" i="1"/>
  <c r="AU21" i="1"/>
  <c r="BF45" i="1"/>
  <c r="AS45" i="1"/>
  <c r="BI9" i="1"/>
  <c r="BI25" i="1"/>
  <c r="BV140" i="1"/>
  <c r="BV147" i="1"/>
  <c r="BW147" i="1" s="1"/>
  <c r="BV144" i="1"/>
  <c r="BV179" i="1" s="1"/>
  <c r="BW179" i="1" s="1"/>
  <c r="BV150" i="1"/>
  <c r="BW150" i="1" s="1"/>
  <c r="BH159" i="1"/>
  <c r="BV133" i="1"/>
  <c r="U171" i="1"/>
  <c r="E137" i="1"/>
  <c r="T133" i="1"/>
  <c r="W73" i="1"/>
  <c r="R118" i="1"/>
  <c r="E122" i="1"/>
  <c r="L127" i="1"/>
  <c r="S151" i="1"/>
  <c r="G132" i="1"/>
  <c r="S172" i="1"/>
  <c r="F147" i="1"/>
  <c r="V67" i="1"/>
  <c r="R164" i="1"/>
  <c r="R74" i="1"/>
  <c r="S140" i="1"/>
  <c r="R159" i="1"/>
  <c r="D127" i="1"/>
  <c r="U172" i="1"/>
  <c r="F132" i="1"/>
  <c r="D142" i="1"/>
  <c r="U117" i="1"/>
  <c r="C140" i="1"/>
  <c r="B135" i="1"/>
  <c r="K146" i="1"/>
  <c r="V77" i="1"/>
  <c r="F172" i="1"/>
  <c r="D140" i="1"/>
  <c r="I146" i="1"/>
  <c r="S125" i="1"/>
  <c r="B133" i="1"/>
  <c r="Q126" i="1"/>
  <c r="Q154" i="1" s="1"/>
  <c r="V126" i="1"/>
  <c r="V154" i="1" s="1"/>
  <c r="O136" i="1"/>
  <c r="Q135" i="1"/>
  <c r="Q131" i="1" s="1"/>
  <c r="AX39" i="1"/>
  <c r="BV132" i="1"/>
  <c r="BH133" i="1"/>
  <c r="BV155" i="1"/>
  <c r="BW155" i="1" s="1"/>
  <c r="BH74" i="1"/>
  <c r="BV160" i="1"/>
  <c r="BH142" i="1"/>
  <c r="BI142" i="1" s="1"/>
  <c r="BV146" i="1"/>
  <c r="BW146" i="1" s="1"/>
  <c r="D118" i="1"/>
  <c r="S67" i="1"/>
  <c r="B127" i="1"/>
  <c r="J132" i="1"/>
  <c r="K137" i="1"/>
  <c r="T79" i="1"/>
  <c r="O127" i="1"/>
  <c r="K118" i="1"/>
  <c r="H159" i="1"/>
  <c r="C159" i="1"/>
  <c r="M67" i="1"/>
  <c r="T119" i="1"/>
  <c r="H67" i="1"/>
  <c r="U79" i="1"/>
  <c r="L132" i="1"/>
  <c r="C143" i="1"/>
  <c r="N146" i="1"/>
  <c r="I125" i="1"/>
  <c r="L142" i="1"/>
  <c r="M135" i="1"/>
  <c r="M131" i="1" s="1"/>
  <c r="D172" i="1"/>
  <c r="H119" i="1"/>
  <c r="V117" i="1"/>
  <c r="Q74" i="1"/>
  <c r="Q73" i="1"/>
  <c r="C135" i="1"/>
  <c r="N142" i="1"/>
  <c r="G170" i="1"/>
  <c r="D146" i="1"/>
  <c r="N77" i="1"/>
  <c r="D63" i="1"/>
  <c r="T136" i="1"/>
  <c r="E155" i="1"/>
  <c r="S171" i="1"/>
  <c r="S160" i="1"/>
  <c r="H171" i="1"/>
  <c r="BS35" i="1"/>
  <c r="AM73" i="1"/>
  <c r="AN24" i="1"/>
  <c r="AI8" i="1"/>
  <c r="BP14" i="1"/>
  <c r="BK32" i="1"/>
  <c r="AT32" i="1"/>
  <c r="AT39" i="1"/>
  <c r="BA8" i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S252" i="1" s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D145" i="1"/>
  <c r="D180" i="1" s="1"/>
  <c r="P143" i="1"/>
  <c r="I122" i="1"/>
  <c r="J143" i="1"/>
  <c r="E145" i="1"/>
  <c r="E180" i="1" s="1"/>
  <c r="N137" i="1"/>
  <c r="S73" i="1"/>
  <c r="N151" i="1"/>
  <c r="C119" i="1"/>
  <c r="W126" i="1"/>
  <c r="W154" i="1" s="1"/>
  <c r="R124" i="1"/>
  <c r="I135" i="1"/>
  <c r="I131" i="1" s="1"/>
  <c r="P78" i="1"/>
  <c r="E78" i="1"/>
  <c r="I126" i="1"/>
  <c r="I154" i="1" s="1"/>
  <c r="G140" i="1"/>
  <c r="V150" i="1"/>
  <c r="I136" i="1"/>
  <c r="F151" i="1"/>
  <c r="T143" i="1"/>
  <c r="I79" i="1"/>
  <c r="O124" i="1"/>
  <c r="E163" i="1"/>
  <c r="R132" i="1"/>
  <c r="N118" i="1"/>
  <c r="C67" i="1"/>
  <c r="S149" i="1"/>
  <c r="F124" i="1"/>
  <c r="C170" i="1"/>
  <c r="N136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22" i="1"/>
  <c r="BI122" i="1" s="1"/>
  <c r="M124" i="1"/>
  <c r="L124" i="1"/>
  <c r="N79" i="1"/>
  <c r="O122" i="1"/>
  <c r="F150" i="1"/>
  <c r="G172" i="1"/>
  <c r="P150" i="1"/>
  <c r="C74" i="1"/>
  <c r="G122" i="1"/>
  <c r="O125" i="1"/>
  <c r="F137" i="1"/>
  <c r="O163" i="1"/>
  <c r="V144" i="1"/>
  <c r="V179" i="1" s="1"/>
  <c r="G79" i="1"/>
  <c r="Q143" i="1"/>
  <c r="O172" i="1"/>
  <c r="O135" i="1"/>
  <c r="O131" i="1" s="1"/>
  <c r="B172" i="1"/>
  <c r="B151" i="1"/>
  <c r="N172" i="1"/>
  <c r="D78" i="1"/>
  <c r="D164" i="1"/>
  <c r="D153" i="1"/>
  <c r="D183" i="1" s="1"/>
  <c r="V137" i="1"/>
  <c r="Q163" i="1"/>
  <c r="F171" i="1"/>
  <c r="U140" i="1"/>
  <c r="V118" i="1"/>
  <c r="C146" i="1"/>
  <c r="K145" i="1"/>
  <c r="K180" i="1" s="1"/>
  <c r="J126" i="1"/>
  <c r="J154" i="1" s="1"/>
  <c r="K117" i="1"/>
  <c r="P144" i="1"/>
  <c r="P179" i="1" s="1"/>
  <c r="K125" i="1"/>
  <c r="Q125" i="1"/>
  <c r="D133" i="1"/>
  <c r="H147" i="1"/>
  <c r="M149" i="1"/>
  <c r="AU39" i="1"/>
  <c r="BC32" i="1"/>
  <c r="AU35" i="1"/>
  <c r="BA22" i="1"/>
  <c r="BO14" i="1"/>
  <c r="AN45" i="1"/>
  <c r="BV149" i="1"/>
  <c r="BW149" i="1" s="1"/>
  <c r="BV74" i="1"/>
  <c r="BH145" i="1"/>
  <c r="BH143" i="1"/>
  <c r="BI143" i="1" s="1"/>
  <c r="BH131" i="1"/>
  <c r="T74" i="1"/>
  <c r="N124" i="1"/>
  <c r="R133" i="1"/>
  <c r="J133" i="1"/>
  <c r="F146" i="1"/>
  <c r="D126" i="1"/>
  <c r="D154" i="1" s="1"/>
  <c r="V135" i="1"/>
  <c r="V131" i="1" s="1"/>
  <c r="B67" i="1"/>
  <c r="Q119" i="1"/>
  <c r="F126" i="1"/>
  <c r="F154" i="1" s="1"/>
  <c r="B159" i="1"/>
  <c r="E146" i="1"/>
  <c r="W127" i="1"/>
  <c r="Q142" i="1"/>
  <c r="U73" i="1"/>
  <c r="N150" i="1"/>
  <c r="R142" i="1"/>
  <c r="Q147" i="1"/>
  <c r="B78" i="1"/>
  <c r="G127" i="1"/>
  <c r="K79" i="1"/>
  <c r="J142" i="1"/>
  <c r="I132" i="1"/>
  <c r="Q132" i="1"/>
  <c r="M142" i="1"/>
  <c r="U147" i="1"/>
  <c r="W79" i="1"/>
  <c r="E117" i="1"/>
  <c r="L155" i="1"/>
  <c r="O132" i="1"/>
  <c r="J149" i="1"/>
  <c r="D77" i="1"/>
  <c r="F164" i="1"/>
  <c r="L79" i="1"/>
  <c r="B146" i="1"/>
  <c r="T78" i="1"/>
  <c r="S155" i="1"/>
  <c r="J164" i="1"/>
  <c r="W135" i="1"/>
  <c r="W131" i="1" s="1"/>
  <c r="W134" i="1" s="1"/>
  <c r="T67" i="1"/>
  <c r="P149" i="1"/>
  <c r="V133" i="1"/>
  <c r="J170" i="1"/>
  <c r="F163" i="1"/>
  <c r="B63" i="1"/>
  <c r="M163" i="1"/>
  <c r="W151" i="1"/>
  <c r="C145" i="1"/>
  <c r="C180" i="1" s="1"/>
  <c r="H118" i="1"/>
  <c r="L119" i="1"/>
  <c r="U127" i="1"/>
  <c r="E73" i="1"/>
  <c r="T171" i="1"/>
  <c r="N67" i="1"/>
  <c r="N135" i="1"/>
  <c r="N131" i="1" s="1"/>
  <c r="C153" i="1"/>
  <c r="C183" i="1" s="1"/>
  <c r="T126" i="1"/>
  <c r="T154" i="1" s="1"/>
  <c r="P172" i="1"/>
  <c r="H127" i="1"/>
  <c r="L160" i="1"/>
  <c r="O117" i="1"/>
  <c r="V164" i="1"/>
  <c r="U151" i="1"/>
  <c r="Q127" i="1"/>
  <c r="O78" i="1"/>
  <c r="J163" i="1"/>
  <c r="D151" i="1"/>
  <c r="AP25" i="1"/>
  <c r="BU23" i="1"/>
  <c r="AS36" i="1"/>
  <c r="BD20" i="1"/>
  <c r="AM46" i="1"/>
  <c r="AS35" i="1"/>
  <c r="BV35" i="1"/>
  <c r="BN21" i="1"/>
  <c r="AX46" i="1"/>
  <c r="AM51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U146" i="1"/>
  <c r="W170" i="1"/>
  <c r="C78" i="1"/>
  <c r="H146" i="1"/>
  <c r="J77" i="1"/>
  <c r="M132" i="1"/>
  <c r="J145" i="1"/>
  <c r="J180" i="1" s="1"/>
  <c r="W160" i="1"/>
  <c r="J117" i="1"/>
  <c r="O151" i="1"/>
  <c r="C127" i="1"/>
  <c r="B147" i="1"/>
  <c r="L136" i="1"/>
  <c r="I163" i="1"/>
  <c r="D147" i="1"/>
  <c r="P147" i="1"/>
  <c r="C63" i="1"/>
  <c r="J140" i="1"/>
  <c r="J202" i="1" s="1"/>
  <c r="H126" i="1"/>
  <c r="H154" i="1" s="1"/>
  <c r="C171" i="1"/>
  <c r="N73" i="1"/>
  <c r="L164" i="1"/>
  <c r="F149" i="1"/>
  <c r="S117" i="1"/>
  <c r="Q164" i="1"/>
  <c r="E150" i="1"/>
  <c r="T132" i="1"/>
  <c r="M147" i="1"/>
  <c r="N126" i="1"/>
  <c r="N154" i="1" s="1"/>
  <c r="S147" i="1"/>
  <c r="O160" i="1"/>
  <c r="R146" i="1"/>
  <c r="V159" i="1"/>
  <c r="K150" i="1"/>
  <c r="N160" i="1"/>
  <c r="C132" i="1"/>
  <c r="D171" i="1"/>
  <c r="T170" i="1"/>
  <c r="B150" i="1"/>
  <c r="C117" i="1"/>
  <c r="F135" i="1"/>
  <c r="F131" i="1" s="1"/>
  <c r="Q136" i="1"/>
  <c r="M153" i="1"/>
  <c r="M183" i="1" s="1"/>
  <c r="O155" i="1"/>
  <c r="G155" i="1"/>
  <c r="F170" i="1"/>
  <c r="E170" i="1"/>
  <c r="D74" i="1"/>
  <c r="P142" i="1"/>
  <c r="J73" i="1"/>
  <c r="B164" i="1"/>
  <c r="T172" i="1"/>
  <c r="K133" i="1"/>
  <c r="W78" i="1"/>
  <c r="M119" i="1"/>
  <c r="M79" i="1"/>
  <c r="W150" i="1"/>
  <c r="R125" i="1"/>
  <c r="H135" i="1"/>
  <c r="H131" i="1" s="1"/>
  <c r="V153" i="1"/>
  <c r="V183" i="1" s="1"/>
  <c r="S136" i="1"/>
  <c r="D170" i="1"/>
  <c r="H142" i="1"/>
  <c r="H148" i="1" s="1"/>
  <c r="K119" i="1"/>
  <c r="K149" i="1"/>
  <c r="S119" i="1"/>
  <c r="C131" i="1"/>
  <c r="BV152" i="1"/>
  <c r="BW152" i="1" s="1"/>
  <c r="BH163" i="1"/>
  <c r="BI163" i="1" s="1"/>
  <c r="BH140" i="1"/>
  <c r="BI140" i="1" s="1"/>
  <c r="BJ202" i="1" s="1"/>
  <c r="BV163" i="1"/>
  <c r="BW163" i="1" s="1"/>
  <c r="BH160" i="1"/>
  <c r="K160" i="1"/>
  <c r="M155" i="1"/>
  <c r="B171" i="1"/>
  <c r="G144" i="1"/>
  <c r="G179" i="1" s="1"/>
  <c r="I171" i="1"/>
  <c r="M137" i="1"/>
  <c r="S163" i="1"/>
  <c r="F118" i="1"/>
  <c r="D143" i="1"/>
  <c r="T135" i="1"/>
  <c r="T131" i="1" s="1"/>
  <c r="R127" i="1"/>
  <c r="S135" i="1"/>
  <c r="S131" i="1" s="1"/>
  <c r="G77" i="1"/>
  <c r="I145" i="1"/>
  <c r="I180" i="1" s="1"/>
  <c r="F153" i="1"/>
  <c r="F183" i="1" s="1"/>
  <c r="E133" i="1"/>
  <c r="K147" i="1"/>
  <c r="B153" i="1"/>
  <c r="B183" i="1" s="1"/>
  <c r="W144" i="1"/>
  <c r="I118" i="1"/>
  <c r="O119" i="1"/>
  <c r="Q172" i="1"/>
  <c r="V147" i="1"/>
  <c r="M151" i="1"/>
  <c r="B155" i="1"/>
  <c r="E135" i="1"/>
  <c r="E131" i="1" s="1"/>
  <c r="E134" i="1" s="1"/>
  <c r="K122" i="1"/>
  <c r="S159" i="1"/>
  <c r="B118" i="1"/>
  <c r="E77" i="1"/>
  <c r="C142" i="1"/>
  <c r="B163" i="1"/>
  <c r="E171" i="1"/>
  <c r="C122" i="1"/>
  <c r="T159" i="1"/>
  <c r="J151" i="1"/>
  <c r="K172" i="1"/>
  <c r="O13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Q10" i="1" s="1"/>
  <c r="BD47" i="1"/>
  <c r="AK74" i="1"/>
  <c r="BD36" i="1"/>
  <c r="AO22" i="1"/>
  <c r="BH51" i="1"/>
  <c r="BV15" i="1"/>
  <c r="BE20" i="1"/>
  <c r="AI24" i="1"/>
  <c r="BC8" i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3" i="1"/>
  <c r="BV13" i="1"/>
  <c r="BN35" i="1"/>
  <c r="BH164" i="1"/>
  <c r="BI164" i="1" s="1"/>
  <c r="BH149" i="1"/>
  <c r="BI149" i="1" s="1"/>
  <c r="BV145" i="1"/>
  <c r="BV125" i="1"/>
  <c r="BW125" i="1" s="1"/>
  <c r="B132" i="1"/>
  <c r="L118" i="1"/>
  <c r="U164" i="1"/>
  <c r="B79" i="1"/>
  <c r="Q149" i="1"/>
  <c r="V151" i="1"/>
  <c r="G145" i="1"/>
  <c r="G180" i="1" s="1"/>
  <c r="F133" i="1"/>
  <c r="L133" i="1"/>
  <c r="C77" i="1"/>
  <c r="K77" i="1"/>
  <c r="Q78" i="1"/>
  <c r="H150" i="1"/>
  <c r="V122" i="1"/>
  <c r="F127" i="1"/>
  <c r="T77" i="1"/>
  <c r="B145" i="1"/>
  <c r="B180" i="1" s="1"/>
  <c r="M159" i="1"/>
  <c r="M118" i="1"/>
  <c r="E119" i="1"/>
  <c r="B64" i="1"/>
  <c r="K127" i="1"/>
  <c r="W137" i="1"/>
  <c r="W118" i="1"/>
  <c r="J150" i="1"/>
  <c r="G146" i="1"/>
  <c r="V78" i="1"/>
  <c r="B124" i="1"/>
  <c r="J171" i="1"/>
  <c r="V136" i="1"/>
  <c r="B144" i="1"/>
  <c r="B179" i="1" s="1"/>
  <c r="U143" i="1"/>
  <c r="E118" i="1"/>
  <c r="W172" i="1"/>
  <c r="K73" i="1"/>
  <c r="U159" i="1"/>
  <c r="H77" i="1"/>
  <c r="L170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H160" i="1"/>
  <c r="M133" i="1"/>
  <c r="E149" i="1"/>
  <c r="C160" i="1"/>
  <c r="C147" i="1"/>
  <c r="K135" i="1"/>
  <c r="K131" i="1" s="1"/>
  <c r="N145" i="1"/>
  <c r="N180" i="1" s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D161" i="1" s="1"/>
  <c r="O150" i="1"/>
  <c r="G150" i="1"/>
  <c r="T163" i="1"/>
  <c r="P119" i="1"/>
  <c r="J74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P128" i="1" s="1"/>
  <c r="Q159" i="1"/>
  <c r="Q161" i="1" s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N152" i="1"/>
  <c r="BO152" i="1" s="1"/>
  <c r="BN127" i="1"/>
  <c r="BO127" i="1" s="1"/>
  <c r="BR132" i="1"/>
  <c r="BP144" i="1"/>
  <c r="AT159" i="1"/>
  <c r="BF164" i="1"/>
  <c r="BG164" i="1" s="1"/>
  <c r="AZ135" i="1"/>
  <c r="BA135" i="1" s="1"/>
  <c r="BP124" i="1"/>
  <c r="BQ124" i="1" s="1"/>
  <c r="BP142" i="1"/>
  <c r="BQ142" i="1" s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AV149" i="1"/>
  <c r="AW149" i="1" s="1"/>
  <c r="BN142" i="1"/>
  <c r="BO142" i="1" s="1"/>
  <c r="AZ144" i="1"/>
  <c r="AP124" i="1"/>
  <c r="AQ124" i="1" s="1"/>
  <c r="BP117" i="1"/>
  <c r="BQ117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22" i="1"/>
  <c r="BE122" i="1" s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AP74" i="1"/>
  <c r="BG74" i="1"/>
  <c r="BF122" i="1"/>
  <c r="BG122" i="1" s="1"/>
  <c r="AZ164" i="1"/>
  <c r="BA164" i="1" s="1"/>
  <c r="BF140" i="1"/>
  <c r="BG140" i="1" s="1"/>
  <c r="BP122" i="1"/>
  <c r="BQ122" i="1" s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D153" i="1"/>
  <c r="BF126" i="1"/>
  <c r="BG126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R154" i="1"/>
  <c r="BS154" i="1" s="1"/>
  <c r="BK74" i="1"/>
  <c r="AX117" i="1"/>
  <c r="AX154" i="1"/>
  <c r="AY154" i="1" s="1"/>
  <c r="BB125" i="1"/>
  <c r="BC125" i="1" s="1"/>
  <c r="BF144" i="1"/>
  <c r="AX124" i="1"/>
  <c r="BR140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AT74" i="1"/>
  <c r="BB144" i="1"/>
  <c r="BB147" i="1"/>
  <c r="BC147" i="1" s="1"/>
  <c r="AN140" i="1"/>
  <c r="BP150" i="1"/>
  <c r="BQ150" i="1" s="1"/>
  <c r="AN13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P163" i="1"/>
  <c r="BQ163" i="1" s="1"/>
  <c r="BP147" i="1"/>
  <c r="BQ147" i="1" s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AP152" i="1"/>
  <c r="AQ152" i="1" s="1"/>
  <c r="AT163" i="1"/>
  <c r="AU163" i="1" s="1"/>
  <c r="AT147" i="1"/>
  <c r="AU147" i="1" s="1"/>
  <c r="AU74" i="1"/>
  <c r="BB118" i="1"/>
  <c r="BC118" i="1" s="1"/>
  <c r="AZ73" i="1"/>
  <c r="AP164" i="1"/>
  <c r="AQ164" i="1" s="1"/>
  <c r="BB117" i="1"/>
  <c r="AN145" i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AN144" i="1"/>
  <c r="AV119" i="1"/>
  <c r="AR145" i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N137" i="1"/>
  <c r="BO137" i="1" s="1"/>
  <c r="BR137" i="1"/>
  <c r="BS137" i="1" s="1"/>
  <c r="BB137" i="1"/>
  <c r="BC137" i="1" s="1"/>
  <c r="BB143" i="1"/>
  <c r="BF143" i="1"/>
  <c r="AX143" i="1"/>
  <c r="AZ143" i="1"/>
  <c r="BR143" i="1"/>
  <c r="BN143" i="1"/>
  <c r="AP194" i="1"/>
  <c r="BQ252" i="1"/>
  <c r="BM10" i="1"/>
  <c r="BQ231" i="1"/>
  <c r="BM231" i="1"/>
  <c r="AI203" i="1"/>
  <c r="AI201" i="1" s="1"/>
  <c r="AY231" i="1"/>
  <c r="BM253" i="1"/>
  <c r="BM203" i="1"/>
  <c r="BM201" i="1" s="1"/>
  <c r="BM33" i="1"/>
  <c r="BM194" i="1"/>
  <c r="BR194" i="1"/>
  <c r="AI33" i="1"/>
  <c r="BH179" i="1"/>
  <c r="BI179" i="1" s="1"/>
  <c r="AR252" i="1"/>
  <c r="BK231" i="1"/>
  <c r="BM98" i="1"/>
  <c r="BM99" i="1" s="1"/>
  <c r="AU231" i="1"/>
  <c r="BN33" i="1"/>
  <c r="BN194" i="1"/>
  <c r="BI194" i="1"/>
  <c r="BE253" i="1"/>
  <c r="BJ253" i="1"/>
  <c r="BJ194" i="1"/>
  <c r="BG231" i="1"/>
  <c r="AX231" i="1"/>
  <c r="AU252" i="1"/>
  <c r="BJ28" i="1"/>
  <c r="CQ134" i="1"/>
  <c r="DB77" i="1"/>
  <c r="CY65" i="1"/>
  <c r="CZ63" i="1"/>
  <c r="AP26" i="1" l="1"/>
  <c r="G134" i="1"/>
  <c r="AS253" i="1"/>
  <c r="AV26" i="1"/>
  <c r="BC26" i="1"/>
  <c r="BU252" i="1"/>
  <c r="BH26" i="1"/>
  <c r="U120" i="1"/>
  <c r="E202" i="1"/>
  <c r="BV134" i="1"/>
  <c r="BV161" i="1"/>
  <c r="BW209" i="1" s="1"/>
  <c r="M134" i="1"/>
  <c r="AR26" i="1"/>
  <c r="BG26" i="1"/>
  <c r="BP252" i="1"/>
  <c r="BV10" i="1"/>
  <c r="AX26" i="1"/>
  <c r="BE10" i="1"/>
  <c r="AR10" i="1"/>
  <c r="BV180" i="1"/>
  <c r="BW180" i="1" s="1"/>
  <c r="F134" i="1"/>
  <c r="G161" i="1"/>
  <c r="M148" i="1"/>
  <c r="M182" i="1" s="1"/>
  <c r="M181" i="1" s="1"/>
  <c r="O161" i="1"/>
  <c r="P209" i="1" s="1"/>
  <c r="BT131" i="1"/>
  <c r="BT151" i="1"/>
  <c r="BU151" i="1" s="1"/>
  <c r="BT117" i="1"/>
  <c r="BU117" i="1" s="1"/>
  <c r="BD149" i="1"/>
  <c r="BE149" i="1" s="1"/>
  <c r="BT152" i="1"/>
  <c r="BU152" i="1" s="1"/>
  <c r="BM74" i="1"/>
  <c r="BT146" i="1"/>
  <c r="BU146" i="1" s="1"/>
  <c r="BT74" i="1"/>
  <c r="BT144" i="1"/>
  <c r="BT153" i="1"/>
  <c r="BT159" i="1"/>
  <c r="BD126" i="1"/>
  <c r="BE126" i="1" s="1"/>
  <c r="BT140" i="1"/>
  <c r="BT127" i="1"/>
  <c r="BU127" i="1" s="1"/>
  <c r="BD163" i="1"/>
  <c r="BE163" i="1" s="1"/>
  <c r="BT119" i="1"/>
  <c r="BT135" i="1"/>
  <c r="BU135" i="1" s="1"/>
  <c r="BT154" i="1"/>
  <c r="BU154" i="1" s="1"/>
  <c r="BT160" i="1"/>
  <c r="BD119" i="1"/>
  <c r="BD140" i="1"/>
  <c r="BE140" i="1" s="1"/>
  <c r="BD142" i="1"/>
  <c r="BE142" i="1" s="1"/>
  <c r="BK73" i="1"/>
  <c r="BT145" i="1"/>
  <c r="BT150" i="1"/>
  <c r="BU150" i="1" s="1"/>
  <c r="BT147" i="1"/>
  <c r="BU147" i="1" s="1"/>
  <c r="BD73" i="1"/>
  <c r="BD159" i="1"/>
  <c r="BT132" i="1"/>
  <c r="BT125" i="1"/>
  <c r="BU125" i="1" s="1"/>
  <c r="BT124" i="1"/>
  <c r="BD144" i="1"/>
  <c r="BT155" i="1"/>
  <c r="BU155" i="1" s="1"/>
  <c r="BT73" i="1"/>
  <c r="BD118" i="1"/>
  <c r="BE118" i="1" s="1"/>
  <c r="BT164" i="1"/>
  <c r="BU164" i="1" s="1"/>
  <c r="BT118" i="1"/>
  <c r="BU118" i="1" s="1"/>
  <c r="BM73" i="1"/>
  <c r="BT133" i="1"/>
  <c r="BD125" i="1"/>
  <c r="BE125" i="1" s="1"/>
  <c r="BT122" i="1"/>
  <c r="BU122" i="1" s="1"/>
  <c r="BT126" i="1"/>
  <c r="BU126" i="1" s="1"/>
  <c r="BT142" i="1"/>
  <c r="BU142" i="1" s="1"/>
  <c r="BD154" i="1"/>
  <c r="BE154" i="1" s="1"/>
  <c r="BT163" i="1"/>
  <c r="BU163" i="1" s="1"/>
  <c r="BD132" i="1"/>
  <c r="BT149" i="1"/>
  <c r="BU149" i="1" s="1"/>
  <c r="BD137" i="1"/>
  <c r="BE137" i="1" s="1"/>
  <c r="BT137" i="1"/>
  <c r="BU137" i="1" s="1"/>
  <c r="BT143" i="1"/>
  <c r="BD143" i="1"/>
  <c r="BV253" i="1"/>
  <c r="BO231" i="1"/>
  <c r="AX252" i="1"/>
  <c r="BH10" i="1"/>
  <c r="BO253" i="1"/>
  <c r="R161" i="1"/>
  <c r="BV183" i="1"/>
  <c r="S128" i="1"/>
  <c r="BD26" i="1"/>
  <c r="D148" i="1"/>
  <c r="BV252" i="1"/>
  <c r="BP26" i="1"/>
  <c r="BB26" i="1"/>
  <c r="BH183" i="1"/>
  <c r="BI183" i="1" s="1"/>
  <c r="D173" i="1"/>
  <c r="B128" i="1"/>
  <c r="L173" i="1"/>
  <c r="Q173" i="1"/>
  <c r="L128" i="1"/>
  <c r="H161" i="1"/>
  <c r="I209" i="1" s="1"/>
  <c r="K173" i="1"/>
  <c r="R120" i="1"/>
  <c r="R54" i="1" s="1"/>
  <c r="M173" i="1"/>
  <c r="Q120" i="1"/>
  <c r="F161" i="1"/>
  <c r="G209" i="1" s="1"/>
  <c r="O202" i="1"/>
  <c r="K134" i="1"/>
  <c r="T202" i="1"/>
  <c r="O120" i="1"/>
  <c r="N134" i="1"/>
  <c r="M161" i="1"/>
  <c r="N209" i="1" s="1"/>
  <c r="S173" i="1"/>
  <c r="S161" i="1"/>
  <c r="T209" i="1" s="1"/>
  <c r="K202" i="1"/>
  <c r="C65" i="1"/>
  <c r="AI37" i="1"/>
  <c r="BH252" i="1"/>
  <c r="BK10" i="1"/>
  <c r="AY10" i="1"/>
  <c r="BO252" i="1"/>
  <c r="BI117" i="1"/>
  <c r="AN194" i="1"/>
  <c r="AN33" i="1"/>
  <c r="BO10" i="1"/>
  <c r="AR253" i="1"/>
  <c r="AY253" i="1"/>
  <c r="AS252" i="1"/>
  <c r="AS10" i="1"/>
  <c r="AO252" i="1"/>
  <c r="BT26" i="1"/>
  <c r="BE252" i="1"/>
  <c r="BT194" i="1"/>
  <c r="AQ194" i="1"/>
  <c r="BH253" i="1"/>
  <c r="BG252" i="1"/>
  <c r="AX10" i="1"/>
  <c r="BA194" i="1"/>
  <c r="AO231" i="1"/>
  <c r="AW252" i="1"/>
  <c r="AW231" i="1"/>
  <c r="BC252" i="1"/>
  <c r="BW117" i="1"/>
  <c r="BV120" i="1"/>
  <c r="BW140" i="1"/>
  <c r="BX202" i="1" s="1"/>
  <c r="BW202" i="1"/>
  <c r="BR26" i="1"/>
  <c r="AW26" i="1"/>
  <c r="AT252" i="1"/>
  <c r="AQ26" i="1"/>
  <c r="AY252" i="1"/>
  <c r="AU10" i="1"/>
  <c r="AT26" i="1"/>
  <c r="C173" i="1"/>
  <c r="G173" i="1"/>
  <c r="O173" i="1"/>
  <c r="B173" i="1"/>
  <c r="N173" i="1"/>
  <c r="F173" i="1"/>
  <c r="U202" i="1"/>
  <c r="K120" i="1"/>
  <c r="K128" i="1"/>
  <c r="D134" i="1"/>
  <c r="C161" i="1"/>
  <c r="I173" i="1"/>
  <c r="P134" i="1"/>
  <c r="P173" i="1"/>
  <c r="G202" i="1"/>
  <c r="N156" i="1"/>
  <c r="N185" i="1" s="1"/>
  <c r="N184" i="1" s="1"/>
  <c r="J161" i="1"/>
  <c r="Q202" i="1"/>
  <c r="W128" i="1"/>
  <c r="S202" i="1"/>
  <c r="J120" i="1"/>
  <c r="BH202" i="1"/>
  <c r="AU26" i="1"/>
  <c r="BS26" i="1"/>
  <c r="AM48" i="1"/>
  <c r="BO26" i="1"/>
  <c r="BW128" i="1"/>
  <c r="AI26" i="1"/>
  <c r="AS26" i="1"/>
  <c r="BN26" i="1"/>
  <c r="BF10" i="1"/>
  <c r="BQ26" i="1"/>
  <c r="AQ252" i="1"/>
  <c r="BG10" i="1"/>
  <c r="BK11" i="1" s="1"/>
  <c r="BT253" i="1"/>
  <c r="BH134" i="1"/>
  <c r="BH138" i="1" s="1"/>
  <c r="BI128" i="1"/>
  <c r="U134" i="1"/>
  <c r="U33" i="1" s="1"/>
  <c r="T156" i="1"/>
  <c r="T185" i="1" s="1"/>
  <c r="D202" i="1"/>
  <c r="N148" i="1"/>
  <c r="BP10" i="1"/>
  <c r="BH180" i="1"/>
  <c r="BI180" i="1" s="1"/>
  <c r="R148" i="1"/>
  <c r="T173" i="1"/>
  <c r="C128" i="1"/>
  <c r="C37" i="1" s="1"/>
  <c r="S120" i="1"/>
  <c r="K156" i="1"/>
  <c r="R128" i="1"/>
  <c r="BH161" i="1"/>
  <c r="BI209" i="1" s="1"/>
  <c r="T134" i="1"/>
  <c r="BK26" i="1"/>
  <c r="BK27" i="1" s="1"/>
  <c r="BE26" i="1"/>
  <c r="BE27" i="1" s="1"/>
  <c r="BU26" i="1"/>
  <c r="BU27" i="1" s="1"/>
  <c r="I128" i="1"/>
  <c r="T148" i="1"/>
  <c r="I161" i="1"/>
  <c r="J209" i="1" s="1"/>
  <c r="F148" i="1"/>
  <c r="N128" i="1"/>
  <c r="V161" i="1"/>
  <c r="W209" i="1" s="1"/>
  <c r="D65" i="1"/>
  <c r="W173" i="1"/>
  <c r="T128" i="1"/>
  <c r="W202" i="1"/>
  <c r="K161" i="1"/>
  <c r="B120" i="1"/>
  <c r="H120" i="1"/>
  <c r="U173" i="1"/>
  <c r="Q128" i="1"/>
  <c r="M128" i="1"/>
  <c r="U156" i="1"/>
  <c r="L148" i="1"/>
  <c r="H156" i="1"/>
  <c r="H185" i="1" s="1"/>
  <c r="H184" i="1" s="1"/>
  <c r="M120" i="1"/>
  <c r="V120" i="1"/>
  <c r="I202" i="1"/>
  <c r="AX179" i="1"/>
  <c r="AY179" i="1" s="1"/>
  <c r="BP179" i="1"/>
  <c r="BQ179" i="1" s="1"/>
  <c r="BR179" i="1"/>
  <c r="BS179" i="1" s="1"/>
  <c r="BP180" i="1"/>
  <c r="BQ180" i="1" s="1"/>
  <c r="AT179" i="1"/>
  <c r="AU179" i="1" s="1"/>
  <c r="BR180" i="1"/>
  <c r="BS180" i="1" s="1"/>
  <c r="AT183" i="1"/>
  <c r="AU183" i="1" s="1"/>
  <c r="BB180" i="1"/>
  <c r="BC180" i="1" s="1"/>
  <c r="BB183" i="1"/>
  <c r="BC183" i="1" s="1"/>
  <c r="BP183" i="1"/>
  <c r="BQ183" i="1" s="1"/>
  <c r="BN179" i="1"/>
  <c r="BO179" i="1" s="1"/>
  <c r="BF180" i="1"/>
  <c r="BG180" i="1" s="1"/>
  <c r="BF183" i="1"/>
  <c r="BG183" i="1" s="1"/>
  <c r="BN180" i="1"/>
  <c r="BO180" i="1" s="1"/>
  <c r="AT180" i="1"/>
  <c r="AU180" i="1" s="1"/>
  <c r="BN183" i="1"/>
  <c r="BO183" i="1" s="1"/>
  <c r="AX183" i="1"/>
  <c r="AY183" i="1" s="1"/>
  <c r="BF179" i="1"/>
  <c r="BG179" i="1" s="1"/>
  <c r="BB179" i="1"/>
  <c r="BC179" i="1" s="1"/>
  <c r="BR183" i="1"/>
  <c r="BS183" i="1" s="1"/>
  <c r="AW10" i="1"/>
  <c r="AW16" i="1" s="1"/>
  <c r="AW253" i="1"/>
  <c r="BG194" i="1"/>
  <c r="BG253" i="1"/>
  <c r="BS231" i="1"/>
  <c r="BS10" i="1"/>
  <c r="BB253" i="1"/>
  <c r="BB194" i="1"/>
  <c r="BF252" i="1"/>
  <c r="BI98" i="1"/>
  <c r="BI99" i="1" s="1"/>
  <c r="BF231" i="1"/>
  <c r="BH98" i="1"/>
  <c r="BH99" i="1" s="1"/>
  <c r="BF253" i="1"/>
  <c r="BS194" i="1"/>
  <c r="BS253" i="1"/>
  <c r="BP194" i="1"/>
  <c r="BP253" i="1"/>
  <c r="BB10" i="1"/>
  <c r="BB231" i="1"/>
  <c r="BB252" i="1"/>
  <c r="BQ194" i="1"/>
  <c r="BQ253" i="1"/>
  <c r="BM252" i="1"/>
  <c r="BM37" i="1"/>
  <c r="AU98" i="1"/>
  <c r="AU99" i="1" s="1"/>
  <c r="AT231" i="1"/>
  <c r="AT10" i="1"/>
  <c r="BR231" i="1"/>
  <c r="BR253" i="1"/>
  <c r="BR252" i="1"/>
  <c r="BR10" i="1"/>
  <c r="BI231" i="1"/>
  <c r="BI252" i="1"/>
  <c r="BL98" i="1"/>
  <c r="BL99" i="1" s="1"/>
  <c r="BJ98" i="1"/>
  <c r="BJ99" i="1" s="1"/>
  <c r="BI10" i="1"/>
  <c r="BK98" i="1"/>
  <c r="BK99" i="1" s="1"/>
  <c r="BI253" i="1"/>
  <c r="AV231" i="1"/>
  <c r="AY98" i="1"/>
  <c r="AY99" i="1" s="1"/>
  <c r="AU194" i="1"/>
  <c r="AU253" i="1"/>
  <c r="BP231" i="1"/>
  <c r="BS98" i="1"/>
  <c r="BS99" i="1" s="1"/>
  <c r="BR98" i="1"/>
  <c r="BR99" i="1" s="1"/>
  <c r="BO98" i="1"/>
  <c r="BO99" i="1" s="1"/>
  <c r="BQ98" i="1"/>
  <c r="BQ99" i="1" s="1"/>
  <c r="BN253" i="1"/>
  <c r="BN231" i="1"/>
  <c r="BN98" i="1"/>
  <c r="BN99" i="1" s="1"/>
  <c r="BN10" i="1"/>
  <c r="BP98" i="1"/>
  <c r="BP99" i="1" s="1"/>
  <c r="AI182" i="1"/>
  <c r="AI185" i="1"/>
  <c r="AI186" i="1" s="1"/>
  <c r="AI179" i="1"/>
  <c r="BK203" i="1"/>
  <c r="BK201" i="1" s="1"/>
  <c r="BK33" i="1"/>
  <c r="BK194" i="1"/>
  <c r="BK253" i="1"/>
  <c r="AT194" i="1"/>
  <c r="AT253" i="1"/>
  <c r="BA231" i="1"/>
  <c r="BA252" i="1"/>
  <c r="BA10" i="1"/>
  <c r="BA253" i="1"/>
  <c r="BK252" i="1"/>
  <c r="BK37" i="1"/>
  <c r="BC194" i="1"/>
  <c r="BC253" i="1"/>
  <c r="BC231" i="1"/>
  <c r="BC10" i="1"/>
  <c r="AO194" i="1"/>
  <c r="AO253" i="1"/>
  <c r="L202" i="1"/>
  <c r="M202" i="1"/>
  <c r="O175" i="1"/>
  <c r="O54" i="1"/>
  <c r="N138" i="1"/>
  <c r="N33" i="1"/>
  <c r="C107" i="1"/>
  <c r="C66" i="1"/>
  <c r="P138" i="1"/>
  <c r="P33" i="1"/>
  <c r="F138" i="1"/>
  <c r="F33" i="1"/>
  <c r="S37" i="1"/>
  <c r="AW98" i="1"/>
  <c r="AW99" i="1" s="1"/>
  <c r="AW102" i="1" s="1"/>
  <c r="P148" i="1"/>
  <c r="I148" i="1"/>
  <c r="I182" i="1" s="1"/>
  <c r="I181" i="1" s="1"/>
  <c r="N161" i="1"/>
  <c r="S148" i="1"/>
  <c r="F156" i="1"/>
  <c r="F185" i="1" s="1"/>
  <c r="G156" i="1"/>
  <c r="E156" i="1"/>
  <c r="V128" i="1"/>
  <c r="I156" i="1"/>
  <c r="T161" i="1"/>
  <c r="S134" i="1"/>
  <c r="C134" i="1"/>
  <c r="V134" i="1"/>
  <c r="O134" i="1"/>
  <c r="D156" i="1"/>
  <c r="D157" i="1" s="1"/>
  <c r="B156" i="1"/>
  <c r="B185" i="1" s="1"/>
  <c r="B184" i="1" s="1"/>
  <c r="P156" i="1"/>
  <c r="AY26" i="1"/>
  <c r="AY27" i="1" s="1"/>
  <c r="F128" i="1"/>
  <c r="H202" i="1"/>
  <c r="J148" i="1"/>
  <c r="C148" i="1"/>
  <c r="C182" i="1" s="1"/>
  <c r="C181" i="1" s="1"/>
  <c r="J134" i="1"/>
  <c r="Q134" i="1"/>
  <c r="BW98" i="1"/>
  <c r="BW99" i="1" s="1"/>
  <c r="G120" i="1"/>
  <c r="L134" i="1"/>
  <c r="BI26" i="1"/>
  <c r="BV26" i="1"/>
  <c r="BV27" i="1" s="1"/>
  <c r="BD252" i="1"/>
  <c r="AZ26" i="1"/>
  <c r="AZ10" i="1"/>
  <c r="AP98" i="1"/>
  <c r="AP99" i="1" s="1"/>
  <c r="AN26" i="1"/>
  <c r="E173" i="1"/>
  <c r="AO26" i="1"/>
  <c r="AO27" i="1" s="1"/>
  <c r="BM26" i="1"/>
  <c r="BM27" i="1" s="1"/>
  <c r="BN252" i="1"/>
  <c r="BW26" i="1"/>
  <c r="BF26" i="1"/>
  <c r="BA26" i="1"/>
  <c r="AV10" i="1"/>
  <c r="AP252" i="1"/>
  <c r="O248" i="1"/>
  <c r="R156" i="1"/>
  <c r="R185" i="1" s="1"/>
  <c r="AP253" i="1"/>
  <c r="L156" i="1"/>
  <c r="L185" i="1" s="1"/>
  <c r="L184" i="1" s="1"/>
  <c r="E148" i="1"/>
  <c r="P120" i="1"/>
  <c r="S156" i="1"/>
  <c r="H134" i="1"/>
  <c r="H33" i="1" s="1"/>
  <c r="G148" i="1"/>
  <c r="H196" i="1" s="1"/>
  <c r="O156" i="1"/>
  <c r="O185" i="1" s="1"/>
  <c r="R175" i="1"/>
  <c r="U148" i="1"/>
  <c r="U182" i="1" s="1"/>
  <c r="U181" i="1" s="1"/>
  <c r="V173" i="1"/>
  <c r="H128" i="1"/>
  <c r="J173" i="1"/>
  <c r="I120" i="1"/>
  <c r="F120" i="1"/>
  <c r="Q148" i="1"/>
  <c r="V202" i="1"/>
  <c r="I134" i="1"/>
  <c r="I33" i="1" s="1"/>
  <c r="T120" i="1"/>
  <c r="T175" i="1" s="1"/>
  <c r="B134" i="1"/>
  <c r="B138" i="1" s="1"/>
  <c r="AS194" i="1"/>
  <c r="BT10" i="1"/>
  <c r="AQ253" i="1"/>
  <c r="BT98" i="1"/>
  <c r="BT99" i="1" s="1"/>
  <c r="BT231" i="1"/>
  <c r="BT252" i="1"/>
  <c r="AT98" i="1"/>
  <c r="AT99" i="1" s="1"/>
  <c r="AT103" i="1" s="1"/>
  <c r="AP10" i="1"/>
  <c r="AP12" i="1" s="1"/>
  <c r="AV180" i="1"/>
  <c r="AW180" i="1" s="1"/>
  <c r="AP183" i="1"/>
  <c r="AQ183" i="1" s="1"/>
  <c r="U128" i="1"/>
  <c r="AV253" i="1"/>
  <c r="AQ10" i="1"/>
  <c r="AS98" i="1"/>
  <c r="AS99" i="1" s="1"/>
  <c r="BT179" i="1"/>
  <c r="BU179" i="1" s="1"/>
  <c r="AX98" i="1"/>
  <c r="AX99" i="1" s="1"/>
  <c r="AP180" i="1"/>
  <c r="AQ180" i="1" s="1"/>
  <c r="BT183" i="1"/>
  <c r="BU183" i="1" s="1"/>
  <c r="B148" i="1"/>
  <c r="AV98" i="1"/>
  <c r="AV99" i="1" s="1"/>
  <c r="AR98" i="1"/>
  <c r="AR99" i="1" s="1"/>
  <c r="AR102" i="1" s="1"/>
  <c r="AP179" i="1"/>
  <c r="AQ179" i="1" s="1"/>
  <c r="K148" i="1"/>
  <c r="AV252" i="1"/>
  <c r="AX253" i="1"/>
  <c r="AV183" i="1"/>
  <c r="AW183" i="1" s="1"/>
  <c r="AV179" i="1"/>
  <c r="AW179" i="1" s="1"/>
  <c r="O148" i="1"/>
  <c r="BW253" i="1"/>
  <c r="C156" i="1"/>
  <c r="Q156" i="1"/>
  <c r="BW252" i="1"/>
  <c r="BV98" i="1"/>
  <c r="BV99" i="1" s="1"/>
  <c r="BU98" i="1"/>
  <c r="BU99" i="1" s="1"/>
  <c r="E128" i="1"/>
  <c r="BI202" i="1"/>
  <c r="BZ98" i="1"/>
  <c r="BZ99" i="1" s="1"/>
  <c r="BZ104" i="1" s="1"/>
  <c r="BH128" i="1"/>
  <c r="BH168" i="1" s="1"/>
  <c r="BU253" i="1"/>
  <c r="BH148" i="1"/>
  <c r="BH182" i="1" s="1"/>
  <c r="BH181" i="1" s="1"/>
  <c r="T184" i="1"/>
  <c r="BV128" i="1"/>
  <c r="BJ27" i="1"/>
  <c r="J156" i="1"/>
  <c r="H54" i="1"/>
  <c r="H248" i="1"/>
  <c r="H175" i="1"/>
  <c r="AZ253" i="1"/>
  <c r="AQ98" i="1"/>
  <c r="AQ99" i="1" s="1"/>
  <c r="AQ104" i="1" s="1"/>
  <c r="BW231" i="1"/>
  <c r="AO98" i="1"/>
  <c r="AO99" i="1" s="1"/>
  <c r="BY98" i="1"/>
  <c r="BY99" i="1" s="1"/>
  <c r="BY103" i="1" s="1"/>
  <c r="AI183" i="1"/>
  <c r="AN180" i="1"/>
  <c r="AO180" i="1" s="1"/>
  <c r="BD179" i="1"/>
  <c r="BE179" i="1" s="1"/>
  <c r="V156" i="1"/>
  <c r="V185" i="1" s="1"/>
  <c r="F202" i="1"/>
  <c r="R202" i="1"/>
  <c r="H173" i="1"/>
  <c r="BW10" i="1"/>
  <c r="CA188" i="1" s="1"/>
  <c r="AN98" i="1"/>
  <c r="AN99" i="1" s="1"/>
  <c r="BV148" i="1"/>
  <c r="BV182" i="1" s="1"/>
  <c r="E120" i="1"/>
  <c r="AN231" i="1"/>
  <c r="AN179" i="1"/>
  <c r="AO179" i="1" s="1"/>
  <c r="O128" i="1"/>
  <c r="AZ179" i="1"/>
  <c r="BA179" i="1" s="1"/>
  <c r="AZ180" i="1"/>
  <c r="BA180" i="1" s="1"/>
  <c r="J128" i="1"/>
  <c r="D120" i="1"/>
  <c r="AN252" i="1"/>
  <c r="C202" i="1"/>
  <c r="D128" i="1"/>
  <c r="AN10" i="1"/>
  <c r="AN253" i="1"/>
  <c r="AL98" i="1"/>
  <c r="AL99" i="1" s="1"/>
  <c r="BG98" i="1"/>
  <c r="BG99" i="1" s="1"/>
  <c r="BG102" i="1" s="1"/>
  <c r="BH156" i="1"/>
  <c r="BH185" i="1" s="1"/>
  <c r="BH184" i="1" s="1"/>
  <c r="L120" i="1"/>
  <c r="L129" i="1" s="1"/>
  <c r="L55" i="1" s="1"/>
  <c r="BE98" i="1"/>
  <c r="BE99" i="1" s="1"/>
  <c r="BE104" i="1" s="1"/>
  <c r="BD98" i="1"/>
  <c r="BD99" i="1" s="1"/>
  <c r="BD102" i="1" s="1"/>
  <c r="AI180" i="1"/>
  <c r="BV16" i="1"/>
  <c r="BD231" i="1"/>
  <c r="BC98" i="1"/>
  <c r="BC99" i="1" s="1"/>
  <c r="B161" i="1"/>
  <c r="C209" i="1" s="1"/>
  <c r="C120" i="1"/>
  <c r="BB98" i="1"/>
  <c r="BB99" i="1" s="1"/>
  <c r="AZ98" i="1"/>
  <c r="AZ99" i="1" s="1"/>
  <c r="BD253" i="1"/>
  <c r="AZ231" i="1"/>
  <c r="AZ183" i="1"/>
  <c r="BA183" i="1" s="1"/>
  <c r="R173" i="1"/>
  <c r="G128" i="1"/>
  <c r="V148" i="1"/>
  <c r="R134" i="1"/>
  <c r="AZ252" i="1"/>
  <c r="BA98" i="1"/>
  <c r="BA99" i="1" s="1"/>
  <c r="BA103" i="1" s="1"/>
  <c r="BX98" i="1"/>
  <c r="BX99" i="1" s="1"/>
  <c r="BX104" i="1" s="1"/>
  <c r="BD10" i="1"/>
  <c r="BH120" i="1"/>
  <c r="U161" i="1"/>
  <c r="B65" i="1"/>
  <c r="BF98" i="1"/>
  <c r="BF99" i="1" s="1"/>
  <c r="BF103" i="1" s="1"/>
  <c r="AN183" i="1"/>
  <c r="AO183" i="1" s="1"/>
  <c r="M156" i="1"/>
  <c r="N120" i="1"/>
  <c r="AI231" i="1"/>
  <c r="BV156" i="1"/>
  <c r="BV185" i="1" s="1"/>
  <c r="AI10" i="1"/>
  <c r="BD183" i="1"/>
  <c r="BE183" i="1" s="1"/>
  <c r="BD180" i="1"/>
  <c r="BE180" i="1" s="1"/>
  <c r="P202" i="1"/>
  <c r="AR134" i="1"/>
  <c r="E209" i="1"/>
  <c r="U54" i="1"/>
  <c r="R209" i="1"/>
  <c r="G138" i="1"/>
  <c r="G33" i="1"/>
  <c r="BD161" i="1"/>
  <c r="BE209" i="1" s="1"/>
  <c r="E33" i="1"/>
  <c r="E138" i="1"/>
  <c r="J175" i="1"/>
  <c r="J54" i="1"/>
  <c r="D33" i="1"/>
  <c r="D138" i="1"/>
  <c r="B37" i="1"/>
  <c r="K129" i="1"/>
  <c r="K55" i="1" s="1"/>
  <c r="K37" i="1"/>
  <c r="K54" i="1"/>
  <c r="K175" i="1"/>
  <c r="D209" i="1"/>
  <c r="W37" i="1"/>
  <c r="X249" i="1"/>
  <c r="X251" i="1" s="1"/>
  <c r="X206" i="1"/>
  <c r="U175" i="1"/>
  <c r="M138" i="1"/>
  <c r="M33" i="1"/>
  <c r="H182" i="1"/>
  <c r="I196" i="1"/>
  <c r="D182" i="1"/>
  <c r="D181" i="1" s="1"/>
  <c r="I37" i="1"/>
  <c r="Q54" i="1"/>
  <c r="Q175" i="1"/>
  <c r="K33" i="1"/>
  <c r="K138" i="1"/>
  <c r="W138" i="1"/>
  <c r="X203" i="1" s="1"/>
  <c r="X201" i="1" s="1"/>
  <c r="W33" i="1"/>
  <c r="S209" i="1"/>
  <c r="AN161" i="1"/>
  <c r="AO209" i="1" s="1"/>
  <c r="AV161" i="1"/>
  <c r="AW209" i="1" s="1"/>
  <c r="BN161" i="1"/>
  <c r="BO209" i="1" s="1"/>
  <c r="BR134" i="1"/>
  <c r="AX161" i="1"/>
  <c r="AY209" i="1" s="1"/>
  <c r="BS128" i="1"/>
  <c r="P168" i="1"/>
  <c r="P109" i="1" s="1"/>
  <c r="P37" i="1"/>
  <c r="H209" i="1"/>
  <c r="L37" i="1"/>
  <c r="M209" i="1"/>
  <c r="AZ134" i="1"/>
  <c r="BP134" i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AO140" i="1"/>
  <c r="AN202" i="1"/>
  <c r="BS117" i="1"/>
  <c r="BR120" i="1"/>
  <c r="BR92" i="1" s="1"/>
  <c r="AQ128" i="1"/>
  <c r="AT202" i="1"/>
  <c r="AN134" i="1"/>
  <c r="AP161" i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F128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R249" i="1" s="1"/>
  <c r="AZ156" i="1"/>
  <c r="AZ185" i="1" s="1"/>
  <c r="AV120" i="1"/>
  <c r="AU128" i="1"/>
  <c r="AW143" i="1"/>
  <c r="AV148" i="1"/>
  <c r="BC143" i="1"/>
  <c r="BB148" i="1"/>
  <c r="BG143" i="1"/>
  <c r="BF148" i="1"/>
  <c r="BO143" i="1"/>
  <c r="BN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Q11" i="1"/>
  <c r="BU11" i="1"/>
  <c r="BQ16" i="1"/>
  <c r="BC202" i="1"/>
  <c r="BD202" i="1"/>
  <c r="BU16" i="1"/>
  <c r="BM16" i="1"/>
  <c r="BM12" i="1"/>
  <c r="BH27" i="1"/>
  <c r="AS183" i="1"/>
  <c r="BY11" i="1"/>
  <c r="BV12" i="1"/>
  <c r="AR16" i="1"/>
  <c r="AR28" i="1" s="1"/>
  <c r="AR29" i="1" s="1"/>
  <c r="AU16" i="1"/>
  <c r="BW183" i="1"/>
  <c r="BE16" i="1"/>
  <c r="BG202" i="1"/>
  <c r="AR27" i="1"/>
  <c r="BZ11" i="1"/>
  <c r="BZ188" i="1"/>
  <c r="BH225" i="1"/>
  <c r="BM104" i="1"/>
  <c r="BM103" i="1"/>
  <c r="AX16" i="1"/>
  <c r="AX11" i="1"/>
  <c r="AO11" i="1"/>
  <c r="AS11" i="1"/>
  <c r="AO16" i="1"/>
  <c r="BH16" i="1"/>
  <c r="BL11" i="1"/>
  <c r="BI12" i="1"/>
  <c r="BN27" i="1"/>
  <c r="BO188" i="1"/>
  <c r="BN225" i="1"/>
  <c r="BG27" i="1"/>
  <c r="BJ225" i="1"/>
  <c r="BJ244" i="1"/>
  <c r="BH12" i="1"/>
  <c r="BG16" i="1"/>
  <c r="BV138" i="1"/>
  <c r="BW33" i="1"/>
  <c r="BW134" i="1"/>
  <c r="BG11" i="1"/>
  <c r="BJ29" i="1"/>
  <c r="BJ34" i="1"/>
  <c r="BJ38" i="1" s="1"/>
  <c r="BJ232" i="1"/>
  <c r="BJ233" i="1" s="1"/>
  <c r="CQ138" i="1"/>
  <c r="CR32" i="1"/>
  <c r="AE77" i="1"/>
  <c r="AB125" i="1"/>
  <c r="AB128" i="1" s="1"/>
  <c r="AB249" i="1" s="1"/>
  <c r="AD142" i="1"/>
  <c r="CZ65" i="1"/>
  <c r="DA63" i="1"/>
  <c r="BT180" i="1" l="1"/>
  <c r="BU180" i="1" s="1"/>
  <c r="BT161" i="1"/>
  <c r="BU209" i="1" s="1"/>
  <c r="BT134" i="1"/>
  <c r="BU143" i="1"/>
  <c r="BT148" i="1"/>
  <c r="BU140" i="1"/>
  <c r="BV202" i="1" s="1"/>
  <c r="H129" i="1"/>
  <c r="H55" i="1" s="1"/>
  <c r="L157" i="1"/>
  <c r="C108" i="1"/>
  <c r="R157" i="1"/>
  <c r="T138" i="1"/>
  <c r="Q196" i="1"/>
  <c r="T248" i="1"/>
  <c r="G182" i="1"/>
  <c r="G181" i="1" s="1"/>
  <c r="G196" i="1"/>
  <c r="T206" i="1"/>
  <c r="I207" i="1"/>
  <c r="I248" i="1"/>
  <c r="I54" i="1"/>
  <c r="I175" i="1"/>
  <c r="F54" i="1"/>
  <c r="F248" i="1"/>
  <c r="F175" i="1"/>
  <c r="BV184" i="1"/>
  <c r="R207" i="1"/>
  <c r="U138" i="1"/>
  <c r="K209" i="1"/>
  <c r="J248" i="1"/>
  <c r="H168" i="1"/>
  <c r="H109" i="1" s="1"/>
  <c r="H37" i="1"/>
  <c r="Q248" i="1"/>
  <c r="K207" i="1"/>
  <c r="J207" i="1"/>
  <c r="L209" i="1"/>
  <c r="K248" i="1"/>
  <c r="B175" i="1"/>
  <c r="B54" i="1"/>
  <c r="B248" i="1"/>
  <c r="T37" i="1"/>
  <c r="T249" i="1"/>
  <c r="T251" i="1" s="1"/>
  <c r="C206" i="1"/>
  <c r="B129" i="1"/>
  <c r="B55" i="1" s="1"/>
  <c r="K168" i="1"/>
  <c r="K109" i="1" s="1"/>
  <c r="L207" i="1"/>
  <c r="C168" i="1"/>
  <c r="C109" i="1" s="1"/>
  <c r="W249" i="1"/>
  <c r="W251" i="1" s="1"/>
  <c r="W206" i="1"/>
  <c r="D185" i="1"/>
  <c r="E197" i="1"/>
  <c r="BU124" i="1"/>
  <c r="BU128" i="1" s="1"/>
  <c r="BT128" i="1"/>
  <c r="BF202" i="1"/>
  <c r="BT156" i="1"/>
  <c r="BT185" i="1" s="1"/>
  <c r="BT120" i="1"/>
  <c r="BE202" i="1"/>
  <c r="BD156" i="1"/>
  <c r="BD185" i="1" s="1"/>
  <c r="BD128" i="1"/>
  <c r="BE143" i="1"/>
  <c r="BD148" i="1"/>
  <c r="BM225" i="1"/>
  <c r="AS16" i="1"/>
  <c r="AW11" i="1"/>
  <c r="BO11" i="1"/>
  <c r="BO16" i="1"/>
  <c r="AY11" i="1"/>
  <c r="AY12" i="1"/>
  <c r="AS27" i="1"/>
  <c r="AX27" i="1"/>
  <c r="BB27" i="1"/>
  <c r="AX12" i="1"/>
  <c r="BB11" i="1"/>
  <c r="BC188" i="1"/>
  <c r="BB225" i="1"/>
  <c r="BG188" i="1"/>
  <c r="BF11" i="1"/>
  <c r="BD12" i="1"/>
  <c r="AN188" i="1"/>
  <c r="AV11" i="1"/>
  <c r="BP181" i="1"/>
  <c r="BB184" i="1"/>
  <c r="BI134" i="1"/>
  <c r="BI33" i="1"/>
  <c r="S168" i="1"/>
  <c r="S109" i="1" s="1"/>
  <c r="T33" i="1"/>
  <c r="BF27" i="1"/>
  <c r="BA27" i="1"/>
  <c r="R168" i="1"/>
  <c r="R109" i="1" s="1"/>
  <c r="U197" i="1"/>
  <c r="S206" i="1"/>
  <c r="C249" i="1"/>
  <c r="C251" i="1" s="1"/>
  <c r="E129" i="1"/>
  <c r="E55" i="1" s="1"/>
  <c r="K206" i="1"/>
  <c r="H249" i="1"/>
  <c r="H251" i="1" s="1"/>
  <c r="R248" i="1"/>
  <c r="V207" i="1"/>
  <c r="V248" i="1"/>
  <c r="N196" i="1"/>
  <c r="L182" i="1"/>
  <c r="M196" i="1"/>
  <c r="P182" i="1"/>
  <c r="P157" i="1"/>
  <c r="R182" i="1"/>
  <c r="R181" i="1" s="1"/>
  <c r="S196" i="1"/>
  <c r="Q33" i="1"/>
  <c r="Q138" i="1"/>
  <c r="S248" i="1"/>
  <c r="S175" i="1"/>
  <c r="Q249" i="1"/>
  <c r="Q251" i="1" s="1"/>
  <c r="R249" i="1"/>
  <c r="R251" i="1" s="1"/>
  <c r="Q206" i="1"/>
  <c r="H157" i="1"/>
  <c r="I185" i="1"/>
  <c r="L168" i="1"/>
  <c r="L109" i="1" s="1"/>
  <c r="L248" i="1"/>
  <c r="BF184" i="1"/>
  <c r="AW27" i="1"/>
  <c r="AU103" i="1"/>
  <c r="AU104" i="1"/>
  <c r="AU102" i="1"/>
  <c r="BK12" i="1"/>
  <c r="BL12" i="1"/>
  <c r="BK16" i="1"/>
  <c r="AS12" i="1"/>
  <c r="AT12" i="1"/>
  <c r="AT27" i="1"/>
  <c r="AY16" i="1"/>
  <c r="AP16" i="1"/>
  <c r="AP11" i="1"/>
  <c r="BQ27" i="1"/>
  <c r="BM11" i="1"/>
  <c r="BQ28" i="1"/>
  <c r="BQ12" i="1"/>
  <c r="BA11" i="1"/>
  <c r="AI27" i="1"/>
  <c r="BJ11" i="1"/>
  <c r="BF16" i="1"/>
  <c r="BC27" i="1"/>
  <c r="AY188" i="1"/>
  <c r="BT225" i="1"/>
  <c r="BU188" i="1"/>
  <c r="F246" i="1"/>
  <c r="F244" i="1"/>
  <c r="BE12" i="1"/>
  <c r="BG225" i="1"/>
  <c r="BH11" i="1"/>
  <c r="BD16" i="1"/>
  <c r="BD27" i="1"/>
  <c r="BV188" i="1"/>
  <c r="BP12" i="1"/>
  <c r="BO27" i="1"/>
  <c r="BR225" i="1"/>
  <c r="V58" i="1"/>
  <c r="AU27" i="1"/>
  <c r="BF12" i="1"/>
  <c r="BL188" i="1"/>
  <c r="BG12" i="1"/>
  <c r="BP27" i="1"/>
  <c r="BK188" i="1"/>
  <c r="BP11" i="1"/>
  <c r="BT11" i="1"/>
  <c r="AQ27" i="1"/>
  <c r="BV92" i="1"/>
  <c r="BV248" i="1"/>
  <c r="S197" i="1"/>
  <c r="I129" i="1"/>
  <c r="I55" i="1" s="1"/>
  <c r="V206" i="1"/>
  <c r="D197" i="1"/>
  <c r="BV28" i="1"/>
  <c r="V157" i="1"/>
  <c r="M197" i="1"/>
  <c r="AP181" i="1"/>
  <c r="AT184" i="1"/>
  <c r="BF28" i="1"/>
  <c r="BJ30" i="1" s="1"/>
  <c r="L249" i="1"/>
  <c r="L251" i="1" s="1"/>
  <c r="L206" i="1"/>
  <c r="AM119" i="1"/>
  <c r="AM120" i="1" s="1"/>
  <c r="AM129" i="1" s="1"/>
  <c r="AM52" i="1"/>
  <c r="N157" i="1"/>
  <c r="N165" i="1" s="1"/>
  <c r="N182" i="1"/>
  <c r="K185" i="1"/>
  <c r="K184" i="1" s="1"/>
  <c r="L197" i="1"/>
  <c r="R129" i="1"/>
  <c r="R55" i="1" s="1"/>
  <c r="R206" i="1"/>
  <c r="U196" i="1"/>
  <c r="T182" i="1"/>
  <c r="T186" i="1" s="1"/>
  <c r="T157" i="1"/>
  <c r="T165" i="1" s="1"/>
  <c r="F182" i="1"/>
  <c r="F181" i="1" s="1"/>
  <c r="F157" i="1"/>
  <c r="F165" i="1" s="1"/>
  <c r="N249" i="1"/>
  <c r="N251" i="1" s="1"/>
  <c r="N168" i="1"/>
  <c r="N109" i="1" s="1"/>
  <c r="N206" i="1"/>
  <c r="N37" i="1"/>
  <c r="Q37" i="1"/>
  <c r="Q129" i="1"/>
  <c r="Q55" i="1" s="1"/>
  <c r="Q168" i="1"/>
  <c r="Q109" i="1" s="1"/>
  <c r="M206" i="1"/>
  <c r="M168" i="1"/>
  <c r="M109" i="1" s="1"/>
  <c r="M129" i="1"/>
  <c r="M55" i="1" s="1"/>
  <c r="M37" i="1"/>
  <c r="M249" i="1"/>
  <c r="M251" i="1" s="1"/>
  <c r="U157" i="1"/>
  <c r="U185" i="1"/>
  <c r="V197" i="1"/>
  <c r="M175" i="1"/>
  <c r="M248" i="1"/>
  <c r="M54" i="1"/>
  <c r="V54" i="1"/>
  <c r="V175" i="1"/>
  <c r="O209" i="1"/>
  <c r="N244" i="1"/>
  <c r="T196" i="1"/>
  <c r="S182" i="1"/>
  <c r="S181" i="1" s="1"/>
  <c r="G185" i="1"/>
  <c r="H197" i="1"/>
  <c r="F197" i="1"/>
  <c r="E185" i="1"/>
  <c r="E184" i="1" s="1"/>
  <c r="V37" i="1"/>
  <c r="V249" i="1"/>
  <c r="V251" i="1" s="1"/>
  <c r="V129" i="1"/>
  <c r="V55" i="1" s="1"/>
  <c r="S138" i="1"/>
  <c r="S33" i="1"/>
  <c r="C138" i="1"/>
  <c r="D203" i="1" s="1"/>
  <c r="D201" i="1" s="1"/>
  <c r="C33" i="1"/>
  <c r="V138" i="1"/>
  <c r="V33" i="1"/>
  <c r="O33" i="1"/>
  <c r="O138" i="1"/>
  <c r="P185" i="1"/>
  <c r="P184" i="1" s="1"/>
  <c r="P197" i="1"/>
  <c r="F168" i="1"/>
  <c r="F109" i="1" s="1"/>
  <c r="F37" i="1"/>
  <c r="J33" i="1"/>
  <c r="J138" i="1"/>
  <c r="G175" i="1"/>
  <c r="H207" i="1"/>
  <c r="G248" i="1"/>
  <c r="G54" i="1"/>
  <c r="G207" i="1"/>
  <c r="L33" i="1"/>
  <c r="L138" i="1"/>
  <c r="BA12" i="1"/>
  <c r="AZ12" i="1"/>
  <c r="BD11" i="1"/>
  <c r="BD188" i="1"/>
  <c r="AZ225" i="1"/>
  <c r="AW12" i="1"/>
  <c r="AV27" i="1"/>
  <c r="AV16" i="1"/>
  <c r="E196" i="1"/>
  <c r="E198" i="1" s="1"/>
  <c r="E199" i="1" s="1"/>
  <c r="F196" i="1"/>
  <c r="E182" i="1"/>
  <c r="P248" i="1"/>
  <c r="P129" i="1"/>
  <c r="P55" i="1" s="1"/>
  <c r="P207" i="1"/>
  <c r="P54" i="1"/>
  <c r="P249" i="1"/>
  <c r="P251" i="1" s="1"/>
  <c r="O168" i="1"/>
  <c r="O109" i="1" s="1"/>
  <c r="O37" i="1"/>
  <c r="P206" i="1"/>
  <c r="O249" i="1"/>
  <c r="O251" i="1" s="1"/>
  <c r="AS188" i="1"/>
  <c r="AN16" i="1"/>
  <c r="AN12" i="1"/>
  <c r="AO225" i="1"/>
  <c r="AN225" i="1"/>
  <c r="AO12" i="1"/>
  <c r="AR11" i="1"/>
  <c r="AM193" i="1"/>
  <c r="AM195" i="1" s="1"/>
  <c r="AM66" i="1"/>
  <c r="AM69" i="1" s="1"/>
  <c r="BX206" i="1"/>
  <c r="BX249" i="1"/>
  <c r="BW206" i="1"/>
  <c r="BJ249" i="1"/>
  <c r="BJ206" i="1"/>
  <c r="BI103" i="1"/>
  <c r="BI102" i="1"/>
  <c r="BH103" i="1"/>
  <c r="BH102" i="1"/>
  <c r="BJ102" i="1"/>
  <c r="BJ103" i="1"/>
  <c r="BJ104" i="1"/>
  <c r="BS103" i="1"/>
  <c r="BR102" i="1"/>
  <c r="BR104" i="1"/>
  <c r="BR103" i="1"/>
  <c r="BO102" i="1"/>
  <c r="BO103" i="1"/>
  <c r="BO104" i="1"/>
  <c r="BN103" i="1"/>
  <c r="BN102" i="1"/>
  <c r="BN104" i="1"/>
  <c r="BP102" i="1"/>
  <c r="BP104" i="1"/>
  <c r="BP103" i="1"/>
  <c r="BW103" i="1"/>
  <c r="BW104" i="1"/>
  <c r="AP102" i="1"/>
  <c r="AP103" i="1"/>
  <c r="AP104" i="1"/>
  <c r="BU102" i="1"/>
  <c r="BU103" i="1"/>
  <c r="BU104" i="1"/>
  <c r="AN104" i="1"/>
  <c r="AN103" i="1"/>
  <c r="BB104" i="1"/>
  <c r="BB103" i="1"/>
  <c r="BB102" i="1"/>
  <c r="S249" i="1"/>
  <c r="S251" i="1" s="1"/>
  <c r="R37" i="1"/>
  <c r="I168" i="1"/>
  <c r="I109" i="1" s="1"/>
  <c r="I197" i="1"/>
  <c r="I198" i="1" s="1"/>
  <c r="I199" i="1" s="1"/>
  <c r="T246" i="1"/>
  <c r="AI184" i="1"/>
  <c r="F207" i="1"/>
  <c r="E206" i="1"/>
  <c r="AI181" i="1"/>
  <c r="P165" i="1"/>
  <c r="P166" i="1" s="1"/>
  <c r="AX184" i="1"/>
  <c r="BP184" i="1"/>
  <c r="BR184" i="1"/>
  <c r="AV184" i="1"/>
  <c r="BP188" i="1"/>
  <c r="BP16" i="1"/>
  <c r="BS225" i="1"/>
  <c r="BQ188" i="1"/>
  <c r="S54" i="1"/>
  <c r="S129" i="1"/>
  <c r="S55" i="1" s="1"/>
  <c r="S207" i="1"/>
  <c r="S205" i="1" s="1"/>
  <c r="D107" i="1"/>
  <c r="D66" i="1"/>
  <c r="D108" i="1"/>
  <c r="AW28" i="1"/>
  <c r="AW17" i="1"/>
  <c r="BT12" i="1"/>
  <c r="BS188" i="1"/>
  <c r="W58" i="1"/>
  <c r="BS11" i="1"/>
  <c r="BS16" i="1"/>
  <c r="BS27" i="1"/>
  <c r="BV225" i="1"/>
  <c r="BF188" i="1"/>
  <c r="BE225" i="1"/>
  <c r="BB16" i="1"/>
  <c r="BB188" i="1"/>
  <c r="AT16" i="1"/>
  <c r="AU225" i="1"/>
  <c r="AX188" i="1"/>
  <c r="AU12" i="1"/>
  <c r="AV225" i="1"/>
  <c r="AW225" i="1"/>
  <c r="BR188" i="1"/>
  <c r="BR16" i="1"/>
  <c r="BR27" i="1"/>
  <c r="BV11" i="1"/>
  <c r="BS12" i="1"/>
  <c r="BU225" i="1"/>
  <c r="BR12" i="1"/>
  <c r="BL104" i="1"/>
  <c r="BL102" i="1"/>
  <c r="BL103" i="1"/>
  <c r="BJ12" i="1"/>
  <c r="BI27" i="1"/>
  <c r="BI16" i="1"/>
  <c r="T58" i="1"/>
  <c r="BI188" i="1"/>
  <c r="BM188" i="1"/>
  <c r="BK225" i="1"/>
  <c r="BJ188" i="1"/>
  <c r="BL244" i="1"/>
  <c r="BL225" i="1"/>
  <c r="BI11" i="1"/>
  <c r="BI225" i="1"/>
  <c r="BK104" i="1"/>
  <c r="BK102" i="1"/>
  <c r="BK103" i="1"/>
  <c r="AY104" i="1"/>
  <c r="AY102" i="1"/>
  <c r="BQ102" i="1"/>
  <c r="BQ104" i="1"/>
  <c r="BQ103" i="1"/>
  <c r="BR11" i="1"/>
  <c r="BN12" i="1"/>
  <c r="U58" i="1"/>
  <c r="BO225" i="1"/>
  <c r="BN11" i="1"/>
  <c r="BN188" i="1"/>
  <c r="BO12" i="1"/>
  <c r="BN16" i="1"/>
  <c r="BQ225" i="1"/>
  <c r="BP225" i="1"/>
  <c r="BA16" i="1"/>
  <c r="BA18" i="1" s="1"/>
  <c r="BB12" i="1"/>
  <c r="R58" i="1"/>
  <c r="BD225" i="1"/>
  <c r="BE11" i="1"/>
  <c r="BC225" i="1"/>
  <c r="S58" i="1"/>
  <c r="BC11" i="1"/>
  <c r="BC16" i="1"/>
  <c r="BF225" i="1"/>
  <c r="BC12" i="1"/>
  <c r="C68" i="1"/>
  <c r="C69" i="1"/>
  <c r="P244" i="1"/>
  <c r="P246" i="1"/>
  <c r="AZ16" i="1"/>
  <c r="BA225" i="1"/>
  <c r="Q58" i="1"/>
  <c r="AV188" i="1"/>
  <c r="P175" i="1"/>
  <c r="Q207" i="1"/>
  <c r="I249" i="1"/>
  <c r="I251" i="1" s="1"/>
  <c r="I206" i="1"/>
  <c r="Q157" i="1"/>
  <c r="R196" i="1"/>
  <c r="Q182" i="1"/>
  <c r="BT16" i="1"/>
  <c r="BU12" i="1"/>
  <c r="BX11" i="1"/>
  <c r="BY188" i="1"/>
  <c r="BT188" i="1"/>
  <c r="BT27" i="1"/>
  <c r="BT103" i="1"/>
  <c r="P58" i="1"/>
  <c r="AQ16" i="1"/>
  <c r="AQ11" i="1"/>
  <c r="AR12" i="1"/>
  <c r="AU11" i="1"/>
  <c r="AR188" i="1"/>
  <c r="AT225" i="1"/>
  <c r="AS103" i="1"/>
  <c r="AS104" i="1"/>
  <c r="AS102" i="1"/>
  <c r="AX103" i="1"/>
  <c r="B157" i="1"/>
  <c r="B182" i="1"/>
  <c r="AV104" i="1"/>
  <c r="AV103" i="1"/>
  <c r="L196" i="1"/>
  <c r="K182" i="1"/>
  <c r="K157" i="1"/>
  <c r="K165" i="1" s="1"/>
  <c r="K166" i="1" s="1"/>
  <c r="O196" i="1"/>
  <c r="P196" i="1"/>
  <c r="Q185" i="1"/>
  <c r="Q184" i="1" s="1"/>
  <c r="R197" i="1"/>
  <c r="BV102" i="1"/>
  <c r="BV103" i="1"/>
  <c r="E37" i="1"/>
  <c r="E168" i="1"/>
  <c r="E109" i="1" s="1"/>
  <c r="BW249" i="1"/>
  <c r="BV168" i="1"/>
  <c r="BV129" i="1"/>
  <c r="K197" i="1"/>
  <c r="J185" i="1"/>
  <c r="J184" i="1" s="1"/>
  <c r="J37" i="1"/>
  <c r="J206" i="1"/>
  <c r="J205" i="1" s="1"/>
  <c r="AZ102" i="1"/>
  <c r="AZ103" i="1"/>
  <c r="AZ104" i="1"/>
  <c r="BH188" i="1"/>
  <c r="BE188" i="1"/>
  <c r="BH92" i="1"/>
  <c r="BH248" i="1"/>
  <c r="V209" i="1"/>
  <c r="U248" i="1"/>
  <c r="N129" i="1"/>
  <c r="N248" i="1"/>
  <c r="AI16" i="1"/>
  <c r="AL225" i="1"/>
  <c r="AM11" i="1"/>
  <c r="N58" i="1"/>
  <c r="AJ12" i="1"/>
  <c r="AL244" i="1"/>
  <c r="U209" i="1"/>
  <c r="BH186" i="1"/>
  <c r="BL189" i="1" s="1"/>
  <c r="AW188" i="1"/>
  <c r="AP188" i="1"/>
  <c r="BX188" i="1"/>
  <c r="AT188" i="1"/>
  <c r="J197" i="1"/>
  <c r="D196" i="1"/>
  <c r="AN27" i="1"/>
  <c r="BX225" i="1"/>
  <c r="AU188" i="1"/>
  <c r="O157" i="1"/>
  <c r="BX12" i="1"/>
  <c r="AY225" i="1"/>
  <c r="AT11" i="1"/>
  <c r="AP225" i="1"/>
  <c r="O197" i="1"/>
  <c r="I157" i="1"/>
  <c r="U37" i="1"/>
  <c r="O182" i="1"/>
  <c r="O181" i="1" s="1"/>
  <c r="S157" i="1"/>
  <c r="H138" i="1"/>
  <c r="F249" i="1"/>
  <c r="F251" i="1" s="1"/>
  <c r="BZ225" i="1"/>
  <c r="AX225" i="1"/>
  <c r="BY102" i="1"/>
  <c r="AS225" i="1"/>
  <c r="AQ188" i="1"/>
  <c r="U168" i="1"/>
  <c r="U109" i="1" s="1"/>
  <c r="C197" i="1"/>
  <c r="D168" i="1"/>
  <c r="D109" i="1" s="1"/>
  <c r="T197" i="1"/>
  <c r="U249" i="1"/>
  <c r="U251" i="1" s="1"/>
  <c r="AQ12" i="1"/>
  <c r="U129" i="1"/>
  <c r="U55" i="1" s="1"/>
  <c r="BX244" i="1"/>
  <c r="AR104" i="1"/>
  <c r="AL103" i="1"/>
  <c r="AZ188" i="1"/>
  <c r="AR225" i="1"/>
  <c r="AT104" i="1"/>
  <c r="AP27" i="1"/>
  <c r="G197" i="1"/>
  <c r="G198" i="1" s="1"/>
  <c r="G199" i="1" s="1"/>
  <c r="U206" i="1"/>
  <c r="C185" i="1"/>
  <c r="T129" i="1"/>
  <c r="T55" i="1" s="1"/>
  <c r="T244" i="1"/>
  <c r="J182" i="1"/>
  <c r="H206" i="1"/>
  <c r="V168" i="1"/>
  <c r="V109" i="1" s="1"/>
  <c r="B33" i="1"/>
  <c r="S185" i="1"/>
  <c r="S184" i="1" s="1"/>
  <c r="C196" i="1"/>
  <c r="C198" i="1" s="1"/>
  <c r="C199" i="1" s="1"/>
  <c r="AV12" i="1"/>
  <c r="AR103" i="1"/>
  <c r="AL102" i="1"/>
  <c r="G157" i="1"/>
  <c r="G165" i="1" s="1"/>
  <c r="V182" i="1"/>
  <c r="K196" i="1"/>
  <c r="C157" i="1"/>
  <c r="AW103" i="1"/>
  <c r="AZ27" i="1"/>
  <c r="J157" i="1"/>
  <c r="V196" i="1"/>
  <c r="U207" i="1"/>
  <c r="J196" i="1"/>
  <c r="T54" i="1"/>
  <c r="AW104" i="1"/>
  <c r="AZ11" i="1"/>
  <c r="AR181" i="1"/>
  <c r="E157" i="1"/>
  <c r="E165" i="1" s="1"/>
  <c r="E166" i="1" s="1"/>
  <c r="F206" i="1"/>
  <c r="I138" i="1"/>
  <c r="BV186" i="1"/>
  <c r="BZ189" i="1" s="1"/>
  <c r="F129" i="1"/>
  <c r="F55" i="1" s="1"/>
  <c r="T207" i="1"/>
  <c r="T168" i="1"/>
  <c r="T109" i="1" s="1"/>
  <c r="BA188" i="1"/>
  <c r="AQ102" i="1"/>
  <c r="BZ102" i="1"/>
  <c r="BE103" i="1"/>
  <c r="BC104" i="1"/>
  <c r="BH129" i="1"/>
  <c r="AQ103" i="1"/>
  <c r="BI206" i="1"/>
  <c r="BV104" i="1"/>
  <c r="BI249" i="1"/>
  <c r="BF102" i="1"/>
  <c r="BH206" i="1"/>
  <c r="BE102" i="1"/>
  <c r="BF104" i="1"/>
  <c r="BD104" i="1"/>
  <c r="BX103" i="1"/>
  <c r="AZ184" i="1"/>
  <c r="Q197" i="1"/>
  <c r="Q198" i="1" s="1"/>
  <c r="Q199" i="1" s="1"/>
  <c r="BD103" i="1"/>
  <c r="AN102" i="1"/>
  <c r="K249" i="1"/>
  <c r="K251" i="1" s="1"/>
  <c r="BD184" i="1"/>
  <c r="BU202" i="1"/>
  <c r="C129" i="1"/>
  <c r="C175" i="1"/>
  <c r="C54" i="1"/>
  <c r="C207" i="1"/>
  <c r="C205" i="1" s="1"/>
  <c r="B165" i="1"/>
  <c r="I205" i="1"/>
  <c r="N175" i="1"/>
  <c r="N54" i="1"/>
  <c r="N207" i="1"/>
  <c r="O207" i="1"/>
  <c r="D175" i="1"/>
  <c r="D207" i="1"/>
  <c r="D54" i="1"/>
  <c r="AN11" i="1"/>
  <c r="CA11" i="1"/>
  <c r="AO188" i="1"/>
  <c r="N246" i="1"/>
  <c r="G168" i="1"/>
  <c r="G109" i="1" s="1"/>
  <c r="D248" i="1"/>
  <c r="D249" i="1"/>
  <c r="D251" i="1" s="1"/>
  <c r="D206" i="1"/>
  <c r="D37" i="1"/>
  <c r="D129" i="1"/>
  <c r="D55" i="1" s="1"/>
  <c r="BW11" i="1"/>
  <c r="BA104" i="1"/>
  <c r="BG103" i="1"/>
  <c r="BH157" i="1"/>
  <c r="BH165" i="1" s="1"/>
  <c r="G37" i="1"/>
  <c r="B107" i="1"/>
  <c r="B108" i="1"/>
  <c r="B66" i="1"/>
  <c r="BV181" i="1"/>
  <c r="BY104" i="1"/>
  <c r="BW12" i="1"/>
  <c r="B168" i="1"/>
  <c r="B109" i="1" s="1"/>
  <c r="AO103" i="1"/>
  <c r="BW16" i="1"/>
  <c r="BX19" i="1" s="1"/>
  <c r="BZ18" i="1"/>
  <c r="BG104" i="1"/>
  <c r="M185" i="1"/>
  <c r="G129" i="1"/>
  <c r="G55" i="1" s="1"/>
  <c r="G249" i="1"/>
  <c r="G251" i="1" s="1"/>
  <c r="J249" i="1"/>
  <c r="J251" i="1" s="1"/>
  <c r="O129" i="1"/>
  <c r="O55" i="1" s="1"/>
  <c r="O206" i="1"/>
  <c r="C248" i="1"/>
  <c r="BZ244" i="1"/>
  <c r="AO104" i="1"/>
  <c r="X58" i="1"/>
  <c r="BV17" i="1"/>
  <c r="O58" i="1"/>
  <c r="M157" i="1"/>
  <c r="M165" i="1" s="1"/>
  <c r="AW202" i="1"/>
  <c r="G206" i="1"/>
  <c r="J129" i="1"/>
  <c r="J55" i="1" s="1"/>
  <c r="BV157" i="1"/>
  <c r="BW188" i="1"/>
  <c r="CB188" i="1"/>
  <c r="AQ225" i="1"/>
  <c r="N197" i="1"/>
  <c r="N198" i="1" s="1"/>
  <c r="N199" i="1" s="1"/>
  <c r="J168" i="1"/>
  <c r="J109" i="1" s="1"/>
  <c r="R138" i="1"/>
  <c r="R165" i="1" s="1"/>
  <c r="R33" i="1"/>
  <c r="BY225" i="1"/>
  <c r="BW225" i="1"/>
  <c r="BW27" i="1"/>
  <c r="L54" i="1"/>
  <c r="L175" i="1"/>
  <c r="M207" i="1"/>
  <c r="E175" i="1"/>
  <c r="E207" i="1"/>
  <c r="E54" i="1"/>
  <c r="K205" i="1"/>
  <c r="AR138" i="1"/>
  <c r="AR244" i="1" s="1"/>
  <c r="AS33" i="1"/>
  <c r="AS134" i="1"/>
  <c r="AT33" i="1" s="1"/>
  <c r="U203" i="1"/>
  <c r="U201" i="1" s="1"/>
  <c r="U244" i="1"/>
  <c r="U246" i="1"/>
  <c r="F184" i="1"/>
  <c r="D165" i="1"/>
  <c r="G203" i="1"/>
  <c r="G201" i="1" s="1"/>
  <c r="G244" i="1"/>
  <c r="G246" i="1"/>
  <c r="E244" i="1"/>
  <c r="E246" i="1"/>
  <c r="F203" i="1"/>
  <c r="F201" i="1" s="1"/>
  <c r="C110" i="1"/>
  <c r="C113" i="1" s="1"/>
  <c r="C111" i="1"/>
  <c r="C114" i="1" s="1"/>
  <c r="N203" i="1"/>
  <c r="N201" i="1" s="1"/>
  <c r="M244" i="1"/>
  <c r="M246" i="1"/>
  <c r="E203" i="1"/>
  <c r="E201" i="1" s="1"/>
  <c r="L181" i="1"/>
  <c r="L186" i="1"/>
  <c r="H181" i="1"/>
  <c r="H186" i="1"/>
  <c r="D184" i="1"/>
  <c r="D186" i="1"/>
  <c r="M198" i="1"/>
  <c r="M199" i="1" s="1"/>
  <c r="AR202" i="1"/>
  <c r="AQ202" i="1"/>
  <c r="BB168" i="1"/>
  <c r="AV168" i="1"/>
  <c r="K244" i="1"/>
  <c r="K246" i="1"/>
  <c r="BS33" i="1"/>
  <c r="BS134" i="1"/>
  <c r="BR138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AV206" i="1"/>
  <c r="BT129" i="1"/>
  <c r="I184" i="1"/>
  <c r="I186" i="1"/>
  <c r="V184" i="1"/>
  <c r="BN168" i="1"/>
  <c r="BN129" i="1"/>
  <c r="BC206" i="1"/>
  <c r="BC249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L19" i="1"/>
  <c r="BK17" i="1"/>
  <c r="BK28" i="1"/>
  <c r="BK19" i="1"/>
  <c r="AY28" i="1"/>
  <c r="AY17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W18" i="1"/>
  <c r="AR17" i="1"/>
  <c r="AS19" i="1"/>
  <c r="BN184" i="1"/>
  <c r="BM17" i="1"/>
  <c r="BQ18" i="1"/>
  <c r="BM28" i="1"/>
  <c r="BM19" i="1"/>
  <c r="BF17" i="1"/>
  <c r="BJ18" i="1"/>
  <c r="BE19" i="1"/>
  <c r="BD17" i="1"/>
  <c r="BD28" i="1"/>
  <c r="BE28" i="1"/>
  <c r="BE17" i="1"/>
  <c r="BF19" i="1"/>
  <c r="Q59" i="1"/>
  <c r="BF29" i="1"/>
  <c r="BF34" i="1"/>
  <c r="BF38" i="1" s="1"/>
  <c r="BF232" i="1"/>
  <c r="BF233" i="1" s="1"/>
  <c r="BO28" i="1"/>
  <c r="BO18" i="1"/>
  <c r="BO17" i="1"/>
  <c r="AV19" i="1"/>
  <c r="AU28" i="1"/>
  <c r="AY18" i="1"/>
  <c r="AU17" i="1"/>
  <c r="BH109" i="1"/>
  <c r="BI37" i="1"/>
  <c r="BH28" i="1"/>
  <c r="BH17" i="1"/>
  <c r="BL18" i="1"/>
  <c r="BH18" i="1"/>
  <c r="AX19" i="1"/>
  <c r="AX17" i="1"/>
  <c r="AX28" i="1"/>
  <c r="AT95" i="1"/>
  <c r="AT96" i="1"/>
  <c r="AR232" i="1"/>
  <c r="AR233" i="1" s="1"/>
  <c r="BG19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AQ28" i="1"/>
  <c r="P59" i="1"/>
  <c r="AQ18" i="1"/>
  <c r="AQ17" i="1"/>
  <c r="AR19" i="1"/>
  <c r="BJ33" i="1"/>
  <c r="BI138" i="1"/>
  <c r="BJ203" i="1" s="1"/>
  <c r="BJ201" i="1" s="1"/>
  <c r="BB17" i="1"/>
  <c r="BB28" i="1"/>
  <c r="BF18" i="1"/>
  <c r="BJ41" i="1"/>
  <c r="BJ40" i="1"/>
  <c r="CR194" i="1"/>
  <c r="CR132" i="1"/>
  <c r="CQ203" i="1"/>
  <c r="CQ201" i="1" s="1"/>
  <c r="AB206" i="1"/>
  <c r="DB63" i="1"/>
  <c r="DB65" i="1" s="1"/>
  <c r="DA65" i="1"/>
  <c r="BT184" i="1" l="1"/>
  <c r="H203" i="1"/>
  <c r="H201" i="1" s="1"/>
  <c r="M203" i="1"/>
  <c r="M201" i="1" s="1"/>
  <c r="P205" i="1"/>
  <c r="O186" i="1"/>
  <c r="X59" i="1"/>
  <c r="BV165" i="1"/>
  <c r="BV166" i="1" s="1"/>
  <c r="U198" i="1"/>
  <c r="U199" i="1" s="1"/>
  <c r="U213" i="1" s="1"/>
  <c r="F198" i="1"/>
  <c r="F199" i="1" s="1"/>
  <c r="J246" i="1"/>
  <c r="C203" i="1"/>
  <c r="C201" i="1" s="1"/>
  <c r="Q205" i="1"/>
  <c r="Q165" i="1"/>
  <c r="Q166" i="1" s="1"/>
  <c r="L198" i="1"/>
  <c r="L199" i="1" s="1"/>
  <c r="P198" i="1"/>
  <c r="P199" i="1" s="1"/>
  <c r="L244" i="1"/>
  <c r="L246" i="1"/>
  <c r="D110" i="1"/>
  <c r="D113" i="1" s="1"/>
  <c r="H165" i="1"/>
  <c r="H166" i="1" s="1"/>
  <c r="C165" i="1"/>
  <c r="C244" i="1" s="1"/>
  <c r="J244" i="1"/>
  <c r="J165" i="1"/>
  <c r="V198" i="1"/>
  <c r="V199" i="1" s="1"/>
  <c r="R166" i="1"/>
  <c r="M205" i="1"/>
  <c r="R205" i="1"/>
  <c r="U165" i="1"/>
  <c r="K203" i="1"/>
  <c r="K201" i="1" s="1"/>
  <c r="S198" i="1"/>
  <c r="S199" i="1" s="1"/>
  <c r="H198" i="1"/>
  <c r="H199" i="1" s="1"/>
  <c r="L205" i="1"/>
  <c r="BN17" i="1"/>
  <c r="BO19" i="1"/>
  <c r="AZ18" i="1"/>
  <c r="T205" i="1"/>
  <c r="V205" i="1"/>
  <c r="V165" i="1"/>
  <c r="V166" i="1" s="1"/>
  <c r="N205" i="1"/>
  <c r="B110" i="1"/>
  <c r="B113" i="1" s="1"/>
  <c r="T203" i="1"/>
  <c r="T201" i="1" s="1"/>
  <c r="D198" i="1"/>
  <c r="D199" i="1" s="1"/>
  <c r="F186" i="1"/>
  <c r="W203" i="1"/>
  <c r="W201" i="1" s="1"/>
  <c r="BN19" i="1"/>
  <c r="T59" i="1"/>
  <c r="V203" i="1"/>
  <c r="V201" i="1" s="1"/>
  <c r="V244" i="1"/>
  <c r="V246" i="1"/>
  <c r="P186" i="1"/>
  <c r="P181" i="1"/>
  <c r="O165" i="1"/>
  <c r="Q246" i="1"/>
  <c r="Q244" i="1"/>
  <c r="Q203" i="1"/>
  <c r="Q201" i="1" s="1"/>
  <c r="T181" i="1"/>
  <c r="N186" i="1"/>
  <c r="N181" i="1"/>
  <c r="G186" i="1"/>
  <c r="G184" i="1"/>
  <c r="BN28" i="1"/>
  <c r="BB19" i="1"/>
  <c r="BV96" i="1"/>
  <c r="BV95" i="1"/>
  <c r="BV94" i="1"/>
  <c r="AP19" i="1"/>
  <c r="AM54" i="1"/>
  <c r="AM207" i="1"/>
  <c r="AM205" i="1" s="1"/>
  <c r="AM55" i="1"/>
  <c r="AM92" i="1"/>
  <c r="AT18" i="1"/>
  <c r="AT19" i="1"/>
  <c r="BD18" i="1"/>
  <c r="BP19" i="1"/>
  <c r="BS18" i="1"/>
  <c r="AW232" i="1"/>
  <c r="AW233" i="1" s="1"/>
  <c r="AW29" i="1"/>
  <c r="AW34" i="1"/>
  <c r="AW38" i="1" s="1"/>
  <c r="AU19" i="1"/>
  <c r="BS28" i="1"/>
  <c r="BS17" i="1"/>
  <c r="BR28" i="1"/>
  <c r="BR19" i="1"/>
  <c r="BR17" i="1"/>
  <c r="BB18" i="1"/>
  <c r="AX18" i="1"/>
  <c r="BN18" i="1"/>
  <c r="BR18" i="1"/>
  <c r="U59" i="1"/>
  <c r="BG18" i="1"/>
  <c r="BI19" i="1"/>
  <c r="R59" i="1"/>
  <c r="D111" i="1"/>
  <c r="D114" i="1" s="1"/>
  <c r="BT19" i="1"/>
  <c r="BC19" i="1"/>
  <c r="R198" i="1"/>
  <c r="R199" i="1" s="1"/>
  <c r="O198" i="1"/>
  <c r="O199" i="1" s="1"/>
  <c r="T198" i="1"/>
  <c r="T199" i="1" s="1"/>
  <c r="H205" i="1"/>
  <c r="M166" i="1"/>
  <c r="G205" i="1"/>
  <c r="U184" i="1"/>
  <c r="U186" i="1"/>
  <c r="S244" i="1"/>
  <c r="S165" i="1"/>
  <c r="S166" i="1" s="1"/>
  <c r="S246" i="1"/>
  <c r="O244" i="1"/>
  <c r="O203" i="1"/>
  <c r="O201" i="1" s="1"/>
  <c r="P203" i="1"/>
  <c r="P201" i="1" s="1"/>
  <c r="O246" i="1"/>
  <c r="L165" i="1"/>
  <c r="L166" i="1" s="1"/>
  <c r="L203" i="1"/>
  <c r="L201" i="1" s="1"/>
  <c r="E181" i="1"/>
  <c r="E186" i="1"/>
  <c r="C87" i="1"/>
  <c r="C85" i="1"/>
  <c r="C86" i="1"/>
  <c r="B89" i="1"/>
  <c r="AZ19" i="1"/>
  <c r="BA19" i="1"/>
  <c r="AI17" i="1"/>
  <c r="AM18" i="1"/>
  <c r="AI28" i="1"/>
  <c r="N59" i="1"/>
  <c r="AJ19" i="1"/>
  <c r="M186" i="1"/>
  <c r="M184" i="1"/>
  <c r="U205" i="1"/>
  <c r="F205" i="1"/>
  <c r="BH166" i="1"/>
  <c r="E205" i="1"/>
  <c r="AM86" i="1"/>
  <c r="AM85" i="1"/>
  <c r="AM87" i="1"/>
  <c r="AT28" i="1"/>
  <c r="AT250" i="1" s="1"/>
  <c r="AT251" i="1" s="1"/>
  <c r="AT17" i="1"/>
  <c r="BE18" i="1"/>
  <c r="BA17" i="1"/>
  <c r="BA28" i="1"/>
  <c r="AZ28" i="1"/>
  <c r="AZ17" i="1"/>
  <c r="BH94" i="1"/>
  <c r="BH95" i="1"/>
  <c r="J198" i="1"/>
  <c r="J199" i="1" s="1"/>
  <c r="K198" i="1"/>
  <c r="K199" i="1" s="1"/>
  <c r="B111" i="1"/>
  <c r="B114" i="1" s="1"/>
  <c r="BV189" i="1"/>
  <c r="BQ19" i="1"/>
  <c r="BP17" i="1"/>
  <c r="BP18" i="1"/>
  <c r="BP28" i="1"/>
  <c r="D69" i="1"/>
  <c r="D68" i="1"/>
  <c r="BV18" i="1"/>
  <c r="V59" i="1"/>
  <c r="BS19" i="1"/>
  <c r="BJ19" i="1"/>
  <c r="BI28" i="1"/>
  <c r="BM18" i="1"/>
  <c r="BI17" i="1"/>
  <c r="BI18" i="1"/>
  <c r="BC17" i="1"/>
  <c r="BC28" i="1"/>
  <c r="BD250" i="1" s="1"/>
  <c r="BD251" i="1" s="1"/>
  <c r="S59" i="1"/>
  <c r="BD19" i="1"/>
  <c r="BC18" i="1"/>
  <c r="Q181" i="1"/>
  <c r="Q186" i="1"/>
  <c r="AU18" i="1"/>
  <c r="AQ19" i="1"/>
  <c r="B181" i="1"/>
  <c r="B186" i="1"/>
  <c r="K181" i="1"/>
  <c r="K186" i="1"/>
  <c r="BW37" i="1"/>
  <c r="BV109" i="1"/>
  <c r="N55" i="1"/>
  <c r="N166" i="1"/>
  <c r="C184" i="1"/>
  <c r="C186" i="1"/>
  <c r="J181" i="1"/>
  <c r="J186" i="1"/>
  <c r="J189" i="1" s="1"/>
  <c r="J190" i="1" s="1"/>
  <c r="V181" i="1"/>
  <c r="V186" i="1"/>
  <c r="I244" i="1"/>
  <c r="I165" i="1"/>
  <c r="I166" i="1" s="1"/>
  <c r="C55" i="1"/>
  <c r="B244" i="1"/>
  <c r="B166" i="1"/>
  <c r="I203" i="1"/>
  <c r="I201" i="1" s="1"/>
  <c r="F166" i="1"/>
  <c r="J203" i="1"/>
  <c r="J201" i="1" s="1"/>
  <c r="H246" i="1"/>
  <c r="H244" i="1"/>
  <c r="I246" i="1"/>
  <c r="T166" i="1"/>
  <c r="S186" i="1"/>
  <c r="O205" i="1"/>
  <c r="CA18" i="1"/>
  <c r="BW19" i="1"/>
  <c r="D205" i="1"/>
  <c r="BW17" i="1"/>
  <c r="BW28" i="1"/>
  <c r="BW18" i="1"/>
  <c r="AR246" i="1"/>
  <c r="B68" i="1"/>
  <c r="B69" i="1"/>
  <c r="AS138" i="1"/>
  <c r="R244" i="1"/>
  <c r="R246" i="1"/>
  <c r="S203" i="1"/>
  <c r="S201" i="1" s="1"/>
  <c r="G166" i="1"/>
  <c r="R203" i="1"/>
  <c r="R201" i="1" s="1"/>
  <c r="M213" i="1"/>
  <c r="N213" i="1"/>
  <c r="AR165" i="1"/>
  <c r="AR166" i="1" s="1"/>
  <c r="D244" i="1"/>
  <c r="D166" i="1"/>
  <c r="I189" i="1"/>
  <c r="I190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L213" i="1"/>
  <c r="L210" i="1"/>
  <c r="L211" i="1" s="1"/>
  <c r="AN165" i="1"/>
  <c r="AN166" i="1" s="1"/>
  <c r="BP165" i="1"/>
  <c r="BP166" i="1" s="1"/>
  <c r="BN109" i="1"/>
  <c r="BO37" i="1"/>
  <c r="AZ33" i="1"/>
  <c r="AY138" i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5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5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AQ250" i="1"/>
  <c r="AQ251" i="1" s="1"/>
  <c r="AQ31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Y29" i="1"/>
  <c r="AY232" i="1"/>
  <c r="AY233" i="1" s="1"/>
  <c r="AY34" i="1"/>
  <c r="AY38" i="1" s="1"/>
  <c r="AZ250" i="1"/>
  <c r="AZ251" i="1" s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AS232" i="1"/>
  <c r="AS233" i="1" s="1"/>
  <c r="AS34" i="1"/>
  <c r="AS38" i="1" s="1"/>
  <c r="AW30" i="1"/>
  <c r="AS250" i="1"/>
  <c r="AS251" i="1" s="1"/>
  <c r="AS29" i="1"/>
  <c r="AS226" i="1"/>
  <c r="AS112" i="1"/>
  <c r="BF250" i="1"/>
  <c r="BF251" i="1" s="1"/>
  <c r="BM34" i="1"/>
  <c r="BM38" i="1" s="1"/>
  <c r="BM29" i="1"/>
  <c r="BQ30" i="1"/>
  <c r="BM31" i="1"/>
  <c r="BM232" i="1"/>
  <c r="BM233" i="1" s="1"/>
  <c r="BM250" i="1"/>
  <c r="BM251" i="1" s="1"/>
  <c r="O60" i="1"/>
  <c r="AP31" i="1"/>
  <c r="BE31" i="1"/>
  <c r="BD34" i="1"/>
  <c r="BD38" i="1" s="1"/>
  <c r="BD29" i="1"/>
  <c r="BD232" i="1"/>
  <c r="BD233" i="1" s="1"/>
  <c r="BE250" i="1"/>
  <c r="BE251" i="1" s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H110" i="1"/>
  <c r="AX226" i="1"/>
  <c r="AU232" i="1"/>
  <c r="AU233" i="1" s="1"/>
  <c r="AU29" i="1"/>
  <c r="AU34" i="1"/>
  <c r="AU38" i="1" s="1"/>
  <c r="AY30" i="1"/>
  <c r="AV31" i="1"/>
  <c r="AV250" i="1"/>
  <c r="AV251" i="1" s="1"/>
  <c r="AU30" i="1"/>
  <c r="AQ226" i="1"/>
  <c r="AX112" i="1"/>
  <c r="AY112" i="1"/>
  <c r="AY226" i="1"/>
  <c r="AY31" i="1"/>
  <c r="AY250" i="1"/>
  <c r="AY251" i="1" s="1"/>
  <c r="AQ112" i="1"/>
  <c r="AR226" i="1"/>
  <c r="AP226" i="1"/>
  <c r="AP250" i="1"/>
  <c r="AP251" i="1" s="1"/>
  <c r="AP112" i="1"/>
  <c r="Q60" i="1"/>
  <c r="BI203" i="1"/>
  <c r="BI201" i="1" s="1"/>
  <c r="BV40" i="1"/>
  <c r="BV41" i="1"/>
  <c r="AV34" i="1"/>
  <c r="AV29" i="1"/>
  <c r="AV232" i="1"/>
  <c r="AV233" i="1" s="1"/>
  <c r="AW250" i="1"/>
  <c r="AW251" i="1" s="1"/>
  <c r="AW31" i="1"/>
  <c r="BG29" i="1"/>
  <c r="BH226" i="1"/>
  <c r="BG112" i="1"/>
  <c r="BG250" i="1"/>
  <c r="BG251" i="1" s="1"/>
  <c r="BG34" i="1"/>
  <c r="BG232" i="1"/>
  <c r="BG233" i="1" s="1"/>
  <c r="BH112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AX250" i="1"/>
  <c r="AX251" i="1" s="1"/>
  <c r="AX232" i="1"/>
  <c r="AX233" i="1" s="1"/>
  <c r="BB30" i="1"/>
  <c r="AX34" i="1"/>
  <c r="AX31" i="1"/>
  <c r="AX29" i="1"/>
  <c r="BB34" i="1"/>
  <c r="BF30" i="1"/>
  <c r="BB232" i="1"/>
  <c r="BB233" i="1" s="1"/>
  <c r="BB29" i="1"/>
  <c r="AQ29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AV30" i="1"/>
  <c r="BJ234" i="1"/>
  <c r="BJ42" i="1"/>
  <c r="BJ245" i="1" s="1"/>
  <c r="BJ48" i="1"/>
  <c r="BQ40" i="1"/>
  <c r="BQ41" i="1"/>
  <c r="CR134" i="1"/>
  <c r="AE142" i="1"/>
  <c r="AC124" i="1"/>
  <c r="K213" i="1" l="1"/>
  <c r="H213" i="1"/>
  <c r="P210" i="1"/>
  <c r="P211" i="1" s="1"/>
  <c r="M210" i="1"/>
  <c r="M211" i="1" s="1"/>
  <c r="V210" i="1"/>
  <c r="V211" i="1" s="1"/>
  <c r="V213" i="1"/>
  <c r="P189" i="1"/>
  <c r="P190" i="1" s="1"/>
  <c r="O189" i="1"/>
  <c r="O190" i="1" s="1"/>
  <c r="N189" i="1"/>
  <c r="N190" i="1" s="1"/>
  <c r="AZ31" i="1"/>
  <c r="S60" i="1"/>
  <c r="BK112" i="1"/>
  <c r="U60" i="1"/>
  <c r="AT31" i="1"/>
  <c r="BT250" i="1"/>
  <c r="BT251" i="1" s="1"/>
  <c r="AJ31" i="1"/>
  <c r="AL112" i="1"/>
  <c r="AI29" i="1"/>
  <c r="AM30" i="1"/>
  <c r="AI34" i="1"/>
  <c r="N60" i="1"/>
  <c r="AL226" i="1"/>
  <c r="AI232" i="1"/>
  <c r="AI233" i="1" s="1"/>
  <c r="BS30" i="1"/>
  <c r="BS34" i="1"/>
  <c r="BS38" i="1" s="1"/>
  <c r="BS29" i="1"/>
  <c r="BS232" i="1"/>
  <c r="BS233" i="1" s="1"/>
  <c r="BS250" i="1"/>
  <c r="BS251" i="1" s="1"/>
  <c r="BV30" i="1"/>
  <c r="BT226" i="1"/>
  <c r="BV226" i="1"/>
  <c r="BR250" i="1"/>
  <c r="BR251" i="1" s="1"/>
  <c r="BR29" i="1"/>
  <c r="BR31" i="1"/>
  <c r="BS31" i="1"/>
  <c r="BR232" i="1"/>
  <c r="BR233" i="1" s="1"/>
  <c r="BR34" i="1"/>
  <c r="BN112" i="1"/>
  <c r="BN226" i="1"/>
  <c r="BA112" i="1"/>
  <c r="AZ112" i="1"/>
  <c r="BN34" i="1"/>
  <c r="BR30" i="1"/>
  <c r="BN29" i="1"/>
  <c r="BN31" i="1"/>
  <c r="BO250" i="1"/>
  <c r="BO251" i="1" s="1"/>
  <c r="BO112" i="1"/>
  <c r="BU112" i="1"/>
  <c r="AW40" i="1"/>
  <c r="AV112" i="1"/>
  <c r="BO226" i="1"/>
  <c r="BO31" i="1"/>
  <c r="BN232" i="1"/>
  <c r="BN233" i="1" s="1"/>
  <c r="BN250" i="1"/>
  <c r="BN251" i="1" s="1"/>
  <c r="BN30" i="1"/>
  <c r="AW41" i="1"/>
  <c r="U189" i="1"/>
  <c r="U190" i="1" s="1"/>
  <c r="U166" i="1"/>
  <c r="P213" i="1"/>
  <c r="C166" i="1"/>
  <c r="T210" i="1"/>
  <c r="T211" i="1" s="1"/>
  <c r="T213" i="1"/>
  <c r="U210" i="1"/>
  <c r="U211" i="1" s="1"/>
  <c r="O210" i="1"/>
  <c r="O211" i="1" s="1"/>
  <c r="D210" i="1"/>
  <c r="D211" i="1" s="1"/>
  <c r="V189" i="1"/>
  <c r="V190" i="1" s="1"/>
  <c r="S210" i="1"/>
  <c r="S211" i="1" s="1"/>
  <c r="O166" i="1"/>
  <c r="J166" i="1"/>
  <c r="R213" i="1"/>
  <c r="D213" i="1"/>
  <c r="H210" i="1"/>
  <c r="H211" i="1" s="1"/>
  <c r="K210" i="1"/>
  <c r="K211" i="1" s="1"/>
  <c r="Q213" i="1"/>
  <c r="Q210" i="1"/>
  <c r="Q211" i="1" s="1"/>
  <c r="N210" i="1"/>
  <c r="N211" i="1" s="1"/>
  <c r="G210" i="1"/>
  <c r="G211" i="1" s="1"/>
  <c r="O213" i="1"/>
  <c r="AM96" i="1"/>
  <c r="BV112" i="1"/>
  <c r="BT112" i="1"/>
  <c r="BT31" i="1"/>
  <c r="J213" i="1"/>
  <c r="BE30" i="1"/>
  <c r="BD226" i="1"/>
  <c r="BC112" i="1"/>
  <c r="BC226" i="1"/>
  <c r="BB226" i="1"/>
  <c r="R60" i="1"/>
  <c r="AZ30" i="1"/>
  <c r="BQ31" i="1"/>
  <c r="BP34" i="1"/>
  <c r="BP38" i="1" s="1"/>
  <c r="BP232" i="1"/>
  <c r="BP233" i="1" s="1"/>
  <c r="BP30" i="1"/>
  <c r="BP29" i="1"/>
  <c r="BQ250" i="1"/>
  <c r="BQ251" i="1" s="1"/>
  <c r="D70" i="1"/>
  <c r="D85" i="1"/>
  <c r="D86" i="1"/>
  <c r="D87" i="1"/>
  <c r="C89" i="1"/>
  <c r="BI232" i="1"/>
  <c r="BI233" i="1" s="1"/>
  <c r="BM30" i="1"/>
  <c r="BI30" i="1"/>
  <c r="BI34" i="1"/>
  <c r="BI29" i="1"/>
  <c r="BL226" i="1"/>
  <c r="BJ31" i="1"/>
  <c r="BJ250" i="1"/>
  <c r="BJ251" i="1" s="1"/>
  <c r="BI226" i="1"/>
  <c r="T60" i="1"/>
  <c r="BJ112" i="1"/>
  <c r="R189" i="1"/>
  <c r="R190" i="1" s="1"/>
  <c r="Q189" i="1"/>
  <c r="Q190" i="1" s="1"/>
  <c r="L189" i="1"/>
  <c r="L190" i="1" s="1"/>
  <c r="K189" i="1"/>
  <c r="K190" i="1" s="1"/>
  <c r="S189" i="1"/>
  <c r="S190" i="1" s="1"/>
  <c r="T189" i="1"/>
  <c r="T190" i="1" s="1"/>
  <c r="C189" i="1"/>
  <c r="C190" i="1" s="1"/>
  <c r="D189" i="1"/>
  <c r="D190" i="1" s="1"/>
  <c r="AT232" i="1"/>
  <c r="AT233" i="1" s="1"/>
  <c r="AT29" i="1"/>
  <c r="AT34" i="1"/>
  <c r="BA30" i="1"/>
  <c r="BA34" i="1"/>
  <c r="BA232" i="1"/>
  <c r="BA233" i="1" s="1"/>
  <c r="BA29" i="1"/>
  <c r="BA250" i="1"/>
  <c r="BA251" i="1" s="1"/>
  <c r="AZ34" i="1"/>
  <c r="AZ38" i="1" s="1"/>
  <c r="AZ232" i="1"/>
  <c r="AZ233" i="1" s="1"/>
  <c r="AZ29" i="1"/>
  <c r="BA31" i="1"/>
  <c r="BD30" i="1"/>
  <c r="AW226" i="1"/>
  <c r="AU112" i="1"/>
  <c r="AV226" i="1"/>
  <c r="P60" i="1"/>
  <c r="AT30" i="1"/>
  <c r="AT226" i="1"/>
  <c r="AX30" i="1"/>
  <c r="AU226" i="1"/>
  <c r="AW112" i="1"/>
  <c r="AU31" i="1"/>
  <c r="AU250" i="1"/>
  <c r="AU251" i="1" s="1"/>
  <c r="BB31" i="1"/>
  <c r="BB250" i="1"/>
  <c r="BB251" i="1" s="1"/>
  <c r="BD112" i="1"/>
  <c r="BA226" i="1"/>
  <c r="BB112" i="1"/>
  <c r="AZ226" i="1"/>
  <c r="BS112" i="1"/>
  <c r="V60" i="1"/>
  <c r="BR226" i="1"/>
  <c r="BR112" i="1"/>
  <c r="BP226" i="1"/>
  <c r="BP31" i="1"/>
  <c r="BP250" i="1"/>
  <c r="BP251" i="1" s="1"/>
  <c r="BQ112" i="1"/>
  <c r="BP112" i="1"/>
  <c r="BQ226" i="1"/>
  <c r="BS226" i="1"/>
  <c r="BL112" i="1"/>
  <c r="BI250" i="1"/>
  <c r="BI251" i="1" s="1"/>
  <c r="BI31" i="1"/>
  <c r="BI112" i="1"/>
  <c r="BK226" i="1"/>
  <c r="BJ226" i="1"/>
  <c r="BC31" i="1"/>
  <c r="BC30" i="1"/>
  <c r="BF226" i="1"/>
  <c r="BC232" i="1"/>
  <c r="BC233" i="1" s="1"/>
  <c r="BC29" i="1"/>
  <c r="BC34" i="1"/>
  <c r="BF112" i="1"/>
  <c r="BG30" i="1"/>
  <c r="BD31" i="1"/>
  <c r="BC250" i="1"/>
  <c r="BC251" i="1" s="1"/>
  <c r="BE226" i="1"/>
  <c r="BE112" i="1"/>
  <c r="BV110" i="1"/>
  <c r="BV111" i="1"/>
  <c r="I213" i="1"/>
  <c r="I210" i="1"/>
  <c r="I211" i="1" s="1"/>
  <c r="BW34" i="1"/>
  <c r="BW31" i="1"/>
  <c r="BY226" i="1"/>
  <c r="AS203" i="1"/>
  <c r="AS201" i="1" s="1"/>
  <c r="AT203" i="1"/>
  <c r="AT201" i="1" s="1"/>
  <c r="BZ226" i="1"/>
  <c r="J210" i="1"/>
  <c r="J211" i="1" s="1"/>
  <c r="BW29" i="1"/>
  <c r="R210" i="1"/>
  <c r="R211" i="1" s="1"/>
  <c r="BW226" i="1"/>
  <c r="BW112" i="1"/>
  <c r="BZ112" i="1"/>
  <c r="BW250" i="1"/>
  <c r="BW251" i="1" s="1"/>
  <c r="BX226" i="1"/>
  <c r="X60" i="1"/>
  <c r="BW30" i="1"/>
  <c r="BX31" i="1"/>
  <c r="BW232" i="1"/>
  <c r="BW233" i="1" s="1"/>
  <c r="BX250" i="1"/>
  <c r="BX251" i="1" s="1"/>
  <c r="BX112" i="1"/>
  <c r="BY112" i="1"/>
  <c r="CA30" i="1"/>
  <c r="S213" i="1"/>
  <c r="B87" i="1"/>
  <c r="B85" i="1"/>
  <c r="B86" i="1"/>
  <c r="C70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0" i="1"/>
  <c r="BD111" i="1"/>
  <c r="BD110" i="1"/>
  <c r="BO203" i="1"/>
  <c r="BO201" i="1" s="1"/>
  <c r="BP203" i="1"/>
  <c r="BP201" i="1" s="1"/>
  <c r="AX110" i="1"/>
  <c r="AX113" i="1" s="1"/>
  <c r="AP110" i="1"/>
  <c r="AP113" i="1" s="1"/>
  <c r="AP111" i="1"/>
  <c r="AP114" i="1" s="1"/>
  <c r="AZ110" i="1"/>
  <c r="AZ111" i="1"/>
  <c r="BH189" i="1"/>
  <c r="BD189" i="1"/>
  <c r="BN189" i="1"/>
  <c r="BR189" i="1"/>
  <c r="BB189" i="1"/>
  <c r="BF189" i="1"/>
  <c r="BT189" i="1"/>
  <c r="BX189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M40" i="1"/>
  <c r="BM41" i="1"/>
  <c r="BE40" i="1"/>
  <c r="BE41" i="1"/>
  <c r="BF234" i="1"/>
  <c r="BF42" i="1"/>
  <c r="BF245" i="1" s="1"/>
  <c r="BF48" i="1"/>
  <c r="BJ43" i="1"/>
  <c r="BD40" i="1"/>
  <c r="BD41" i="1"/>
  <c r="BO41" i="1"/>
  <c r="BO40" i="1"/>
  <c r="AU41" i="1"/>
  <c r="AU40" i="1"/>
  <c r="AR55" i="1"/>
  <c r="AP55" i="1"/>
  <c r="AO41" i="1"/>
  <c r="AR42" i="1"/>
  <c r="AR245" i="1" s="1"/>
  <c r="AR48" i="1"/>
  <c r="AR234" i="1"/>
  <c r="AX38" i="1"/>
  <c r="BV42" i="1"/>
  <c r="BV245" i="1" s="1"/>
  <c r="BV48" i="1"/>
  <c r="BV234" i="1"/>
  <c r="BZ43" i="1"/>
  <c r="BH41" i="1"/>
  <c r="BH40" i="1"/>
  <c r="AQ38" i="1"/>
  <c r="BX55" i="1"/>
  <c r="BZ55" i="1"/>
  <c r="BW38" i="1"/>
  <c r="BB38" i="1"/>
  <c r="AN55" i="1"/>
  <c r="AN38" i="1"/>
  <c r="BH113" i="1"/>
  <c r="AV38" i="1"/>
  <c r="AV55" i="1"/>
  <c r="AX55" i="1"/>
  <c r="BT38" i="1"/>
  <c r="BY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CR138" i="1"/>
  <c r="CS32" i="1"/>
  <c r="AV113" i="1" l="1"/>
  <c r="AV114" i="1"/>
  <c r="BN114" i="1"/>
  <c r="BN113" i="1"/>
  <c r="AW234" i="1"/>
  <c r="AZ113" i="1"/>
  <c r="AW48" i="1"/>
  <c r="AZ114" i="1"/>
  <c r="AW42" i="1"/>
  <c r="AW245" i="1" s="1"/>
  <c r="BV55" i="1"/>
  <c r="AL113" i="1"/>
  <c r="AI38" i="1"/>
  <c r="AL55" i="1"/>
  <c r="BR38" i="1"/>
  <c r="BN38" i="1"/>
  <c r="BT55" i="1"/>
  <c r="BJ113" i="1"/>
  <c r="BJ114" i="1"/>
  <c r="BN55" i="1"/>
  <c r="BB55" i="1"/>
  <c r="BV113" i="1"/>
  <c r="BL55" i="1"/>
  <c r="BJ55" i="1"/>
  <c r="BT113" i="1"/>
  <c r="BP40" i="1"/>
  <c r="BP41" i="1"/>
  <c r="BQ44" i="1" s="1"/>
  <c r="BI38" i="1"/>
  <c r="BR55" i="1"/>
  <c r="BV114" i="1"/>
  <c r="AZ55" i="1"/>
  <c r="BP55" i="1"/>
  <c r="BF114" i="1"/>
  <c r="BF113" i="1"/>
  <c r="AT38" i="1"/>
  <c r="AT55" i="1"/>
  <c r="BC38" i="1"/>
  <c r="BF55" i="1"/>
  <c r="BX114" i="1"/>
  <c r="BX113" i="1"/>
  <c r="AT40" i="1"/>
  <c r="AT41" i="1"/>
  <c r="AT43" i="1" s="1"/>
  <c r="AZ40" i="1"/>
  <c r="AZ41" i="1"/>
  <c r="BB114" i="1"/>
  <c r="BB113" i="1"/>
  <c r="BP113" i="1"/>
  <c r="BP114" i="1"/>
  <c r="BR113" i="1"/>
  <c r="BD114" i="1"/>
  <c r="BD113" i="1"/>
  <c r="BR114" i="1"/>
  <c r="BA38" i="1"/>
  <c r="BD55" i="1"/>
  <c r="BL113" i="1"/>
  <c r="BL114" i="1"/>
  <c r="BZ114" i="1"/>
  <c r="BL44" i="1"/>
  <c r="BK48" i="1"/>
  <c r="BK42" i="1"/>
  <c r="BK245" i="1" s="1"/>
  <c r="AY234" i="1"/>
  <c r="AY42" i="1"/>
  <c r="AY245" i="1" s="1"/>
  <c r="AP234" i="1"/>
  <c r="AP48" i="1"/>
  <c r="AP42" i="1"/>
  <c r="AP245" i="1" s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W43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S43" i="1"/>
  <c r="BD48" i="1"/>
  <c r="BD234" i="1"/>
  <c r="BD42" i="1"/>
  <c r="BD245" i="1" s="1"/>
  <c r="BE44" i="1"/>
  <c r="BO234" i="1"/>
  <c r="BO42" i="1"/>
  <c r="BO245" i="1" s="1"/>
  <c r="BO48" i="1"/>
  <c r="BO43" i="1"/>
  <c r="AU42" i="1"/>
  <c r="AU245" i="1" s="1"/>
  <c r="AU234" i="1"/>
  <c r="AY43" i="1"/>
  <c r="AU48" i="1"/>
  <c r="AP44" i="1"/>
  <c r="AO48" i="1"/>
  <c r="AO43" i="1"/>
  <c r="BH43" i="1"/>
  <c r="AO234" i="1"/>
  <c r="AS43" i="1"/>
  <c r="AO42" i="1"/>
  <c r="AO245" i="1" s="1"/>
  <c r="BW41" i="1"/>
  <c r="BW43" i="1" s="1"/>
  <c r="BW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W193" i="1"/>
  <c r="AW195" i="1" s="1"/>
  <c r="AW66" i="1"/>
  <c r="AW119" i="1"/>
  <c r="AW120" i="1" s="1"/>
  <c r="AW52" i="1"/>
  <c r="CS194" i="1"/>
  <c r="CS132" i="1"/>
  <c r="CR203" i="1"/>
  <c r="CR201" i="1" s="1"/>
  <c r="AC125" i="1"/>
  <c r="AC128" i="1" s="1"/>
  <c r="AC249" i="1" s="1"/>
  <c r="AI41" i="1" l="1"/>
  <c r="AI40" i="1"/>
  <c r="BR41" i="1"/>
  <c r="BR40" i="1"/>
  <c r="BN41" i="1"/>
  <c r="BN40" i="1"/>
  <c r="AT44" i="1"/>
  <c r="BP48" i="1"/>
  <c r="BP43" i="1"/>
  <c r="BP234" i="1"/>
  <c r="BP42" i="1"/>
  <c r="BP245" i="1" s="1"/>
  <c r="BI41" i="1"/>
  <c r="BI44" i="1" s="1"/>
  <c r="BI40" i="1"/>
  <c r="BC41" i="1"/>
  <c r="AU227" i="1"/>
  <c r="BP44" i="1"/>
  <c r="BC40" i="1"/>
  <c r="AU44" i="1"/>
  <c r="AZ44" i="1"/>
  <c r="BD43" i="1"/>
  <c r="AT234" i="1"/>
  <c r="AT42" i="1"/>
  <c r="AT245" i="1" s="1"/>
  <c r="AT48" i="1"/>
  <c r="AZ48" i="1"/>
  <c r="AZ42" i="1"/>
  <c r="AZ245" i="1" s="1"/>
  <c r="AZ234" i="1"/>
  <c r="BA41" i="1"/>
  <c r="BA40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CS134" i="1"/>
  <c r="AC206" i="1"/>
  <c r="CA226" i="1"/>
  <c r="CB226" i="1"/>
  <c r="BU226" i="1"/>
  <c r="BQ54" i="1" l="1"/>
  <c r="BG43" i="1"/>
  <c r="AT52" i="1"/>
  <c r="AT193" i="1"/>
  <c r="AT195" i="1" s="1"/>
  <c r="AT66" i="1"/>
  <c r="AZ66" i="1"/>
  <c r="AZ193" i="1"/>
  <c r="AZ195" i="1" s="1"/>
  <c r="AZ52" i="1"/>
  <c r="BE43" i="1"/>
  <c r="BA43" i="1"/>
  <c r="BA48" i="1"/>
  <c r="BA234" i="1"/>
  <c r="BA42" i="1"/>
  <c r="BA245" i="1" s="1"/>
  <c r="BD227" i="1"/>
  <c r="BB227" i="1"/>
  <c r="BB44" i="1"/>
  <c r="BC227" i="1"/>
  <c r="BA44" i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AW95" i="1"/>
  <c r="AW94" i="1"/>
  <c r="AW96" i="1"/>
  <c r="CS138" i="1"/>
  <c r="CT32" i="1"/>
  <c r="AD124" i="1"/>
  <c r="W59" i="1"/>
  <c r="BA193" i="1" l="1"/>
  <c r="BA195" i="1" s="1"/>
  <c r="BA119" i="1"/>
  <c r="BA120" i="1" s="1"/>
  <c r="BA66" i="1"/>
  <c r="BA52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U95" i="1"/>
  <c r="AU96" i="1"/>
  <c r="AU94" i="1"/>
  <c r="AO96" i="1"/>
  <c r="AO95" i="1"/>
  <c r="AZ69" i="1"/>
  <c r="AY69" i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5" i="1"/>
  <c r="AC32" i="1"/>
  <c r="CT194" i="1"/>
  <c r="CT132" i="1"/>
  <c r="CS203" i="1"/>
  <c r="CS201" i="1" s="1"/>
  <c r="W60" i="1"/>
  <c r="BD69" i="1" l="1"/>
  <c r="BA69" i="1"/>
  <c r="BA54" i="1"/>
  <c r="BA129" i="1"/>
  <c r="BA55" i="1" s="1"/>
  <c r="BA92" i="1"/>
  <c r="BA207" i="1"/>
  <c r="BA205" i="1" s="1"/>
  <c r="BB207" i="1"/>
  <c r="BB205" i="1" s="1"/>
  <c r="BL85" i="1"/>
  <c r="BL86" i="1"/>
  <c r="BN89" i="1"/>
  <c r="BR85" i="1"/>
  <c r="BR87" i="1"/>
  <c r="BV70" i="1"/>
  <c r="BP89" i="1"/>
  <c r="BT86" i="1"/>
  <c r="BO89" i="1"/>
  <c r="BS86" i="1"/>
  <c r="BH89" i="1"/>
  <c r="BL87" i="1"/>
  <c r="BK85" i="1"/>
  <c r="BK86" i="1"/>
  <c r="BK87" i="1"/>
  <c r="BG89" i="1"/>
  <c r="BT70" i="1"/>
  <c r="BV89" i="1"/>
  <c r="BZ70" i="1"/>
  <c r="BY70" i="1"/>
  <c r="BI95" i="1"/>
  <c r="BI94" i="1"/>
  <c r="BQ89" i="1"/>
  <c r="BU87" i="1"/>
  <c r="BU86" i="1"/>
  <c r="BW70" i="1"/>
  <c r="BC96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BG70" i="1"/>
  <c r="BM70" i="1"/>
  <c r="BI85" i="1"/>
  <c r="BI86" i="1"/>
  <c r="BE89" i="1"/>
  <c r="AO87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Z70" i="1"/>
  <c r="AV87" i="1"/>
  <c r="AR89" i="1"/>
  <c r="BG85" i="1"/>
  <c r="BG86" i="1"/>
  <c r="BG87" i="1"/>
  <c r="BK70" i="1"/>
  <c r="AT87" i="1"/>
  <c r="AY85" i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T89" i="1"/>
  <c r="BX70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AW89" i="1" l="1"/>
  <c r="BE70" i="1"/>
  <c r="BA86" i="1"/>
  <c r="BA96" i="1"/>
  <c r="BA95" i="1"/>
  <c r="BT90" i="1"/>
  <c r="BH90" i="1"/>
  <c r="BM90" i="1"/>
  <c r="BG90" i="1"/>
  <c r="BN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BR90" i="1"/>
  <c r="BC90" i="1"/>
  <c r="BS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D90" i="1" l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2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E89" i="1" l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U145" i="1"/>
  <c r="CU153" i="1"/>
  <c r="CU146" i="1"/>
  <c r="CY8" i="1"/>
  <c r="CU152" i="1"/>
  <c r="CU156" i="1" s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7" i="1" s="1"/>
  <c r="CU15" i="1"/>
  <c r="CU28" i="1"/>
  <c r="CU18" i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34" i="1" l="1"/>
  <c r="CY145" i="1"/>
  <c r="CY16" i="1"/>
  <c r="CY15" i="1" s="1"/>
  <c r="CY153" i="1"/>
  <c r="CY146" i="1"/>
  <c r="CY152" i="1"/>
  <c r="CY156" i="1" s="1"/>
  <c r="CY26" i="1"/>
  <c r="CY23" i="1" s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54" i="1" l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HZ9" i="4" l="1"/>
  <c r="HZ21" i="4"/>
  <c r="AT77" i="1"/>
  <c r="IE7" i="4"/>
  <c r="HQ16" i="4"/>
  <c r="HQ21" i="4"/>
  <c r="IB16" i="4"/>
  <c r="HU16" i="4"/>
  <c r="HU21" i="4"/>
  <c r="AO77" i="1"/>
  <c r="IN15" i="4"/>
  <c r="ID9" i="4"/>
  <c r="JD16" i="4"/>
  <c r="ID21" i="4"/>
  <c r="JF7" i="4"/>
  <c r="JC9" i="4"/>
  <c r="IG9" i="4"/>
  <c r="II7" i="4"/>
  <c r="ID8" i="4"/>
  <c r="JG16" i="4"/>
  <c r="IZ8" i="4"/>
  <c r="IO15" i="4"/>
  <c r="IY9" i="4"/>
  <c r="JI15" i="4"/>
  <c r="IZ9" i="4"/>
  <c r="IY8" i="4"/>
  <c r="IO8" i="4"/>
  <c r="II9" i="4"/>
  <c r="IS9" i="4"/>
  <c r="HR15" i="4"/>
  <c r="IZ21" i="4"/>
  <c r="IZ20" i="4"/>
  <c r="BT79" i="1"/>
  <c r="BT108" i="1"/>
  <c r="JC21" i="4"/>
  <c r="II21" i="4"/>
  <c r="IN20" i="4"/>
  <c r="IB21" i="4"/>
  <c r="AV77" i="1"/>
  <c r="IE19" i="4"/>
  <c r="AY78" i="1"/>
  <c r="AY107" i="1"/>
  <c r="IO20" i="4"/>
  <c r="BI79" i="1"/>
  <c r="BI108" i="1"/>
  <c r="JI20" i="4"/>
  <c r="JF19" i="4"/>
  <c r="JD21" i="4" l="1"/>
  <c r="BX77" i="1" s="1"/>
  <c r="AX77" i="1"/>
  <c r="IS21" i="4"/>
  <c r="BM77" i="1" s="1"/>
  <c r="CC79" i="1"/>
  <c r="HR20" i="4"/>
  <c r="AL79" i="1" s="1"/>
  <c r="II19" i="4"/>
  <c r="BC78" i="1" s="1"/>
  <c r="IY20" i="4"/>
  <c r="BS79" i="1" s="1"/>
  <c r="ID20" i="4"/>
  <c r="AX79" i="1" s="1"/>
  <c r="AO102" i="1"/>
  <c r="BM102" i="1"/>
  <c r="BI104" i="1"/>
  <c r="AY103" i="1"/>
  <c r="BT104" i="1"/>
  <c r="AV102" i="1"/>
  <c r="IY21" i="4"/>
  <c r="BS77" i="1" s="1"/>
  <c r="BT77" i="1"/>
  <c r="BW77" i="1"/>
  <c r="BC77" i="1"/>
  <c r="AT102" i="1"/>
  <c r="BX102" i="1"/>
  <c r="AT94" i="1"/>
  <c r="BT96" i="1"/>
  <c r="BT111" i="1"/>
  <c r="BT114" i="1" s="1"/>
  <c r="AY95" i="1"/>
  <c r="AO94" i="1"/>
  <c r="AY86" i="1"/>
  <c r="BB90" i="1" s="1"/>
  <c r="BI96" i="1"/>
  <c r="BX85" i="1"/>
  <c r="AY89" i="1"/>
  <c r="BI87" i="1"/>
  <c r="BT87" i="1"/>
  <c r="AK77" i="1"/>
  <c r="AO85" i="1"/>
  <c r="AV85" i="1"/>
  <c r="AT85" i="1"/>
  <c r="AY110" i="1"/>
  <c r="AY113" i="1" s="1"/>
  <c r="BI111" i="1"/>
  <c r="BI114" i="1" s="1"/>
  <c r="IG21" i="4"/>
  <c r="BA77" i="1" s="1"/>
  <c r="JG21" i="4"/>
  <c r="CA77" i="1" s="1"/>
  <c r="BH79" i="1"/>
  <c r="BZ78" i="1"/>
  <c r="AV94" i="1"/>
  <c r="AX85" i="1" l="1"/>
  <c r="AX94" i="1"/>
  <c r="AX102" i="1"/>
  <c r="BM94" i="1"/>
  <c r="BM85" i="1"/>
  <c r="CC96" i="1"/>
  <c r="CC108" i="1"/>
  <c r="CC111" i="1" s="1"/>
  <c r="CC114" i="1" s="1"/>
  <c r="CC104" i="1"/>
  <c r="CC87" i="1"/>
  <c r="AL96" i="1"/>
  <c r="AL87" i="1"/>
  <c r="AL104" i="1"/>
  <c r="AL108" i="1"/>
  <c r="AL111" i="1" s="1"/>
  <c r="AL114" i="1" s="1"/>
  <c r="BC89" i="1"/>
  <c r="BC86" i="1"/>
  <c r="BF90" i="1" s="1"/>
  <c r="BC95" i="1"/>
  <c r="BC103" i="1"/>
  <c r="BC107" i="1"/>
  <c r="BC110" i="1" s="1"/>
  <c r="BC113" i="1" s="1"/>
  <c r="BS87" i="1"/>
  <c r="BS96" i="1"/>
  <c r="BS104" i="1"/>
  <c r="BS108" i="1"/>
  <c r="BS111" i="1" s="1"/>
  <c r="BS114" i="1" s="1"/>
  <c r="AX87" i="1"/>
  <c r="AX104" i="1"/>
  <c r="AX108" i="1"/>
  <c r="AX111" i="1" s="1"/>
  <c r="AX114" i="1" s="1"/>
  <c r="BS85" i="1"/>
  <c r="BS94" i="1"/>
  <c r="BS102" i="1"/>
  <c r="BT102" i="1"/>
  <c r="BT85" i="1"/>
  <c r="BT94" i="1"/>
  <c r="BW102" i="1"/>
  <c r="BW94" i="1"/>
  <c r="BW85" i="1"/>
  <c r="BC102" i="1"/>
  <c r="BC85" i="1"/>
  <c r="BC94" i="1"/>
  <c r="BA85" i="1"/>
  <c r="BA94" i="1"/>
  <c r="BA102" i="1"/>
  <c r="CA85" i="1"/>
  <c r="CA102" i="1"/>
  <c r="CA94" i="1"/>
  <c r="BH87" i="1"/>
  <c r="BH104" i="1"/>
  <c r="BH108" i="1"/>
  <c r="BH111" i="1" s="1"/>
  <c r="BH114" i="1" s="1"/>
  <c r="BZ86" i="1"/>
  <c r="BZ103" i="1"/>
  <c r="BZ107" i="1"/>
  <c r="BZ110" i="1" s="1"/>
  <c r="BZ113" i="1" s="1"/>
  <c r="BZ89" i="1"/>
  <c r="BZ95" i="1"/>
  <c r="BX94" i="1"/>
  <c r="BH96" i="1"/>
  <c r="AX96" i="1"/>
  <c r="CA90" i="1" l="1"/>
  <c r="BZ90" i="1"/>
  <c r="CB90" i="1"/>
  <c r="CC90" i="1"/>
  <c r="AB63" i="1" l="1"/>
  <c r="AA63" i="1"/>
  <c r="AA65" i="1"/>
  <c r="AA99" i="1"/>
  <c r="AA103" i="1"/>
  <c r="AC63" i="1"/>
  <c r="AD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K65" i="1"/>
  <c r="K66" i="1"/>
  <c r="K69" i="1"/>
  <c r="K86" i="1"/>
  <c r="S65" i="1"/>
  <c r="S108" i="1"/>
  <c r="S111" i="1"/>
  <c r="S114" i="1"/>
  <c r="O65" i="1"/>
  <c r="O108" i="1"/>
  <c r="O111" i="1"/>
  <c r="O107" i="1"/>
  <c r="O110" i="1"/>
  <c r="O113" i="1"/>
  <c r="P65" i="1"/>
  <c r="P92" i="1"/>
  <c r="P96" i="1"/>
  <c r="J63" i="1"/>
  <c r="I63" i="1"/>
  <c r="H63" i="1"/>
  <c r="G63" i="1"/>
  <c r="G65" i="1"/>
  <c r="G66" i="1"/>
  <c r="G69" i="1"/>
  <c r="G70" i="1"/>
  <c r="L65" i="1"/>
  <c r="L66" i="1"/>
  <c r="L69" i="1"/>
  <c r="F63" i="1"/>
  <c r="E63" i="1"/>
  <c r="E65" i="1"/>
  <c r="E99" i="1"/>
  <c r="E102" i="1"/>
  <c r="E66" i="1"/>
  <c r="E68" i="1"/>
  <c r="L68" i="1"/>
  <c r="V65" i="1"/>
  <c r="V66" i="1"/>
  <c r="V69" i="1"/>
  <c r="V87" i="1"/>
  <c r="S66" i="1"/>
  <c r="S69" i="1"/>
  <c r="S87" i="1"/>
  <c r="Q65" i="1"/>
  <c r="Q66" i="1"/>
  <c r="Q68" i="1"/>
  <c r="P66" i="1"/>
  <c r="P69" i="1"/>
  <c r="P85" i="1"/>
  <c r="N65" i="1"/>
  <c r="N66" i="1"/>
  <c r="N69" i="1"/>
  <c r="M89" i="1"/>
  <c r="I65" i="1"/>
  <c r="I66" i="1"/>
  <c r="I69" i="1"/>
  <c r="I86" i="1"/>
  <c r="L70" i="1"/>
  <c r="G85" i="1"/>
  <c r="H65" i="1"/>
  <c r="H107" i="1"/>
  <c r="H99" i="1"/>
  <c r="H103" i="1"/>
  <c r="J65" i="1"/>
  <c r="J66" i="1"/>
  <c r="J69" i="1"/>
  <c r="J85" i="1"/>
  <c r="J87" i="1"/>
  <c r="E104" i="1"/>
  <c r="M65" i="1"/>
  <c r="M99" i="1"/>
  <c r="M104" i="1"/>
  <c r="V85" i="1"/>
  <c r="V70" i="1"/>
  <c r="O66" i="1"/>
  <c r="O68" i="1"/>
  <c r="E108" i="1"/>
  <c r="E111" i="1"/>
  <c r="E114" i="1"/>
  <c r="AE63" i="1"/>
  <c r="AE65" i="1"/>
  <c r="AE66" i="1"/>
  <c r="AE69" i="1"/>
  <c r="AE70" i="1"/>
  <c r="V86" i="1"/>
  <c r="U89" i="1"/>
  <c r="AE99" i="1"/>
  <c r="G107" i="1"/>
  <c r="Q99" i="1"/>
  <c r="I85" i="1"/>
  <c r="M103" i="1"/>
  <c r="M102" i="1"/>
  <c r="L87" i="1"/>
  <c r="AA92" i="1"/>
  <c r="AA107" i="1"/>
  <c r="K89" i="1"/>
  <c r="I87" i="1"/>
  <c r="AC65" i="1"/>
  <c r="G99" i="1"/>
  <c r="N70" i="1"/>
  <c r="J68" i="1"/>
  <c r="R89" i="1"/>
  <c r="P86" i="1"/>
  <c r="N86" i="1"/>
  <c r="J107" i="1"/>
  <c r="J110" i="1"/>
  <c r="J113" i="1"/>
  <c r="H108" i="1"/>
  <c r="H111" i="1"/>
  <c r="H114" i="1"/>
  <c r="U65" i="1"/>
  <c r="U92" i="1"/>
  <c r="U96" i="1"/>
  <c r="Q108" i="1"/>
  <c r="Q111" i="1"/>
  <c r="Q114" i="1"/>
  <c r="J92" i="1"/>
  <c r="J94" i="1"/>
  <c r="K107" i="1"/>
  <c r="K110" i="1"/>
  <c r="K113" i="1"/>
  <c r="K108" i="1"/>
  <c r="K111" i="1"/>
  <c r="K114" i="1"/>
  <c r="K92" i="1"/>
  <c r="K96" i="1"/>
  <c r="P108" i="1"/>
  <c r="P111" i="1"/>
  <c r="P114" i="1"/>
  <c r="L108" i="1"/>
  <c r="G108" i="1"/>
  <c r="AA66" i="1"/>
  <c r="AA68" i="1"/>
  <c r="AA102" i="1"/>
  <c r="L111" i="1"/>
  <c r="L114" i="1"/>
  <c r="M108" i="1"/>
  <c r="M111" i="1"/>
  <c r="M114" i="1"/>
  <c r="M107" i="1"/>
  <c r="M110" i="1"/>
  <c r="M113" i="1"/>
  <c r="N107" i="1"/>
  <c r="N110" i="1"/>
  <c r="N113" i="1"/>
  <c r="M92" i="1"/>
  <c r="G92" i="1"/>
  <c r="O92" i="1"/>
  <c r="O94" i="1"/>
  <c r="O96" i="1"/>
  <c r="O95" i="1"/>
  <c r="F65" i="1"/>
  <c r="F92" i="1"/>
  <c r="F94" i="1"/>
  <c r="F108" i="1"/>
  <c r="F111" i="1"/>
  <c r="F114" i="1"/>
  <c r="H110" i="1"/>
  <c r="H113" i="1"/>
  <c r="U95" i="1"/>
  <c r="U94" i="1"/>
  <c r="Q107" i="1"/>
  <c r="Q110" i="1"/>
  <c r="Q113" i="1"/>
  <c r="J95" i="1"/>
  <c r="J96" i="1"/>
  <c r="K95" i="1"/>
  <c r="K94" i="1"/>
  <c r="P107" i="1"/>
  <c r="P110" i="1"/>
  <c r="P113" i="1"/>
  <c r="L107" i="1"/>
  <c r="L110" i="1"/>
  <c r="L113" i="1"/>
  <c r="N108" i="1"/>
  <c r="N111" i="1"/>
  <c r="N114" i="1"/>
  <c r="M95" i="1"/>
  <c r="V92" i="1"/>
  <c r="V95" i="1"/>
  <c r="G95" i="1"/>
  <c r="AB65" i="1"/>
  <c r="AB108" i="1"/>
  <c r="AB111" i="1"/>
  <c r="AB114" i="1"/>
  <c r="Q92" i="1"/>
  <c r="O114" i="1"/>
  <c r="W65" i="1"/>
  <c r="W66" i="1"/>
  <c r="W69" i="1"/>
  <c r="W86" i="1"/>
  <c r="W70" i="1"/>
  <c r="W87" i="1"/>
  <c r="W85" i="1"/>
  <c r="V89" i="1"/>
  <c r="W92" i="1"/>
  <c r="W96" i="1"/>
  <c r="W108" i="1"/>
  <c r="W111" i="1"/>
  <c r="W107" i="1"/>
  <c r="W110" i="1"/>
  <c r="W113" i="1"/>
  <c r="AB99" i="1"/>
  <c r="AB102" i="1"/>
  <c r="AC99" i="1"/>
  <c r="AD65" i="1"/>
  <c r="AD99" i="1"/>
  <c r="AD102" i="1"/>
  <c r="AE102" i="1"/>
  <c r="G110" i="1"/>
  <c r="L92" i="1"/>
  <c r="L95" i="1"/>
  <c r="E92" i="1"/>
  <c r="N92" i="1"/>
  <c r="P95" i="1"/>
  <c r="AE68" i="1"/>
  <c r="AA104" i="1"/>
  <c r="U66" i="1"/>
  <c r="H92" i="1"/>
  <c r="J99" i="1"/>
  <c r="H89" i="1"/>
  <c r="S86" i="1"/>
  <c r="Q94" i="1"/>
  <c r="H104" i="1"/>
  <c r="U99" i="1"/>
  <c r="R65" i="1"/>
  <c r="R99" i="1"/>
  <c r="R104" i="1"/>
  <c r="F99" i="1"/>
  <c r="I107" i="1"/>
  <c r="I110" i="1"/>
  <c r="S92" i="1"/>
  <c r="S95" i="1"/>
  <c r="P94" i="1"/>
  <c r="E107" i="1"/>
  <c r="AB107" i="1"/>
  <c r="AB110" i="1"/>
  <c r="R108" i="1"/>
  <c r="R111" i="1"/>
  <c r="R114" i="1"/>
  <c r="AC66" i="1"/>
  <c r="AC69" i="1"/>
  <c r="AC70" i="1"/>
  <c r="AC85" i="1"/>
  <c r="AB89" i="1"/>
  <c r="AC104" i="1"/>
  <c r="AC107" i="1"/>
  <c r="AC110" i="1"/>
  <c r="AC108" i="1"/>
  <c r="AC111" i="1"/>
  <c r="AD66" i="1"/>
  <c r="E110" i="1"/>
  <c r="U108" i="1"/>
  <c r="U111" i="1"/>
  <c r="U107" i="1"/>
  <c r="U110" i="1"/>
  <c r="U113" i="1"/>
  <c r="AE85" i="1"/>
  <c r="AD89" i="1"/>
  <c r="AE86" i="1"/>
  <c r="AE107" i="1"/>
  <c r="K99" i="1"/>
  <c r="O99" i="1"/>
  <c r="G111" i="1"/>
  <c r="I10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AC64" i="1"/>
  <c r="Z65" i="1"/>
  <c r="Z107" i="1"/>
  <c r="Z110" i="1"/>
  <c r="I99" i="1"/>
  <c r="I102" i="1"/>
  <c r="Q102" i="1"/>
  <c r="W99" i="1"/>
  <c r="W102" i="1"/>
  <c r="P68" i="1"/>
  <c r="S68" i="1"/>
  <c r="K87" i="1"/>
  <c r="O69" i="1"/>
  <c r="M96" i="1"/>
  <c r="G113" i="1"/>
  <c r="Y65" i="1"/>
  <c r="Y66" i="1"/>
  <c r="Y69" i="1"/>
  <c r="Y70" i="1"/>
  <c r="G96" i="1"/>
  <c r="V107" i="1"/>
  <c r="V110" i="1"/>
  <c r="V113" i="1"/>
  <c r="V108" i="1"/>
  <c r="V111" i="1"/>
  <c r="V114" i="1"/>
  <c r="T65" i="1"/>
  <c r="T107" i="1"/>
  <c r="T110" i="1"/>
  <c r="T113" i="1"/>
  <c r="J108" i="1"/>
  <c r="J111" i="1"/>
  <c r="J114" i="1"/>
  <c r="L96" i="1"/>
  <c r="E94" i="1"/>
  <c r="N95" i="1"/>
  <c r="AD108" i="1"/>
  <c r="AD107" i="1"/>
  <c r="AD110" i="1"/>
  <c r="AE92" i="1"/>
  <c r="Q104" i="1"/>
  <c r="X65" i="1"/>
  <c r="X108" i="1"/>
  <c r="X111" i="1"/>
  <c r="X114" i="1"/>
  <c r="U69" i="1"/>
  <c r="L86" i="1"/>
  <c r="E103" i="1"/>
  <c r="N89" i="1"/>
  <c r="U87" i="1"/>
  <c r="V96" i="1"/>
  <c r="I70" i="1"/>
  <c r="Q96" i="1"/>
  <c r="AA96" i="1"/>
  <c r="Y107" i="1"/>
  <c r="M66" i="1"/>
  <c r="G86" i="1"/>
  <c r="N68" i="1"/>
  <c r="K85" i="1"/>
  <c r="O87" i="1"/>
  <c r="J102" i="1"/>
  <c r="AE104" i="1"/>
  <c r="G103" i="1"/>
  <c r="Z66" i="1"/>
  <c r="Z69" i="1"/>
  <c r="R103" i="1"/>
  <c r="G104" i="1"/>
  <c r="U104" i="1"/>
  <c r="U103" i="1"/>
  <c r="K104" i="1"/>
  <c r="X107" i="1"/>
  <c r="Z86" i="1"/>
  <c r="H66" i="1"/>
  <c r="E69" i="1"/>
  <c r="Q69" i="1"/>
  <c r="T108" i="1"/>
  <c r="T111" i="1"/>
  <c r="T114" i="1"/>
  <c r="L94" i="1"/>
  <c r="E96" i="1"/>
  <c r="N96" i="1"/>
  <c r="E70" i="1"/>
  <c r="W68" i="1"/>
  <c r="AB66" i="1"/>
  <c r="AB69" i="1"/>
  <c r="AB70" i="1"/>
  <c r="AB92" i="1"/>
  <c r="AB94" i="1"/>
  <c r="AA89" i="1"/>
  <c r="AC92" i="1"/>
  <c r="AC103" i="1"/>
  <c r="AC86" i="1"/>
  <c r="AC95" i="1"/>
  <c r="AC96" i="1"/>
  <c r="AC87" i="1"/>
  <c r="AC113" i="1"/>
  <c r="AC114" i="1"/>
  <c r="X66" i="1"/>
  <c r="AD68" i="1"/>
  <c r="AD69" i="1"/>
  <c r="AD70" i="1"/>
  <c r="AD85" i="1"/>
  <c r="AD104" i="1"/>
  <c r="AC89" i="1"/>
  <c r="AD113" i="1"/>
  <c r="AE103" i="1"/>
  <c r="AE87" i="1"/>
  <c r="AE108" i="1"/>
  <c r="AE111" i="1"/>
  <c r="AE114" i="1"/>
  <c r="AE110" i="1"/>
  <c r="Z68" i="1"/>
  <c r="X68" i="1"/>
  <c r="J70" i="1"/>
  <c r="Y87" i="1"/>
  <c r="O103" i="1"/>
  <c r="G68" i="1"/>
  <c r="S99" i="1"/>
  <c r="S103" i="1"/>
  <c r="O102" i="1"/>
  <c r="V99" i="1"/>
  <c r="V104" i="1"/>
  <c r="K70" i="1"/>
  <c r="F66" i="1"/>
  <c r="F69" i="1"/>
  <c r="O89" i="1"/>
  <c r="P70" i="1"/>
  <c r="G94" i="1"/>
  <c r="M94" i="1"/>
  <c r="I111" i="1"/>
  <c r="AA108" i="1"/>
  <c r="AA111" i="1"/>
  <c r="H64" i="1"/>
  <c r="G64" i="1"/>
  <c r="F64" i="1"/>
  <c r="Y108" i="1"/>
  <c r="Y111" i="1"/>
  <c r="I114" i="1"/>
  <c r="I113" i="1"/>
  <c r="S96" i="1"/>
  <c r="U114" i="1"/>
  <c r="AD111" i="1"/>
  <c r="AD114" i="1"/>
  <c r="Y86" i="1"/>
  <c r="N85" i="1"/>
  <c r="F68" i="1"/>
  <c r="V68" i="1"/>
  <c r="V102" i="1"/>
  <c r="H68" i="1"/>
  <c r="T66" i="1"/>
  <c r="T69" i="1"/>
  <c r="S89" i="1"/>
  <c r="W104" i="1"/>
  <c r="I103" i="1"/>
  <c r="N99" i="1"/>
  <c r="N104" i="1"/>
  <c r="T99" i="1"/>
  <c r="X110" i="1"/>
  <c r="N102" i="1"/>
  <c r="T87" i="1"/>
  <c r="T102" i="1"/>
  <c r="N103" i="1"/>
  <c r="Z99" i="1"/>
  <c r="W103" i="1"/>
  <c r="Q103" i="1"/>
  <c r="T85" i="1"/>
  <c r="F86" i="1"/>
  <c r="F103" i="1"/>
  <c r="U102" i="1"/>
  <c r="Z70" i="1"/>
  <c r="Z108" i="1"/>
  <c r="I89" i="1"/>
  <c r="G87" i="1"/>
  <c r="O70" i="1"/>
  <c r="AD92" i="1"/>
  <c r="X89" i="1"/>
  <c r="S70" i="1"/>
  <c r="L85" i="1"/>
  <c r="N87" i="1"/>
  <c r="Q95" i="1"/>
  <c r="AB68" i="1"/>
  <c r="AB87" i="1"/>
  <c r="AC68" i="1"/>
  <c r="X92" i="1"/>
  <c r="AA94" i="1"/>
  <c r="Y110" i="1"/>
  <c r="Y113" i="1"/>
  <c r="I92" i="1"/>
  <c r="I68" i="1"/>
  <c r="L99" i="1"/>
  <c r="H69" i="1"/>
  <c r="E113" i="1"/>
  <c r="D89" i="1"/>
  <c r="K103" i="1"/>
  <c r="AD94" i="1"/>
  <c r="Q70" i="1"/>
  <c r="F70" i="1"/>
  <c r="T68" i="1"/>
  <c r="M69" i="1"/>
  <c r="M70" i="1"/>
  <c r="M86" i="1"/>
  <c r="M85" i="1"/>
  <c r="L103" i="1"/>
  <c r="M87" i="1"/>
  <c r="G89" i="1"/>
  <c r="H85" i="1"/>
  <c r="L89" i="1"/>
  <c r="L104" i="1"/>
  <c r="H87" i="1"/>
  <c r="Z103" i="1"/>
  <c r="Y92" i="1"/>
  <c r="R66" i="1"/>
  <c r="R69" i="1"/>
  <c r="S107" i="1"/>
  <c r="S110" i="1"/>
  <c r="S113" i="1"/>
  <c r="Y94" i="1"/>
  <c r="U68" i="1"/>
  <c r="U86" i="1"/>
  <c r="R68" i="1"/>
  <c r="R85" i="1"/>
  <c r="R70" i="1"/>
  <c r="T89" i="1"/>
  <c r="Q89" i="1"/>
  <c r="R87" i="1"/>
  <c r="Z104" i="1"/>
  <c r="Y96" i="1"/>
  <c r="I95" i="1"/>
  <c r="I96" i="1"/>
  <c r="U85" i="1"/>
  <c r="Y89" i="1"/>
  <c r="H86" i="1"/>
  <c r="Y95" i="1"/>
  <c r="R86" i="1"/>
  <c r="Y68" i="1"/>
  <c r="P87" i="1"/>
  <c r="R92" i="1"/>
  <c r="F96" i="1"/>
  <c r="H94" i="1"/>
  <c r="X99" i="1"/>
  <c r="X69" i="1"/>
  <c r="F107" i="1"/>
  <c r="F110" i="1"/>
  <c r="F113" i="1"/>
  <c r="F95" i="1"/>
  <c r="H102" i="1"/>
  <c r="R94" i="1"/>
  <c r="R96" i="1"/>
  <c r="X85" i="1"/>
  <c r="H96" i="1"/>
  <c r="H95" i="1"/>
  <c r="T92" i="1"/>
  <c r="T95" i="1"/>
  <c r="X70" i="1"/>
  <c r="AB85" i="1"/>
  <c r="AB95" i="1"/>
  <c r="AC94" i="1"/>
  <c r="X104" i="1"/>
  <c r="R95" i="1"/>
  <c r="AA69" i="1"/>
  <c r="X95" i="1"/>
  <c r="AA86" i="1"/>
  <c r="AD64" i="1"/>
  <c r="Z92" i="1"/>
  <c r="Y99" i="1"/>
  <c r="J89" i="1"/>
  <c r="S104" i="1"/>
  <c r="M68" i="1"/>
  <c r="Y103" i="1"/>
  <c r="G114" i="1"/>
  <c r="X87" i="1"/>
  <c r="J103" i="1"/>
  <c r="AA70" i="1"/>
  <c r="AA114" i="1"/>
  <c r="AE64" i="1"/>
  <c r="Z89" i="1"/>
  <c r="O85" i="1"/>
  <c r="X102" i="1"/>
  <c r="X96" i="1"/>
  <c r="Z94" i="1"/>
  <c r="Y102" i="1"/>
  <c r="Y104" i="1"/>
  <c r="X94" i="1"/>
  <c r="K68" i="1"/>
  <c r="X103" i="1"/>
  <c r="AA87" i="1"/>
  <c r="AA95" i="1"/>
  <c r="Z96" i="1"/>
  <c r="X86" i="1"/>
  <c r="T96" i="1"/>
  <c r="W95" i="1"/>
  <c r="W94" i="1"/>
  <c r="AC102" i="1"/>
  <c r="F102" i="1"/>
  <c r="Z95" i="1"/>
  <c r="AA85" i="1"/>
  <c r="Q86" i="1"/>
  <c r="E86" i="1"/>
  <c r="Z102" i="1"/>
  <c r="X113" i="1"/>
  <c r="F87" i="1"/>
  <c r="E89" i="1"/>
  <c r="I104" i="1"/>
  <c r="T103" i="1"/>
  <c r="T86" i="1"/>
  <c r="P89" i="1"/>
  <c r="V103" i="1"/>
  <c r="T104" i="1"/>
  <c r="T94" i="1"/>
  <c r="W89" i="1"/>
  <c r="Y114" i="1"/>
  <c r="U70" i="1"/>
  <c r="R107" i="1"/>
  <c r="R110" i="1"/>
  <c r="F89" i="1"/>
  <c r="O86" i="1"/>
  <c r="P99" i="1"/>
  <c r="V94" i="1"/>
  <c r="S85" i="1"/>
  <c r="AB103" i="1"/>
  <c r="AA110" i="1"/>
  <c r="AB113" i="1"/>
  <c r="Y85" i="1"/>
  <c r="S102" i="1"/>
  <c r="J86" i="1"/>
  <c r="O104" i="1"/>
  <c r="AA113" i="1"/>
  <c r="J104" i="1"/>
  <c r="F104" i="1"/>
  <c r="AD103" i="1"/>
  <c r="E87" i="1"/>
  <c r="E95" i="1"/>
  <c r="N94" i="1"/>
  <c r="AE95" i="1"/>
  <c r="Z113" i="1"/>
  <c r="P103" i="1"/>
  <c r="AB104" i="1"/>
  <c r="AD96" i="1"/>
  <c r="I94" i="1"/>
  <c r="Q87" i="1"/>
  <c r="AD86" i="1"/>
  <c r="G102" i="1"/>
  <c r="Z87" i="1"/>
  <c r="L102" i="1"/>
  <c r="W114" i="1"/>
  <c r="Q85" i="1"/>
  <c r="AE94" i="1"/>
  <c r="AE96" i="1"/>
  <c r="F85" i="1"/>
  <c r="Z111" i="1"/>
  <c r="Z114" i="1"/>
  <c r="AD95" i="1"/>
  <c r="P102" i="1"/>
  <c r="AB96" i="1"/>
  <c r="Z85" i="1"/>
  <c r="K102" i="1"/>
  <c r="R102" i="1"/>
  <c r="S94" i="1"/>
  <c r="E64" i="1"/>
  <c r="AD87" i="1"/>
  <c r="AB86" i="1"/>
  <c r="T70" i="1"/>
  <c r="E85" i="1"/>
  <c r="H70" i="1"/>
  <c r="AE113" i="1"/>
  <c r="R113" i="1"/>
  <c r="P1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<sst xmlns="http://schemas.openxmlformats.org/spreadsheetml/2006/main" count="662" uniqueCount="523">
  <si>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</si>
  <si>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</si>
  <si>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</si>
  <si>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</si>
  <si>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</si>
  <si>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</si>
  <si>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</si>
  <si>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</si>
  <si>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</si>
  <si>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</si>
  <si>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</si>
  <si>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</si>
  <si>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</si>
  <si>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</si>
  <si>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</si>
  <si>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</si>
  <si>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</si>
  <si>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</si>
  <si>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</si>
  <si>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</si>
  <si>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</si>
  <si>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</si>
  <si>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</si>
  <si>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</si>
  <si>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</si>
  <si>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</si>
  <si>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</si>
  <si>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</si>
  <si>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</si>
  <si>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</si>
  <si>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</si>
  <si>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</si>
  <si>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</si>
  <si>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</si>
  <si>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</si>
  <si>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</si>
  <si>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</si>
  <si>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</si>
  <si>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</si>
  <si>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</si>
  <si>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</si>
  <si>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</si>
  <si>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</si>
  <si>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</si>
  <si>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</si>
  <si>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</si>
  <si>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</si>
  <si>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</si>
  <si>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</si>
  <si>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</si>
  <si>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</si>
  <si>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</si>
  <si>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</si>
  <si>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</si>
  <si>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</si>
  <si>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</si>
  <si>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</si>
  <si>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</si>
  <si>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</si>
  <si>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</si>
  <si>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</si>
  <si>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</si>
  <si>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</si>
  <si>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</si>
  <si>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</si>
  <si>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</si>
  <si>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</si>
  <si>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</si>
  <si>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</si>
  <si>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</si>
  <si>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</si>
  <si>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</si>
  <si>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</si>
  <si>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</si>
  <si>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</si>
  <si>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</si>
  <si>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</si>
  <si>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</si>
  <si>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</si>
  <si>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</si>
  <si>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</si>
  <si>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</si>
  <si>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</si>
  <si>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</si>
  <si>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</si>
  <si>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</si>
  <si>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</si>
  <si>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</si>
  <si>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</si>
  <si>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</si>
  <si>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</si>
  <si>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</si>
  <si>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</si>
  <si>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</si>
  <si>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</si>
  <si>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</si>
  <si>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</si>
  <si>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</si>
  <si>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</si>
  <si>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</si>
  <si>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</si>
  <si>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</si>
  <si>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</si>
  <si>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</si>
  <si>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</si>
  <si>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</si>
  <si>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</si>
  <si>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</si>
  <si>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</si>
  <si>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</si>
  <si>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</si>
  <si>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</si>
  <si>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</si>
  <si>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</si>
  <si>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</si>
  <si>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</si>
  <si>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</si>
  <si>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</si>
  <si>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</si>
  <si>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</si>
  <si>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</si>
  <si>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</si>
  <si>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</si>
  <si>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</si>
  <si>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</si>
  <si>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</si>
  <si>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</si>
  <si>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</si>
  <si>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</si>
  <si>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</si>
  <si>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</si>
  <si>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</si>
  <si>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</si>
  <si>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</si>
  <si>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</si>
  <si>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</si>
  <si>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</si>
  <si>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</si>
  <si>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</si>
  <si>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</si>
  <si>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</si>
  <si>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</si>
  <si>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</si>
  <si>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</si>
  <si>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</si>
  <si>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</si>
  <si>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</si>
  <si>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</si>
  <si>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</si>
  <si>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</si>
  <si>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</si>
  <si>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</si>
  <si>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</si>
  <si>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</si>
  <si>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</si>
  <si>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</si>
  <si>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</si>
  <si>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</si>
  <si>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</si>
  <si>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</si>
  <si>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</si>
  <si>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</si>
  <si>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</si>
  <si>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</si>
  <si>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</si>
  <si>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</si>
  <si>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</si>
  <si>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</si>
  <si>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</si>
  <si>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</si>
  <si>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</si>
  <si>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</si>
  <si>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</si>
  <si>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</si>
  <si>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</si>
  <si>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</si>
  <si>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</si>
  <si>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</si>
  <si>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</si>
  <si>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</si>
  <si>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</si>
  <si>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</si>
  <si>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</si>
  <si>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</si>
  <si>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</si>
  <si>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</si>
  <si>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</si>
  <si>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</si>
  <si>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</si>
  <si>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</si>
  <si>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</si>
  <si>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</si>
  <si>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</si>
  <si>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</si>
  <si>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</si>
  <si>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</si>
  <si>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</si>
  <si>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</si>
  <si>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</si>
  <si>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</si>
  <si>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</si>
  <si>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</si>
  <si>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</si>
  <si>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</si>
  <si>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</si>
  <si>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</si>
  <si>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</si>
  <si>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</si>
  <si>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</si>
  <si>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</si>
  <si>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</si>
  <si>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</si>
  <si>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</si>
  <si>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</si>
  <si>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</si>
  <si>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</si>
  <si>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</si>
  <si>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</si>
  <si>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</si>
  <si>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</si>
  <si>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</si>
  <si>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</si>
  <si>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</si>
  <si>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</si>
  <si>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</si>
  <si>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</si>
  <si>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</si>
  <si>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</si>
  <si>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</si>
  <si>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</si>
  <si>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</si>
  <si>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</si>
  <si>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</si>
  <si>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</si>
  <si>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</si>
  <si>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</si>
  <si>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</si>
  <si>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</si>
  <si>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</si>
  <si>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</si>
  <si>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</si>
  <si>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</si>
  <si>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</si>
  <si>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</si>
  <si>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</si>
  <si>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</si>
  <si>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</si>
  <si>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</si>
  <si>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</si>
  <si>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</si>
  <si>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</si>
  <si>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</si>
  <si>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</si>
  <si>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</si>
  <si>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</si>
  <si>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</si>
  <si>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</si>
  <si>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</si>
  <si>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</si>
  <si>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</si>
  <si>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</si>
  <si>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</si>
  <si>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</si>
  <si>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</si>
  <si>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</si>
  <si>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</si>
  <si>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</si>
  <si>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</si>
  <si>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</si>
  <si>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</si>
  <si>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</si>
  <si>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</si>
  <si>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</si>
  <si>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</si>
  <si>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</si>
  <si>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</si>
  <si>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</si>
  <si>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</si>
  <si>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</si>
  <si>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</si>
  <si>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</si>
  <si>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</si>
  <si>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</si>
  <si>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</si>
  <si>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</si>
  <si>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</si>
  <si>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</si>
  <si>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</si>
  <si>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</si>
  <si>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</si>
  <si>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</si>
  <si>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</si>
  <si>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</si>
  <si>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</si>
  <si>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</si>
  <si>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</si>
  <si>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</si>
  <si>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</si>
  <si>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</si>
  <si>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</si>
  <si>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</si>
  <si>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</si>
  <si>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</si>
  <si>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</si>
  <si>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</si>
  <si>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</si>
  <si>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</si>
  <si>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</si>
  <si>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</si>
  <si>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</si>
  <si>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</si>
  <si>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</si>
  <si>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</si>
  <si>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</si>
  <si>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</si>
  <si>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</si>
  <si>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</si>
  <si>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</si>
  <si>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</si>
  <si>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</si>
  <si>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</si>
  <si>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</si>
  <si>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</si>
  <si>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</si>
  <si>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</si>
  <si>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</si>
  <si>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</si>
  <si>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</si>
  <si>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</si>
  <si>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</si>
  <si>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</si>
  <si>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</si>
  <si>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</si>
  <si>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</si>
  <si>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</si>
  <si>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</si>
  <si>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</si>
  <si>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</si>
  <si>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</si>
  <si>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</si>
  <si>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</si>
  <si>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</si>
  <si>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</si>
  <si>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</si>
  <si>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</si>
  <si>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</si>
  <si>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</si>
  <si>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</si>
  <si>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</si>
  <si>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</si>
  <si>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</si>
  <si>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</si>
  <si>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</si>
  <si>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</si>
  <si>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</si>
  <si>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</si>
  <si>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</si>
  <si>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</si>
  <si>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</si>
  <si>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</si>
  <si>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</si>
  <si>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</si>
  <si>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</si>
  <si>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</si>
  <si>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</si>
  <si>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</si>
  <si>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</si>
  <si>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</si>
  <si>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</si>
  <si>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</si>
  <si>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</si>
  <si>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</si>
  <si>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</si>
  <si>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</si>
  <si>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</si>
  <si>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</si>
  <si>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</si>
  <si>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</si>
  <si>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</si>
  <si>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</si>
  <si>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</si>
  <si>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</si>
  <si>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</si>
  <si>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</si>
  <si>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</si>
  <si>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</si>
  <si>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</si>
  <si>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</si>
  <si>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</si>
  <si>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</si>
  <si>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</si>
  <si>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</si>
  <si>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</si>
  <si>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</si>
  <si>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</si>
  <si>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</si>
  <si>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</si>
  <si>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</si>
  <si>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</si>
  <si>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</si>
  <si>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</si>
  <si>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</si>
  <si>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</si>
  <si>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</si>
  <si>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</si>
  <si>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</si>
  <si>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</si>
  <si>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</si>
  <si>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</si>
  <si>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</si>
  <si>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</si>
  <si>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</si>
  <si>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</si>
  <si>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</si>
  <si>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</si>
  <si>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</si>
  <si>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</si>
  <si>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</si>
  <si>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</si>
  <si>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</si>
  <si>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</si>
  <si>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</si>
  <si>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</si>
  <si>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</si>
  <si>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</si>
  <si>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</si>
  <si>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</si>
  <si>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</si>
  <si>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</si>
  <si>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</si>
  <si>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</si>
  <si>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</si>
  <si>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</si>
  <si>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</si>
  <si>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</si>
  <si>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</si>
  <si>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</si>
  <si>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</si>
  <si>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</si>
  <si>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</si>
  <si>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</si>
  <si>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</si>
  <si>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</si>
  <si>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</si>
  <si>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</si>
  <si>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</si>
  <si>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</si>
  <si>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</si>
  <si>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</si>
  <si>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</si>
  <si>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</si>
  <si>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</si>
  <si>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</si>
  <si>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</si>
  <si>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</si>
  <si>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</si>
  <si>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</si>
  <si>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</si>
  <si>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</si>
  <si>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</si>
  <si>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</si>
  <si>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</si>
  <si>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</si>
  <si>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</si>
  <si>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</si>
  <si>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</si>
  <si>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</si>
  <si>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</si>
  <si>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</si>
  <si>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</si>
  <si>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</si>
  <si>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</si>
  <si>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</si>
  <si>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</si>
  <si>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</si>
  <si>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</si>
  <si>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</si>
  <si>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</si>
  <si>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</si>
  <si>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</si>
  <si>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</si>
  <si>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</si>
  <si>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</si>
  <si>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</si>
  <si>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</si>
  <si>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</si>
  <si>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</si>
  <si>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</si>
  <si>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</si>
  <si>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</si>
  <si>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</si>
  <si>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</si>
  <si>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</si>
  <si>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</si>
  <si>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</si>
  <si>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</si>
  <si>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</si>
  <si>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</si>
  <si>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</si>
  <si>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</si>
  <si>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</si>
  <si>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</si>
  <si>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</si>
  <si>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</si>
  <si>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</si>
  <si>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</si>
  <si>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</si>
  <si>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</si>
  <si>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</si>
  <si>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</si>
  <si>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</si>
  <si>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</si>
  <si>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</si>
  <si>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</si>
  <si>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</si>
  <si>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eMudhra Ltd.</t>
  </si>
  <si>
    <t>DATE</t>
  </si>
  <si>
    <t>ADJCLOSE</t>
  </si>
  <si>
    <t>ADJHIGH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</si>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</sst>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eMudhra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6.3286850000000001</v>
      </c>
      <c r="K8" s="25">
        <f>'Annual Raw'!L6</f>
        <v>4.2517284000000002</v>
      </c>
      <c r="L8" s="25">
        <f>'Annual Raw'!M6</f>
        <v>11.8521222</v>
      </c>
      <c r="M8" s="25">
        <f>'Annual Raw'!N6</f>
        <v>10.4081964</v>
      </c>
      <c r="N8" s="25">
        <f>'Annual Raw'!O6</f>
        <v>17.4125373</v>
      </c>
      <c r="O8" s="25">
        <f>'Annual Raw'!P6</f>
        <v>16.2208629</v>
      </c>
      <c r="P8" s="25">
        <f>'Annual Raw'!Q6</f>
        <v>35.307439000000002</v>
      </c>
      <c r="Q8" s="25">
        <f>'Annual Raw'!R6</f>
        <v>47.256013600000003</v>
      </c>
      <c r="R8" s="25">
        <f>'Annual Raw'!S6</f>
        <v>68.301184000000006</v>
      </c>
      <c r="S8" s="25">
        <f>'Annual Raw'!T6</f>
        <v>76.253556200000006</v>
      </c>
      <c r="T8" s="25">
        <f>'Annual Raw'!U6</f>
        <v>101.584</v>
      </c>
      <c r="U8" s="25">
        <f>'Annual Raw'!V6</f>
        <v>116.45</v>
      </c>
      <c r="V8" s="25">
        <f>'Annual Raw'!W6</f>
        <v>131.59299999999999</v>
      </c>
      <c r="W8" s="25">
        <f>'Annual Raw'!X6</f>
        <v>182.637</v>
      </c>
      <c r="X8" s="25">
        <f>'Annual Raw'!Y6</f>
        <v>248.75700000000001</v>
      </c>
      <c r="Y8" s="25">
        <f>'Annual Raw'!Z6</f>
        <v>373.11900000000003</v>
      </c>
      <c r="Z8" s="25">
        <f>'Annual Raw'!AA6</f>
        <v>519.38499999999999</v>
      </c>
      <c r="AA8" s="25">
        <f>'Annual Raw'!AB6</f>
        <v>701.58</v>
      </c>
      <c r="AB8" s="17">
        <f>+SUM(CM8:CP8)</f>
        <v>940.10887822827931</v>
      </c>
      <c r="AC8" s="17">
        <f>+SUM(CQ8:CT8)</f>
        <v>1257.2779364138296</v>
      </c>
      <c r="AD8" s="17">
        <f>+SUM(CU8:CX8)</f>
        <v>1681.0991789892983</v>
      </c>
      <c r="AE8" s="17">
        <f>+SUM(CY8:DB8)</f>
        <v>2247.7639440169678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39</v>
      </c>
      <c r="BS8" s="25">
        <f>'QTR Raw'!AM6+'QTR Raw'!AM8</f>
        <v>42.915999999999997</v>
      </c>
      <c r="BT8" s="25">
        <f>'QTR Raw'!AN6+'QTR Raw'!AN8</f>
        <v>49.030999999999999</v>
      </c>
      <c r="BU8" s="25">
        <f>'QTR Raw'!AO6+'QTR Raw'!AO8</f>
        <v>45.296999999999997</v>
      </c>
      <c r="BV8" s="25">
        <f>'QTR Raw'!AP6+'QTR Raw'!AP8</f>
        <v>45.393000000000001</v>
      </c>
      <c r="BW8" s="25">
        <f>'QTR Raw'!AQ6+'QTR Raw'!AQ8</f>
        <v>52.216000000000001</v>
      </c>
      <c r="BX8" s="25">
        <f>'QTR Raw'!AR6+'QTR Raw'!AR8</f>
        <v>58.488999999999997</v>
      </c>
      <c r="BY8" s="25">
        <f>'QTR Raw'!AS6+'QTR Raw'!AS8</f>
        <v>61.241999999999997</v>
      </c>
      <c r="BZ8" s="25">
        <f>'QTR Raw'!AT6+'QTR Raw'!AT8</f>
        <v>76.811000000000007</v>
      </c>
      <c r="CA8" s="25">
        <f>'QTR Raw'!AU6+'QTR Raw'!AU8</f>
        <v>79.748999999999995</v>
      </c>
      <c r="CB8" s="25">
        <f>'QTR Raw'!AV6+'QTR Raw'!AV8</f>
        <v>96.3</v>
      </c>
      <c r="CC8" s="25">
        <f>'QTR Raw'!AW6+'QTR Raw'!AW8</f>
        <v>97.378</v>
      </c>
      <c r="CD8" s="25">
        <f>'QTR Raw'!AX6+'QTR Raw'!AX8</f>
        <v>99.691999999999993</v>
      </c>
      <c r="CE8" s="25">
        <f>'QTR Raw'!AY6+'QTR Raw'!AY8</f>
        <v>92.441999999999993</v>
      </c>
      <c r="CF8" s="25">
        <f>'QTR Raw'!AZ6+'QTR Raw'!AZ8</f>
        <v>141.21600000000001</v>
      </c>
      <c r="CG8" s="25">
        <f>'QTR Raw'!BA6+'QTR Raw'!BA8</f>
        <v>138.85</v>
      </c>
      <c r="CH8" s="25">
        <f>'QTR Raw'!BB6+'QTR Raw'!BB8</f>
        <v>146.87700000000001</v>
      </c>
      <c r="CI8" s="25">
        <f>'QTR Raw'!BC6+'QTR Raw'!BC8</f>
        <v>147.29900000000001</v>
      </c>
      <c r="CJ8" s="25">
        <f>'QTR Raw'!BD6+'QTR Raw'!BD8</f>
        <v>172.875</v>
      </c>
      <c r="CK8" s="25">
        <f>'QTR Raw'!BE6+'QTR Raw'!BE8</f>
        <v>188.01</v>
      </c>
      <c r="CL8" s="25">
        <f>'QTR Raw'!BF6+'QTR Raw'!BF8</f>
        <v>193.39599999999999</v>
      </c>
      <c r="CM8" s="17">
        <f t="shared" ref="CM8:DB8" si="33">+CI10+(CM11*CI10)</f>
        <v>202.10826355548849</v>
      </c>
      <c r="CN8" s="17">
        <f t="shared" si="33"/>
        <v>227.63556315790299</v>
      </c>
      <c r="CO8" s="17">
        <f t="shared" si="33"/>
        <v>251.91606251144009</v>
      </c>
      <c r="CP8" s="17">
        <f t="shared" si="33"/>
        <v>258.44898900344771</v>
      </c>
      <c r="CQ8" s="17">
        <f t="shared" si="33"/>
        <v>271.08472871911431</v>
      </c>
      <c r="CR8" s="17">
        <f t="shared" si="33"/>
        <v>303.57071170857688</v>
      </c>
      <c r="CS8" s="17">
        <f t="shared" si="33"/>
        <v>337.0099430226399</v>
      </c>
      <c r="CT8" s="17">
        <f t="shared" si="33"/>
        <v>345.6125529634985</v>
      </c>
      <c r="CU8" s="17">
        <f t="shared" si="33"/>
        <v>362.56971358693085</v>
      </c>
      <c r="CV8" s="17">
        <f t="shared" si="33"/>
        <v>405.73003897801362</v>
      </c>
      <c r="CW8" s="17">
        <f t="shared" si="33"/>
        <v>450.67042951087257</v>
      </c>
      <c r="CX8" s="17">
        <f t="shared" si="33"/>
        <v>462.12899691348105</v>
      </c>
      <c r="CY8" s="17">
        <f t="shared" si="33"/>
        <v>484.79149812471002</v>
      </c>
      <c r="CZ8" s="17">
        <f t="shared" si="33"/>
        <v>542.46269699283016</v>
      </c>
      <c r="DA8" s="17">
        <f t="shared" si="33"/>
        <v>602.60207950614995</v>
      </c>
      <c r="DB8" s="17">
        <f t="shared" si="33"/>
        <v>617.90766939327762</v>
      </c>
      <c r="DE8" s="119"/>
      <c r="DF8" s="25">
        <v>701.57999999999993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6.3286850000000001</v>
      </c>
      <c r="K10" s="26">
        <f t="shared" si="34"/>
        <v>4.2517284000000002</v>
      </c>
      <c r="L10" s="26">
        <f t="shared" si="34"/>
        <v>11.8521222</v>
      </c>
      <c r="M10" s="26">
        <f t="shared" si="34"/>
        <v>10.4081964</v>
      </c>
      <c r="N10" s="26">
        <f t="shared" si="34"/>
        <v>17.4125373</v>
      </c>
      <c r="O10" s="26">
        <f t="shared" si="34"/>
        <v>16.2208629</v>
      </c>
      <c r="P10" s="26">
        <f t="shared" si="34"/>
        <v>35.307439000000002</v>
      </c>
      <c r="Q10" s="26">
        <f t="shared" si="34"/>
        <v>47.256013600000003</v>
      </c>
      <c r="R10" s="26">
        <f t="shared" si="34"/>
        <v>68.301184000000006</v>
      </c>
      <c r="S10" s="26">
        <f t="shared" si="34"/>
        <v>76.253556200000006</v>
      </c>
      <c r="T10" s="26">
        <f t="shared" si="34"/>
        <v>101.584</v>
      </c>
      <c r="U10" s="26">
        <f t="shared" si="34"/>
        <v>116.45</v>
      </c>
      <c r="V10" s="26">
        <f>+V8-V9</f>
        <v>131.59299999999999</v>
      </c>
      <c r="W10" s="26">
        <f>+W8-W9</f>
        <v>182.637</v>
      </c>
      <c r="X10" s="26">
        <f>+X8-X9</f>
        <v>248.75700000000001</v>
      </c>
      <c r="Y10" s="26">
        <f>+Y8-Y9</f>
        <v>373.11900000000003</v>
      </c>
      <c r="Z10" s="26">
        <f>+Z8-Z9</f>
        <v>519.38499999999999</v>
      </c>
      <c r="AA10" s="26">
        <f>+AA8-AA9</f>
        <v>701.58</v>
      </c>
      <c r="AB10" s="27">
        <f t="shared" ref="AB10:AD10" si="35">+AB8-AB9</f>
        <v>940.10887822827931</v>
      </c>
      <c r="AC10" s="27">
        <f t="shared" si="35"/>
        <v>1257.2779364138296</v>
      </c>
      <c r="AD10" s="27">
        <f t="shared" si="35"/>
        <v>1681.0991789892983</v>
      </c>
      <c r="AE10" s="27">
        <f t="shared" ref="AE10" si="36">+AE8-AE9</f>
        <v>2247.7639440169678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0</v>
      </c>
      <c r="BA10" s="26">
        <f t="shared" si="42"/>
        <v>0</v>
      </c>
      <c r="BB10" s="26">
        <f t="shared" si="42"/>
        <v>0</v>
      </c>
      <c r="BC10" s="26">
        <f t="shared" si="42"/>
        <v>0</v>
      </c>
      <c r="BD10" s="26">
        <f t="shared" si="42"/>
        <v>0</v>
      </c>
      <c r="BE10" s="26">
        <f t="shared" si="42"/>
        <v>0</v>
      </c>
      <c r="BF10" s="26">
        <f t="shared" si="42"/>
        <v>0</v>
      </c>
      <c r="BG10" s="26">
        <f t="shared" si="42"/>
        <v>0</v>
      </c>
      <c r="BH10" s="26">
        <f t="shared" si="42"/>
        <v>0</v>
      </c>
      <c r="BI10" s="26">
        <f t="shared" si="42"/>
        <v>0</v>
      </c>
      <c r="BJ10" s="26">
        <f t="shared" si="42"/>
        <v>0</v>
      </c>
      <c r="BK10" s="26">
        <f t="shared" si="42"/>
        <v>0</v>
      </c>
      <c r="BL10" s="26">
        <f t="shared" si="42"/>
        <v>0</v>
      </c>
      <c r="BM10" s="26">
        <f t="shared" si="42"/>
        <v>0</v>
      </c>
      <c r="BN10" s="26">
        <f t="shared" si="42"/>
        <v>0</v>
      </c>
      <c r="BO10" s="26">
        <f t="shared" si="42"/>
        <v>0</v>
      </c>
      <c r="BP10" s="26">
        <f t="shared" si="42"/>
        <v>0</v>
      </c>
      <c r="BQ10" s="26">
        <f t="shared" si="42"/>
        <v>0</v>
      </c>
      <c r="BR10" s="26">
        <f t="shared" si="42"/>
        <v>39</v>
      </c>
      <c r="BS10" s="26">
        <f t="shared" si="42"/>
        <v>42.915999999999997</v>
      </c>
      <c r="BT10" s="26">
        <f t="shared" si="42"/>
        <v>49.030999999999999</v>
      </c>
      <c r="BU10" s="26">
        <f t="shared" si="42"/>
        <v>45.296999999999997</v>
      </c>
      <c r="BV10" s="26">
        <f t="shared" si="42"/>
        <v>45.393000000000001</v>
      </c>
      <c r="BW10" s="26">
        <f t="shared" si="42"/>
        <v>52.216000000000001</v>
      </c>
      <c r="BX10" s="26">
        <f t="shared" si="42"/>
        <v>58.488999999999997</v>
      </c>
      <c r="BY10" s="26">
        <f t="shared" si="42"/>
        <v>61.241999999999997</v>
      </c>
      <c r="BZ10" s="26">
        <f t="shared" si="42"/>
        <v>76.811000000000007</v>
      </c>
      <c r="CA10" s="26">
        <f t="shared" si="42"/>
        <v>79.748999999999995</v>
      </c>
      <c r="CB10" s="26">
        <f t="shared" si="42"/>
        <v>96.3</v>
      </c>
      <c r="CC10" s="26">
        <f t="shared" si="42"/>
        <v>97.378</v>
      </c>
      <c r="CD10" s="26">
        <f t="shared" si="42"/>
        <v>99.691999999999993</v>
      </c>
      <c r="CE10" s="26">
        <f t="shared" si="42"/>
        <v>92.441999999999993</v>
      </c>
      <c r="CF10" s="26">
        <f t="shared" si="42"/>
        <v>141.21600000000001</v>
      </c>
      <c r="CG10" s="26">
        <f t="shared" ref="CG10:CH10" si="43">+CG8-CG9</f>
        <v>138.85</v>
      </c>
      <c r="CH10" s="26">
        <f t="shared" si="43"/>
        <v>146.87700000000001</v>
      </c>
      <c r="CI10" s="26">
        <f t="shared" ref="CI10:CJ10" si="44">+CI8-CI9</f>
        <v>147.29900000000001</v>
      </c>
      <c r="CJ10" s="26">
        <f t="shared" si="44"/>
        <v>172.875</v>
      </c>
      <c r="CK10" s="26">
        <f t="shared" ref="CK10:CL10" si="45">+CK8-CK9</f>
        <v>188.01</v>
      </c>
      <c r="CL10" s="26">
        <f t="shared" si="45"/>
        <v>193.39599999999999</v>
      </c>
      <c r="CM10" s="27">
        <f t="shared" ref="CM10:DB10" si="46">+CM8-CM9</f>
        <v>202.10826355548849</v>
      </c>
      <c r="CN10" s="27">
        <f t="shared" si="46"/>
        <v>227.63556315790299</v>
      </c>
      <c r="CO10" s="27">
        <f t="shared" si="46"/>
        <v>251.91606251144009</v>
      </c>
      <c r="CP10" s="27">
        <f t="shared" si="46"/>
        <v>258.44898900344771</v>
      </c>
      <c r="CQ10" s="27">
        <f t="shared" si="46"/>
        <v>271.08472871911431</v>
      </c>
      <c r="CR10" s="27">
        <f t="shared" si="46"/>
        <v>303.57071170857688</v>
      </c>
      <c r="CS10" s="27">
        <f t="shared" si="46"/>
        <v>337.0099430226399</v>
      </c>
      <c r="CT10" s="27">
        <f t="shared" si="46"/>
        <v>345.6125529634985</v>
      </c>
      <c r="CU10" s="27">
        <f t="shared" si="46"/>
        <v>362.56971358693085</v>
      </c>
      <c r="CV10" s="27">
        <f t="shared" si="46"/>
        <v>405.73003897801362</v>
      </c>
      <c r="CW10" s="27">
        <f t="shared" si="46"/>
        <v>450.67042951087257</v>
      </c>
      <c r="CX10" s="27">
        <f t="shared" si="46"/>
        <v>462.12899691348105</v>
      </c>
      <c r="CY10" s="27">
        <f t="shared" si="46"/>
        <v>484.79149812471002</v>
      </c>
      <c r="CZ10" s="27">
        <f t="shared" si="46"/>
        <v>542.46269699283016</v>
      </c>
      <c r="DA10" s="27">
        <f t="shared" si="46"/>
        <v>602.60207950614995</v>
      </c>
      <c r="DB10" s="27">
        <f t="shared" si="46"/>
        <v>617.90766939327762</v>
      </c>
      <c r="DE10" s="121"/>
      <c r="DF10" s="26">
        <v>701.57999999999993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 t="e">
        <f t="shared" si="50"/>
        <v>#DIV/0!</v>
      </c>
      <c r="K11" s="39">
        <f>K10/J10-1</f>
        <v>-0.32818138365237015</v>
      </c>
      <c r="L11" s="39">
        <f t="shared" si="50"/>
        <v>1.7876009671737263</v>
      </c>
      <c r="M11" s="39">
        <f t="shared" si="50"/>
        <v>-0.12182846039167572</v>
      </c>
      <c r="N11" s="39">
        <f t="shared" si="50"/>
        <v>0.67296394407007942</v>
      </c>
      <c r="O11" s="39">
        <f t="shared" si="50"/>
        <v>-6.8437722743600382E-2</v>
      </c>
      <c r="P11" s="39">
        <f t="shared" si="50"/>
        <v>1.1766683571439347</v>
      </c>
      <c r="Q11" s="39">
        <f t="shared" si="50"/>
        <v>0.33841521612485126</v>
      </c>
      <c r="R11" s="39">
        <f t="shared" si="50"/>
        <v>0.44534375197488107</v>
      </c>
      <c r="S11" s="39">
        <f t="shared" ref="S11:AA11" si="51">S10/R10-1</f>
        <v>0.11643095674593273</v>
      </c>
      <c r="T11" s="39">
        <f t="shared" si="51"/>
        <v>0.33218704887104011</v>
      </c>
      <c r="U11" s="39">
        <f t="shared" si="51"/>
        <v>0.14634194361316744</v>
      </c>
      <c r="V11" s="39">
        <f t="shared" si="51"/>
        <v>0.13003864319450398</v>
      </c>
      <c r="W11" s="39">
        <f t="shared" si="51"/>
        <v>0.38789297303048054</v>
      </c>
      <c r="X11" s="39">
        <f t="shared" si="51"/>
        <v>0.36202959969776116</v>
      </c>
      <c r="Y11" s="39">
        <f t="shared" si="51"/>
        <v>0.49993367020827573</v>
      </c>
      <c r="Z11" s="39">
        <f t="shared" si="51"/>
        <v>0.39200898372905146</v>
      </c>
      <c r="AA11" s="39">
        <f t="shared" si="51"/>
        <v>0.35078987648853954</v>
      </c>
      <c r="AB11" s="40">
        <f t="shared" ref="AB11" si="52">AB10/AA10-1</f>
        <v>0.33998813852772214</v>
      </c>
      <c r="AC11" s="40">
        <f t="shared" ref="AC11" si="53">AC10/AB10-1</f>
        <v>0.33737481426968774</v>
      </c>
      <c r="AD11" s="40">
        <f t="shared" ref="AD11" si="54">AD10/AC10-1</f>
        <v>0.33709431327837214</v>
      </c>
      <c r="AE11" s="40">
        <f t="shared" ref="AE11" si="55">AE10/AD10-1</f>
        <v>0.33707991301759899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 t="e">
        <f t="shared" si="56"/>
        <v>#DIV/0!</v>
      </c>
      <c r="BE11" s="39" t="e">
        <f t="shared" si="56"/>
        <v>#DIV/0!</v>
      </c>
      <c r="BF11" s="39" t="e">
        <f t="shared" si="56"/>
        <v>#DIV/0!</v>
      </c>
      <c r="BG11" s="39" t="e">
        <f t="shared" si="56"/>
        <v>#DIV/0!</v>
      </c>
      <c r="BH11" s="39" t="e">
        <f t="shared" si="56"/>
        <v>#DIV/0!</v>
      </c>
      <c r="BI11" s="39" t="e">
        <f t="shared" si="56"/>
        <v>#DIV/0!</v>
      </c>
      <c r="BJ11" s="39" t="e">
        <f t="shared" si="56"/>
        <v>#DIV/0!</v>
      </c>
      <c r="BK11" s="39" t="e">
        <f t="shared" si="56"/>
        <v>#DIV/0!</v>
      </c>
      <c r="BL11" s="39" t="e">
        <f t="shared" si="56"/>
        <v>#DIV/0!</v>
      </c>
      <c r="BM11" s="39" t="e">
        <f t="shared" si="56"/>
        <v>#DIV/0!</v>
      </c>
      <c r="BN11" s="39" t="e">
        <f t="shared" si="56"/>
        <v>#DIV/0!</v>
      </c>
      <c r="BO11" s="39" t="e">
        <f t="shared" si="56"/>
        <v>#DIV/0!</v>
      </c>
      <c r="BP11" s="39" t="e">
        <f t="shared" si="56"/>
        <v>#DIV/0!</v>
      </c>
      <c r="BQ11" s="39" t="e">
        <f t="shared" si="56"/>
        <v>#DIV/0!</v>
      </c>
      <c r="BR11" s="39" t="e">
        <f t="shared" si="56"/>
        <v>#DIV/0!</v>
      </c>
      <c r="BS11" s="39" t="e">
        <f t="shared" si="56"/>
        <v>#DIV/0!</v>
      </c>
      <c r="BT11" s="39" t="e">
        <f t="shared" si="56"/>
        <v>#DIV/0!</v>
      </c>
      <c r="BU11" s="39" t="e">
        <f t="shared" si="56"/>
        <v>#DIV/0!</v>
      </c>
      <c r="BV11" s="39">
        <f t="shared" si="56"/>
        <v>0.16392307692307684</v>
      </c>
      <c r="BW11" s="39">
        <f t="shared" si="56"/>
        <v>0.21670239537701574</v>
      </c>
      <c r="BX11" s="39">
        <f t="shared" si="56"/>
        <v>0.1928983704187146</v>
      </c>
      <c r="BY11" s="39">
        <f t="shared" si="56"/>
        <v>0.35201006689184711</v>
      </c>
      <c r="BZ11" s="39">
        <f t="shared" si="56"/>
        <v>0.69213314828277506</v>
      </c>
      <c r="CA11" s="39">
        <f t="shared" si="56"/>
        <v>0.52729048567488879</v>
      </c>
      <c r="CB11" s="39">
        <f t="shared" si="56"/>
        <v>0.64646343756945757</v>
      </c>
      <c r="CC11" s="39">
        <f t="shared" si="56"/>
        <v>0.59005257829594071</v>
      </c>
      <c r="CD11" s="39">
        <f t="shared" si="56"/>
        <v>0.29788702139016521</v>
      </c>
      <c r="CE11" s="39">
        <f t="shared" si="56"/>
        <v>0.15916187036828044</v>
      </c>
      <c r="CF11" s="39">
        <f t="shared" si="56"/>
        <v>0.46641744548286623</v>
      </c>
      <c r="CG11" s="39">
        <f t="shared" si="56"/>
        <v>0.42588675060075154</v>
      </c>
      <c r="CH11" s="39">
        <f t="shared" si="56"/>
        <v>0.47330778798700024</v>
      </c>
      <c r="CI11" s="39">
        <f t="shared" si="56"/>
        <v>0.59342073949070784</v>
      </c>
      <c r="CJ11" s="39">
        <f>+IF(CF10&lt;0,1-CJ10/CF10,CJ10/CF10-1)</f>
        <v>0.22418847722637647</v>
      </c>
      <c r="CK11" s="39">
        <f>+IF(CG10&lt;0,1-CK10/CG10,CK10/CG10-1)</f>
        <v>0.35405113431760893</v>
      </c>
      <c r="CL11" s="39">
        <f>+IF(CH10&lt;0,1-CL10/CH10,CL10/CH10-1)</f>
        <v>0.31672079358919358</v>
      </c>
      <c r="CM11" s="40">
        <f t="shared" ref="CM11" si="57">+AVERAGE(CI11:CL11)</f>
        <v>0.37209528615597171</v>
      </c>
      <c r="CN11" s="40">
        <f t="shared" ref="CN11" si="58">+AVERAGE(CJ11:CM11)</f>
        <v>0.31676392282228766</v>
      </c>
      <c r="CO11" s="40">
        <f t="shared" ref="CO11" si="59">+AVERAGE(CK11:CN11)</f>
        <v>0.33990778422126544</v>
      </c>
      <c r="CP11" s="40">
        <f t="shared" ref="CP11" si="60">+AVERAGE(CL11:CO11)</f>
        <v>0.33637194669717957</v>
      </c>
      <c r="CQ11" s="40">
        <f t="shared" ref="CQ11" si="61">+AVERAGE(CM11:CP11)</f>
        <v>0.34128473497417611</v>
      </c>
      <c r="CR11" s="40">
        <f t="shared" ref="CR11" si="62">+AVERAGE(CN11:CQ11)</f>
        <v>0.33358209717872717</v>
      </c>
      <c r="CS11" s="40">
        <f t="shared" ref="CS11" si="63">+AVERAGE(CO11:CR11)</f>
        <v>0.33778664076783704</v>
      </c>
      <c r="CT11" s="40">
        <f t="shared" ref="CT11" si="64">+AVERAGE(CP11:CS11)</f>
        <v>0.33725635490447992</v>
      </c>
      <c r="CU11" s="40">
        <f t="shared" ref="CU11" si="65">+AVERAGE(CQ11:CT11)</f>
        <v>0.33747745695630504</v>
      </c>
      <c r="CV11" s="40">
        <f t="shared" ref="CV11" si="66">+AVERAGE(CR11:CU11)</f>
        <v>0.33652563745183728</v>
      </c>
      <c r="CW11" s="40">
        <f t="shared" ref="CW11" si="67">+AVERAGE(CS11:CV11)</f>
        <v>0.33726152252011482</v>
      </c>
      <c r="CX11" s="40">
        <f t="shared" ref="CX11" si="68">+AVERAGE(CT11:CW11)</f>
        <v>0.33713024295818422</v>
      </c>
      <c r="CY11" s="40">
        <f t="shared" ref="CY11" si="69">+AVERAGE(CU11:CX11)</f>
        <v>0.33709871497161031</v>
      </c>
      <c r="CZ11" s="40">
        <f t="shared" ref="CZ11" si="70">+AVERAGE(CV11:CY11)</f>
        <v>0.33700402947543662</v>
      </c>
      <c r="DA11" s="40">
        <f t="shared" ref="DA11" si="71">+AVERAGE(CW11:CZ11)</f>
        <v>0.33712362748133651</v>
      </c>
      <c r="DB11" s="40">
        <f t="shared" ref="DB11" si="72">+AVERAGE(CX11:DA11)</f>
        <v>0.33708915372164189</v>
      </c>
      <c r="DE11" s="122"/>
      <c r="DF11" s="39">
        <v>0.35078987648853932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 t="e">
        <f t="shared" si="74"/>
        <v>#DIV/0!</v>
      </c>
      <c r="BB12" s="39" t="e">
        <f t="shared" si="74"/>
        <v>#DIV/0!</v>
      </c>
      <c r="BC12" s="39" t="e">
        <f t="shared" si="74"/>
        <v>#DIV/0!</v>
      </c>
      <c r="BD12" s="39" t="e">
        <f t="shared" si="74"/>
        <v>#DIV/0!</v>
      </c>
      <c r="BE12" s="39" t="e">
        <f t="shared" si="74"/>
        <v>#DIV/0!</v>
      </c>
      <c r="BF12" s="39" t="e">
        <f t="shared" si="74"/>
        <v>#DIV/0!</v>
      </c>
      <c r="BG12" s="39" t="e">
        <f t="shared" si="74"/>
        <v>#DIV/0!</v>
      </c>
      <c r="BH12" s="39" t="e">
        <f t="shared" si="74"/>
        <v>#DIV/0!</v>
      </c>
      <c r="BI12" s="39" t="e">
        <f t="shared" si="74"/>
        <v>#DIV/0!</v>
      </c>
      <c r="BJ12" s="39" t="e">
        <f t="shared" si="74"/>
        <v>#DIV/0!</v>
      </c>
      <c r="BK12" s="39" t="e">
        <f t="shared" si="74"/>
        <v>#DIV/0!</v>
      </c>
      <c r="BL12" s="39" t="e">
        <f t="shared" si="74"/>
        <v>#DIV/0!</v>
      </c>
      <c r="BM12" s="39" t="e">
        <f t="shared" si="74"/>
        <v>#DIV/0!</v>
      </c>
      <c r="BN12" s="39" t="e">
        <f t="shared" si="74"/>
        <v>#DIV/0!</v>
      </c>
      <c r="BO12" s="39" t="e">
        <f t="shared" si="74"/>
        <v>#DIV/0!</v>
      </c>
      <c r="BP12" s="39" t="e">
        <f t="shared" si="74"/>
        <v>#DIV/0!</v>
      </c>
      <c r="BQ12" s="39" t="e">
        <f t="shared" si="74"/>
        <v>#DIV/0!</v>
      </c>
      <c r="BR12" s="39" t="e">
        <f t="shared" si="74"/>
        <v>#DIV/0!</v>
      </c>
      <c r="BS12" s="39">
        <f t="shared" si="74"/>
        <v>0.10041025641025625</v>
      </c>
      <c r="BT12" s="39">
        <f t="shared" si="74"/>
        <v>0.14248765029359678</v>
      </c>
      <c r="BU12" s="39">
        <f t="shared" si="74"/>
        <v>-7.6155901368522017E-2</v>
      </c>
      <c r="BV12" s="39">
        <f t="shared" si="74"/>
        <v>2.1193456520300913E-3</v>
      </c>
      <c r="BW12" s="39">
        <f t="shared" si="74"/>
        <v>0.15030951908884638</v>
      </c>
      <c r="BX12" s="39">
        <f t="shared" si="74"/>
        <v>0.12013559062356349</v>
      </c>
      <c r="BY12" s="39">
        <f t="shared" si="74"/>
        <v>4.7068679580775985E-2</v>
      </c>
      <c r="BZ12" s="39">
        <f t="shared" si="74"/>
        <v>0.25422095947225776</v>
      </c>
      <c r="CA12" s="39">
        <f t="shared" si="74"/>
        <v>3.8249729856400627E-2</v>
      </c>
      <c r="CB12" s="39">
        <f t="shared" si="74"/>
        <v>0.20753865252228865</v>
      </c>
      <c r="CC12" s="39">
        <f t="shared" si="74"/>
        <v>1.1194184839044663E-2</v>
      </c>
      <c r="CD12" s="39">
        <f t="shared" si="74"/>
        <v>2.3763067633346235E-2</v>
      </c>
      <c r="CE12" s="39">
        <f t="shared" si="74"/>
        <v>-7.2723989888857643E-2</v>
      </c>
      <c r="CF12" s="39">
        <f t="shared" si="74"/>
        <v>0.52761731680405033</v>
      </c>
      <c r="CG12" s="39">
        <f t="shared" si="74"/>
        <v>-1.6754475413551018E-2</v>
      </c>
      <c r="CH12" s="39">
        <f t="shared" si="74"/>
        <v>5.7810586964350152E-2</v>
      </c>
      <c r="CI12" s="39">
        <f t="shared" si="74"/>
        <v>2.8731523655847191E-3</v>
      </c>
      <c r="CJ12" s="39">
        <f>+IF(CI10&lt;0,1-CJ10/CI10,CJ10/CI10-1)</f>
        <v>0.17363322222146782</v>
      </c>
      <c r="CK12" s="39">
        <f>+IF(CJ10&lt;0,1-CK10/CJ10,CK10/CJ10-1)</f>
        <v>8.7548806941431634E-2</v>
      </c>
      <c r="CL12" s="39">
        <f>+IF(CK10&lt;0,1-CL10/CK10,CL10/CK10-1)</f>
        <v>2.8647412371682446E-2</v>
      </c>
      <c r="CM12" s="40">
        <f t="shared" ref="CM12" si="75">+CM10/CL10-1</f>
        <v>4.5048830148961327E-2</v>
      </c>
      <c r="CN12" s="40">
        <f t="shared" ref="CN12" si="76">+CN10/CM10-1</f>
        <v>0.12630507606833219</v>
      </c>
      <c r="CO12" s="40">
        <f t="shared" ref="CO12" si="77">+CO10/CN10-1</f>
        <v>0.1066639105801519</v>
      </c>
      <c r="CP12" s="40">
        <f t="shared" ref="CP12" si="78">+CP10/CO10-1</f>
        <v>2.5932949359713575E-2</v>
      </c>
      <c r="CQ12" s="40">
        <f t="shared" ref="CQ12" si="79">+CQ10/CP10-1</f>
        <v>4.8890652520594768E-2</v>
      </c>
      <c r="CR12" s="40">
        <f t="shared" ref="CR12" si="80">+CR10/CQ10-1</f>
        <v>0.11983700868344771</v>
      </c>
      <c r="CS12" s="40">
        <f t="shared" ref="CS12" si="81">+CS10/CR10-1</f>
        <v>0.11015302209445088</v>
      </c>
      <c r="CT12" s="40">
        <f t="shared" ref="CT12" si="82">+CT10/CS10-1</f>
        <v>2.5526279324882273E-2</v>
      </c>
      <c r="CU12" s="40">
        <f t="shared" ref="CU12" si="83">+CU10/CT10-1</f>
        <v>4.9064076168620074E-2</v>
      </c>
      <c r="CV12" s="40">
        <f t="shared" ref="CV12" si="84">+CV10/CU10-1</f>
        <v>0.11904007360155444</v>
      </c>
      <c r="CW12" s="40">
        <f t="shared" ref="CW12" si="85">+CW10/CV10-1</f>
        <v>0.11076426740809864</v>
      </c>
      <c r="CX12" s="40">
        <f t="shared" ref="CX12" si="86">+CX10/CW10-1</f>
        <v>2.5425602951240522E-2</v>
      </c>
      <c r="CY12" s="40">
        <f t="shared" ref="CY12" si="87">+CY10/CX10-1</f>
        <v>4.9039340449506197E-2</v>
      </c>
      <c r="CZ12" s="40">
        <f t="shared" ref="CZ12" si="88">+CZ10/CY10-1</f>
        <v>0.11896082974063327</v>
      </c>
      <c r="DA12" s="40">
        <f t="shared" ref="DA12" si="89">+DA10/CZ10-1</f>
        <v>0.11086362776040737</v>
      </c>
      <c r="DB12" s="40">
        <f t="shared" ref="DB12" si="90">+DB10/DA10-1</f>
        <v>2.5399165398949597E-2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-8.9902999999999997E-3</v>
      </c>
      <c r="K13" s="23">
        <f>'Annual Raw'!L11</f>
        <v>1.1364000000000001E-3</v>
      </c>
      <c r="L13" s="23">
        <f>'Annual Raw'!M11</f>
        <v>-1.7310099999999998E-2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-0.40807179999999998</v>
      </c>
      <c r="Q13" s="23">
        <f>'Annual Raw'!R11</f>
        <v>-0.35099740000000001</v>
      </c>
      <c r="R13" s="23">
        <f>'Annual Raw'!S11</f>
        <v>0.44245509999999999</v>
      </c>
      <c r="S13" s="23">
        <f>'Annual Raw'!T11</f>
        <v>0.13932069999999999</v>
      </c>
      <c r="T13" s="23">
        <f>'Annual Raw'!U11</f>
        <v>5.8000000000000003E-2</v>
      </c>
      <c r="U13" s="23">
        <f>'Annual Raw'!V11</f>
        <v>-1.1830000000000001</v>
      </c>
      <c r="V13" s="23">
        <f>'Annual Raw'!W11</f>
        <v>0.75</v>
      </c>
      <c r="W13" s="23">
        <f>'Annual Raw'!X11</f>
        <v>-1.425</v>
      </c>
      <c r="X13" s="23">
        <f>'Annual Raw'!Y11</f>
        <v>1.1040000000000001</v>
      </c>
      <c r="Y13" s="23">
        <f>'Annual Raw'!Z11</f>
        <v>-1.901</v>
      </c>
      <c r="Z13" s="23">
        <f>'Annual Raw'!AA11</f>
        <v>1.5369999999999999</v>
      </c>
      <c r="AA13" s="23">
        <f>'Annual Raw'!AB11</f>
        <v>-2.5009999999999999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-6.0540000000000003</v>
      </c>
      <c r="BS13" s="23">
        <f>'QTR Raw'!AM10</f>
        <v>-0.128</v>
      </c>
      <c r="BT13" s="23">
        <f>'QTR Raw'!AN10</f>
        <v>-1.3280000000000001</v>
      </c>
      <c r="BU13" s="23">
        <f>'QTR Raw'!AO10</f>
        <v>1.7000000000000001E-2</v>
      </c>
      <c r="BV13" s="23">
        <f>'QTR Raw'!AP10</f>
        <v>1.4E-2</v>
      </c>
      <c r="BW13" s="23">
        <f>'QTR Raw'!AQ10</f>
        <v>0.63100000000000001</v>
      </c>
      <c r="BX13" s="23">
        <f>'QTR Raw'!AR10</f>
        <v>-0.17199999999999999</v>
      </c>
      <c r="BY13" s="23">
        <f>'QTR Raw'!AS10</f>
        <v>2.5999999999999999E-2</v>
      </c>
      <c r="BZ13" s="23">
        <f>'QTR Raw'!AT10</f>
        <v>0.61899999999999999</v>
      </c>
      <c r="CA13" s="23">
        <f>'QTR Raw'!AU10</f>
        <v>-0.443</v>
      </c>
      <c r="CB13" s="23">
        <f>'QTR Raw'!AV10</f>
        <v>-1.323</v>
      </c>
      <c r="CC13" s="23">
        <f>'QTR Raw'!AW10</f>
        <v>1.0409999999999999</v>
      </c>
      <c r="CD13" s="23">
        <f>'QTR Raw'!AX10</f>
        <v>-1.1759999999999999</v>
      </c>
      <c r="CE13" s="23">
        <f>'QTR Raw'!AY10</f>
        <v>-0.878</v>
      </c>
      <c r="CF13" s="23">
        <f>'QTR Raw'!AZ10</f>
        <v>2.2170000000000001</v>
      </c>
      <c r="CG13" s="23">
        <f>'QTR Raw'!BA10</f>
        <v>0.33900000000000002</v>
      </c>
      <c r="CH13" s="23">
        <f>'QTR Raw'!BB10</f>
        <v>-0.14099999999999999</v>
      </c>
      <c r="CI13" s="23">
        <f>'QTR Raw'!BC10</f>
        <v>-0.19</v>
      </c>
      <c r="CJ13" s="23">
        <f>'QTR Raw'!BD10</f>
        <v>-2.7509999999999999</v>
      </c>
      <c r="CK13" s="23">
        <f>'QTR Raw'!BE10</f>
        <v>-6.0000000000000001E-3</v>
      </c>
      <c r="CL13" s="23">
        <f>'QTR Raw'!BF10</f>
        <v>0.44600000000000001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-2.5009999999999994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5.9749999999999996</v>
      </c>
      <c r="BS14" s="23">
        <f>'QTR Raw'!AM12</f>
        <v>4.2220000000000004</v>
      </c>
      <c r="BT14" s="23">
        <f>'QTR Raw'!AN12</f>
        <v>15.288</v>
      </c>
      <c r="BU14" s="23">
        <f>'QTR Raw'!AO12</f>
        <v>7.7060000000000004</v>
      </c>
      <c r="BV14" s="23">
        <f>'QTR Raw'!AP12</f>
        <v>3.915</v>
      </c>
      <c r="BW14" s="23">
        <f>'QTR Raw'!AQ12</f>
        <v>2.802</v>
      </c>
      <c r="BX14" s="23">
        <f>'QTR Raw'!AR12</f>
        <v>7.4619999999999997</v>
      </c>
      <c r="BY14" s="23">
        <f>'QTR Raw'!AS12</f>
        <v>9.1980000000000004</v>
      </c>
      <c r="BZ14" s="23">
        <f>'QTR Raw'!AT12</f>
        <v>9.3000000000000007</v>
      </c>
      <c r="CA14" s="23">
        <f>'QTR Raw'!AU12</f>
        <v>3.956</v>
      </c>
      <c r="CB14" s="23">
        <f>'QTR Raw'!AV12</f>
        <v>12.048999999999999</v>
      </c>
      <c r="CC14" s="23">
        <f>'QTR Raw'!AW12</f>
        <v>9.8209999999999997</v>
      </c>
      <c r="CD14" s="23">
        <f>'QTR Raw'!AX12</f>
        <v>9.6159999999999997</v>
      </c>
      <c r="CE14" s="23">
        <f>'QTR Raw'!AY12</f>
        <v>8.3230000000000004</v>
      </c>
      <c r="CF14" s="23">
        <f>'QTR Raw'!AZ12</f>
        <v>6.04</v>
      </c>
      <c r="CG14" s="23">
        <f>'QTR Raw'!BA12</f>
        <v>4.4980000000000002</v>
      </c>
      <c r="CH14" s="23">
        <f>'QTR Raw'!BB12</f>
        <v>11.646000000000001</v>
      </c>
      <c r="CI14" s="23">
        <f>'QTR Raw'!BC12</f>
        <v>8.9920000000000009</v>
      </c>
      <c r="CJ14" s="23">
        <f>'QTR Raw'!BD12</f>
        <v>14.555999999999999</v>
      </c>
      <c r="CK14" s="23">
        <f>'QTR Raw'!BE12</f>
        <v>18.292000000000002</v>
      </c>
      <c r="CL14" s="23">
        <f>'QTR Raw'!BF12</f>
        <v>12.906000000000001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54.746000000000002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0.38649250000000002</v>
      </c>
      <c r="K15" s="23">
        <f>'Annual Raw'!L12</f>
        <v>0.39121620000000001</v>
      </c>
      <c r="L15" s="23">
        <f>'Annual Raw'!M12</f>
        <v>1.2349000000000001</v>
      </c>
      <c r="M15" s="23">
        <f>'Annual Raw'!N12</f>
        <v>3.4115327</v>
      </c>
      <c r="N15" s="23">
        <f>'Annual Raw'!O12</f>
        <v>5.9066421</v>
      </c>
      <c r="O15" s="23">
        <f>'Annual Raw'!P12</f>
        <v>5.9350912999999998</v>
      </c>
      <c r="P15" s="23">
        <f>'Annual Raw'!Q12</f>
        <v>13.868462900000001</v>
      </c>
      <c r="Q15" s="23">
        <f>'Annual Raw'!R12</f>
        <v>18.349396299999999</v>
      </c>
      <c r="R15" s="23">
        <f>'Annual Raw'!S12</f>
        <v>22.7111044</v>
      </c>
      <c r="S15" s="23">
        <f>'Annual Raw'!T12</f>
        <v>20.359333199999998</v>
      </c>
      <c r="T15" s="23">
        <f>'Annual Raw'!U12</f>
        <v>20.373999999999999</v>
      </c>
      <c r="U15" s="23">
        <f>'Annual Raw'!V12</f>
        <v>25.86</v>
      </c>
      <c r="V15" s="23">
        <f>'Annual Raw'!W12</f>
        <v>17.956</v>
      </c>
      <c r="W15" s="23">
        <f>'Annual Raw'!X12</f>
        <v>31.132000000000001</v>
      </c>
      <c r="X15" s="23">
        <f>'Annual Raw'!Y12</f>
        <v>28.762</v>
      </c>
      <c r="Y15" s="23">
        <f>'Annual Raw'!Z12</f>
        <v>35.442</v>
      </c>
      <c r="Z15" s="23">
        <f>'Annual Raw'!AA12</f>
        <v>30.507000000000001</v>
      </c>
      <c r="AA15" s="23">
        <f>'Annual Raw'!AB12</f>
        <v>54.746000000000002</v>
      </c>
      <c r="AB15" s="24">
        <f>+SUM(CM15:CP15)</f>
        <v>71.682585977914925</v>
      </c>
      <c r="AC15" s="24">
        <f>+SUM(CQ15:CT15)</f>
        <v>96.108236003705542</v>
      </c>
      <c r="AD15" s="24">
        <f>+SUM(CU15:CX15)</f>
        <v>128.50017154086669</v>
      </c>
      <c r="AE15" s="24">
        <f>+SUM(CY15:DB15)</f>
        <v>171.79705669094221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14.872278814015033</v>
      </c>
      <c r="CN15" s="24">
        <f t="shared" si="91"/>
        <v>17.537755853794778</v>
      </c>
      <c r="CO15" s="24">
        <f t="shared" si="91"/>
        <v>19.959895745243358</v>
      </c>
      <c r="CP15" s="24">
        <f t="shared" si="91"/>
        <v>19.312655564861757</v>
      </c>
      <c r="CQ15" s="24">
        <f t="shared" si="91"/>
        <v>20.642178423527071</v>
      </c>
      <c r="CR15" s="24">
        <f t="shared" si="91"/>
        <v>23.310228055923687</v>
      </c>
      <c r="CS15" s="24">
        <f t="shared" si="91"/>
        <v>25.856325099193498</v>
      </c>
      <c r="CT15" s="24">
        <f t="shared" si="91"/>
        <v>26.299504425061286</v>
      </c>
      <c r="CU15" s="24">
        <f t="shared" si="91"/>
        <v>27.714056938882948</v>
      </c>
      <c r="CV15" s="24">
        <f t="shared" si="91"/>
        <v>31.042685390340807</v>
      </c>
      <c r="CW15" s="24">
        <f t="shared" si="91"/>
        <v>34.449995404479466</v>
      </c>
      <c r="CX15" s="24">
        <f t="shared" si="91"/>
        <v>35.293433807163467</v>
      </c>
      <c r="CY15" s="24">
        <f t="shared" si="91"/>
        <v>37.057657289894848</v>
      </c>
      <c r="CZ15" s="24">
        <f t="shared" si="91"/>
        <v>41.466410294157129</v>
      </c>
      <c r="DA15" s="24">
        <f t="shared" si="91"/>
        <v>46.053033430016512</v>
      </c>
      <c r="DB15" s="24">
        <f t="shared" si="91"/>
        <v>47.219955676873724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0</v>
      </c>
      <c r="J16" s="31">
        <f t="shared" si="92"/>
        <v>5.9511827999999998</v>
      </c>
      <c r="K16" s="31">
        <f t="shared" si="92"/>
        <v>3.8593758</v>
      </c>
      <c r="L16" s="31">
        <f t="shared" si="92"/>
        <v>10.6345323</v>
      </c>
      <c r="M16" s="31">
        <f t="shared" si="92"/>
        <v>6.9966636999999992</v>
      </c>
      <c r="N16" s="31">
        <f t="shared" si="92"/>
        <v>11.505895200000001</v>
      </c>
      <c r="O16" s="31">
        <f t="shared" si="92"/>
        <v>10.2857716</v>
      </c>
      <c r="P16" s="31">
        <f t="shared" si="92"/>
        <v>21.847047900000003</v>
      </c>
      <c r="Q16" s="31">
        <f t="shared" si="92"/>
        <v>29.257614700000001</v>
      </c>
      <c r="R16" s="31">
        <f t="shared" si="92"/>
        <v>45.147624500000006</v>
      </c>
      <c r="S16" s="31">
        <f t="shared" si="92"/>
        <v>55.754902300000012</v>
      </c>
      <c r="T16" s="31">
        <f t="shared" si="92"/>
        <v>81.152000000000001</v>
      </c>
      <c r="U16" s="31">
        <f t="shared" ref="U16:Z16" si="93">U10-U13-U15-U14</f>
        <v>91.77300000000001</v>
      </c>
      <c r="V16" s="31">
        <f t="shared" si="93"/>
        <v>112.88699999999999</v>
      </c>
      <c r="W16" s="31">
        <f t="shared" si="93"/>
        <v>152.93</v>
      </c>
      <c r="X16" s="31">
        <f t="shared" si="93"/>
        <v>218.89099999999999</v>
      </c>
      <c r="Y16" s="31">
        <f t="shared" si="93"/>
        <v>339.57800000000003</v>
      </c>
      <c r="Z16" s="31">
        <f t="shared" si="93"/>
        <v>487.34099999999995</v>
      </c>
      <c r="AA16" s="31">
        <f t="shared" ref="AA16" si="94">AA10-AA13-AA15-AA14</f>
        <v>649.33500000000004</v>
      </c>
      <c r="AB16" s="32">
        <f t="shared" ref="AA16:AD16" si="95">AB10-AB13-AB15-AB14</f>
        <v>868.42629225036444</v>
      </c>
      <c r="AC16" s="32">
        <f t="shared" si="95"/>
        <v>1161.1697004101241</v>
      </c>
      <c r="AD16" s="32">
        <f t="shared" si="95"/>
        <v>1552.5990074484316</v>
      </c>
      <c r="AE16" s="32">
        <f t="shared" ref="AE16" si="96">AE10-AE13-AE15-AE14</f>
        <v>2075.9668873260257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0</v>
      </c>
      <c r="BA16" s="31">
        <f t="shared" si="101"/>
        <v>0</v>
      </c>
      <c r="BB16" s="31">
        <f t="shared" si="101"/>
        <v>0</v>
      </c>
      <c r="BC16" s="31">
        <f t="shared" si="101"/>
        <v>0</v>
      </c>
      <c r="BD16" s="31">
        <f t="shared" si="101"/>
        <v>0</v>
      </c>
      <c r="BE16" s="31">
        <f t="shared" si="101"/>
        <v>0</v>
      </c>
      <c r="BF16" s="31">
        <f t="shared" si="101"/>
        <v>0</v>
      </c>
      <c r="BG16" s="31">
        <f t="shared" si="101"/>
        <v>0</v>
      </c>
      <c r="BH16" s="31">
        <f t="shared" si="101"/>
        <v>0</v>
      </c>
      <c r="BI16" s="31">
        <f t="shared" si="101"/>
        <v>0</v>
      </c>
      <c r="BJ16" s="31">
        <f t="shared" si="101"/>
        <v>0</v>
      </c>
      <c r="BK16" s="31">
        <f t="shared" si="101"/>
        <v>0</v>
      </c>
      <c r="BL16" s="31">
        <f t="shared" si="101"/>
        <v>0</v>
      </c>
      <c r="BM16" s="31">
        <f t="shared" si="101"/>
        <v>0</v>
      </c>
      <c r="BN16" s="31">
        <f t="shared" si="101"/>
        <v>0</v>
      </c>
      <c r="BO16" s="31">
        <f t="shared" si="101"/>
        <v>0</v>
      </c>
      <c r="BP16" s="31">
        <f t="shared" si="101"/>
        <v>0</v>
      </c>
      <c r="BQ16" s="31">
        <f t="shared" si="101"/>
        <v>0</v>
      </c>
      <c r="BR16" s="31">
        <f t="shared" si="101"/>
        <v>39.079000000000001</v>
      </c>
      <c r="BS16" s="31">
        <f t="shared" si="101"/>
        <v>38.821999999999996</v>
      </c>
      <c r="BT16" s="31">
        <f t="shared" si="101"/>
        <v>35.070999999999998</v>
      </c>
      <c r="BU16" s="31">
        <f t="shared" si="101"/>
        <v>37.573999999999991</v>
      </c>
      <c r="BV16" s="31">
        <f t="shared" si="101"/>
        <v>41.463999999999999</v>
      </c>
      <c r="BW16" s="31">
        <f t="shared" si="101"/>
        <v>48.783000000000001</v>
      </c>
      <c r="BX16" s="31">
        <f t="shared" si="101"/>
        <v>51.198999999999998</v>
      </c>
      <c r="BY16" s="31">
        <f t="shared" si="101"/>
        <v>52.017999999999994</v>
      </c>
      <c r="BZ16" s="31">
        <f t="shared" si="101"/>
        <v>66.89200000000001</v>
      </c>
      <c r="CA16" s="31">
        <f t="shared" si="101"/>
        <v>76.23599999999999</v>
      </c>
      <c r="CB16" s="31">
        <f t="shared" si="101"/>
        <v>85.573999999999984</v>
      </c>
      <c r="CC16" s="31">
        <f t="shared" si="101"/>
        <v>86.516000000000005</v>
      </c>
      <c r="CD16" s="31">
        <f t="shared" si="101"/>
        <v>91.251999999999995</v>
      </c>
      <c r="CE16" s="31">
        <f t="shared" ref="CE16:CF16" si="102">CE10-CE13-CE15-CE14</f>
        <v>84.996999999999986</v>
      </c>
      <c r="CF16" s="31">
        <f t="shared" si="102"/>
        <v>132.959</v>
      </c>
      <c r="CG16" s="31">
        <f t="shared" ref="CG16:CH16" si="103">CG10-CG13-CG15-CG14</f>
        <v>134.01300000000001</v>
      </c>
      <c r="CH16" s="31">
        <f t="shared" si="103"/>
        <v>135.37200000000001</v>
      </c>
      <c r="CI16" s="31">
        <f t="shared" ref="CI16:CJ16" si="104">CI10-CI13-CI15-CI14</f>
        <v>138.49700000000001</v>
      </c>
      <c r="CJ16" s="31">
        <f t="shared" si="104"/>
        <v>161.07</v>
      </c>
      <c r="CK16" s="31">
        <f t="shared" ref="CK16:CL16" si="105">CK10-CK13-CK15-CK14</f>
        <v>169.72399999999999</v>
      </c>
      <c r="CL16" s="31">
        <f t="shared" si="105"/>
        <v>180.04399999999998</v>
      </c>
      <c r="CM16" s="32">
        <f t="shared" ref="CM16:DB16" si="106">+CM17*CM10</f>
        <v>187.23598474147346</v>
      </c>
      <c r="CN16" s="32">
        <f t="shared" si="106"/>
        <v>210.09780730410822</v>
      </c>
      <c r="CO16" s="32">
        <f t="shared" si="106"/>
        <v>231.95616676619673</v>
      </c>
      <c r="CP16" s="32">
        <f t="shared" si="106"/>
        <v>239.13633343858595</v>
      </c>
      <c r="CQ16" s="32">
        <f t="shared" si="106"/>
        <v>250.44255029558724</v>
      </c>
      <c r="CR16" s="32">
        <f t="shared" si="106"/>
        <v>280.26048365265319</v>
      </c>
      <c r="CS16" s="32">
        <f t="shared" si="106"/>
        <v>311.1536179234464</v>
      </c>
      <c r="CT16" s="32">
        <f t="shared" si="106"/>
        <v>319.31304853843722</v>
      </c>
      <c r="CU16" s="32">
        <f t="shared" si="106"/>
        <v>334.8556566480479</v>
      </c>
      <c r="CV16" s="32">
        <f t="shared" si="106"/>
        <v>374.68735358767282</v>
      </c>
      <c r="CW16" s="32">
        <f t="shared" si="106"/>
        <v>416.2204341063931</v>
      </c>
      <c r="CX16" s="32">
        <f t="shared" si="106"/>
        <v>426.83556310631758</v>
      </c>
      <c r="CY16" s="32">
        <f t="shared" si="106"/>
        <v>447.73384083481517</v>
      </c>
      <c r="CZ16" s="32">
        <f t="shared" si="106"/>
        <v>500.99628669867303</v>
      </c>
      <c r="DA16" s="32">
        <f t="shared" si="106"/>
        <v>556.54904607613344</v>
      </c>
      <c r="DB16" s="32">
        <f t="shared" si="106"/>
        <v>570.68771371640389</v>
      </c>
      <c r="DE16" s="124"/>
      <c r="DF16" s="31">
        <v>649.33499999999992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>
        <f t="shared" si="107"/>
        <v>0.94035060996083697</v>
      </c>
      <c r="K17" s="41">
        <f t="shared" si="107"/>
        <v>0.90771927012082898</v>
      </c>
      <c r="L17" s="41">
        <f t="shared" si="107"/>
        <v>0.89726819556416659</v>
      </c>
      <c r="M17" s="41">
        <f t="shared" si="107"/>
        <v>0.67222633308495205</v>
      </c>
      <c r="N17" s="41">
        <f t="shared" si="107"/>
        <v>0.66078222844639656</v>
      </c>
      <c r="O17" s="41">
        <f t="shared" si="107"/>
        <v>0.63410754800227065</v>
      </c>
      <c r="P17" s="41">
        <f t="shared" si="107"/>
        <v>0.61876614443772038</v>
      </c>
      <c r="Q17" s="41">
        <f t="shared" si="107"/>
        <v>0.619129978835117</v>
      </c>
      <c r="R17" s="41">
        <f t="shared" si="107"/>
        <v>0.66100793362527954</v>
      </c>
      <c r="S17" s="41">
        <f t="shared" si="107"/>
        <v>0.73117773227211147</v>
      </c>
      <c r="T17" s="41">
        <f t="shared" si="107"/>
        <v>0.7988659631438022</v>
      </c>
      <c r="U17" s="41">
        <f t="shared" si="107"/>
        <v>0.78808930871618732</v>
      </c>
      <c r="V17" s="41">
        <f>V16/V10</f>
        <v>0.85784958166467817</v>
      </c>
      <c r="W17" s="41">
        <f>W16/W10</f>
        <v>0.83734402120052343</v>
      </c>
      <c r="X17" s="41">
        <f>X16/X10</f>
        <v>0.87993905699136099</v>
      </c>
      <c r="Y17" s="41">
        <f>Y16/Y10</f>
        <v>0.91010642717202828</v>
      </c>
      <c r="Z17" s="41">
        <f>Z16/Z10</f>
        <v>0.93830395563984315</v>
      </c>
      <c r="AA17" s="41">
        <f>AA16/AA10</f>
        <v>0.92553236979389375</v>
      </c>
      <c r="AB17" s="42">
        <f t="shared" ref="AA17:AD17" si="108">AB16/AB10</f>
        <v>0.92375076160007419</v>
      </c>
      <c r="AC17" s="42">
        <f t="shared" si="108"/>
        <v>0.92355848041218491</v>
      </c>
      <c r="AD17" s="42">
        <f t="shared" si="108"/>
        <v>0.92356181411133464</v>
      </c>
      <c r="AE17" s="42">
        <f t="shared" ref="AE17" si="109">AE16/AE10</f>
        <v>0.92356979604187239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 t="e">
        <f t="shared" si="114"/>
        <v>#DIV/0!</v>
      </c>
      <c r="BA17" s="41" t="e">
        <f t="shared" si="114"/>
        <v>#DIV/0!</v>
      </c>
      <c r="BB17" s="41" t="e">
        <f t="shared" si="114"/>
        <v>#DIV/0!</v>
      </c>
      <c r="BC17" s="41" t="e">
        <f t="shared" si="114"/>
        <v>#DIV/0!</v>
      </c>
      <c r="BD17" s="41" t="e">
        <f t="shared" si="114"/>
        <v>#DIV/0!</v>
      </c>
      <c r="BE17" s="41" t="e">
        <f t="shared" si="114"/>
        <v>#DIV/0!</v>
      </c>
      <c r="BF17" s="41" t="e">
        <f t="shared" si="114"/>
        <v>#DIV/0!</v>
      </c>
      <c r="BG17" s="41" t="e">
        <f t="shared" si="114"/>
        <v>#DIV/0!</v>
      </c>
      <c r="BH17" s="41" t="e">
        <f t="shared" si="114"/>
        <v>#DIV/0!</v>
      </c>
      <c r="BI17" s="41" t="e">
        <f t="shared" si="114"/>
        <v>#DIV/0!</v>
      </c>
      <c r="BJ17" s="41" t="e">
        <f t="shared" si="114"/>
        <v>#DIV/0!</v>
      </c>
      <c r="BK17" s="41" t="e">
        <f t="shared" si="114"/>
        <v>#DIV/0!</v>
      </c>
      <c r="BL17" s="41" t="e">
        <f t="shared" si="114"/>
        <v>#DIV/0!</v>
      </c>
      <c r="BM17" s="41" t="e">
        <f t="shared" si="114"/>
        <v>#DIV/0!</v>
      </c>
      <c r="BN17" s="41" t="e">
        <f t="shared" si="114"/>
        <v>#DIV/0!</v>
      </c>
      <c r="BO17" s="41" t="e">
        <f t="shared" si="114"/>
        <v>#DIV/0!</v>
      </c>
      <c r="BP17" s="41" t="e">
        <f t="shared" si="114"/>
        <v>#DIV/0!</v>
      </c>
      <c r="BQ17" s="41" t="e">
        <f t="shared" si="114"/>
        <v>#DIV/0!</v>
      </c>
      <c r="BR17" s="41">
        <f t="shared" si="114"/>
        <v>1.002025641025641</v>
      </c>
      <c r="BS17" s="41">
        <f t="shared" si="114"/>
        <v>0.90460434336844064</v>
      </c>
      <c r="BT17" s="41">
        <f t="shared" si="114"/>
        <v>0.71528216842405823</v>
      </c>
      <c r="BU17" s="41">
        <f t="shared" si="114"/>
        <v>0.82950305759763321</v>
      </c>
      <c r="BV17" s="41">
        <f t="shared" si="114"/>
        <v>0.91344480426497476</v>
      </c>
      <c r="BW17" s="41">
        <f t="shared" si="114"/>
        <v>0.93425386854603953</v>
      </c>
      <c r="BX17" s="41">
        <f t="shared" si="114"/>
        <v>0.87536117902511579</v>
      </c>
      <c r="BY17" s="41">
        <f t="shared" si="114"/>
        <v>0.84938440939224713</v>
      </c>
      <c r="BZ17" s="41">
        <f t="shared" si="114"/>
        <v>0.87086485008657621</v>
      </c>
      <c r="CA17" s="41">
        <f t="shared" si="114"/>
        <v>0.95594929090019931</v>
      </c>
      <c r="CB17" s="41">
        <f t="shared" si="114"/>
        <v>0.88861889927310478</v>
      </c>
      <c r="CC17" s="41">
        <f t="shared" si="114"/>
        <v>0.88845529791123257</v>
      </c>
      <c r="CD17" s="41">
        <f t="shared" si="114"/>
        <v>0.91533924487421259</v>
      </c>
      <c r="CE17" s="41">
        <f t="shared" ref="CE17:CF17" si="115">CE16/CE10</f>
        <v>0.91946301464702185</v>
      </c>
      <c r="CF17" s="41">
        <f t="shared" si="115"/>
        <v>0.94152928846589623</v>
      </c>
      <c r="CG17" s="41">
        <f t="shared" ref="CG17:CH17" si="116">CG16/CG10</f>
        <v>0.96516384587684556</v>
      </c>
      <c r="CH17" s="41">
        <f t="shared" si="116"/>
        <v>0.92166915173921038</v>
      </c>
      <c r="CI17" s="41">
        <f t="shared" ref="CI17:CJ17" si="117">CI16/CI10</f>
        <v>0.94024399350979981</v>
      </c>
      <c r="CJ17" s="41">
        <f t="shared" si="117"/>
        <v>0.93171366594360083</v>
      </c>
      <c r="CK17" s="41">
        <f t="shared" ref="CK17:CL17" si="118">CK16/CK10</f>
        <v>0.90273921599914897</v>
      </c>
      <c r="CL17" s="41">
        <f t="shared" si="118"/>
        <v>0.93096030941694763</v>
      </c>
      <c r="CM17" s="42">
        <f t="shared" ref="CM17:DB17" si="119">AVERAGE(CI17:CL17)</f>
        <v>0.92641429621737426</v>
      </c>
      <c r="CN17" s="42">
        <f t="shared" si="119"/>
        <v>0.92295687189426801</v>
      </c>
      <c r="CO17" s="42">
        <f t="shared" si="119"/>
        <v>0.92076767338193477</v>
      </c>
      <c r="CP17" s="42">
        <f t="shared" si="119"/>
        <v>0.92527478772763116</v>
      </c>
      <c r="CQ17" s="42">
        <f t="shared" si="119"/>
        <v>0.92385340730530208</v>
      </c>
      <c r="CR17" s="42">
        <f t="shared" si="119"/>
        <v>0.923213185077284</v>
      </c>
      <c r="CS17" s="42">
        <f t="shared" si="119"/>
        <v>0.92327726337303795</v>
      </c>
      <c r="CT17" s="42">
        <f t="shared" si="119"/>
        <v>0.92390466087081369</v>
      </c>
      <c r="CU17" s="42">
        <f t="shared" si="119"/>
        <v>0.9235621291566094</v>
      </c>
      <c r="CV17" s="42">
        <f t="shared" si="119"/>
        <v>0.92348930961943632</v>
      </c>
      <c r="CW17" s="42">
        <f t="shared" si="119"/>
        <v>0.92355834075497434</v>
      </c>
      <c r="CX17" s="42">
        <f t="shared" si="119"/>
        <v>0.92362861010045849</v>
      </c>
      <c r="CY17" s="42">
        <f t="shared" si="119"/>
        <v>0.92355959740786964</v>
      </c>
      <c r="CZ17" s="42">
        <f t="shared" si="119"/>
        <v>0.92355896447068475</v>
      </c>
      <c r="DA17" s="42">
        <f t="shared" si="119"/>
        <v>0.92357637818349669</v>
      </c>
      <c r="DB17" s="42">
        <f t="shared" si="119"/>
        <v>0.92358088754062739</v>
      </c>
      <c r="DE17" s="125"/>
      <c r="DF17" s="41">
        <v>0.92553236979389375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>
        <f t="shared" si="120"/>
        <v>-0.35149432815271608</v>
      </c>
      <c r="L18" s="39">
        <f t="shared" si="120"/>
        <v>1.7555057737575077</v>
      </c>
      <c r="M18" s="39">
        <f t="shared" si="120"/>
        <v>-0.34208073259601657</v>
      </c>
      <c r="N18" s="39">
        <f t="shared" si="120"/>
        <v>0.64448309842303875</v>
      </c>
      <c r="O18" s="39">
        <f t="shared" si="120"/>
        <v>-0.10604334376346491</v>
      </c>
      <c r="P18" s="39">
        <f t="shared" si="120"/>
        <v>1.1240067103959417</v>
      </c>
      <c r="Q18" s="39">
        <f t="shared" si="120"/>
        <v>0.33920220406529134</v>
      </c>
      <c r="R18" s="39">
        <f t="shared" si="120"/>
        <v>0.54310681041267528</v>
      </c>
      <c r="S18" s="39">
        <f t="shared" si="120"/>
        <v>0.23494653190446391</v>
      </c>
      <c r="T18" s="39">
        <f t="shared" si="120"/>
        <v>0.45551326703696837</v>
      </c>
      <c r="U18" s="39">
        <f t="shared" si="120"/>
        <v>0.13087785883280767</v>
      </c>
      <c r="V18" s="39">
        <f t="shared" si="120"/>
        <v>0.23006766696087055</v>
      </c>
      <c r="W18" s="39">
        <f t="shared" si="120"/>
        <v>0.35471754940781519</v>
      </c>
      <c r="X18" s="39">
        <f t="shared" si="120"/>
        <v>0.43131498071012864</v>
      </c>
      <c r="Y18" s="39">
        <f t="shared" si="120"/>
        <v>0.55135661128141433</v>
      </c>
      <c r="Z18" s="39">
        <f t="shared" si="120"/>
        <v>0.43513714080417443</v>
      </c>
      <c r="AA18" s="39">
        <f t="shared" si="120"/>
        <v>0.33240379939303311</v>
      </c>
      <c r="AB18" s="40">
        <f t="shared" si="120"/>
        <v>0.33740872161575219</v>
      </c>
      <c r="AC18" s="40">
        <f t="shared" si="120"/>
        <v>0.33709643613065854</v>
      </c>
      <c r="AD18" s="40">
        <f t="shared" si="120"/>
        <v>0.33709913968652061</v>
      </c>
      <c r="AE18" s="40">
        <f t="shared" si="120"/>
        <v>0.33709146879960072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 t="e">
        <f t="shared" ref="BD18" si="137">+IF(AZ16&lt;0,1-BD16/AZ16,BD16/AZ16-1)</f>
        <v>#DIV/0!</v>
      </c>
      <c r="BE18" s="39" t="e">
        <f t="shared" ref="BE18" si="138">+IF(BA16&lt;0,1-BE16/BA16,BE16/BA16-1)</f>
        <v>#DIV/0!</v>
      </c>
      <c r="BF18" s="39" t="e">
        <f t="shared" ref="BF18" si="139">+IF(BB16&lt;0,1-BF16/BB16,BF16/BB16-1)</f>
        <v>#DIV/0!</v>
      </c>
      <c r="BG18" s="39" t="e">
        <f t="shared" ref="BG18" si="140">+IF(BC16&lt;0,1-BG16/BC16,BG16/BC16-1)</f>
        <v>#DIV/0!</v>
      </c>
      <c r="BH18" s="39" t="e">
        <f t="shared" ref="BH18" si="141">+IF(BD16&lt;0,1-BH16/BD16,BH16/BD16-1)</f>
        <v>#DIV/0!</v>
      </c>
      <c r="BI18" s="39" t="e">
        <f t="shared" ref="BI18" si="142">+IF(BE16&lt;0,1-BI16/BE16,BI16/BE16-1)</f>
        <v>#DIV/0!</v>
      </c>
      <c r="BJ18" s="39" t="e">
        <f t="shared" ref="BJ18" si="143">+IF(BF16&lt;0,1-BJ16/BF16,BJ16/BF16-1)</f>
        <v>#DIV/0!</v>
      </c>
      <c r="BK18" s="39" t="e">
        <f t="shared" ref="BK18" si="144">+IF(BG16&lt;0,1-BK16/BG16,BK16/BG16-1)</f>
        <v>#DIV/0!</v>
      </c>
      <c r="BL18" s="39" t="e">
        <f t="shared" ref="BL18" si="145">+IF(BH16&lt;0,1-BL16/BH16,BL16/BH16-1)</f>
        <v>#DIV/0!</v>
      </c>
      <c r="BM18" s="39" t="e">
        <f t="shared" ref="BM18" si="146">+IF(BI16&lt;0,1-BM16/BI16,BM16/BI16-1)</f>
        <v>#DIV/0!</v>
      </c>
      <c r="BN18" s="39" t="e">
        <f t="shared" ref="BN18" si="147">+IF(BJ16&lt;0,1-BN16/BJ16,BN16/BJ16-1)</f>
        <v>#DIV/0!</v>
      </c>
      <c r="BO18" s="39" t="e">
        <f t="shared" ref="BO18" si="148">+IF(BK16&lt;0,1-BO16/BK16,BO16/BK16-1)</f>
        <v>#DIV/0!</v>
      </c>
      <c r="BP18" s="39" t="e">
        <f t="shared" ref="BP18" si="149">+IF(BL16&lt;0,1-BP16/BL16,BP16/BL16-1)</f>
        <v>#DIV/0!</v>
      </c>
      <c r="BQ18" s="39" t="e">
        <f t="shared" ref="BQ18" si="150">+IF(BM16&lt;0,1-BQ16/BM16,BQ16/BM16-1)</f>
        <v>#DIV/0!</v>
      </c>
      <c r="BR18" s="39" t="e">
        <f t="shared" ref="BR18" si="151">+IF(BN16&lt;0,1-BR16/BN16,BR16/BN16-1)</f>
        <v>#DIV/0!</v>
      </c>
      <c r="BS18" s="39" t="e">
        <f t="shared" ref="BS18" si="152">+IF(BO16&lt;0,1-BS16/BO16,BS16/BO16-1)</f>
        <v>#DIV/0!</v>
      </c>
      <c r="BT18" s="39" t="e">
        <f t="shared" ref="BT18" si="153">+IF(BP16&lt;0,1-BT16/BP16,BT16/BP16-1)</f>
        <v>#DIV/0!</v>
      </c>
      <c r="BU18" s="39" t="e">
        <f t="shared" ref="BU18" si="154">+IF(BQ16&lt;0,1-BU16/BQ16,BU16/BQ16-1)</f>
        <v>#DIV/0!</v>
      </c>
      <c r="BV18" s="39">
        <f t="shared" ref="BV18" si="155">+IF(BR16&lt;0,1-BV16/BR16,BV16/BR16-1)</f>
        <v>6.1030220834719318E-2</v>
      </c>
      <c r="BW18" s="39">
        <f t="shared" ref="BW18" si="156">+IF(BS16&lt;0,1-BW16/BS16,BW16/BS16-1)</f>
        <v>0.25658131987017696</v>
      </c>
      <c r="BX18" s="39">
        <f t="shared" ref="BX18" si="157">+IF(BT16&lt;0,1-BX16/BT16,BX16/BT16-1)</f>
        <v>0.45986712668586582</v>
      </c>
      <c r="BY18" s="39">
        <f t="shared" ref="BY18" si="158">+IF(BU16&lt;0,1-BY16/BU16,BY16/BU16-1)</f>
        <v>0.38441475488369625</v>
      </c>
      <c r="BZ18" s="39">
        <f t="shared" ref="BZ18" si="159">+IF(BV16&lt;0,1-BZ16/BV16,BZ16/BV16-1)</f>
        <v>0.6132548716959294</v>
      </c>
      <c r="CA18" s="39">
        <f t="shared" ref="CA18" si="160">+IF(BW16&lt;0,1-CA16/BW16,CA16/BW16-1)</f>
        <v>0.56275751798782347</v>
      </c>
      <c r="CB18" s="39">
        <f t="shared" ref="CB18" si="161">+IF(BX16&lt;0,1-CB16/BX16,CB16/BX16-1)</f>
        <v>0.67139983202796905</v>
      </c>
      <c r="CC18" s="39">
        <f t="shared" ref="CC18" si="162">+IF(BY16&lt;0,1-CC16/BY16,CC16/BY16-1)</f>
        <v>0.66319350993886772</v>
      </c>
      <c r="CD18" s="39">
        <f t="shared" ref="CD18" si="163">+IF(BZ16&lt;0,1-CD16/BZ16,CD16/BZ16-1)</f>
        <v>0.36416910841356187</v>
      </c>
      <c r="CE18" s="39">
        <f t="shared" ref="CE18" si="164">+IF(CA16&lt;0,1-CE16/CA16,CE16/CA16-1)</f>
        <v>0.11491946062227809</v>
      </c>
      <c r="CF18" s="39">
        <f t="shared" ref="CF18" si="165">+IF(CB16&lt;0,1-CF16/CB16,CF16/CB16-1)</f>
        <v>0.55373127351765761</v>
      </c>
      <c r="CG18" s="39">
        <f t="shared" ref="CG18" si="166">+IF(CC16&lt;0,1-CG16/CC16,CG16/CC16-1)</f>
        <v>0.54899671737019728</v>
      </c>
      <c r="CH18" s="39">
        <f t="shared" ref="CH18:CL18" si="167">+IF(CD16&lt;0,1-CH16/CD16,CH16/CD16-1)</f>
        <v>0.4834962521369397</v>
      </c>
      <c r="CI18" s="39">
        <f t="shared" si="167"/>
        <v>0.6294339800228248</v>
      </c>
      <c r="CJ18" s="39">
        <f t="shared" si="167"/>
        <v>0.21142607871599517</v>
      </c>
      <c r="CK18" s="39">
        <f t="shared" si="167"/>
        <v>0.26647414803041491</v>
      </c>
      <c r="CL18" s="39">
        <f t="shared" si="167"/>
        <v>0.32999438584049856</v>
      </c>
      <c r="CM18" s="40">
        <f t="shared" ref="CM18" si="168">+CM16/CI16-1</f>
        <v>0.35191364969258143</v>
      </c>
      <c r="CN18" s="40">
        <f t="shared" ref="CN18" si="169">+CN16/CJ16-1</f>
        <v>0.30438819956607821</v>
      </c>
      <c r="CO18" s="40">
        <f t="shared" ref="CO18" si="170">+CO16/CK16-1</f>
        <v>0.36666686365037804</v>
      </c>
      <c r="CP18" s="40">
        <f t="shared" ref="CP18" si="171">+CP16/CL16-1</f>
        <v>0.32821051208918917</v>
      </c>
      <c r="CQ18" s="40">
        <f t="shared" ref="CQ18" si="172">+CQ16/CM16-1</f>
        <v>0.33757701886945712</v>
      </c>
      <c r="CR18" s="40">
        <f t="shared" ref="CR18" si="173">+CR16/CN16-1</f>
        <v>0.33395244457257611</v>
      </c>
      <c r="CS18" s="40">
        <f t="shared" ref="CS18" si="174">+CS16/CO16-1</f>
        <v>0.3414328330277927</v>
      </c>
      <c r="CT18" s="40">
        <f t="shared" ref="CT18" si="175">+CT16/CP16-1</f>
        <v>0.33527617466980164</v>
      </c>
      <c r="CU18" s="40">
        <f t="shared" ref="CU18" si="176">+CU16/CQ16-1</f>
        <v>0.33705576888923727</v>
      </c>
      <c r="CV18" s="40">
        <f t="shared" ref="CV18" si="177">+CV16/CR16-1</f>
        <v>0.33692537993351057</v>
      </c>
      <c r="CW18" s="40">
        <f t="shared" ref="CW18" si="178">+CW16/CS16-1</f>
        <v>0.33766863096156063</v>
      </c>
      <c r="CX18" s="40">
        <f t="shared" ref="CX18" si="179">+CX16/CT16-1</f>
        <v>0.33673072572522011</v>
      </c>
      <c r="CY18" s="40">
        <f t="shared" ref="CY18" si="180">+CY16/CU16-1</f>
        <v>0.337095049600457</v>
      </c>
      <c r="CZ18" s="40">
        <f t="shared" ref="CZ18" si="181">+CZ16/CV16-1</f>
        <v>0.3371048739744702</v>
      </c>
      <c r="DA18" s="40">
        <f t="shared" ref="DA18" si="182">+DA16/CW16-1</f>
        <v>0.33714974198952929</v>
      </c>
      <c r="DB18" s="40">
        <f t="shared" ref="DB18" si="183">+DB16/CX16-1</f>
        <v>0.33702006825109643</v>
      </c>
      <c r="DE18" s="122"/>
      <c r="DF18" s="39">
        <v>0.33240379939303288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 t="e">
        <f t="shared" ref="BA19" si="200">+IF(AZ16&lt;0,1-BA16/AZ16,BA16/AZ16-1)</f>
        <v>#DIV/0!</v>
      </c>
      <c r="BB19" s="39" t="e">
        <f t="shared" ref="BB19" si="201">+IF(BA16&lt;0,1-BB16/BA16,BB16/BA16-1)</f>
        <v>#DIV/0!</v>
      </c>
      <c r="BC19" s="39" t="e">
        <f t="shared" ref="BC19" si="202">+IF(BB16&lt;0,1-BC16/BB16,BC16/BB16-1)</f>
        <v>#DIV/0!</v>
      </c>
      <c r="BD19" s="39" t="e">
        <f t="shared" ref="BD19" si="203">+IF(BC16&lt;0,1-BD16/BC16,BD16/BC16-1)</f>
        <v>#DIV/0!</v>
      </c>
      <c r="BE19" s="39" t="e">
        <f t="shared" ref="BE19" si="204">+IF(BD16&lt;0,1-BE16/BD16,BE16/BD16-1)</f>
        <v>#DIV/0!</v>
      </c>
      <c r="BF19" s="39" t="e">
        <f t="shared" ref="BF19" si="205">+IF(BE16&lt;0,1-BF16/BE16,BF16/BE16-1)</f>
        <v>#DIV/0!</v>
      </c>
      <c r="BG19" s="39" t="e">
        <f t="shared" ref="BG19" si="206">+IF(BF16&lt;0,1-BG16/BF16,BG16/BF16-1)</f>
        <v>#DIV/0!</v>
      </c>
      <c r="BH19" s="39" t="e">
        <f t="shared" ref="BH19" si="207">+IF(BG16&lt;0,1-BH16/BG16,BH16/BG16-1)</f>
        <v>#DIV/0!</v>
      </c>
      <c r="BI19" s="39" t="e">
        <f t="shared" ref="BI19" si="208">+IF(BH16&lt;0,1-BI16/BH16,BI16/BH16-1)</f>
        <v>#DIV/0!</v>
      </c>
      <c r="BJ19" s="39" t="e">
        <f t="shared" ref="BJ19" si="209">+IF(BI16&lt;0,1-BJ16/BI16,BJ16/BI16-1)</f>
        <v>#DIV/0!</v>
      </c>
      <c r="BK19" s="39" t="e">
        <f t="shared" ref="BK19" si="210">+IF(BJ16&lt;0,1-BK16/BJ16,BK16/BJ16-1)</f>
        <v>#DIV/0!</v>
      </c>
      <c r="BL19" s="39" t="e">
        <f t="shared" ref="BL19" si="211">+IF(BK16&lt;0,1-BL16/BK16,BL16/BK16-1)</f>
        <v>#DIV/0!</v>
      </c>
      <c r="BM19" s="39" t="e">
        <f t="shared" ref="BM19" si="212">+IF(BL16&lt;0,1-BM16/BL16,BM16/BL16-1)</f>
        <v>#DIV/0!</v>
      </c>
      <c r="BN19" s="39" t="e">
        <f t="shared" ref="BN19" si="213">+IF(BM16&lt;0,1-BN16/BM16,BN16/BM16-1)</f>
        <v>#DIV/0!</v>
      </c>
      <c r="BO19" s="39" t="e">
        <f t="shared" ref="BO19" si="214">+IF(BN16&lt;0,1-BO16/BN16,BO16/BN16-1)</f>
        <v>#DIV/0!</v>
      </c>
      <c r="BP19" s="39" t="e">
        <f t="shared" ref="BP19" si="215">+IF(BO16&lt;0,1-BP16/BO16,BP16/BO16-1)</f>
        <v>#DIV/0!</v>
      </c>
      <c r="BQ19" s="39" t="e">
        <f t="shared" ref="BQ19" si="216">+IF(BP16&lt;0,1-BQ16/BP16,BQ16/BP16-1)</f>
        <v>#DIV/0!</v>
      </c>
      <c r="BR19" s="39" t="e">
        <f t="shared" ref="BR19" si="217">+IF(BQ16&lt;0,1-BR16/BQ16,BR16/BQ16-1)</f>
        <v>#DIV/0!</v>
      </c>
      <c r="BS19" s="39">
        <f t="shared" ref="BS19" si="218">+IF(BR16&lt;0,1-BS16/BR16,BS16/BR16-1)</f>
        <v>-6.5764221192969874E-3</v>
      </c>
      <c r="BT19" s="39">
        <f t="shared" ref="BT19" si="219">+IF(BS16&lt;0,1-BT16/BS16,BT16/BS16-1)</f>
        <v>-9.6620472927721357E-2</v>
      </c>
      <c r="BU19" s="39">
        <f t="shared" ref="BU19" si="220">+IF(BT16&lt;0,1-BU16/BT16,BU16/BT16-1)</f>
        <v>7.1369507570357094E-2</v>
      </c>
      <c r="BV19" s="39">
        <f t="shared" ref="BV19" si="221">+IF(BU16&lt;0,1-BV16/BU16,BV16/BU16-1)</f>
        <v>0.10352903603555674</v>
      </c>
      <c r="BW19" s="39">
        <f t="shared" ref="BW19" si="222">+IF(BV16&lt;0,1-BW16/BV16,BW16/BV16-1)</f>
        <v>0.17651456685317402</v>
      </c>
      <c r="BX19" s="39">
        <f t="shared" ref="BX19" si="223">+IF(BW16&lt;0,1-BX16/BW16,BX16/BW16-1)</f>
        <v>4.9525449439353775E-2</v>
      </c>
      <c r="BY19" s="39">
        <f t="shared" ref="BY19" si="224">+IF(BX16&lt;0,1-BY16/BX16,BY16/BX16-1)</f>
        <v>1.5996406179808131E-2</v>
      </c>
      <c r="BZ19" s="39">
        <f t="shared" ref="BZ19" si="225">+IF(BY16&lt;0,1-BZ16/BY16,BZ16/BY16-1)</f>
        <v>0.28593948248683176</v>
      </c>
      <c r="CA19" s="39">
        <f t="shared" ref="CA19" si="226">+IF(BZ16&lt;0,1-CA16/BZ16,CA16/BZ16-1)</f>
        <v>0.13968785504993098</v>
      </c>
      <c r="CB19" s="39">
        <f t="shared" ref="CB19" si="227">+IF(CA16&lt;0,1-CB16/CA16,CB16/CA16-1)</f>
        <v>0.12248806338212903</v>
      </c>
      <c r="CC19" s="39">
        <f t="shared" ref="CC19" si="228">+IF(CB16&lt;0,1-CC16/CB16,CC16/CB16-1)</f>
        <v>1.1008016453595948E-2</v>
      </c>
      <c r="CD19" s="39">
        <f t="shared" ref="CD19" si="229">+IF(CC16&lt;0,1-CD16/CC16,CD16/CC16-1)</f>
        <v>5.4741319524712173E-2</v>
      </c>
      <c r="CE19" s="39">
        <f t="shared" ref="CE19" si="230">+IF(CD16&lt;0,1-CE16/CD16,CE16/CD16-1)</f>
        <v>-6.8546442817691733E-2</v>
      </c>
      <c r="CF19" s="39">
        <f t="shared" ref="CF19" si="231">+IF(CE16&lt;0,1-CF16/CE16,CF16/CE16-1)</f>
        <v>0.56427873924962091</v>
      </c>
      <c r="CG19" s="39">
        <f t="shared" ref="CG19" si="232">+IF(CF16&lt;0,1-CG16/CF16,CG16/CF16-1)</f>
        <v>7.9272557705758473E-3</v>
      </c>
      <c r="CH19" s="39">
        <f t="shared" ref="CH19:CL19" si="233">+IF(CG16&lt;0,1-CH16/CG16,CH16/CG16-1)</f>
        <v>1.0140807235119009E-2</v>
      </c>
      <c r="CI19" s="39">
        <f t="shared" si="233"/>
        <v>2.3084537422805251E-2</v>
      </c>
      <c r="CJ19" s="39">
        <f t="shared" si="233"/>
        <v>0.16298547982988776</v>
      </c>
      <c r="CK19" s="39">
        <f t="shared" si="233"/>
        <v>5.3728192711243627E-2</v>
      </c>
      <c r="CL19" s="39">
        <f t="shared" si="233"/>
        <v>6.0804600410077514E-2</v>
      </c>
      <c r="CM19" s="40">
        <f t="shared" ref="CM19" si="234">+CM16/CL16-1</f>
        <v>3.9945706279984172E-2</v>
      </c>
      <c r="CN19" s="40">
        <f t="shared" ref="CN19" si="235">+CN16/CM16-1</f>
        <v>0.12210164939288393</v>
      </c>
      <c r="CO19" s="40">
        <f t="shared" ref="CO19" si="236">+CO16/CN16-1</f>
        <v>0.10403896995673745</v>
      </c>
      <c r="CP19" s="40">
        <f t="shared" ref="CP19" si="237">+CP16/CO16-1</f>
        <v>3.0954842772628499E-2</v>
      </c>
      <c r="CQ19" s="40">
        <f t="shared" ref="CQ19" si="238">+CQ16/CP16-1</f>
        <v>4.7279376974745269E-2</v>
      </c>
      <c r="CR19" s="40">
        <f t="shared" ref="CR19" si="239">+CR16/CQ16-1</f>
        <v>0.11906097155564432</v>
      </c>
      <c r="CS19" s="40">
        <f t="shared" ref="CS19" si="240">+CS16/CR16-1</f>
        <v>0.11023007549320174</v>
      </c>
      <c r="CT19" s="40">
        <f t="shared" ref="CT19" si="241">+CT16/CS16-1</f>
        <v>2.622315841751921E-2</v>
      </c>
      <c r="CU19" s="40">
        <f t="shared" ref="CU19" si="242">+CU16/CT16-1</f>
        <v>4.8675142405712801E-2</v>
      </c>
      <c r="CV19" s="40">
        <f t="shared" ref="CV19" si="243">+CV16/CU16-1</f>
        <v>0.1189518413346986</v>
      </c>
      <c r="CW19" s="40">
        <f t="shared" ref="CW19" si="244">+CW16/CV16-1</f>
        <v>0.11084729740952404</v>
      </c>
      <c r="CX19" s="40">
        <f t="shared" ref="CX19" si="245">+CX16/CW16-1</f>
        <v>2.5503622912495194E-2</v>
      </c>
      <c r="CY19" s="40">
        <f t="shared" ref="CY19" si="246">+CY16/CX16-1</f>
        <v>4.8960957180815168E-2</v>
      </c>
      <c r="CZ19" s="40">
        <f t="shared" ref="CZ19" si="247">+CZ16/CY16-1</f>
        <v>0.11896006289037309</v>
      </c>
      <c r="DA19" s="40">
        <f t="shared" ref="DA19" si="248">+DA16/CZ16-1</f>
        <v>0.11088457310437705</v>
      </c>
      <c r="DB19" s="40">
        <f t="shared" ref="DB19" si="249">+DB16/DA16-1</f>
        <v>2.5404171905338835E-2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1.2263797000000001</v>
      </c>
      <c r="K20" s="23">
        <f>'Annual Raw'!L14</f>
        <v>3.5728276000000001</v>
      </c>
      <c r="L20" s="23">
        <f>'Annual Raw'!M14</f>
        <v>5.9969784549999998</v>
      </c>
      <c r="M20" s="23">
        <f>'Annual Raw'!N14</f>
        <v>5.9006673999999997</v>
      </c>
      <c r="N20" s="23">
        <f>'Annual Raw'!O14</f>
        <v>5.1395645999999999</v>
      </c>
      <c r="O20" s="23">
        <f>'Annual Raw'!P14</f>
        <v>4.2396399999999996</v>
      </c>
      <c r="P20" s="23">
        <f>'Annual Raw'!Q14</f>
        <v>8.0713445000000004</v>
      </c>
      <c r="Q20" s="23">
        <f>'Annual Raw'!R14</f>
        <v>10.3369483</v>
      </c>
      <c r="R20" s="23">
        <f>'Annual Raw'!S14</f>
        <v>16.855986399999999</v>
      </c>
      <c r="S20" s="23">
        <f>'Annual Raw'!T14</f>
        <v>18.566130000000001</v>
      </c>
      <c r="T20" s="23">
        <f>'Annual Raw'!U14</f>
        <v>25.852</v>
      </c>
      <c r="U20" s="23">
        <f>'Annual Raw'!V14</f>
        <v>29.216999999999999</v>
      </c>
      <c r="V20" s="23">
        <f>'Annual Raw'!W14</f>
        <v>41.710999999999999</v>
      </c>
      <c r="W20" s="23">
        <f>'Annual Raw'!X14</f>
        <v>47.796999999999997</v>
      </c>
      <c r="X20" s="23">
        <f>'Annual Raw'!Y14</f>
        <v>64.361000000000004</v>
      </c>
      <c r="Y20" s="23">
        <f>'Annual Raw'!Z14</f>
        <v>81.287999999999997</v>
      </c>
      <c r="Z20" s="23">
        <f>'Annual Raw'!AA14</f>
        <v>92.963999999999999</v>
      </c>
      <c r="AA20" s="23">
        <f>'Annual Raw'!AB14</f>
        <v>138.80600000000001</v>
      </c>
      <c r="AB20" s="76">
        <f t="shared" ref="AB20:AB25" si="250">+SUM(CM20:CP20)</f>
        <v>148.52242000000001</v>
      </c>
      <c r="AC20" s="76">
        <f t="shared" ref="AC20:AC25" si="251">+SUM(CQ20:CT20)</f>
        <v>158.91898940000002</v>
      </c>
      <c r="AD20" s="76">
        <f t="shared" ref="AD20:AD25" si="252">+SUM(CU20:CX20)</f>
        <v>170.04331865800003</v>
      </c>
      <c r="AE20" s="76">
        <f t="shared" ref="AE20:AE25" si="253">+SUM(CY20:DB20)</f>
        <v>181.94635096406003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12.018000000000001</v>
      </c>
      <c r="BS20" s="23">
        <f>'QTR Raw'!AM16</f>
        <v>13.166</v>
      </c>
      <c r="BT20" s="23">
        <f>'QTR Raw'!AN16</f>
        <v>9.8689999999999998</v>
      </c>
      <c r="BU20" s="23">
        <f>'QTR Raw'!AO16</f>
        <v>11.871</v>
      </c>
      <c r="BV20" s="23">
        <f>'QTR Raw'!AP16</f>
        <v>11.907999999999999</v>
      </c>
      <c r="BW20" s="23">
        <f>'QTR Raw'!AQ16</f>
        <v>14.464</v>
      </c>
      <c r="BX20" s="23">
        <f>'QTR Raw'!AR16</f>
        <v>14.760999999999999</v>
      </c>
      <c r="BY20" s="23">
        <f>'QTR Raw'!AS16</f>
        <v>15.305</v>
      </c>
      <c r="BZ20" s="23">
        <f>'QTR Raw'!AT16</f>
        <v>19.832000000000001</v>
      </c>
      <c r="CA20" s="23">
        <f>'QTR Raw'!AU16</f>
        <v>20.222000000000001</v>
      </c>
      <c r="CB20" s="23">
        <f>'QTR Raw'!AV16</f>
        <v>21.08</v>
      </c>
      <c r="CC20" s="23">
        <f>'QTR Raw'!AW16</f>
        <v>20.59</v>
      </c>
      <c r="CD20" s="23">
        <f>'QTR Raw'!AX16</f>
        <v>19.396000000000001</v>
      </c>
      <c r="CE20" s="23">
        <f>'QTR Raw'!AY16</f>
        <v>21.823</v>
      </c>
      <c r="CF20" s="23">
        <f>'QTR Raw'!AZ16</f>
        <v>23.120999999999999</v>
      </c>
      <c r="CG20" s="23">
        <f>'QTR Raw'!BA16</f>
        <v>23.989000000000001</v>
      </c>
      <c r="CH20" s="23">
        <f>'QTR Raw'!BB16</f>
        <v>24.030999999999999</v>
      </c>
      <c r="CI20" s="23">
        <f>'QTR Raw'!BC16</f>
        <v>26.695</v>
      </c>
      <c r="CJ20" s="23">
        <f>'QTR Raw'!BD16</f>
        <v>36.384</v>
      </c>
      <c r="CK20" s="23">
        <f>'QTR Raw'!BE16</f>
        <v>37.895000000000003</v>
      </c>
      <c r="CL20" s="23">
        <f>'QTR Raw'!BF16</f>
        <v>37.832000000000001</v>
      </c>
      <c r="CM20" s="24">
        <f t="shared" ref="CM20:DB20" si="254">CI20*107%</f>
        <v>28.563650000000003</v>
      </c>
      <c r="CN20" s="24">
        <f t="shared" si="254"/>
        <v>38.930880000000002</v>
      </c>
      <c r="CO20" s="24">
        <f t="shared" si="254"/>
        <v>40.547650000000004</v>
      </c>
      <c r="CP20" s="24">
        <f t="shared" si="254"/>
        <v>40.480240000000002</v>
      </c>
      <c r="CQ20" s="24">
        <f t="shared" si="254"/>
        <v>30.563105500000006</v>
      </c>
      <c r="CR20" s="24">
        <f t="shared" si="254"/>
        <v>41.656041600000002</v>
      </c>
      <c r="CS20" s="24">
        <f t="shared" si="254"/>
        <v>43.385985500000004</v>
      </c>
      <c r="CT20" s="24">
        <f t="shared" si="254"/>
        <v>43.313856800000003</v>
      </c>
      <c r="CU20" s="24">
        <f t="shared" si="254"/>
        <v>32.702522885000008</v>
      </c>
      <c r="CV20" s="24">
        <f t="shared" si="254"/>
        <v>44.571964512000001</v>
      </c>
      <c r="CW20" s="24">
        <f t="shared" si="254"/>
        <v>46.423004485000007</v>
      </c>
      <c r="CX20" s="24">
        <f t="shared" si="254"/>
        <v>46.34582677600001</v>
      </c>
      <c r="CY20" s="24">
        <f t="shared" si="254"/>
        <v>34.991699486950012</v>
      </c>
      <c r="CZ20" s="24">
        <f t="shared" si="254"/>
        <v>47.692002027840005</v>
      </c>
      <c r="DA20" s="24">
        <f t="shared" si="254"/>
        <v>49.672614798950008</v>
      </c>
      <c r="DB20" s="24">
        <f t="shared" si="254"/>
        <v>49.590034650320014</v>
      </c>
      <c r="DE20" s="123"/>
      <c r="DF20" s="23">
        <v>138.80600000000001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1.6809483000000001</v>
      </c>
      <c r="K21" s="23">
        <f>'Annual Raw'!L17</f>
        <v>2.4666021319999998</v>
      </c>
      <c r="L21" s="23">
        <f>'Annual Raw'!M17</f>
        <v>3.286924092</v>
      </c>
      <c r="M21" s="23">
        <f>'Annual Raw'!N17</f>
        <v>2.9505857999999998</v>
      </c>
      <c r="N21" s="23">
        <f>'Annual Raw'!O17</f>
        <v>2.6047088</v>
      </c>
      <c r="O21" s="23">
        <f>'Annual Raw'!P17</f>
        <v>2.3424493000000002</v>
      </c>
      <c r="P21" s="23">
        <f>'Annual Raw'!Q17</f>
        <v>4.7103431999999996</v>
      </c>
      <c r="Q21" s="23">
        <f>'Annual Raw'!R17</f>
        <v>5.4203232999999997</v>
      </c>
      <c r="R21" s="23">
        <f>'Annual Raw'!S17</f>
        <v>6.8645449999999997</v>
      </c>
      <c r="S21" s="23">
        <f>'Annual Raw'!T17</f>
        <v>11.289022299999999</v>
      </c>
      <c r="T21" s="23">
        <f>'Annual Raw'!U17</f>
        <v>9.2289999999999992</v>
      </c>
      <c r="U21" s="23">
        <f>'Annual Raw'!V17</f>
        <v>13.170999999999999</v>
      </c>
      <c r="V21" s="23">
        <f>'Annual Raw'!W17</f>
        <v>14.965</v>
      </c>
      <c r="W21" s="23">
        <f>'Annual Raw'!X17</f>
        <v>18.093</v>
      </c>
      <c r="X21" s="23">
        <f>'Annual Raw'!Y17</f>
        <v>23.202999999999999</v>
      </c>
      <c r="Y21" s="23">
        <f>'Annual Raw'!Z17</f>
        <v>39.79</v>
      </c>
      <c r="Z21" s="23">
        <f>'Annual Raw'!AA17</f>
        <v>40.881999999999998</v>
      </c>
      <c r="AA21" s="23">
        <f>'Annual Raw'!AB17</f>
        <v>50.414999999999999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0.2650286</v>
      </c>
      <c r="K22" s="23">
        <f>'Annual Raw'!L19-'Annual Raw'!L20</f>
        <v>0</v>
      </c>
      <c r="L22" s="23">
        <f>'Annual Raw'!M19-'Annual Raw'!M20</f>
        <v>3.5999999999999997E-2</v>
      </c>
      <c r="M22" s="23">
        <f>'Annual Raw'!N19-'Annual Raw'!N20</f>
        <v>2.3407475</v>
      </c>
      <c r="N22" s="23">
        <f>'Annual Raw'!O19-'Annual Raw'!O20</f>
        <v>1.3169196999999999</v>
      </c>
      <c r="O22" s="23">
        <f>'Annual Raw'!P19-'Annual Raw'!P20</f>
        <v>1.4815805</v>
      </c>
      <c r="P22" s="23">
        <f>'Annual Raw'!Q19-'Annual Raw'!Q20</f>
        <v>0.35277550000000002</v>
      </c>
      <c r="Q22" s="23">
        <f>'Annual Raw'!R19-'Annual Raw'!R20</f>
        <v>0.19948389999999999</v>
      </c>
      <c r="R22" s="23">
        <f>'Annual Raw'!S19-'Annual Raw'!S20</f>
        <v>0.29970479999999999</v>
      </c>
      <c r="S22" s="23">
        <f>'Annual Raw'!T19-'Annual Raw'!T20</f>
        <v>0.19777690000000001</v>
      </c>
      <c r="T22" s="23">
        <f>'Annual Raw'!U19-'Annual Raw'!U20</f>
        <v>0.52900000000000003</v>
      </c>
      <c r="U22" s="23">
        <f>'Annual Raw'!V19-'Annual Raw'!V20</f>
        <v>0.93899999999999995</v>
      </c>
      <c r="V22" s="23">
        <f>'Annual Raw'!W19-'Annual Raw'!W20</f>
        <v>0.253</v>
      </c>
      <c r="W22" s="23">
        <f>'Annual Raw'!X19-'Annual Raw'!X20</f>
        <v>0.76500000000000001</v>
      </c>
      <c r="X22" s="23">
        <f>'Annual Raw'!Y19-'Annual Raw'!Y20</f>
        <v>1.61</v>
      </c>
      <c r="Y22" s="23">
        <f>'Annual Raw'!Z19-'Annual Raw'!Z20</f>
        <v>9.4819999999999993</v>
      </c>
      <c r="Z22" s="23">
        <f>'Annual Raw'!AA19-'Annual Raw'!AA20</f>
        <v>3.573</v>
      </c>
      <c r="AA22" s="23">
        <f>'Annual Raw'!AB19-'Annual Raw'!AB20</f>
        <v>11.778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0.15473390000000001</v>
      </c>
      <c r="K23" s="23">
        <f>'Annual Raw'!L15+'Annual Raw'!L16</f>
        <v>1.1962957999999999</v>
      </c>
      <c r="L23" s="23">
        <f>'Annual Raw'!M15+'Annual Raw'!M16</f>
        <v>3.7933537789999998</v>
      </c>
      <c r="M23" s="23">
        <f>'Annual Raw'!N15+'Annual Raw'!N16</f>
        <v>0.1816596</v>
      </c>
      <c r="N23" s="23">
        <f>'Annual Raw'!O15+'Annual Raw'!O16</f>
        <v>0.34810770000000002</v>
      </c>
      <c r="O23" s="23">
        <f>'Annual Raw'!P15+'Annual Raw'!P16</f>
        <v>0.18602489999999999</v>
      </c>
      <c r="P23" s="23">
        <f>'Annual Raw'!Q15+'Annual Raw'!Q16</f>
        <v>0.1238553</v>
      </c>
      <c r="Q23" s="23">
        <f>'Annual Raw'!R15+'Annual Raw'!R16</f>
        <v>0.17872660000000001</v>
      </c>
      <c r="R23" s="23">
        <f>'Annual Raw'!S15+'Annual Raw'!S16</f>
        <v>0.50924340000000001</v>
      </c>
      <c r="S23" s="23">
        <f>'Annual Raw'!T15+'Annual Raw'!T16</f>
        <v>2.8371392000000002</v>
      </c>
      <c r="T23" s="23">
        <f>'Annual Raw'!U15+'Annual Raw'!U16</f>
        <v>5.3019999999999996</v>
      </c>
      <c r="U23" s="23">
        <f>'Annual Raw'!V15+'Annual Raw'!V16</f>
        <v>7.5049999999999999</v>
      </c>
      <c r="V23" s="23">
        <f>'Annual Raw'!W15+'Annual Raw'!W16</f>
        <v>5.5529999999999999</v>
      </c>
      <c r="W23" s="23">
        <f>'Annual Raw'!X15+'Annual Raw'!X16</f>
        <v>5.125</v>
      </c>
      <c r="X23" s="23">
        <f>'Annual Raw'!Y15+'Annual Raw'!Y16</f>
        <v>27.838999999999999</v>
      </c>
      <c r="Y23" s="23">
        <f>'Annual Raw'!Z15+'Annual Raw'!Z16</f>
        <v>86.46</v>
      </c>
      <c r="Z23" s="23">
        <f>'Annual Raw'!AA15+'Annual Raw'!AA16</f>
        <v>190.61699999999999</v>
      </c>
      <c r="AA23" s="23">
        <f>'Annual Raw'!AB15+'Annual Raw'!AB16</f>
        <v>240.959</v>
      </c>
      <c r="AB23" s="76">
        <f t="shared" si="250"/>
        <v>508.98060003473068</v>
      </c>
      <c r="AC23" s="76">
        <f t="shared" si="251"/>
        <v>720.82340153455721</v>
      </c>
      <c r="AD23" s="76">
        <f t="shared" si="252"/>
        <v>1006.419986485563</v>
      </c>
      <c r="AE23" s="76">
        <f t="shared" si="253"/>
        <v>1391.1286712940696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14.753</v>
      </c>
      <c r="BS23" s="23">
        <f>'QTR Raw'!AM14</f>
        <v>11.207000000000001</v>
      </c>
      <c r="BT23" s="23">
        <f>'QTR Raw'!AN14</f>
        <v>8.4710000000000001</v>
      </c>
      <c r="BU23" s="23">
        <f>'QTR Raw'!AO14</f>
        <v>7.5860000000000003</v>
      </c>
      <c r="BV23" s="23">
        <f>'QTR Raw'!AP14</f>
        <v>11.148999999999999</v>
      </c>
      <c r="BW23" s="23">
        <f>'QTR Raw'!AQ14</f>
        <v>13.744</v>
      </c>
      <c r="BX23" s="23">
        <f>'QTR Raw'!AR14</f>
        <v>14.693</v>
      </c>
      <c r="BY23" s="23">
        <f>'QTR Raw'!AS14</f>
        <v>15.488</v>
      </c>
      <c r="BZ23" s="23">
        <f>'QTR Raw'!AT14</f>
        <v>23.295999999999999</v>
      </c>
      <c r="CA23" s="23">
        <f>'QTR Raw'!AU14</f>
        <v>32.241999999999997</v>
      </c>
      <c r="CB23" s="23">
        <f>'QTR Raw'!AV14</f>
        <v>36.235999999999997</v>
      </c>
      <c r="CC23" s="23">
        <f>'QTR Raw'!AW14</f>
        <v>41.298999999999999</v>
      </c>
      <c r="CD23" s="23">
        <f>'QTR Raw'!AX14</f>
        <v>38.957999999999998</v>
      </c>
      <c r="CE23" s="23">
        <f>'QTR Raw'!AY14</f>
        <v>36.302</v>
      </c>
      <c r="CF23" s="23">
        <f>'QTR Raw'!AZ14</f>
        <v>77.463999999999999</v>
      </c>
      <c r="CG23" s="23">
        <f>'QTR Raw'!BA14</f>
        <v>80.120999999999995</v>
      </c>
      <c r="CH23" s="23">
        <f>'QTR Raw'!BB14</f>
        <v>76.558999999999997</v>
      </c>
      <c r="CI23" s="23">
        <f>'QTR Raw'!BC14</f>
        <v>77.123999999999995</v>
      </c>
      <c r="CJ23" s="23">
        <f>'QTR Raw'!BD14</f>
        <v>83.433999999999997</v>
      </c>
      <c r="CK23" s="23">
        <f>'QTR Raw'!BE14</f>
        <v>90.739000000000004</v>
      </c>
      <c r="CL23" s="23">
        <f>'QTR Raw'!BF14</f>
        <v>100.199</v>
      </c>
      <c r="CM23" s="24">
        <f t="shared" ref="CM23:DB23" si="255">CM26-CM20-CM21-CM22-CM24-CM25</f>
        <v>112.70080955881656</v>
      </c>
      <c r="CN23" s="24">
        <f t="shared" si="255"/>
        <v>119.84230156393696</v>
      </c>
      <c r="CO23" s="24">
        <f t="shared" si="255"/>
        <v>135.4378874293599</v>
      </c>
      <c r="CP23" s="24">
        <f t="shared" si="255"/>
        <v>140.99960148261727</v>
      </c>
      <c r="CQ23" s="24">
        <f t="shared" si="255"/>
        <v>159.00774046295197</v>
      </c>
      <c r="CR23" s="24">
        <f t="shared" si="255"/>
        <v>170.65899877985507</v>
      </c>
      <c r="CS23" s="24">
        <f t="shared" si="255"/>
        <v>192.47660642597492</v>
      </c>
      <c r="CT23" s="24">
        <f t="shared" si="255"/>
        <v>198.68005586577533</v>
      </c>
      <c r="CU23" s="24">
        <f t="shared" si="255"/>
        <v>220.98333011808589</v>
      </c>
      <c r="CV23" s="24">
        <f t="shared" si="255"/>
        <v>239.35159132681915</v>
      </c>
      <c r="CW23" s="24">
        <f t="shared" si="255"/>
        <v>268.99330587790189</v>
      </c>
      <c r="CX23" s="24">
        <f t="shared" si="255"/>
        <v>277.09175916275603</v>
      </c>
      <c r="CY23" s="24">
        <f t="shared" si="255"/>
        <v>304.27039017542609</v>
      </c>
      <c r="CZ23" s="24">
        <f t="shared" si="255"/>
        <v>331.94550922608005</v>
      </c>
      <c r="DA23" s="24">
        <f t="shared" si="255"/>
        <v>372.06137880449523</v>
      </c>
      <c r="DB23" s="24">
        <f t="shared" si="255"/>
        <v>382.85139308806833</v>
      </c>
      <c r="DE23" s="123"/>
      <c r="DF23" s="23">
        <v>351.49599999999998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2.5000000000000001E-2</v>
      </c>
      <c r="K24" s="23">
        <f>'Annual Raw'!L13</f>
        <v>0.16257969999999999</v>
      </c>
      <c r="L24" s="23">
        <f>'Annual Raw'!M13</f>
        <v>0.23543349999999999</v>
      </c>
      <c r="M24" s="23">
        <f>'Annual Raw'!N13</f>
        <v>0.44224239999999998</v>
      </c>
      <c r="N24" s="23">
        <f>'Annual Raw'!O13</f>
        <v>0.24353759999999999</v>
      </c>
      <c r="O24" s="23">
        <f>'Annual Raw'!P13</f>
        <v>0.35799409999999998</v>
      </c>
      <c r="P24" s="23">
        <f>'Annual Raw'!Q13</f>
        <v>0.45562649999999999</v>
      </c>
      <c r="Q24" s="23">
        <f>'Annual Raw'!R13</f>
        <v>0.48364360000000001</v>
      </c>
      <c r="R24" s="23">
        <f>'Annual Raw'!S13</f>
        <v>0.59168889999999996</v>
      </c>
      <c r="S24" s="23">
        <f>'Annual Raw'!T13</f>
        <v>0.69146759999999996</v>
      </c>
      <c r="T24" s="23">
        <f>'Annual Raw'!U13</f>
        <v>0.77600000000000002</v>
      </c>
      <c r="U24" s="23">
        <f>'Annual Raw'!V13</f>
        <v>0.89</v>
      </c>
      <c r="V24" s="23">
        <f>'Annual Raw'!W13</f>
        <v>0.71299999999999997</v>
      </c>
      <c r="W24" s="23">
        <f>'Annual Raw'!X13</f>
        <v>0.93899999999999995</v>
      </c>
      <c r="X24" s="23">
        <f>'Annual Raw'!Y13</f>
        <v>1.3819999999999999</v>
      </c>
      <c r="Y24" s="23">
        <f>'Annual Raw'!Z13</f>
        <v>1.905</v>
      </c>
      <c r="Z24" s="23">
        <f>'Annual Raw'!AA13</f>
        <v>1.6020000000000001</v>
      </c>
      <c r="AA24" s="23">
        <f>'Annual Raw'!AB13</f>
        <v>1.724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1.3407575</v>
      </c>
      <c r="K25" s="23">
        <f>'Annual Raw'!L18</f>
        <v>0.55229099999999998</v>
      </c>
      <c r="L25" s="23">
        <f>'Annual Raw'!M18</f>
        <v>0.55482526300000001</v>
      </c>
      <c r="M25" s="23">
        <f>'Annual Raw'!N18</f>
        <v>0.13859389999999999</v>
      </c>
      <c r="N25" s="23">
        <f>'Annual Raw'!O18</f>
        <v>0.52534499999999995</v>
      </c>
      <c r="O25" s="23">
        <f>'Annual Raw'!P18</f>
        <v>0.40537000000000001</v>
      </c>
      <c r="P25" s="23">
        <f>'Annual Raw'!Q18</f>
        <v>1.9773763</v>
      </c>
      <c r="Q25" s="23">
        <f>'Annual Raw'!R18</f>
        <v>1.4931531</v>
      </c>
      <c r="R25" s="23">
        <f>'Annual Raw'!S18</f>
        <v>1.5041921</v>
      </c>
      <c r="S25" s="23">
        <f>'Annual Raw'!T18</f>
        <v>7.2668641000000003</v>
      </c>
      <c r="T25" s="23">
        <f>'Annual Raw'!U18</f>
        <v>7.25</v>
      </c>
      <c r="U25" s="23">
        <f>'Annual Raw'!V18</f>
        <v>8.1129999999999995</v>
      </c>
      <c r="V25" s="23">
        <f>'Annual Raw'!W18</f>
        <v>9.7650000000000006</v>
      </c>
      <c r="W25" s="23">
        <f>'Annual Raw'!X18</f>
        <v>13.221</v>
      </c>
      <c r="X25" s="23">
        <f>'Annual Raw'!Y18</f>
        <v>13.186</v>
      </c>
      <c r="Y25" s="23">
        <f>'Annual Raw'!Z18</f>
        <v>11.098000000000001</v>
      </c>
      <c r="Z25" s="23">
        <f>'Annual Raw'!AA18</f>
        <v>33.771999999999998</v>
      </c>
      <c r="AA25" s="23">
        <f>'Annual Raw'!AB18</f>
        <v>49.978000000000002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4.6928479999999997</v>
      </c>
      <c r="K26" s="22">
        <f t="shared" si="257"/>
        <v>7.9505962320000005</v>
      </c>
      <c r="L26" s="22">
        <f t="shared" si="257"/>
        <v>13.903515088999999</v>
      </c>
      <c r="M26" s="22">
        <f t="shared" si="257"/>
        <v>11.954496599999997</v>
      </c>
      <c r="N26" s="22">
        <f t="shared" si="257"/>
        <v>10.1781834</v>
      </c>
      <c r="O26" s="22">
        <f t="shared" si="257"/>
        <v>9.0130587999999978</v>
      </c>
      <c r="P26" s="22">
        <f t="shared" si="257"/>
        <v>15.691321299999998</v>
      </c>
      <c r="Q26" s="22">
        <f t="shared" si="257"/>
        <v>18.112278800000002</v>
      </c>
      <c r="R26" s="22">
        <f t="shared" si="257"/>
        <v>26.6253606</v>
      </c>
      <c r="S26" s="22">
        <f t="shared" si="257"/>
        <v>40.848400100000006</v>
      </c>
      <c r="T26" s="22">
        <f t="shared" si="257"/>
        <v>48.938000000000009</v>
      </c>
      <c r="U26" s="22">
        <f t="shared" si="257"/>
        <v>59.835000000000001</v>
      </c>
      <c r="V26" s="22">
        <f t="shared" si="257"/>
        <v>72.960000000000008</v>
      </c>
      <c r="W26" s="22">
        <f t="shared" si="257"/>
        <v>85.94</v>
      </c>
      <c r="X26" s="22">
        <f t="shared" si="257"/>
        <v>131.58100000000002</v>
      </c>
      <c r="Y26" s="22">
        <f t="shared" si="257"/>
        <v>230.023</v>
      </c>
      <c r="Z26" s="22">
        <f t="shared" ref="Z26:AA26" si="258">+SUM(Z20:Z25)</f>
        <v>363.40999999999997</v>
      </c>
      <c r="AA26" s="22">
        <f t="shared" si="258"/>
        <v>493.65999999999997</v>
      </c>
      <c r="AB26" s="21">
        <f t="shared" si="257"/>
        <v>657.50302003473075</v>
      </c>
      <c r="AC26" s="21">
        <f t="shared" si="257"/>
        <v>879.74239093455719</v>
      </c>
      <c r="AD26" s="21">
        <f t="shared" si="257"/>
        <v>1176.463305143563</v>
      </c>
      <c r="AE26" s="21">
        <f t="shared" si="257"/>
        <v>1573.0750222581296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0</v>
      </c>
      <c r="BA26" s="22">
        <f t="shared" si="259"/>
        <v>0</v>
      </c>
      <c r="BB26" s="22">
        <f t="shared" si="259"/>
        <v>0</v>
      </c>
      <c r="BC26" s="22">
        <f t="shared" si="259"/>
        <v>0</v>
      </c>
      <c r="BD26" s="22">
        <f t="shared" si="259"/>
        <v>0</v>
      </c>
      <c r="BE26" s="22">
        <f t="shared" si="259"/>
        <v>0</v>
      </c>
      <c r="BF26" s="22">
        <f t="shared" si="259"/>
        <v>0</v>
      </c>
      <c r="BG26" s="22">
        <f t="shared" si="259"/>
        <v>0</v>
      </c>
      <c r="BH26" s="22">
        <f t="shared" si="259"/>
        <v>0</v>
      </c>
      <c r="BI26" s="22">
        <f t="shared" si="259"/>
        <v>0</v>
      </c>
      <c r="BJ26" s="22">
        <f t="shared" si="259"/>
        <v>0</v>
      </c>
      <c r="BK26" s="22">
        <f t="shared" si="259"/>
        <v>0</v>
      </c>
      <c r="BL26" s="22">
        <f t="shared" si="259"/>
        <v>0</v>
      </c>
      <c r="BM26" s="22">
        <f t="shared" si="259"/>
        <v>0</v>
      </c>
      <c r="BN26" s="22">
        <f t="shared" si="259"/>
        <v>0</v>
      </c>
      <c r="BO26" s="22">
        <f t="shared" ref="BO26:CH26" si="260">+SUM(BO20:BO25)</f>
        <v>0</v>
      </c>
      <c r="BP26" s="22">
        <f t="shared" si="260"/>
        <v>0</v>
      </c>
      <c r="BQ26" s="22">
        <f t="shared" si="260"/>
        <v>0</v>
      </c>
      <c r="BR26" s="22">
        <f t="shared" si="260"/>
        <v>26.771000000000001</v>
      </c>
      <c r="BS26" s="22">
        <f t="shared" si="260"/>
        <v>24.373000000000001</v>
      </c>
      <c r="BT26" s="22">
        <f t="shared" si="260"/>
        <v>18.34</v>
      </c>
      <c r="BU26" s="22">
        <f t="shared" si="260"/>
        <v>19.457000000000001</v>
      </c>
      <c r="BV26" s="22">
        <f t="shared" si="260"/>
        <v>23.056999999999999</v>
      </c>
      <c r="BW26" s="22">
        <f t="shared" si="260"/>
        <v>28.207999999999998</v>
      </c>
      <c r="BX26" s="22">
        <f t="shared" si="260"/>
        <v>29.454000000000001</v>
      </c>
      <c r="BY26" s="22">
        <f t="shared" si="260"/>
        <v>30.792999999999999</v>
      </c>
      <c r="BZ26" s="22">
        <f t="shared" si="260"/>
        <v>43.128</v>
      </c>
      <c r="CA26" s="22">
        <f t="shared" si="260"/>
        <v>52.463999999999999</v>
      </c>
      <c r="CB26" s="22">
        <f t="shared" si="260"/>
        <v>57.315999999999995</v>
      </c>
      <c r="CC26" s="22">
        <f t="shared" si="260"/>
        <v>61.888999999999996</v>
      </c>
      <c r="CD26" s="22">
        <f t="shared" si="260"/>
        <v>58.353999999999999</v>
      </c>
      <c r="CE26" s="22">
        <f t="shared" si="260"/>
        <v>58.125</v>
      </c>
      <c r="CF26" s="22">
        <f t="shared" si="260"/>
        <v>100.58499999999999</v>
      </c>
      <c r="CG26" s="22">
        <f t="shared" si="260"/>
        <v>104.11</v>
      </c>
      <c r="CH26" s="22">
        <f t="shared" si="260"/>
        <v>100.59</v>
      </c>
      <c r="CI26" s="22">
        <f t="shared" ref="CI26:CJ26" si="261">+SUM(CI20:CI25)</f>
        <v>103.81899999999999</v>
      </c>
      <c r="CJ26" s="22">
        <f t="shared" si="261"/>
        <v>119.818</v>
      </c>
      <c r="CK26" s="22">
        <f t="shared" ref="CK26:CL26" si="262">+SUM(CK20:CK25)</f>
        <v>128.63400000000001</v>
      </c>
      <c r="CL26" s="22">
        <f t="shared" si="262"/>
        <v>138.03100000000001</v>
      </c>
      <c r="CM26" s="21">
        <f t="shared" ref="CM26:DB26" si="263">CM27*CM10</f>
        <v>141.26445955881655</v>
      </c>
      <c r="CN26" s="21">
        <f t="shared" si="263"/>
        <v>158.77318156393696</v>
      </c>
      <c r="CO26" s="21">
        <f t="shared" si="263"/>
        <v>175.98553742935991</v>
      </c>
      <c r="CP26" s="21">
        <f t="shared" si="263"/>
        <v>181.47984148261727</v>
      </c>
      <c r="CQ26" s="21">
        <f t="shared" si="263"/>
        <v>189.57084596295198</v>
      </c>
      <c r="CR26" s="21">
        <f t="shared" si="263"/>
        <v>212.31504037985508</v>
      </c>
      <c r="CS26" s="21">
        <f t="shared" si="263"/>
        <v>235.86259192597493</v>
      </c>
      <c r="CT26" s="21">
        <f t="shared" si="263"/>
        <v>241.99391266577533</v>
      </c>
      <c r="CU26" s="21">
        <f t="shared" si="263"/>
        <v>253.6858530030859</v>
      </c>
      <c r="CV26" s="21">
        <f t="shared" si="263"/>
        <v>283.92355583881914</v>
      </c>
      <c r="CW26" s="21">
        <f t="shared" si="263"/>
        <v>315.41631036290187</v>
      </c>
      <c r="CX26" s="21">
        <f t="shared" si="263"/>
        <v>323.43758593875606</v>
      </c>
      <c r="CY26" s="21">
        <f t="shared" si="263"/>
        <v>339.26208966237613</v>
      </c>
      <c r="CZ26" s="21">
        <f t="shared" si="263"/>
        <v>379.63751125392002</v>
      </c>
      <c r="DA26" s="21">
        <f t="shared" si="263"/>
        <v>421.73399360344524</v>
      </c>
      <c r="DB26" s="21">
        <f t="shared" si="263"/>
        <v>432.44142773838837</v>
      </c>
      <c r="DE26" s="126"/>
      <c r="DF26" s="22">
        <v>490.30200000000002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>
        <f t="shared" si="265"/>
        <v>0.74152023682644963</v>
      </c>
      <c r="K27" s="44">
        <f t="shared" si="265"/>
        <v>1.8699680421731548</v>
      </c>
      <c r="L27" s="44">
        <f t="shared" si="265"/>
        <v>1.1730823268933219</v>
      </c>
      <c r="M27" s="44">
        <f t="shared" si="265"/>
        <v>1.1485656246840228</v>
      </c>
      <c r="N27" s="44">
        <f t="shared" si="265"/>
        <v>0.58453189357992075</v>
      </c>
      <c r="O27" s="44">
        <f t="shared" si="265"/>
        <v>0.55564607478434436</v>
      </c>
      <c r="P27" s="44">
        <f t="shared" si="265"/>
        <v>0.4444196958040485</v>
      </c>
      <c r="Q27" s="44">
        <f t="shared" si="265"/>
        <v>0.38327987107232425</v>
      </c>
      <c r="R27" s="44">
        <f t="shared" si="265"/>
        <v>0.38982282649741473</v>
      </c>
      <c r="S27" s="44">
        <f t="shared" si="265"/>
        <v>0.53569173866280617</v>
      </c>
      <c r="T27" s="44">
        <f t="shared" si="265"/>
        <v>0.48174909434556629</v>
      </c>
      <c r="U27" s="44">
        <f t="shared" si="265"/>
        <v>0.51382567625590381</v>
      </c>
      <c r="V27" s="44">
        <f t="shared" si="265"/>
        <v>0.55443678615123915</v>
      </c>
      <c r="W27" s="44">
        <f t="shared" si="265"/>
        <v>0.47055087413831809</v>
      </c>
      <c r="X27" s="44">
        <f t="shared" si="265"/>
        <v>0.52895395908456855</v>
      </c>
      <c r="Y27" s="44">
        <f t="shared" si="265"/>
        <v>0.61648696528453384</v>
      </c>
      <c r="Z27" s="44">
        <f t="shared" ref="Z27:AA27" si="266">Z26/Z10</f>
        <v>0.69969290603309675</v>
      </c>
      <c r="AA27" s="44">
        <f t="shared" si="266"/>
        <v>0.70364035462812502</v>
      </c>
      <c r="AB27" s="52">
        <f t="shared" si="265"/>
        <v>0.69939028899913702</v>
      </c>
      <c r="AC27" s="52">
        <f t="shared" si="265"/>
        <v>0.69971989920054745</v>
      </c>
      <c r="AD27" s="52">
        <f t="shared" si="265"/>
        <v>0.69981790476566064</v>
      </c>
      <c r="AE27" s="52">
        <f t="shared" si="265"/>
        <v>0.69983995714732172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 t="e">
        <f t="shared" si="267"/>
        <v>#DIV/0!</v>
      </c>
      <c r="BA27" s="44" t="e">
        <f t="shared" si="267"/>
        <v>#DIV/0!</v>
      </c>
      <c r="BB27" s="44" t="e">
        <f t="shared" si="267"/>
        <v>#DIV/0!</v>
      </c>
      <c r="BC27" s="44" t="e">
        <f t="shared" si="267"/>
        <v>#DIV/0!</v>
      </c>
      <c r="BD27" s="44" t="e">
        <f t="shared" si="267"/>
        <v>#DIV/0!</v>
      </c>
      <c r="BE27" s="44" t="e">
        <f t="shared" si="267"/>
        <v>#DIV/0!</v>
      </c>
      <c r="BF27" s="44" t="e">
        <f t="shared" si="267"/>
        <v>#DIV/0!</v>
      </c>
      <c r="BG27" s="44" t="e">
        <f t="shared" si="267"/>
        <v>#DIV/0!</v>
      </c>
      <c r="BH27" s="44" t="e">
        <f t="shared" si="267"/>
        <v>#DIV/0!</v>
      </c>
      <c r="BI27" s="44" t="e">
        <f t="shared" si="267"/>
        <v>#DIV/0!</v>
      </c>
      <c r="BJ27" s="44" t="e">
        <f t="shared" si="267"/>
        <v>#DIV/0!</v>
      </c>
      <c r="BK27" s="44" t="e">
        <f t="shared" si="267"/>
        <v>#DIV/0!</v>
      </c>
      <c r="BL27" s="44" t="e">
        <f t="shared" si="267"/>
        <v>#DIV/0!</v>
      </c>
      <c r="BM27" s="44" t="e">
        <f t="shared" si="267"/>
        <v>#DIV/0!</v>
      </c>
      <c r="BN27" s="44" t="e">
        <f t="shared" si="267"/>
        <v>#DIV/0!</v>
      </c>
      <c r="BO27" s="44" t="e">
        <f t="shared" ref="BO27:CH27" si="268">BO26/BO10</f>
        <v>#DIV/0!</v>
      </c>
      <c r="BP27" s="44" t="e">
        <f t="shared" si="268"/>
        <v>#DIV/0!</v>
      </c>
      <c r="BQ27" s="44" t="e">
        <f t="shared" si="268"/>
        <v>#DIV/0!</v>
      </c>
      <c r="BR27" s="44">
        <f t="shared" si="268"/>
        <v>0.6864358974358975</v>
      </c>
      <c r="BS27" s="44">
        <f t="shared" si="268"/>
        <v>0.56792338521763452</v>
      </c>
      <c r="BT27" s="44">
        <f t="shared" si="268"/>
        <v>0.37404907099590057</v>
      </c>
      <c r="BU27" s="44">
        <f t="shared" si="268"/>
        <v>0.42954279532860901</v>
      </c>
      <c r="BV27" s="44">
        <f t="shared" si="268"/>
        <v>0.50794175313374301</v>
      </c>
      <c r="BW27" s="44">
        <f t="shared" si="268"/>
        <v>0.54021755783667835</v>
      </c>
      <c r="BX27" s="44">
        <f t="shared" si="268"/>
        <v>0.50358187009523159</v>
      </c>
      <c r="BY27" s="44">
        <f t="shared" si="268"/>
        <v>0.5028085300937265</v>
      </c>
      <c r="BZ27" s="44">
        <f t="shared" si="268"/>
        <v>0.56148207938967065</v>
      </c>
      <c r="CA27" s="44">
        <f t="shared" si="268"/>
        <v>0.65786404845201818</v>
      </c>
      <c r="CB27" s="44">
        <f t="shared" si="268"/>
        <v>0.59518172377985457</v>
      </c>
      <c r="CC27" s="44">
        <f t="shared" si="268"/>
        <v>0.63555423196204475</v>
      </c>
      <c r="CD27" s="44">
        <f t="shared" si="268"/>
        <v>0.58534285599646918</v>
      </c>
      <c r="CE27" s="44">
        <f t="shared" si="268"/>
        <v>0.6287726358148894</v>
      </c>
      <c r="CF27" s="44">
        <f t="shared" si="268"/>
        <v>0.71227764559256734</v>
      </c>
      <c r="CG27" s="44">
        <f t="shared" si="268"/>
        <v>0.74980194454447247</v>
      </c>
      <c r="CH27" s="44">
        <f t="shared" si="268"/>
        <v>0.68485875937008511</v>
      </c>
      <c r="CI27" s="44">
        <f t="shared" ref="CI27:CJ27" si="269">CI26/CI10</f>
        <v>0.70481809109362581</v>
      </c>
      <c r="CJ27" s="44">
        <f t="shared" si="269"/>
        <v>0.69309038322487349</v>
      </c>
      <c r="CK27" s="44">
        <f t="shared" ref="CK27:CL27" si="270">CK26/CK10</f>
        <v>0.68418701132918469</v>
      </c>
      <c r="CL27" s="44">
        <f t="shared" si="270"/>
        <v>0.71372210386978019</v>
      </c>
      <c r="CM27" s="52">
        <f t="shared" ref="CM27:DB27" si="271">AVERAGE(CI27:CL27)</f>
        <v>0.69895439737936604</v>
      </c>
      <c r="CN27" s="52">
        <f t="shared" si="271"/>
        <v>0.69748847395080105</v>
      </c>
      <c r="CO27" s="52">
        <f t="shared" si="271"/>
        <v>0.69858799663228299</v>
      </c>
      <c r="CP27" s="52">
        <f t="shared" si="271"/>
        <v>0.70218824295805748</v>
      </c>
      <c r="CQ27" s="52">
        <f t="shared" si="271"/>
        <v>0.69930477773012689</v>
      </c>
      <c r="CR27" s="52">
        <f t="shared" si="271"/>
        <v>0.69939237281781708</v>
      </c>
      <c r="CS27" s="52">
        <f t="shared" si="271"/>
        <v>0.69986834753457106</v>
      </c>
      <c r="CT27" s="52">
        <f t="shared" si="271"/>
        <v>0.70018843526014307</v>
      </c>
      <c r="CU27" s="52">
        <f t="shared" si="271"/>
        <v>0.69968848333566447</v>
      </c>
      <c r="CV27" s="52">
        <f t="shared" si="271"/>
        <v>0.69978440973704892</v>
      </c>
      <c r="CW27" s="52">
        <f t="shared" si="271"/>
        <v>0.69988241896685688</v>
      </c>
      <c r="CX27" s="52">
        <f t="shared" si="271"/>
        <v>0.69988593682492828</v>
      </c>
      <c r="CY27" s="52">
        <f t="shared" si="271"/>
        <v>0.69981031221612466</v>
      </c>
      <c r="CZ27" s="52">
        <f t="shared" si="271"/>
        <v>0.69984076943623974</v>
      </c>
      <c r="DA27" s="52">
        <f t="shared" si="271"/>
        <v>0.69985485936103742</v>
      </c>
      <c r="DB27" s="52">
        <f t="shared" si="271"/>
        <v>0.6998479694595825</v>
      </c>
      <c r="DE27" s="128"/>
      <c r="DF27" s="44">
        <v>0.69885401522278301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0</v>
      </c>
      <c r="J28" s="26">
        <f t="shared" si="273"/>
        <v>1.2583348000000001</v>
      </c>
      <c r="K28" s="26">
        <f t="shared" si="273"/>
        <v>-4.0912204320000001</v>
      </c>
      <c r="L28" s="26">
        <f t="shared" si="273"/>
        <v>-3.2689827889999989</v>
      </c>
      <c r="M28" s="26">
        <f t="shared" si="273"/>
        <v>-4.9578328999999979</v>
      </c>
      <c r="N28" s="26">
        <f t="shared" si="273"/>
        <v>1.3277118000000012</v>
      </c>
      <c r="O28" s="26">
        <f t="shared" si="273"/>
        <v>1.2727128000000025</v>
      </c>
      <c r="P28" s="26">
        <f t="shared" si="273"/>
        <v>6.1557266000000048</v>
      </c>
      <c r="Q28" s="26">
        <f t="shared" si="273"/>
        <v>11.145335899999999</v>
      </c>
      <c r="R28" s="26">
        <f t="shared" si="273"/>
        <v>18.522263900000006</v>
      </c>
      <c r="S28" s="26">
        <f t="shared" si="273"/>
        <v>14.906502200000006</v>
      </c>
      <c r="T28" s="26">
        <f t="shared" si="273"/>
        <v>32.213999999999992</v>
      </c>
      <c r="U28" s="26">
        <f t="shared" si="273"/>
        <v>31.938000000000009</v>
      </c>
      <c r="V28" s="26">
        <f t="shared" si="273"/>
        <v>39.926999999999978</v>
      </c>
      <c r="W28" s="26">
        <f t="shared" si="273"/>
        <v>66.990000000000009</v>
      </c>
      <c r="X28" s="26">
        <f t="shared" si="273"/>
        <v>87.309999999999974</v>
      </c>
      <c r="Y28" s="26">
        <f t="shared" si="273"/>
        <v>109.55500000000004</v>
      </c>
      <c r="Z28" s="26">
        <f t="shared" ref="Z28:AA28" si="274">Z16-Z26</f>
        <v>123.93099999999998</v>
      </c>
      <c r="AA28" s="26">
        <f t="shared" si="274"/>
        <v>155.67500000000007</v>
      </c>
      <c r="AB28" s="27">
        <f t="shared" si="273"/>
        <v>210.92327221563369</v>
      </c>
      <c r="AC28" s="27">
        <f t="shared" si="273"/>
        <v>281.42730947556686</v>
      </c>
      <c r="AD28" s="27">
        <f t="shared" si="273"/>
        <v>376.13570230486857</v>
      </c>
      <c r="AE28" s="27">
        <f t="shared" si="273"/>
        <v>502.89186506789611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0</v>
      </c>
      <c r="BA28" s="26">
        <f t="shared" si="275"/>
        <v>0</v>
      </c>
      <c r="BB28" s="26">
        <f t="shared" si="275"/>
        <v>0</v>
      </c>
      <c r="BC28" s="26">
        <f t="shared" si="275"/>
        <v>0</v>
      </c>
      <c r="BD28" s="26">
        <f t="shared" si="275"/>
        <v>0</v>
      </c>
      <c r="BE28" s="26">
        <f t="shared" si="275"/>
        <v>0</v>
      </c>
      <c r="BF28" s="26">
        <f t="shared" si="275"/>
        <v>0</v>
      </c>
      <c r="BG28" s="26">
        <f t="shared" si="275"/>
        <v>0</v>
      </c>
      <c r="BH28" s="26">
        <f t="shared" si="275"/>
        <v>0</v>
      </c>
      <c r="BI28" s="26">
        <f t="shared" si="275"/>
        <v>0</v>
      </c>
      <c r="BJ28" s="26">
        <f t="shared" si="275"/>
        <v>0</v>
      </c>
      <c r="BK28" s="26">
        <f t="shared" si="275"/>
        <v>0</v>
      </c>
      <c r="BL28" s="26">
        <f t="shared" si="275"/>
        <v>0</v>
      </c>
      <c r="BM28" s="26">
        <f t="shared" si="275"/>
        <v>0</v>
      </c>
      <c r="BN28" s="26">
        <f t="shared" si="275"/>
        <v>0</v>
      </c>
      <c r="BO28" s="26">
        <f t="shared" ref="BO28:CT28" si="276">BO16-BO26</f>
        <v>0</v>
      </c>
      <c r="BP28" s="26">
        <f t="shared" si="276"/>
        <v>0</v>
      </c>
      <c r="BQ28" s="26">
        <f t="shared" si="276"/>
        <v>0</v>
      </c>
      <c r="BR28" s="26">
        <f t="shared" si="276"/>
        <v>12.308</v>
      </c>
      <c r="BS28" s="26">
        <f t="shared" si="276"/>
        <v>14.448999999999995</v>
      </c>
      <c r="BT28" s="26">
        <f t="shared" si="276"/>
        <v>16.730999999999998</v>
      </c>
      <c r="BU28" s="26">
        <f t="shared" si="276"/>
        <v>18.11699999999999</v>
      </c>
      <c r="BV28" s="26">
        <f t="shared" si="276"/>
        <v>18.407</v>
      </c>
      <c r="BW28" s="26">
        <f t="shared" si="276"/>
        <v>20.575000000000003</v>
      </c>
      <c r="BX28" s="26">
        <f t="shared" si="276"/>
        <v>21.744999999999997</v>
      </c>
      <c r="BY28" s="26">
        <f t="shared" si="276"/>
        <v>21.224999999999994</v>
      </c>
      <c r="BZ28" s="26">
        <f t="shared" si="276"/>
        <v>23.76400000000001</v>
      </c>
      <c r="CA28" s="26">
        <f t="shared" si="276"/>
        <v>23.771999999999991</v>
      </c>
      <c r="CB28" s="26">
        <f t="shared" si="276"/>
        <v>28.257999999999988</v>
      </c>
      <c r="CC28" s="26">
        <f t="shared" si="276"/>
        <v>24.62700000000001</v>
      </c>
      <c r="CD28" s="26">
        <f t="shared" si="276"/>
        <v>32.897999999999996</v>
      </c>
      <c r="CE28" s="26">
        <f t="shared" si="276"/>
        <v>26.871999999999986</v>
      </c>
      <c r="CF28" s="26">
        <f t="shared" si="276"/>
        <v>32.374000000000009</v>
      </c>
      <c r="CG28" s="26">
        <f t="shared" si="276"/>
        <v>29.903000000000006</v>
      </c>
      <c r="CH28" s="26">
        <f t="shared" si="276"/>
        <v>34.782000000000011</v>
      </c>
      <c r="CI28" s="26">
        <f t="shared" ref="CI28:CJ28" si="277">CI16-CI26</f>
        <v>34.678000000000026</v>
      </c>
      <c r="CJ28" s="26">
        <f t="shared" si="277"/>
        <v>41.251999999999995</v>
      </c>
      <c r="CK28" s="26">
        <f t="shared" ref="CK28:CL28" si="278">CK16-CK26</f>
        <v>41.089999999999975</v>
      </c>
      <c r="CL28" s="26">
        <f t="shared" si="278"/>
        <v>42.012999999999977</v>
      </c>
      <c r="CM28" s="27">
        <f t="shared" si="276"/>
        <v>45.971525182656904</v>
      </c>
      <c r="CN28" s="27">
        <f t="shared" si="276"/>
        <v>51.324625740171257</v>
      </c>
      <c r="CO28" s="27">
        <f t="shared" si="276"/>
        <v>55.970629336836822</v>
      </c>
      <c r="CP28" s="27">
        <f t="shared" si="276"/>
        <v>57.656491955968676</v>
      </c>
      <c r="CQ28" s="27">
        <f t="shared" si="276"/>
        <v>60.871704332635261</v>
      </c>
      <c r="CR28" s="27">
        <f t="shared" si="276"/>
        <v>67.945443272798116</v>
      </c>
      <c r="CS28" s="27">
        <f t="shared" si="276"/>
        <v>75.291025997471479</v>
      </c>
      <c r="CT28" s="27">
        <f t="shared" si="276"/>
        <v>77.319135872661889</v>
      </c>
      <c r="CU28" s="27">
        <f t="shared" ref="CU28:DB28" si="279">CU16-CU26</f>
        <v>81.169803644962002</v>
      </c>
      <c r="CV28" s="27">
        <f t="shared" si="279"/>
        <v>90.763797748853676</v>
      </c>
      <c r="CW28" s="27">
        <f t="shared" si="279"/>
        <v>100.80412374349123</v>
      </c>
      <c r="CX28" s="27">
        <f t="shared" si="279"/>
        <v>103.39797716756152</v>
      </c>
      <c r="CY28" s="27">
        <f t="shared" si="279"/>
        <v>108.47175117243904</v>
      </c>
      <c r="CZ28" s="27">
        <f t="shared" si="279"/>
        <v>121.35877544475301</v>
      </c>
      <c r="DA28" s="27">
        <f t="shared" si="279"/>
        <v>134.81505247268819</v>
      </c>
      <c r="DB28" s="27">
        <f t="shared" si="279"/>
        <v>138.24628597801552</v>
      </c>
      <c r="DE28" s="121"/>
      <c r="DF28" s="26">
        <v>159.0329999999999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 t="e">
        <f t="shared" si="281"/>
        <v>#DIV/0!</v>
      </c>
      <c r="J29" s="166">
        <f t="shared" si="281"/>
        <v>0.19883037313438734</v>
      </c>
      <c r="K29" s="166">
        <f t="shared" si="281"/>
        <v>-0.96224877205232584</v>
      </c>
      <c r="L29" s="166">
        <f t="shared" si="281"/>
        <v>-0.27581413132915544</v>
      </c>
      <c r="M29" s="166">
        <f t="shared" si="281"/>
        <v>-0.47633929159907074</v>
      </c>
      <c r="N29" s="166">
        <f t="shared" si="281"/>
        <v>7.6250334866475852E-2</v>
      </c>
      <c r="O29" s="166">
        <f t="shared" si="281"/>
        <v>7.8461473217926195E-2</v>
      </c>
      <c r="P29" s="166">
        <f t="shared" si="281"/>
        <v>0.17434644863367191</v>
      </c>
      <c r="Q29" s="166">
        <f t="shared" si="281"/>
        <v>0.23585010776279272</v>
      </c>
      <c r="R29" s="166">
        <f t="shared" si="281"/>
        <v>0.27118510712786476</v>
      </c>
      <c r="S29" s="166">
        <f t="shared" si="281"/>
        <v>0.19548599360930533</v>
      </c>
      <c r="T29" s="166">
        <f t="shared" si="281"/>
        <v>0.31711686879823586</v>
      </c>
      <c r="U29" s="166">
        <f t="shared" si="281"/>
        <v>0.27426363246028346</v>
      </c>
      <c r="V29" s="166">
        <f t="shared" si="281"/>
        <v>0.30341279551343903</v>
      </c>
      <c r="W29" s="166">
        <f t="shared" si="281"/>
        <v>0.36679314706220539</v>
      </c>
      <c r="X29" s="166">
        <f t="shared" si="281"/>
        <v>0.35098509790679244</v>
      </c>
      <c r="Y29" s="166">
        <f t="shared" si="281"/>
        <v>0.29361946188749444</v>
      </c>
      <c r="Z29" s="166">
        <f t="shared" ref="Z29:AA29" si="282">Z28/Z10</f>
        <v>0.23861104960674642</v>
      </c>
      <c r="AA29" s="166">
        <f t="shared" si="282"/>
        <v>0.22189201516576879</v>
      </c>
      <c r="AB29" s="167">
        <f t="shared" si="281"/>
        <v>0.22436047260093722</v>
      </c>
      <c r="AC29" s="167">
        <f t="shared" si="281"/>
        <v>0.22383858121163738</v>
      </c>
      <c r="AD29" s="167">
        <f t="shared" si="281"/>
        <v>0.22374390934567401</v>
      </c>
      <c r="AE29" s="167">
        <f t="shared" si="281"/>
        <v>0.2237298388945507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 t="e">
        <f t="shared" si="283"/>
        <v>#DIV/0!</v>
      </c>
      <c r="BA29" s="166" t="e">
        <f t="shared" si="283"/>
        <v>#DIV/0!</v>
      </c>
      <c r="BB29" s="166" t="e">
        <f t="shared" si="283"/>
        <v>#DIV/0!</v>
      </c>
      <c r="BC29" s="166" t="e">
        <f t="shared" si="283"/>
        <v>#DIV/0!</v>
      </c>
      <c r="BD29" s="166" t="e">
        <f t="shared" si="283"/>
        <v>#DIV/0!</v>
      </c>
      <c r="BE29" s="166" t="e">
        <f t="shared" si="283"/>
        <v>#DIV/0!</v>
      </c>
      <c r="BF29" s="166" t="e">
        <f t="shared" si="283"/>
        <v>#DIV/0!</v>
      </c>
      <c r="BG29" s="166" t="e">
        <f t="shared" si="283"/>
        <v>#DIV/0!</v>
      </c>
      <c r="BH29" s="166" t="e">
        <f t="shared" si="283"/>
        <v>#DIV/0!</v>
      </c>
      <c r="BI29" s="166" t="e">
        <f t="shared" si="283"/>
        <v>#DIV/0!</v>
      </c>
      <c r="BJ29" s="166" t="e">
        <f t="shared" si="283"/>
        <v>#DIV/0!</v>
      </c>
      <c r="BK29" s="166" t="e">
        <f t="shared" si="283"/>
        <v>#DIV/0!</v>
      </c>
      <c r="BL29" s="166" t="e">
        <f t="shared" si="283"/>
        <v>#DIV/0!</v>
      </c>
      <c r="BM29" s="166" t="e">
        <f t="shared" si="283"/>
        <v>#DIV/0!</v>
      </c>
      <c r="BN29" s="166" t="e">
        <f t="shared" si="283"/>
        <v>#DIV/0!</v>
      </c>
      <c r="BO29" s="166" t="e">
        <f t="shared" ref="BO29:CT29" si="284">BO28/BO10</f>
        <v>#DIV/0!</v>
      </c>
      <c r="BP29" s="166" t="e">
        <f t="shared" si="284"/>
        <v>#DIV/0!</v>
      </c>
      <c r="BQ29" s="166" t="e">
        <f t="shared" si="284"/>
        <v>#DIV/0!</v>
      </c>
      <c r="BR29" s="166">
        <f t="shared" si="284"/>
        <v>0.31558974358974357</v>
      </c>
      <c r="BS29" s="166">
        <f t="shared" si="284"/>
        <v>0.33668095815080612</v>
      </c>
      <c r="BT29" s="166">
        <f t="shared" si="284"/>
        <v>0.34123309742815766</v>
      </c>
      <c r="BU29" s="166">
        <f t="shared" si="284"/>
        <v>0.39996026226902426</v>
      </c>
      <c r="BV29" s="166">
        <f t="shared" si="284"/>
        <v>0.4055030511312317</v>
      </c>
      <c r="BW29" s="166">
        <f t="shared" si="284"/>
        <v>0.39403631070936118</v>
      </c>
      <c r="BX29" s="166">
        <f t="shared" si="284"/>
        <v>0.3717793089298842</v>
      </c>
      <c r="BY29" s="166">
        <f t="shared" si="284"/>
        <v>0.34657587929852057</v>
      </c>
      <c r="BZ29" s="166">
        <f t="shared" si="284"/>
        <v>0.30938277069690551</v>
      </c>
      <c r="CA29" s="166">
        <f t="shared" si="284"/>
        <v>0.29808524244818108</v>
      </c>
      <c r="CB29" s="166">
        <f t="shared" si="284"/>
        <v>0.29343717549325016</v>
      </c>
      <c r="CC29" s="166">
        <f t="shared" si="284"/>
        <v>0.25290106594918782</v>
      </c>
      <c r="CD29" s="166">
        <f t="shared" si="284"/>
        <v>0.32999638887774341</v>
      </c>
      <c r="CE29" s="166">
        <f t="shared" si="284"/>
        <v>0.29069037883213245</v>
      </c>
      <c r="CF29" s="166">
        <f t="shared" si="284"/>
        <v>0.22925164287332886</v>
      </c>
      <c r="CG29" s="166">
        <f t="shared" si="284"/>
        <v>0.21536190133237312</v>
      </c>
      <c r="CH29" s="166">
        <f t="shared" si="284"/>
        <v>0.23681039236912524</v>
      </c>
      <c r="CI29" s="166">
        <f t="shared" ref="CI29:CJ29" si="285">CI28/CI10</f>
        <v>0.23542590241617406</v>
      </c>
      <c r="CJ29" s="166">
        <f t="shared" si="285"/>
        <v>0.23862328271872738</v>
      </c>
      <c r="CK29" s="166">
        <f t="shared" ref="CK29:CL29" si="286">CK28/CK10</f>
        <v>0.21855220466996425</v>
      </c>
      <c r="CL29" s="166">
        <f t="shared" si="286"/>
        <v>0.21723820554716736</v>
      </c>
      <c r="CM29" s="167">
        <f t="shared" si="284"/>
        <v>0.22745989883800816</v>
      </c>
      <c r="CN29" s="167">
        <f t="shared" si="284"/>
        <v>0.22546839794346688</v>
      </c>
      <c r="CO29" s="167">
        <f t="shared" si="284"/>
        <v>0.22217967674965175</v>
      </c>
      <c r="CP29" s="167">
        <f t="shared" si="284"/>
        <v>0.22308654476957362</v>
      </c>
      <c r="CQ29" s="167">
        <f t="shared" si="284"/>
        <v>0.22454862957517521</v>
      </c>
      <c r="CR29" s="167">
        <f t="shared" si="284"/>
        <v>0.22382081225946684</v>
      </c>
      <c r="CS29" s="167">
        <f t="shared" si="284"/>
        <v>0.22340891583846689</v>
      </c>
      <c r="CT29" s="167">
        <f t="shared" si="284"/>
        <v>0.22371622561067064</v>
      </c>
      <c r="CU29" s="167">
        <f t="shared" ref="CU29:DB29" si="287">CU28/CU10</f>
        <v>0.22387364582094493</v>
      </c>
      <c r="CV29" s="167">
        <f t="shared" si="287"/>
        <v>0.2237048998823874</v>
      </c>
      <c r="CW29" s="167">
        <f t="shared" si="287"/>
        <v>0.22367592178811746</v>
      </c>
      <c r="CX29" s="167">
        <f t="shared" si="287"/>
        <v>0.22374267327553027</v>
      </c>
      <c r="CY29" s="167">
        <f t="shared" si="287"/>
        <v>0.22374928519174497</v>
      </c>
      <c r="CZ29" s="167">
        <f t="shared" si="287"/>
        <v>0.22371819503444498</v>
      </c>
      <c r="DA29" s="167">
        <f t="shared" si="287"/>
        <v>0.22372151882245922</v>
      </c>
      <c r="DB29" s="167">
        <f t="shared" si="287"/>
        <v>0.22373291808104484</v>
      </c>
      <c r="DE29" s="169"/>
      <c r="DF29" s="168">
        <v>0.2266783545711108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 t="e">
        <f t="shared" si="289"/>
        <v>#DIV/0!</v>
      </c>
      <c r="K30" s="39">
        <f t="shared" si="289"/>
        <v>-4.2512972159714568</v>
      </c>
      <c r="L30" s="39">
        <f t="shared" si="289"/>
        <v>0.20097612843560442</v>
      </c>
      <c r="M30" s="39">
        <f t="shared" si="289"/>
        <v>-0.51662863343389698</v>
      </c>
      <c r="N30" s="39">
        <f t="shared" si="289"/>
        <v>1.2678008369342182</v>
      </c>
      <c r="O30" s="39">
        <f t="shared" si="289"/>
        <v>-4.1423899373341899E-2</v>
      </c>
      <c r="P30" s="39">
        <f t="shared" si="289"/>
        <v>3.8366973287296178</v>
      </c>
      <c r="Q30" s="39">
        <f t="shared" si="289"/>
        <v>0.81056382523551163</v>
      </c>
      <c r="R30" s="39">
        <f t="shared" si="289"/>
        <v>0.66188476203754498</v>
      </c>
      <c r="S30" s="39">
        <f t="shared" si="289"/>
        <v>-0.19521165012663488</v>
      </c>
      <c r="T30" s="39">
        <f t="shared" si="289"/>
        <v>1.1610703549220274</v>
      </c>
      <c r="U30" s="39">
        <f t="shared" si="289"/>
        <v>-8.5677034829572118E-3</v>
      </c>
      <c r="V30" s="39">
        <f t="shared" si="289"/>
        <v>0.25014089798985428</v>
      </c>
      <c r="W30" s="39">
        <f t="shared" si="289"/>
        <v>0.67781200691261656</v>
      </c>
      <c r="X30" s="39">
        <f t="shared" si="289"/>
        <v>0.30332885505299245</v>
      </c>
      <c r="Y30" s="39">
        <f t="shared" si="289"/>
        <v>0.25478181193448712</v>
      </c>
      <c r="Z30" s="39">
        <f t="shared" ref="Z30:AE30" si="290">+IF(Y28&lt;0,1-Z28/Y28,Z28/Y28-1)</f>
        <v>0.13122176075943548</v>
      </c>
      <c r="AA30" s="39">
        <f t="shared" si="290"/>
        <v>0.2561425309244667</v>
      </c>
      <c r="AB30" s="40">
        <f t="shared" si="290"/>
        <v>0.35489495561672446</v>
      </c>
      <c r="AC30" s="40">
        <f t="shared" si="290"/>
        <v>0.33426390800468253</v>
      </c>
      <c r="AD30" s="40">
        <f t="shared" si="290"/>
        <v>0.33652879319277362</v>
      </c>
      <c r="AE30" s="40">
        <f t="shared" si="290"/>
        <v>0.33699582886255253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 t="e">
        <f t="shared" ref="BD30" si="307">+IF(AZ28&lt;0,1-BD28/AZ28,BD28/AZ28-1)</f>
        <v>#DIV/0!</v>
      </c>
      <c r="BE30" s="39" t="e">
        <f t="shared" ref="BE30" si="308">+IF(BA28&lt;0,1-BE28/BA28,BE28/BA28-1)</f>
        <v>#DIV/0!</v>
      </c>
      <c r="BF30" s="39" t="e">
        <f t="shared" ref="BF30" si="309">+IF(BB28&lt;0,1-BF28/BB28,BF28/BB28-1)</f>
        <v>#DIV/0!</v>
      </c>
      <c r="BG30" s="39" t="e">
        <f t="shared" ref="BG30" si="310">+IF(BC28&lt;0,1-BG28/BC28,BG28/BC28-1)</f>
        <v>#DIV/0!</v>
      </c>
      <c r="BH30" s="39" t="e">
        <f t="shared" ref="BH30" si="311">+IF(BD28&lt;0,1-BH28/BD28,BH28/BD28-1)</f>
        <v>#DIV/0!</v>
      </c>
      <c r="BI30" s="39" t="e">
        <f t="shared" ref="BI30" si="312">+IF(BE28&lt;0,1-BI28/BE28,BI28/BE28-1)</f>
        <v>#DIV/0!</v>
      </c>
      <c r="BJ30" s="39" t="e">
        <f t="shared" ref="BJ30" si="313">+IF(BF28&lt;0,1-BJ28/BF28,BJ28/BF28-1)</f>
        <v>#DIV/0!</v>
      </c>
      <c r="BK30" s="39" t="e">
        <f t="shared" ref="BK30" si="314">+IF(BG28&lt;0,1-BK28/BG28,BK28/BG28-1)</f>
        <v>#DIV/0!</v>
      </c>
      <c r="BL30" s="39" t="e">
        <f t="shared" ref="BL30" si="315">+IF(BH28&lt;0,1-BL28/BH28,BL28/BH28-1)</f>
        <v>#DIV/0!</v>
      </c>
      <c r="BM30" s="39" t="e">
        <f t="shared" ref="BM30" si="316">+IF(BI28&lt;0,1-BM28/BI28,BM28/BI28-1)</f>
        <v>#DIV/0!</v>
      </c>
      <c r="BN30" s="39" t="e">
        <f t="shared" ref="BN30" si="317">+IF(BJ28&lt;0,1-BN28/BJ28,BN28/BJ28-1)</f>
        <v>#DIV/0!</v>
      </c>
      <c r="BO30" s="39" t="e">
        <f t="shared" ref="BO30" si="318">+IF(BK28&lt;0,1-BO28/BK28,BO28/BK28-1)</f>
        <v>#DIV/0!</v>
      </c>
      <c r="BP30" s="39" t="e">
        <f t="shared" ref="BP30" si="319">+IF(BL28&lt;0,1-BP28/BL28,BP28/BL28-1)</f>
        <v>#DIV/0!</v>
      </c>
      <c r="BQ30" s="39" t="e">
        <f t="shared" ref="BQ30" si="320">+IF(BM28&lt;0,1-BQ28/BM28,BQ28/BM28-1)</f>
        <v>#DIV/0!</v>
      </c>
      <c r="BR30" s="39" t="e">
        <f t="shared" ref="BR30" si="321">+IF(BN28&lt;0,1-BR28/BN28,BR28/BN28-1)</f>
        <v>#DIV/0!</v>
      </c>
      <c r="BS30" s="39" t="e">
        <f t="shared" ref="BS30" si="322">+IF(BO28&lt;0,1-BS28/BO28,BS28/BO28-1)</f>
        <v>#DIV/0!</v>
      </c>
      <c r="BT30" s="39" t="e">
        <f t="shared" ref="BT30" si="323">+IF(BP28&lt;0,1-BT28/BP28,BT28/BP28-1)</f>
        <v>#DIV/0!</v>
      </c>
      <c r="BU30" s="39" t="e">
        <f t="shared" ref="BU30" si="324">+IF(BQ28&lt;0,1-BU28/BQ28,BU28/BQ28-1)</f>
        <v>#DIV/0!</v>
      </c>
      <c r="BV30" s="39">
        <f t="shared" ref="BV30" si="325">+IF(BR28&lt;0,1-BV28/BR28,BV28/BR28-1)</f>
        <v>0.49553136171595713</v>
      </c>
      <c r="BW30" s="39">
        <f t="shared" ref="BW30" si="326">+IF(BS28&lt;0,1-BW28/BS28,BW28/BS28-1)</f>
        <v>0.42397397743788567</v>
      </c>
      <c r="BX30" s="39">
        <f t="shared" ref="BX30" si="327">+IF(BT28&lt;0,1-BX28/BT28,BX28/BT28-1)</f>
        <v>0.29968322276014581</v>
      </c>
      <c r="BY30" s="39">
        <f t="shared" ref="BY30" si="328">+IF(BU28&lt;0,1-BY28/BU28,BY28/BU28-1)</f>
        <v>0.17155158138764737</v>
      </c>
      <c r="BZ30" s="39">
        <f t="shared" ref="BZ30" si="329">+IF(BV28&lt;0,1-BZ28/BV28,BZ28/BV28-1)</f>
        <v>0.29103058619003686</v>
      </c>
      <c r="CA30" s="39">
        <f t="shared" ref="CA30" si="330">+IF(BW28&lt;0,1-CA28/BW28,CA28/BW28-1)</f>
        <v>0.15538274605103219</v>
      </c>
      <c r="CB30" s="39">
        <f t="shared" ref="CB30" si="331">+IF(BX28&lt;0,1-CB28/BX28,CB28/BX28-1)</f>
        <v>0.29951713037479832</v>
      </c>
      <c r="CC30" s="39">
        <f t="shared" ref="CC30" si="332">+IF(BY28&lt;0,1-CC28/BY28,CC28/BY28-1)</f>
        <v>0.16028268551236824</v>
      </c>
      <c r="CD30" s="39">
        <f t="shared" ref="CD30" si="333">+IF(BZ28&lt;0,1-CD28/BZ28,CD28/BZ28-1)</f>
        <v>0.38436290186837163</v>
      </c>
      <c r="CE30" s="39">
        <f t="shared" ref="CE30" si="334">+IF(CA28&lt;0,1-CE28/CA28,CE28/CA28-1)</f>
        <v>0.13040551909809839</v>
      </c>
      <c r="CF30" s="39">
        <f t="shared" ref="CF30" si="335">+IF(CB28&lt;0,1-CF28/CB28,CF28/CB28-1)</f>
        <v>0.14565786679878334</v>
      </c>
      <c r="CG30" s="39">
        <f t="shared" ref="CG30" si="336">+IF(CC28&lt;0,1-CG28/CC28,CG28/CC28-1)</f>
        <v>0.21423640719535442</v>
      </c>
      <c r="CH30" s="39">
        <f t="shared" ref="CH30:CL30" si="337">+IF(CD28&lt;0,1-CH28/CD28,CH28/CD28-1)</f>
        <v>5.7267919022433444E-2</v>
      </c>
      <c r="CI30" s="39">
        <f t="shared" si="337"/>
        <v>0.29048824054778377</v>
      </c>
      <c r="CJ30" s="39">
        <f t="shared" si="337"/>
        <v>0.27423240872304877</v>
      </c>
      <c r="CK30" s="39">
        <f t="shared" si="337"/>
        <v>0.37410962110824886</v>
      </c>
      <c r="CL30" s="39">
        <f t="shared" si="337"/>
        <v>0.2078948881605418</v>
      </c>
      <c r="CM30" s="40">
        <f t="shared" ref="CM30" si="338">+CM28/CI28-1</f>
        <v>0.32566829640281658</v>
      </c>
      <c r="CN30" s="40">
        <f t="shared" ref="CN30" si="339">+CN28/CJ28-1</f>
        <v>0.24417302773614047</v>
      </c>
      <c r="CO30" s="40">
        <f t="shared" ref="CO30" si="340">+CO28/CK28-1</f>
        <v>0.36214722163146407</v>
      </c>
      <c r="CP30" s="40">
        <f t="shared" ref="CP30" si="341">+CP28/CL28-1</f>
        <v>0.37234884335726348</v>
      </c>
      <c r="CQ30" s="40">
        <f t="shared" ref="CQ30" si="342">+CQ28/CM28-1</f>
        <v>0.32411757257946183</v>
      </c>
      <c r="CR30" s="40">
        <f t="shared" ref="CR30" si="343">+CR28/CN28-1</f>
        <v>0.3238370917066018</v>
      </c>
      <c r="CS30" s="40">
        <f t="shared" ref="CS30" si="344">+CS28/CO28-1</f>
        <v>0.34518812615742767</v>
      </c>
      <c r="CT30" s="40">
        <f t="shared" ref="CT30" si="345">+CT28/CP28-1</f>
        <v>0.34103087526915887</v>
      </c>
      <c r="CU30" s="40">
        <f t="shared" ref="CU30" si="346">+CU28/CQ28-1</f>
        <v>0.33345705586633767</v>
      </c>
      <c r="CV30" s="40">
        <f t="shared" ref="CV30" si="347">+CV28/CR28-1</f>
        <v>0.33583347722732215</v>
      </c>
      <c r="CW30" s="40">
        <f t="shared" ref="CW30" si="348">+CW28/CS28-1</f>
        <v>0.33885974334944735</v>
      </c>
      <c r="CX30" s="40">
        <f t="shared" ref="CX30" si="349">+CX28/CT28-1</f>
        <v>0.33728831809306925</v>
      </c>
      <c r="CY30" s="40">
        <f t="shared" ref="CY30" si="350">+CY28/CU28-1</f>
        <v>0.3363559636893565</v>
      </c>
      <c r="CZ30" s="40">
        <f t="shared" ref="CZ30" si="351">+CZ28/CV28-1</f>
        <v>0.33708348983541447</v>
      </c>
      <c r="DA30" s="40">
        <f t="shared" ref="DA30" si="352">+DA28/CW28-1</f>
        <v>0.33739620430352679</v>
      </c>
      <c r="DB30" s="40">
        <f t="shared" ref="DB30" si="353">+DB28/CX28-1</f>
        <v>0.33703085655129006</v>
      </c>
      <c r="DE30" s="122"/>
      <c r="DF30" s="38">
        <v>0.28323825354431031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 t="e">
        <f t="shared" ref="BA31" si="368">+IF(AZ28&lt;0,1-BA28/AZ28,BA28/AZ28-1)</f>
        <v>#DIV/0!</v>
      </c>
      <c r="BB31" s="39" t="e">
        <f t="shared" ref="BB31" si="369">+IF(BA28&lt;0,1-BB28/BA28,BB28/BA28-1)</f>
        <v>#DIV/0!</v>
      </c>
      <c r="BC31" s="39" t="e">
        <f t="shared" ref="BC31" si="370">+IF(BB28&lt;0,1-BC28/BB28,BC28/BB28-1)</f>
        <v>#DIV/0!</v>
      </c>
      <c r="BD31" s="39" t="e">
        <f t="shared" ref="BD31" si="371">+IF(BC28&lt;0,1-BD28/BC28,BD28/BC28-1)</f>
        <v>#DIV/0!</v>
      </c>
      <c r="BE31" s="39" t="e">
        <f t="shared" ref="BE31" si="372">+IF(BD28&lt;0,1-BE28/BD28,BE28/BD28-1)</f>
        <v>#DIV/0!</v>
      </c>
      <c r="BF31" s="39" t="e">
        <f t="shared" ref="BF31" si="373">+IF(BE28&lt;0,1-BF28/BE28,BF28/BE28-1)</f>
        <v>#DIV/0!</v>
      </c>
      <c r="BG31" s="39" t="e">
        <f t="shared" ref="BG31" si="374">+IF(BF28&lt;0,1-BG28/BF28,BG28/BF28-1)</f>
        <v>#DIV/0!</v>
      </c>
      <c r="BH31" s="39" t="e">
        <f t="shared" ref="BH31" si="375">+IF(BG28&lt;0,1-BH28/BG28,BH28/BG28-1)</f>
        <v>#DIV/0!</v>
      </c>
      <c r="BI31" s="39" t="e">
        <f t="shared" ref="BI31" si="376">+IF(BH28&lt;0,1-BI28/BH28,BI28/BH28-1)</f>
        <v>#DIV/0!</v>
      </c>
      <c r="BJ31" s="39" t="e">
        <f t="shared" ref="BJ31" si="377">+IF(BI28&lt;0,1-BJ28/BI28,BJ28/BI28-1)</f>
        <v>#DIV/0!</v>
      </c>
      <c r="BK31" s="39" t="e">
        <f t="shared" ref="BK31" si="378">+IF(BJ28&lt;0,1-BK28/BJ28,BK28/BJ28-1)</f>
        <v>#DIV/0!</v>
      </c>
      <c r="BL31" s="39" t="e">
        <f t="shared" ref="BL31" si="379">+IF(BK28&lt;0,1-BL28/BK28,BL28/BK28-1)</f>
        <v>#DIV/0!</v>
      </c>
      <c r="BM31" s="39" t="e">
        <f t="shared" ref="BM31" si="380">+IF(BL28&lt;0,1-BM28/BL28,BM28/BL28-1)</f>
        <v>#DIV/0!</v>
      </c>
      <c r="BN31" s="39" t="e">
        <f t="shared" ref="BN31" si="381">+IF(BM28&lt;0,1-BN28/BM28,BN28/BM28-1)</f>
        <v>#DIV/0!</v>
      </c>
      <c r="BO31" s="39" t="e">
        <f t="shared" ref="BO31" si="382">+IF(BN28&lt;0,1-BO28/BN28,BO28/BN28-1)</f>
        <v>#DIV/0!</v>
      </c>
      <c r="BP31" s="39" t="e">
        <f t="shared" ref="BP31" si="383">+IF(BO28&lt;0,1-BP28/BO28,BP28/BO28-1)</f>
        <v>#DIV/0!</v>
      </c>
      <c r="BQ31" s="39" t="e">
        <f t="shared" ref="BQ31" si="384">+IF(BP28&lt;0,1-BQ28/BP28,BQ28/BP28-1)</f>
        <v>#DIV/0!</v>
      </c>
      <c r="BR31" s="39" t="e">
        <f t="shared" ref="BR31" si="385">+IF(BQ28&lt;0,1-BR28/BQ28,BR28/BQ28-1)</f>
        <v>#DIV/0!</v>
      </c>
      <c r="BS31" s="39">
        <f t="shared" ref="BS31" si="386">+IF(BR28&lt;0,1-BS28/BR28,BS28/BR28-1)</f>
        <v>0.17395190120246951</v>
      </c>
      <c r="BT31" s="39">
        <f t="shared" ref="BT31" si="387">+IF(BS28&lt;0,1-BT28/BS28,BT28/BS28-1)</f>
        <v>0.15793480517682923</v>
      </c>
      <c r="BU31" s="39">
        <f t="shared" ref="BU31" si="388">+IF(BT28&lt;0,1-BU28/BT28,BU28/BT28-1)</f>
        <v>8.2840236686390067E-2</v>
      </c>
      <c r="BV31" s="39">
        <f t="shared" ref="BV31" si="389">+IF(BU28&lt;0,1-BV28/BU28,BV28/BU28-1)</f>
        <v>1.6007065187393588E-2</v>
      </c>
      <c r="BW31" s="39">
        <f t="shared" ref="BW31" si="390">+IF(BV28&lt;0,1-BW28/BV28,BW28/BV28-1)</f>
        <v>0.11778127886130285</v>
      </c>
      <c r="BX31" s="39">
        <f t="shared" ref="BX31" si="391">+IF(BW28&lt;0,1-BX28/BW28,BX28/BW28-1)</f>
        <v>5.6865127582016672E-2</v>
      </c>
      <c r="BY31" s="39">
        <f t="shared" ref="BY31" si="392">+IF(BX28&lt;0,1-BY28/BX28,BY28/BX28-1)</f>
        <v>-2.3913543343297428E-2</v>
      </c>
      <c r="BZ31" s="39">
        <f t="shared" ref="BZ31" si="393">+IF(BY28&lt;0,1-BZ28/BY28,BZ28/BY28-1)</f>
        <v>0.11962308598351079</v>
      </c>
      <c r="CA31" s="39">
        <f t="shared" ref="CA31" si="394">+IF(BZ28&lt;0,1-CA28/BZ28,CA28/BZ28-1)</f>
        <v>3.3664366268215673E-4</v>
      </c>
      <c r="CB31" s="39">
        <f t="shared" ref="CB31" si="395">+IF(CA28&lt;0,1-CB28/CA28,CB28/CA28-1)</f>
        <v>0.18870940602389363</v>
      </c>
      <c r="CC31" s="39">
        <f t="shared" ref="CC31" si="396">+IF(CB28&lt;0,1-CC28/CB28,CC28/CB28-1)</f>
        <v>-0.12849458560407601</v>
      </c>
      <c r="CD31" s="39">
        <f t="shared" ref="CD31" si="397">+IF(CC28&lt;0,1-CD28/CC28,CD28/CC28-1)</f>
        <v>0.33585089535875201</v>
      </c>
      <c r="CE31" s="39">
        <f t="shared" ref="CE31" si="398">+IF(CD28&lt;0,1-CE28/CD28,CE28/CD28-1)</f>
        <v>-0.18317222931485233</v>
      </c>
      <c r="CF31" s="39">
        <f t="shared" ref="CF31" si="399">+IF(CE28&lt;0,1-CF28/CE28,CF28/CE28-1)</f>
        <v>0.2047484370348327</v>
      </c>
      <c r="CG31" s="39">
        <f t="shared" ref="CG31" si="400">+IF(CF28&lt;0,1-CG28/CF28,CG28/CF28-1)</f>
        <v>-7.6326681905232729E-2</v>
      </c>
      <c r="CH31" s="39">
        <f t="shared" ref="CH31:CI31" si="401">+IF(CG28&lt;0,1-CH28/CG28,CH28/CG28-1)</f>
        <v>0.16316088686753849</v>
      </c>
      <c r="CI31" s="39">
        <f t="shared" si="401"/>
        <v>-2.9900523259153156E-3</v>
      </c>
      <c r="CJ31" s="39">
        <f>+IF(CI28&gt;1,CJ28/CI28-1,1-CJ28/CI28)</f>
        <v>0.18957263971393856</v>
      </c>
      <c r="CK31" s="39">
        <f>+IF(CJ28&gt;1,CK28/CJ28-1,1-CK28/CJ28)</f>
        <v>-3.9270823232817609E-3</v>
      </c>
      <c r="CL31" s="39">
        <f>+IF(CK28&gt;1,CL28/CK28-1,1-CL28/CK28)</f>
        <v>2.2462886347043076E-2</v>
      </c>
      <c r="CM31" s="40">
        <f t="shared" ref="CM31" si="402">+CM28/CL28-1</f>
        <v>9.4221435809319187E-2</v>
      </c>
      <c r="CN31" s="40">
        <f t="shared" ref="CN31" si="403">+CN28/CM28-1</f>
        <v>0.1164438320513641</v>
      </c>
      <c r="CO31" s="40">
        <f t="shared" ref="CO31" si="404">+CO28/CN28-1</f>
        <v>9.052191866309478E-2</v>
      </c>
      <c r="CP31" s="40">
        <f t="shared" ref="CP31" si="405">+CP28/CO28-1</f>
        <v>3.0120487103801663E-2</v>
      </c>
      <c r="CQ31" s="40">
        <f t="shared" ref="CQ31" si="406">+CQ28/CP28-1</f>
        <v>5.5764967093766105E-2</v>
      </c>
      <c r="CR31" s="40">
        <f t="shared" ref="CR31" si="407">+CR28/CQ28-1</f>
        <v>0.11620734161652835</v>
      </c>
      <c r="CS31" s="40">
        <f t="shared" ref="CS31" si="408">+CS28/CR28-1</f>
        <v>0.1081100125461123</v>
      </c>
      <c r="CT31" s="40">
        <f t="shared" ref="CT31" si="409">+CT28/CS28-1</f>
        <v>2.6936940336800941E-2</v>
      </c>
      <c r="CU31" s="40">
        <f t="shared" ref="CU31" si="410">+CU28/CT28-1</f>
        <v>4.9802260835426715E-2</v>
      </c>
      <c r="CV31" s="40">
        <f t="shared" ref="CV31" si="411">+CV28/CU28-1</f>
        <v>0.1181965912577041</v>
      </c>
      <c r="CW31" s="40">
        <f t="shared" ref="CW31" si="412">+CW28/CV28-1</f>
        <v>0.11062038217505465</v>
      </c>
      <c r="CX31" s="40">
        <f t="shared" ref="CX31" si="413">+CX28/CW28-1</f>
        <v>2.5731620173304437E-2</v>
      </c>
      <c r="CY31" s="40">
        <f t="shared" ref="CY31" si="414">+CY28/CX28-1</f>
        <v>4.9070341063396361E-2</v>
      </c>
      <c r="CZ31" s="40">
        <f t="shared" ref="CZ31" si="415">+CZ28/CY28-1</f>
        <v>0.11880534916254182</v>
      </c>
      <c r="DA31" s="40">
        <f t="shared" ref="DA31" si="416">+DA28/CZ28-1</f>
        <v>0.11088013189504364</v>
      </c>
      <c r="DB31" s="40">
        <f t="shared" ref="DB31" si="417">+DB28/DA28-1</f>
        <v>2.5451412452793143E-2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0.27027430000000002</v>
      </c>
      <c r="K32" s="23">
        <f>'Annual Raw'!L27</f>
        <v>1.2679019</v>
      </c>
      <c r="L32" s="23">
        <f>'Annual Raw'!M27</f>
        <v>1.6611598000000001</v>
      </c>
      <c r="M32" s="23">
        <f>'Annual Raw'!N27</f>
        <v>1.8827107999999999</v>
      </c>
      <c r="N32" s="23">
        <f>'Annual Raw'!O27</f>
        <v>1.6165653</v>
      </c>
      <c r="O32" s="23">
        <f>'Annual Raw'!P27</f>
        <v>1.3709207000000001</v>
      </c>
      <c r="P32" s="23">
        <f>'Annual Raw'!Q27</f>
        <v>2.5611896999999999</v>
      </c>
      <c r="Q32" s="23">
        <f>'Annual Raw'!R27</f>
        <v>4.6256708</v>
      </c>
      <c r="R32" s="23">
        <f>'Annual Raw'!S27</f>
        <v>5.4512242999999998</v>
      </c>
      <c r="S32" s="23">
        <f>'Annual Raw'!T27</f>
        <v>6.0891719000000002</v>
      </c>
      <c r="T32" s="23">
        <f>'Annual Raw'!U27</f>
        <v>8.5</v>
      </c>
      <c r="U32" s="23">
        <f>'Annual Raw'!V27</f>
        <v>8.6010000000000009</v>
      </c>
      <c r="V32" s="23">
        <f>'Annual Raw'!W27</f>
        <v>8.7669999999999995</v>
      </c>
      <c r="W32" s="23">
        <f>'Annual Raw'!X27</f>
        <v>13.07</v>
      </c>
      <c r="X32" s="23">
        <f>'Annual Raw'!Y27</f>
        <v>15.845000000000001</v>
      </c>
      <c r="Y32" s="23">
        <f>'Annual Raw'!Z27</f>
        <v>20.809000000000001</v>
      </c>
      <c r="Z32" s="23">
        <f>'Annual Raw'!AA27</f>
        <v>23.826000000000001</v>
      </c>
      <c r="AA32" s="23">
        <f>'Annual Raw'!AB27</f>
        <v>34.250999999999998</v>
      </c>
      <c r="AB32" s="76">
        <f>+SUM(CM32:CP32)</f>
        <v>42.112817978050678</v>
      </c>
      <c r="AC32" s="76">
        <f>+SUM(CQ32:CT32)</f>
        <v>38.068962490476622</v>
      </c>
      <c r="AD32" s="76">
        <f>+SUM(CU32:CX32)</f>
        <v>34.413415550977078</v>
      </c>
      <c r="AE32" s="76">
        <f>+SUM(CY32:DB32)</f>
        <v>31.108890088099791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2.4910000000000001</v>
      </c>
      <c r="BS32" s="23">
        <f>'QTR Raw'!AM28</f>
        <v>3.0230000000000001</v>
      </c>
      <c r="BT32" s="23">
        <f>'QTR Raw'!AN28</f>
        <v>3.4820000000000002</v>
      </c>
      <c r="BU32" s="23">
        <f>'QTR Raw'!AO28</f>
        <v>3.613</v>
      </c>
      <c r="BV32" s="23">
        <f>'QTR Raw'!AP28</f>
        <v>2.952</v>
      </c>
      <c r="BW32" s="23">
        <f>'QTR Raw'!AQ28</f>
        <v>3.944</v>
      </c>
      <c r="BX32" s="23">
        <f>'QTR Raw'!AR28</f>
        <v>3.97</v>
      </c>
      <c r="BY32" s="23">
        <f>'QTR Raw'!AS28</f>
        <v>3.9870000000000001</v>
      </c>
      <c r="BZ32" s="23">
        <f>'QTR Raw'!AT28</f>
        <v>3.944</v>
      </c>
      <c r="CA32" s="23">
        <f>'QTR Raw'!AU28</f>
        <v>4.7119999999999997</v>
      </c>
      <c r="CB32" s="23">
        <f>'QTR Raw'!AV28</f>
        <v>5.2329999999999997</v>
      </c>
      <c r="CC32" s="23">
        <f>'QTR Raw'!AW28</f>
        <v>5.2789999999999999</v>
      </c>
      <c r="CD32" s="23">
        <f>'QTR Raw'!AX28</f>
        <v>5.585</v>
      </c>
      <c r="CE32" s="23">
        <f>'QTR Raw'!AY28</f>
        <v>5.5270000000000001</v>
      </c>
      <c r="CF32" s="23">
        <f>'QTR Raw'!AZ28</f>
        <v>6.0119999999999996</v>
      </c>
      <c r="CG32" s="23">
        <f>'QTR Raw'!BA28</f>
        <v>6.226</v>
      </c>
      <c r="CH32" s="23">
        <f>'QTR Raw'!BB28</f>
        <v>6.0609999999999999</v>
      </c>
      <c r="CI32" s="23">
        <f>'QTR Raw'!BC28</f>
        <v>6.726</v>
      </c>
      <c r="CJ32" s="23">
        <f>'QTR Raw'!BD28</f>
        <v>9.4</v>
      </c>
      <c r="CK32" s="23">
        <f>'QTR Raw'!BE28</f>
        <v>8.9559999999999995</v>
      </c>
      <c r="CL32" s="23">
        <f>'QTR Raw'!BF28</f>
        <v>9.1679999999999993</v>
      </c>
      <c r="CM32" s="24">
        <f t="shared" ref="CM32:DB32" si="418">CM33*CL134</f>
        <v>10.930062773540078</v>
      </c>
      <c r="CN32" s="24">
        <f t="shared" si="418"/>
        <v>10.657659493212631</v>
      </c>
      <c r="CO32" s="24">
        <f t="shared" si="418"/>
        <v>10.392045153504334</v>
      </c>
      <c r="CP32" s="24">
        <f t="shared" si="418"/>
        <v>10.133050557793638</v>
      </c>
      <c r="CQ32" s="24">
        <f t="shared" si="418"/>
        <v>9.8805107262430791</v>
      </c>
      <c r="CR32" s="24">
        <f t="shared" si="418"/>
        <v>9.6342647907069363</v>
      </c>
      <c r="CS32" s="24">
        <f t="shared" si="418"/>
        <v>9.3941558922580572</v>
      </c>
      <c r="CT32" s="24">
        <f t="shared" si="418"/>
        <v>9.160031081268551</v>
      </c>
      <c r="CU32" s="24">
        <f t="shared" si="418"/>
        <v>8.9317412199807045</v>
      </c>
      <c r="CV32" s="24">
        <f t="shared" si="418"/>
        <v>8.7091408875060736</v>
      </c>
      <c r="CW32" s="24">
        <f t="shared" si="418"/>
        <v>8.4920882871922156</v>
      </c>
      <c r="CX32" s="24">
        <f t="shared" si="418"/>
        <v>8.2804451562980823</v>
      </c>
      <c r="CY32" s="24">
        <f t="shared" si="418"/>
        <v>8.0740766779204822</v>
      </c>
      <c r="CZ32" s="24">
        <f t="shared" si="418"/>
        <v>7.8728513951155854</v>
      </c>
      <c r="DA32" s="24">
        <f t="shared" si="418"/>
        <v>7.6766411271607016</v>
      </c>
      <c r="DB32" s="24">
        <f t="shared" si="418"/>
        <v>7.4853208879030202</v>
      </c>
      <c r="DE32" s="123"/>
      <c r="DF32" s="23">
        <v>34.25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 t="e">
        <f t="shared" si="420"/>
        <v>#DIV/0!</v>
      </c>
      <c r="J33" s="46">
        <f t="shared" si="420"/>
        <v>4.8835843706681849E-2</v>
      </c>
      <c r="K33" s="46">
        <f t="shared" si="420"/>
        <v>0.15399975348416178</v>
      </c>
      <c r="L33" s="46">
        <f t="shared" si="420"/>
        <v>0.22724205422540847</v>
      </c>
      <c r="M33" s="46">
        <f t="shared" si="420"/>
        <v>0.27858993372906282</v>
      </c>
      <c r="N33" s="46">
        <f t="shared" si="420"/>
        <v>0.30489752971117245</v>
      </c>
      <c r="O33" s="46">
        <f t="shared" si="420"/>
        <v>0.33407640186846993</v>
      </c>
      <c r="P33" s="46">
        <f t="shared" si="420"/>
        <v>9.8726474242705892E-2</v>
      </c>
      <c r="Q33" s="46">
        <f t="shared" si="420"/>
        <v>0.11831314505091571</v>
      </c>
      <c r="R33" s="46">
        <f t="shared" si="420"/>
        <v>9.4162122303345155E-2</v>
      </c>
      <c r="S33" s="46">
        <f t="shared" si="420"/>
        <v>0.11406514064105486</v>
      </c>
      <c r="T33" s="46">
        <f t="shared" si="420"/>
        <v>0.13798253303464175</v>
      </c>
      <c r="U33" s="46">
        <f t="shared" si="420"/>
        <v>0.15012305168170634</v>
      </c>
      <c r="V33" s="46">
        <f t="shared" si="420"/>
        <v>7.347530569314191E-2</v>
      </c>
      <c r="W33" s="46">
        <f t="shared" si="420"/>
        <v>0.11410860834642921</v>
      </c>
      <c r="X33" s="46">
        <f t="shared" si="420"/>
        <v>0.1002068010346376</v>
      </c>
      <c r="Y33" s="46">
        <f t="shared" si="420"/>
        <v>0.10325766033990819</v>
      </c>
      <c r="Z33" s="46">
        <f t="shared" si="420"/>
        <v>8.1150673360535663E-2</v>
      </c>
      <c r="AA33" s="46">
        <f t="shared" ref="AA33" si="421">+AA32/AA134</f>
        <v>7.9135061700441545E-2</v>
      </c>
      <c r="AB33" s="110">
        <f t="shared" si="420"/>
        <v>0.10622447324603795</v>
      </c>
      <c r="AC33" s="110">
        <f t="shared" si="420"/>
        <v>0.10622447324603795</v>
      </c>
      <c r="AD33" s="110">
        <f t="shared" si="420"/>
        <v>0.10622447324603797</v>
      </c>
      <c r="AE33" s="110">
        <f t="shared" si="420"/>
        <v>0.10622447324603795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 t="e">
        <f t="shared" si="422"/>
        <v>#DIV/0!</v>
      </c>
      <c r="BD33" s="46" t="e">
        <f t="shared" si="422"/>
        <v>#DIV/0!</v>
      </c>
      <c r="BE33" s="46" t="e">
        <f t="shared" si="422"/>
        <v>#DIV/0!</v>
      </c>
      <c r="BF33" s="46" t="e">
        <f t="shared" si="422"/>
        <v>#DIV/0!</v>
      </c>
      <c r="BG33" s="46" t="e">
        <f t="shared" si="422"/>
        <v>#DIV/0!</v>
      </c>
      <c r="BH33" s="46" t="e">
        <f t="shared" si="422"/>
        <v>#DIV/0!</v>
      </c>
      <c r="BI33" s="46" t="e">
        <f t="shared" si="422"/>
        <v>#DIV/0!</v>
      </c>
      <c r="BJ33" s="46" t="e">
        <f t="shared" si="422"/>
        <v>#DIV/0!</v>
      </c>
      <c r="BK33" s="46" t="e">
        <f t="shared" si="422"/>
        <v>#DIV/0!</v>
      </c>
      <c r="BL33" s="46" t="e">
        <f t="shared" si="422"/>
        <v>#DIV/0!</v>
      </c>
      <c r="BM33" s="46" t="e">
        <f t="shared" si="422"/>
        <v>#DIV/0!</v>
      </c>
      <c r="BN33" s="46" t="e">
        <f t="shared" si="422"/>
        <v>#DIV/0!</v>
      </c>
      <c r="BO33" s="46" t="e">
        <f t="shared" ref="BO33:CL33" si="423">+BO32/BN134</f>
        <v>#DIV/0!</v>
      </c>
      <c r="BP33" s="46" t="e">
        <f t="shared" si="423"/>
        <v>#DIV/0!</v>
      </c>
      <c r="BQ33" s="46" t="e">
        <f t="shared" si="423"/>
        <v>#DIV/0!</v>
      </c>
      <c r="BR33" s="46" t="e">
        <f t="shared" si="423"/>
        <v>#DIV/0!</v>
      </c>
      <c r="BS33" s="46">
        <f t="shared" si="423"/>
        <v>2.8535019822541061E-2</v>
      </c>
      <c r="BT33" s="46">
        <f t="shared" si="423"/>
        <v>3.2867660940154808E-2</v>
      </c>
      <c r="BU33" s="46" t="e">
        <f t="shared" si="423"/>
        <v>#DIV/0!</v>
      </c>
      <c r="BV33" s="46" t="e">
        <f t="shared" si="423"/>
        <v>#DIV/0!</v>
      </c>
      <c r="BW33" s="46">
        <f t="shared" si="423"/>
        <v>3.2313036638919837E-2</v>
      </c>
      <c r="BX33" s="46">
        <f t="shared" si="423"/>
        <v>3.2526053614734221E-2</v>
      </c>
      <c r="BY33" s="46">
        <f t="shared" si="423"/>
        <v>2.5522026911111398E-2</v>
      </c>
      <c r="BZ33" s="46">
        <f t="shared" si="423"/>
        <v>2.5246770538606307E-2</v>
      </c>
      <c r="CA33" s="46">
        <f t="shared" si="423"/>
        <v>2.9400570291197921E-2</v>
      </c>
      <c r="CB33" s="46">
        <f t="shared" si="423"/>
        <v>3.2651354909558304E-2</v>
      </c>
      <c r="CC33" s="46">
        <f t="shared" si="423"/>
        <v>2.6658384842241343E-2</v>
      </c>
      <c r="CD33" s="46">
        <f t="shared" si="423"/>
        <v>2.8203652082575848E-2</v>
      </c>
      <c r="CE33" s="46">
        <f t="shared" si="423"/>
        <v>2.4941335740072203E-2</v>
      </c>
      <c r="CF33" s="46">
        <f t="shared" si="423"/>
        <v>2.7129963898916965E-2</v>
      </c>
      <c r="CG33" s="46">
        <f t="shared" si="423"/>
        <v>2.3086278755877248E-2</v>
      </c>
      <c r="CH33" s="46">
        <f t="shared" si="423"/>
        <v>2.2474451580368131E-2</v>
      </c>
      <c r="CI33" s="46">
        <f t="shared" si="423"/>
        <v>2.2908563293165572E-2</v>
      </c>
      <c r="CJ33" s="46">
        <f t="shared" si="423"/>
        <v>3.2766770311911761E-2</v>
      </c>
      <c r="CK33" s="46">
        <f t="shared" si="423"/>
        <v>2.3767442107330328E-2</v>
      </c>
      <c r="CL33" s="46">
        <f t="shared" si="423"/>
        <v>2.4922389374276224E-2</v>
      </c>
      <c r="CM33" s="47">
        <f t="shared" ref="CM33" si="424">CL33</f>
        <v>2.4922389374276224E-2</v>
      </c>
      <c r="CN33" s="47">
        <f t="shared" ref="CN33" si="425">CM33</f>
        <v>2.4922389374276224E-2</v>
      </c>
      <c r="CO33" s="47">
        <f t="shared" ref="CO33" si="426">CN33</f>
        <v>2.4922389374276224E-2</v>
      </c>
      <c r="CP33" s="47">
        <f t="shared" ref="CP33" si="427">CO33</f>
        <v>2.4922389374276224E-2</v>
      </c>
      <c r="CQ33" s="47">
        <f t="shared" ref="CQ33" si="428">CP33</f>
        <v>2.4922389374276224E-2</v>
      </c>
      <c r="CR33" s="47">
        <f t="shared" ref="CR33" si="429">CQ33</f>
        <v>2.4922389374276224E-2</v>
      </c>
      <c r="CS33" s="47">
        <f t="shared" ref="CS33" si="430">CR33</f>
        <v>2.4922389374276224E-2</v>
      </c>
      <c r="CT33" s="47">
        <f t="shared" ref="CT33" si="431">CS33</f>
        <v>2.4922389374276224E-2</v>
      </c>
      <c r="CU33" s="47">
        <f t="shared" ref="CU33" si="432">CT33</f>
        <v>2.4922389374276224E-2</v>
      </c>
      <c r="CV33" s="47">
        <f t="shared" ref="CV33" si="433">CU33</f>
        <v>2.4922389374276224E-2</v>
      </c>
      <c r="CW33" s="47">
        <f t="shared" ref="CW33" si="434">CV33</f>
        <v>2.4922389374276224E-2</v>
      </c>
      <c r="CX33" s="47">
        <f t="shared" ref="CX33" si="435">CW33</f>
        <v>2.4922389374276224E-2</v>
      </c>
      <c r="CY33" s="47">
        <f t="shared" ref="CY33" si="436">CX33</f>
        <v>2.4922389374276224E-2</v>
      </c>
      <c r="CZ33" s="47">
        <f t="shared" ref="CZ33" si="437">CY33</f>
        <v>2.4922389374276224E-2</v>
      </c>
      <c r="DA33" s="47">
        <f t="shared" ref="DA33" si="438">CZ33</f>
        <v>2.4922389374276224E-2</v>
      </c>
      <c r="DB33" s="47">
        <f t="shared" ref="DB33" si="439">DA33</f>
        <v>2.4922389374276224E-2</v>
      </c>
      <c r="DE33" s="130"/>
      <c r="DF33" s="46">
        <v>7.809578533577767E-2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0</v>
      </c>
      <c r="J34" s="26">
        <f t="shared" si="440"/>
        <v>0.98806050000000001</v>
      </c>
      <c r="K34" s="26">
        <f t="shared" si="440"/>
        <v>-5.3591223320000001</v>
      </c>
      <c r="L34" s="26">
        <f t="shared" si="440"/>
        <v>-4.930142588999999</v>
      </c>
      <c r="M34" s="26">
        <f t="shared" si="440"/>
        <v>-6.8405436999999978</v>
      </c>
      <c r="N34" s="26">
        <f t="shared" si="440"/>
        <v>-0.28885349999999876</v>
      </c>
      <c r="O34" s="26">
        <f t="shared" si="440"/>
        <v>-9.8207899999997572E-2</v>
      </c>
      <c r="P34" s="26">
        <f t="shared" si="440"/>
        <v>3.5945369000000049</v>
      </c>
      <c r="Q34" s="26">
        <f t="shared" si="440"/>
        <v>6.5196650999999992</v>
      </c>
      <c r="R34" s="26">
        <f t="shared" si="440"/>
        <v>13.071039600000006</v>
      </c>
      <c r="S34" s="26">
        <f t="shared" si="440"/>
        <v>8.8173303000000054</v>
      </c>
      <c r="T34" s="26">
        <f t="shared" si="440"/>
        <v>23.713999999999992</v>
      </c>
      <c r="U34" s="26">
        <f t="shared" ref="U34:Z34" si="441">U28-U32</f>
        <v>23.33700000000001</v>
      </c>
      <c r="V34" s="26">
        <f t="shared" si="441"/>
        <v>31.159999999999979</v>
      </c>
      <c r="W34" s="26">
        <f t="shared" si="441"/>
        <v>53.920000000000009</v>
      </c>
      <c r="X34" s="26">
        <f t="shared" si="441"/>
        <v>71.464999999999975</v>
      </c>
      <c r="Y34" s="26">
        <f t="shared" si="441"/>
        <v>88.746000000000038</v>
      </c>
      <c r="Z34" s="26">
        <f t="shared" si="441"/>
        <v>100.10499999999999</v>
      </c>
      <c r="AA34" s="26">
        <f t="shared" ref="AA34" si="442">AA28-AA32</f>
        <v>121.42400000000006</v>
      </c>
      <c r="AB34" s="27">
        <f t="shared" ref="AA34:AD34" si="443">AB28-AB32</f>
        <v>168.810454237583</v>
      </c>
      <c r="AC34" s="27">
        <f t="shared" si="443"/>
        <v>243.35834698509024</v>
      </c>
      <c r="AD34" s="27">
        <f t="shared" si="443"/>
        <v>341.72228675389147</v>
      </c>
      <c r="AE34" s="27">
        <f t="shared" ref="AE34" si="444">AE28-AE32</f>
        <v>471.78297497979634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0</v>
      </c>
      <c r="BA34" s="26">
        <f t="shared" si="449"/>
        <v>0</v>
      </c>
      <c r="BB34" s="26">
        <f t="shared" si="449"/>
        <v>0</v>
      </c>
      <c r="BC34" s="26">
        <f t="shared" si="449"/>
        <v>0</v>
      </c>
      <c r="BD34" s="26">
        <f t="shared" si="449"/>
        <v>0</v>
      </c>
      <c r="BE34" s="26">
        <f t="shared" si="449"/>
        <v>0</v>
      </c>
      <c r="BF34" s="26">
        <f t="shared" si="449"/>
        <v>0</v>
      </c>
      <c r="BG34" s="26">
        <f t="shared" si="449"/>
        <v>0</v>
      </c>
      <c r="BH34" s="26">
        <f t="shared" si="449"/>
        <v>0</v>
      </c>
      <c r="BI34" s="26">
        <f t="shared" si="449"/>
        <v>0</v>
      </c>
      <c r="BJ34" s="26">
        <f t="shared" si="449"/>
        <v>0</v>
      </c>
      <c r="BK34" s="26">
        <f t="shared" si="449"/>
        <v>0</v>
      </c>
      <c r="BL34" s="26">
        <f t="shared" si="449"/>
        <v>0</v>
      </c>
      <c r="BM34" s="26">
        <f t="shared" si="449"/>
        <v>0</v>
      </c>
      <c r="BN34" s="26">
        <f t="shared" si="449"/>
        <v>0</v>
      </c>
      <c r="BO34" s="26">
        <f t="shared" si="449"/>
        <v>0</v>
      </c>
      <c r="BP34" s="26">
        <f t="shared" si="449"/>
        <v>0</v>
      </c>
      <c r="BQ34" s="26">
        <f t="shared" si="449"/>
        <v>0</v>
      </c>
      <c r="BR34" s="26">
        <f t="shared" si="449"/>
        <v>9.8170000000000002</v>
      </c>
      <c r="BS34" s="26">
        <f t="shared" si="449"/>
        <v>11.425999999999995</v>
      </c>
      <c r="BT34" s="26">
        <f t="shared" si="449"/>
        <v>13.248999999999999</v>
      </c>
      <c r="BU34" s="26">
        <f t="shared" si="449"/>
        <v>14.503999999999991</v>
      </c>
      <c r="BV34" s="26">
        <f t="shared" si="449"/>
        <v>15.455</v>
      </c>
      <c r="BW34" s="26">
        <f t="shared" si="449"/>
        <v>16.631000000000004</v>
      </c>
      <c r="BX34" s="26">
        <f t="shared" si="449"/>
        <v>17.774999999999999</v>
      </c>
      <c r="BY34" s="26">
        <f t="shared" si="449"/>
        <v>17.237999999999992</v>
      </c>
      <c r="BZ34" s="26">
        <f t="shared" si="449"/>
        <v>19.820000000000011</v>
      </c>
      <c r="CA34" s="26">
        <f t="shared" si="449"/>
        <v>19.059999999999992</v>
      </c>
      <c r="CB34" s="26">
        <f t="shared" si="449"/>
        <v>23.024999999999988</v>
      </c>
      <c r="CC34" s="26">
        <f t="shared" si="449"/>
        <v>19.34800000000001</v>
      </c>
      <c r="CD34" s="26">
        <f t="shared" si="449"/>
        <v>27.312999999999995</v>
      </c>
      <c r="CE34" s="26">
        <f t="shared" ref="CE34:CF34" si="450">CE28-CE32</f>
        <v>21.344999999999985</v>
      </c>
      <c r="CF34" s="26">
        <f t="shared" si="450"/>
        <v>26.362000000000009</v>
      </c>
      <c r="CG34" s="26">
        <f t="shared" ref="CG34:CH34" si="451">CG28-CG32</f>
        <v>23.677000000000007</v>
      </c>
      <c r="CH34" s="26">
        <f t="shared" si="451"/>
        <v>28.721000000000011</v>
      </c>
      <c r="CI34" s="26">
        <f t="shared" ref="CI34:CJ34" si="452">CI28-CI32</f>
        <v>27.952000000000027</v>
      </c>
      <c r="CJ34" s="26">
        <f t="shared" si="452"/>
        <v>31.851999999999997</v>
      </c>
      <c r="CK34" s="26">
        <f t="shared" ref="CK34:CL34" si="453">CK28-CK32</f>
        <v>32.133999999999972</v>
      </c>
      <c r="CL34" s="26">
        <f t="shared" si="453"/>
        <v>32.844999999999978</v>
      </c>
      <c r="CM34" s="27">
        <f t="shared" ref="CM34:DB34" si="454">CM28-CM32</f>
        <v>35.041462409116825</v>
      </c>
      <c r="CN34" s="27">
        <f t="shared" si="454"/>
        <v>40.666966246958623</v>
      </c>
      <c r="CO34" s="27">
        <f t="shared" si="454"/>
        <v>45.578584183332488</v>
      </c>
      <c r="CP34" s="27">
        <f t="shared" si="454"/>
        <v>47.523441398175038</v>
      </c>
      <c r="CQ34" s="27">
        <f t="shared" si="454"/>
        <v>50.99119360639218</v>
      </c>
      <c r="CR34" s="27">
        <f t="shared" si="454"/>
        <v>58.311178482091179</v>
      </c>
      <c r="CS34" s="27">
        <f t="shared" si="454"/>
        <v>65.896870105213424</v>
      </c>
      <c r="CT34" s="27">
        <f t="shared" si="454"/>
        <v>68.159104791393332</v>
      </c>
      <c r="CU34" s="27">
        <f t="shared" si="454"/>
        <v>72.238062424981294</v>
      </c>
      <c r="CV34" s="27">
        <f t="shared" si="454"/>
        <v>82.05465686134761</v>
      </c>
      <c r="CW34" s="27">
        <f t="shared" si="454"/>
        <v>92.312035456299014</v>
      </c>
      <c r="CX34" s="27">
        <f t="shared" si="454"/>
        <v>95.117532011263435</v>
      </c>
      <c r="CY34" s="27">
        <f t="shared" si="454"/>
        <v>100.39767449451855</v>
      </c>
      <c r="CZ34" s="27">
        <f t="shared" si="454"/>
        <v>113.48592404963742</v>
      </c>
      <c r="DA34" s="27">
        <f t="shared" si="454"/>
        <v>127.13841134552749</v>
      </c>
      <c r="DB34" s="27">
        <f t="shared" si="454"/>
        <v>130.76096509011251</v>
      </c>
      <c r="DE34" s="121"/>
      <c r="DF34" s="26">
        <v>124.7829999999999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0.1451558</v>
      </c>
      <c r="K35" s="23">
        <f>'Annual Raw'!L23</f>
        <v>1.3573584000000001</v>
      </c>
      <c r="L35" s="23">
        <f>'Annual Raw'!M23</f>
        <v>6.2193195189999999</v>
      </c>
      <c r="M35" s="23">
        <f>'Annual Raw'!N23</f>
        <v>2.0457078000000002</v>
      </c>
      <c r="N35" s="23">
        <f>'Annual Raw'!O23</f>
        <v>2.1556958000000002</v>
      </c>
      <c r="O35" s="23">
        <f>'Annual Raw'!P23</f>
        <v>1.4473822999999999</v>
      </c>
      <c r="P35" s="23">
        <f>'Annual Raw'!Q23</f>
        <v>2.1267445999999999</v>
      </c>
      <c r="Q35" s="23">
        <f>'Annual Raw'!R23</f>
        <v>0.38786860000000001</v>
      </c>
      <c r="R35" s="23">
        <f>'Annual Raw'!S23</f>
        <v>0.61711000000000005</v>
      </c>
      <c r="S35" s="23">
        <f>'Annual Raw'!T23</f>
        <v>0.59668429999999995</v>
      </c>
      <c r="T35" s="23">
        <f>'Annual Raw'!U23</f>
        <v>9.6000000000000002E-2</v>
      </c>
      <c r="U35" s="23">
        <f>'Annual Raw'!V23</f>
        <v>0.34899999999999998</v>
      </c>
      <c r="V35" s="23">
        <f>'Annual Raw'!W23</f>
        <v>0.86099999999999999</v>
      </c>
      <c r="W35" s="23">
        <f>'Annual Raw'!X23</f>
        <v>1.0980000000000001</v>
      </c>
      <c r="X35" s="23">
        <f>'Annual Raw'!Y23</f>
        <v>5.2990000000000004</v>
      </c>
      <c r="Y35" s="23">
        <f>'Annual Raw'!Z23</f>
        <v>6.9210000000000003</v>
      </c>
      <c r="Z35" s="23">
        <f>'Annual Raw'!AA23</f>
        <v>8.4510000000000005</v>
      </c>
      <c r="AA35" s="23">
        <f>'Annual Raw'!AB23</f>
        <v>14.958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-0.51100000000000001</v>
      </c>
      <c r="BS35" s="23">
        <f>'QTR Raw'!AM23</f>
        <v>1.0449999999999999</v>
      </c>
      <c r="BT35" s="23">
        <f>'QTR Raw'!AN23</f>
        <v>0.46100000000000002</v>
      </c>
      <c r="BU35" s="23">
        <f>'QTR Raw'!AO23</f>
        <v>-0.44500000000000001</v>
      </c>
      <c r="BV35" s="23">
        <f>'QTR Raw'!AP23</f>
        <v>3.7999999999999999E-2</v>
      </c>
      <c r="BW35" s="23">
        <f>'QTR Raw'!AQ23</f>
        <v>0.6</v>
      </c>
      <c r="BX35" s="23">
        <f>'QTR Raw'!AR23</f>
        <v>1.383</v>
      </c>
      <c r="BY35" s="23">
        <f>'QTR Raw'!AS23</f>
        <v>1.1439999999999999</v>
      </c>
      <c r="BZ35" s="23">
        <f>'QTR Raw'!AT23</f>
        <v>2.1720000000000002</v>
      </c>
      <c r="CA35" s="23">
        <f>'QTR Raw'!AU23</f>
        <v>0.98099999999999998</v>
      </c>
      <c r="CB35" s="23">
        <f>'QTR Raw'!AV23</f>
        <v>0.40400000000000003</v>
      </c>
      <c r="CC35" s="23">
        <f>'QTR Raw'!AW23</f>
        <v>2.13</v>
      </c>
      <c r="CD35" s="23">
        <f>'QTR Raw'!AX23</f>
        <v>3.4060000000000001</v>
      </c>
      <c r="CE35" s="23">
        <f>'QTR Raw'!AY23</f>
        <v>2.5790000000000002</v>
      </c>
      <c r="CF35" s="23">
        <f>'QTR Raw'!AZ23</f>
        <v>1.4530000000000001</v>
      </c>
      <c r="CG35" s="23">
        <f>'QTR Raw'!BA23</f>
        <v>2.0369999999999999</v>
      </c>
      <c r="CH35" s="23">
        <f>'QTR Raw'!BB23</f>
        <v>2.3820000000000001</v>
      </c>
      <c r="CI35" s="23">
        <f>'QTR Raw'!BC23</f>
        <v>3.3210000000000002</v>
      </c>
      <c r="CJ35" s="23">
        <f>'QTR Raw'!BD23</f>
        <v>2.073</v>
      </c>
      <c r="CK35" s="23">
        <f>'QTR Raw'!BE23</f>
        <v>3.0510000000000002</v>
      </c>
      <c r="CL35" s="23">
        <f>'QTR Raw'!BF23</f>
        <v>3.1539999999999999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11.599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4.3348600000000001E-2</v>
      </c>
      <c r="K36" s="23">
        <f>'Annual Raw'!L25</f>
        <v>7.2559299999999993E-2</v>
      </c>
      <c r="L36" s="23">
        <f>'Annual Raw'!M25</f>
        <v>2.6737321000000001E-2</v>
      </c>
      <c r="M36" s="23">
        <f>'Annual Raw'!N25</f>
        <v>4.4825900000000002E-2</v>
      </c>
      <c r="N36" s="23">
        <f>'Annual Raw'!O25</f>
        <v>8.4835599999999997E-2</v>
      </c>
      <c r="O36" s="23">
        <f>'Annual Raw'!P25</f>
        <v>0.12593670000000001</v>
      </c>
      <c r="P36" s="23">
        <f>'Annual Raw'!Q25</f>
        <v>0.16622700000000001</v>
      </c>
      <c r="Q36" s="23">
        <f>'Annual Raw'!R25</f>
        <v>4.7700800000000002E-2</v>
      </c>
      <c r="R36" s="23">
        <f>'Annual Raw'!S25</f>
        <v>0.1228186</v>
      </c>
      <c r="S36" s="23">
        <f>'Annual Raw'!T25</f>
        <v>0.1171238</v>
      </c>
      <c r="T36" s="23">
        <f>'Annual Raw'!U25</f>
        <v>0.26400000000000001</v>
      </c>
      <c r="U36" s="23">
        <f>'Annual Raw'!V25</f>
        <v>0.66800000000000004</v>
      </c>
      <c r="V36" s="23">
        <f>'Annual Raw'!W25</f>
        <v>0.84099999999999997</v>
      </c>
      <c r="W36" s="23">
        <f>'Annual Raw'!X25</f>
        <v>4.5599999999999996</v>
      </c>
      <c r="X36" s="23">
        <f>'Annual Raw'!Y25</f>
        <v>3.3849999999999998</v>
      </c>
      <c r="Y36" s="23">
        <f>'Annual Raw'!Z25</f>
        <v>3.0049999999999999</v>
      </c>
      <c r="Z36" s="23">
        <f>'Annual Raw'!AA25</f>
        <v>1.1579999999999999</v>
      </c>
      <c r="AA36" s="23">
        <f>'Annual Raw'!AB25</f>
        <v>5.069</v>
      </c>
      <c r="AB36" s="76">
        <f t="shared" si="455"/>
        <v>-1.320609431824554</v>
      </c>
      <c r="AC36" s="76">
        <f t="shared" si="456"/>
        <v>-2.9562680693262999</v>
      </c>
      <c r="AD36" s="76">
        <f t="shared" si="457"/>
        <v>-5.1362586832925334</v>
      </c>
      <c r="AE36" s="76">
        <f t="shared" si="458"/>
        <v>-8.046384955184223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0.36699999999999999</v>
      </c>
      <c r="BS36" s="23">
        <f>'QTR Raw'!AM25</f>
        <v>0.97199999999999998</v>
      </c>
      <c r="BT36" s="23">
        <f>'QTR Raw'!AN25</f>
        <v>1.2829999999999999</v>
      </c>
      <c r="BU36" s="23">
        <f>'QTR Raw'!AO25</f>
        <v>1.2410000000000001</v>
      </c>
      <c r="BV36" s="23">
        <f>'QTR Raw'!AP25</f>
        <v>1.776</v>
      </c>
      <c r="BW36" s="23">
        <f>'QTR Raw'!AQ25</f>
        <v>0.96299999999999997</v>
      </c>
      <c r="BX36" s="23">
        <f>'QTR Raw'!AR25</f>
        <v>0.44400000000000001</v>
      </c>
      <c r="BY36" s="23">
        <f>'QTR Raw'!AS25</f>
        <v>0.377</v>
      </c>
      <c r="BZ36" s="23">
        <f>'QTR Raw'!AT25</f>
        <v>1.6020000000000001</v>
      </c>
      <c r="CA36" s="23">
        <f>'QTR Raw'!AU25</f>
        <v>0.25900000000000001</v>
      </c>
      <c r="CB36" s="23">
        <f>'QTR Raw'!AV25</f>
        <v>0.39100000000000001</v>
      </c>
      <c r="CC36" s="23">
        <f>'QTR Raw'!AW25</f>
        <v>1.004</v>
      </c>
      <c r="CD36" s="23">
        <f>'QTR Raw'!AX25</f>
        <v>1.351</v>
      </c>
      <c r="CE36" s="23">
        <f>'QTR Raw'!AY25</f>
        <v>0.27300000000000002</v>
      </c>
      <c r="CF36" s="23">
        <f>'QTR Raw'!AZ25</f>
        <v>0.68300000000000005</v>
      </c>
      <c r="CG36" s="23">
        <f>'QTR Raw'!BA25</f>
        <v>0.311</v>
      </c>
      <c r="CH36" s="23">
        <f>'QTR Raw'!BB25</f>
        <v>-0.109</v>
      </c>
      <c r="CI36" s="23">
        <f>'QTR Raw'!BC25</f>
        <v>0.20100000000000001</v>
      </c>
      <c r="CJ36" s="23">
        <f>'QTR Raw'!BD25</f>
        <v>0.90900000000000003</v>
      </c>
      <c r="CK36" s="23">
        <f>'QTR Raw'!BE25</f>
        <v>1.085</v>
      </c>
      <c r="CL36" s="23">
        <f>'QTR Raw'!BF25</f>
        <v>2.8740000000000001</v>
      </c>
      <c r="CM36" s="24">
        <f t="shared" ref="CM36:DB36" si="459">CM37*CL168</f>
        <v>-0.20447359384717714</v>
      </c>
      <c r="CN36" s="24">
        <f t="shared" si="459"/>
        <v>-0.28988920454087364</v>
      </c>
      <c r="CO36" s="24">
        <f t="shared" si="459"/>
        <v>-0.368022841183266</v>
      </c>
      <c r="CP36" s="24">
        <f t="shared" si="459"/>
        <v>-0.45822379225323728</v>
      </c>
      <c r="CQ36" s="24">
        <f t="shared" si="459"/>
        <v>-0.57203184378109573</v>
      </c>
      <c r="CR36" s="24">
        <f t="shared" si="459"/>
        <v>-0.68466842132081907</v>
      </c>
      <c r="CS36" s="24">
        <f t="shared" si="459"/>
        <v>-0.7899789829473387</v>
      </c>
      <c r="CT36" s="24">
        <f t="shared" si="459"/>
        <v>-0.90958882127704654</v>
      </c>
      <c r="CU36" s="24">
        <f t="shared" si="459"/>
        <v>-1.0612306229927533</v>
      </c>
      <c r="CV36" s="24">
        <f t="shared" si="459"/>
        <v>-1.211391166612924</v>
      </c>
      <c r="CW36" s="24">
        <f t="shared" si="459"/>
        <v>-1.3521020369270784</v>
      </c>
      <c r="CX36" s="24">
        <f t="shared" si="459"/>
        <v>-1.5115348567597784</v>
      </c>
      <c r="CY36" s="24">
        <f t="shared" si="459"/>
        <v>-1.7139783098514245</v>
      </c>
      <c r="CZ36" s="24">
        <f t="shared" si="459"/>
        <v>-1.9145213143691377</v>
      </c>
      <c r="DA36" s="24">
        <f t="shared" si="459"/>
        <v>-2.1024762152844239</v>
      </c>
      <c r="DB36" s="24">
        <f t="shared" si="459"/>
        <v>-2.3154091156792385</v>
      </c>
      <c r="DE36" s="123"/>
      <c r="DF36" s="23">
        <v>5.0690000000000008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>
        <f t="shared" si="461"/>
        <v>1.9754626246670376E-2</v>
      </c>
      <c r="N37" s="46">
        <f t="shared" si="461"/>
        <v>3.630600375986056E-2</v>
      </c>
      <c r="O37" s="46">
        <f t="shared" si="461"/>
        <v>3.6196132304267825E-2</v>
      </c>
      <c r="P37" s="46">
        <f t="shared" si="461"/>
        <v>9.5259145885456128E-2</v>
      </c>
      <c r="Q37" s="46">
        <f t="shared" si="461"/>
        <v>0.34534365823569269</v>
      </c>
      <c r="R37" s="46">
        <f t="shared" si="461"/>
        <v>2.165108714922816E-2</v>
      </c>
      <c r="S37" s="46">
        <f t="shared" si="461"/>
        <v>1.4133198978981904E-2</v>
      </c>
      <c r="T37" s="46">
        <f t="shared" si="461"/>
        <v>9.5787525851747032E-3</v>
      </c>
      <c r="U37" s="46">
        <f t="shared" si="461"/>
        <v>1.6112303721749197E-2</v>
      </c>
      <c r="V37" s="46">
        <f t="shared" si="461"/>
        <v>2.3426183844011138E-2</v>
      </c>
      <c r="W37" s="46">
        <f t="shared" si="461"/>
        <v>8.3837399569781756E-2</v>
      </c>
      <c r="X37" s="46">
        <f t="shared" si="461"/>
        <v>0.21629392971246006</v>
      </c>
      <c r="Y37" s="46">
        <f t="shared" si="461"/>
        <v>0.40222192477579977</v>
      </c>
      <c r="Z37" s="46" t="e">
        <f t="shared" si="461"/>
        <v>#DIV/0!</v>
      </c>
      <c r="AA37" s="46">
        <f t="shared" ref="AA37" si="462">+AA36/AA128</f>
        <v>0.212331923093034</v>
      </c>
      <c r="AB37" s="110">
        <f t="shared" si="461"/>
        <v>-5.5318118033952757E-2</v>
      </c>
      <c r="AC37" s="110">
        <f t="shared" si="461"/>
        <v>-0.12383311981427975</v>
      </c>
      <c r="AD37" s="110">
        <f t="shared" si="461"/>
        <v>-0.2151492767265335</v>
      </c>
      <c r="AE37" s="110">
        <f t="shared" si="461"/>
        <v>-0.33704959390039896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 t="e">
        <f t="shared" si="463"/>
        <v>#DIV/0!</v>
      </c>
      <c r="BC37" s="46" t="e">
        <f t="shared" si="463"/>
        <v>#DIV/0!</v>
      </c>
      <c r="BD37" s="46" t="e">
        <f t="shared" si="463"/>
        <v>#DIV/0!</v>
      </c>
      <c r="BE37" s="46" t="e">
        <f t="shared" si="463"/>
        <v>#DIV/0!</v>
      </c>
      <c r="BF37" s="46" t="e">
        <f t="shared" si="463"/>
        <v>#DIV/0!</v>
      </c>
      <c r="BG37" s="46" t="e">
        <f t="shared" si="463"/>
        <v>#DIV/0!</v>
      </c>
      <c r="BH37" s="46" t="e">
        <f t="shared" si="463"/>
        <v>#DIV/0!</v>
      </c>
      <c r="BI37" s="46" t="e">
        <f t="shared" si="463"/>
        <v>#DIV/0!</v>
      </c>
      <c r="BJ37" s="46" t="e">
        <f t="shared" si="463"/>
        <v>#DIV/0!</v>
      </c>
      <c r="BK37" s="46" t="e">
        <f t="shared" si="463"/>
        <v>#DIV/0!</v>
      </c>
      <c r="BL37" s="46" t="e">
        <f t="shared" si="463"/>
        <v>#DIV/0!</v>
      </c>
      <c r="BM37" s="46" t="e">
        <f t="shared" si="463"/>
        <v>#DIV/0!</v>
      </c>
      <c r="BN37" s="46" t="e">
        <f t="shared" si="463"/>
        <v>#DIV/0!</v>
      </c>
      <c r="BO37" s="46" t="e">
        <f t="shared" ref="BO37:CL37" si="464">(BO36-BO35)/BN168</f>
        <v>#DIV/0!</v>
      </c>
      <c r="BP37" s="46" t="e">
        <f t="shared" si="464"/>
        <v>#DIV/0!</v>
      </c>
      <c r="BQ37" s="46" t="e">
        <f t="shared" si="464"/>
        <v>#DIV/0!</v>
      </c>
      <c r="BR37" s="46" t="e">
        <f t="shared" si="464"/>
        <v>#DIV/0!</v>
      </c>
      <c r="BS37" s="46">
        <f t="shared" si="464"/>
        <v>-3.1696409187616671E-3</v>
      </c>
      <c r="BT37" s="46">
        <f t="shared" si="464"/>
        <v>5.5825041665562576E-2</v>
      </c>
      <c r="BU37" s="46" t="e">
        <f t="shared" si="464"/>
        <v>#DIV/0!</v>
      </c>
      <c r="BV37" s="46">
        <f t="shared" si="464"/>
        <v>-0.16679462571976983</v>
      </c>
      <c r="BW37" s="46">
        <f t="shared" si="464"/>
        <v>8.8243873978996502E-3</v>
      </c>
      <c r="BX37" s="46">
        <f t="shared" si="464"/>
        <v>-2.9290431158027725E-2</v>
      </c>
      <c r="BY37" s="46">
        <f t="shared" si="464"/>
        <v>6.3352303232041213E-3</v>
      </c>
      <c r="BZ37" s="46">
        <f t="shared" si="464"/>
        <v>4.2625128612976335E-3</v>
      </c>
      <c r="CA37" s="46">
        <f t="shared" si="464"/>
        <v>6.9640032408657751E-3</v>
      </c>
      <c r="CB37" s="46">
        <f t="shared" si="464"/>
        <v>1.1079026390916396E-4</v>
      </c>
      <c r="CC37" s="46">
        <f t="shared" si="464"/>
        <v>2.5087449591159237E-2</v>
      </c>
      <c r="CD37" s="46">
        <f t="shared" si="464"/>
        <v>3.2124015205111024E-2</v>
      </c>
      <c r="CE37" s="46">
        <f t="shared" si="464"/>
        <v>9.5293981519744778E-3</v>
      </c>
      <c r="CF37" s="46">
        <f t="shared" si="464"/>
        <v>2.8967033240826978E-3</v>
      </c>
      <c r="CG37" s="46">
        <f t="shared" si="464"/>
        <v>1.0363627629935633E-2</v>
      </c>
      <c r="CH37" s="46">
        <f t="shared" si="464"/>
        <v>1.3182924070481541E-2</v>
      </c>
      <c r="CI37" s="46">
        <f t="shared" si="464"/>
        <v>1.6700656785444735E-2</v>
      </c>
      <c r="CJ37" s="46">
        <f t="shared" si="464"/>
        <v>5.3383612980052028E-3</v>
      </c>
      <c r="CK37" s="46">
        <f t="shared" si="464"/>
        <v>2.2980713033313852E-2</v>
      </c>
      <c r="CL37" s="46">
        <f t="shared" si="464"/>
        <v>2.3895197420525311E-3</v>
      </c>
      <c r="CM37" s="47">
        <f t="shared" ref="CM37" si="465">+CL37</f>
        <v>2.3895197420525311E-3</v>
      </c>
      <c r="CN37" s="47">
        <f t="shared" ref="CN37" si="466">+CM37</f>
        <v>2.3895197420525311E-3</v>
      </c>
      <c r="CO37" s="47">
        <f t="shared" ref="CO37" si="467">+CN37</f>
        <v>2.3895197420525311E-3</v>
      </c>
      <c r="CP37" s="47">
        <f t="shared" ref="CP37" si="468">+CO37</f>
        <v>2.3895197420525311E-3</v>
      </c>
      <c r="CQ37" s="47">
        <f t="shared" ref="CQ37" si="469">+CP37</f>
        <v>2.3895197420525311E-3</v>
      </c>
      <c r="CR37" s="47">
        <f t="shared" ref="CR37" si="470">+CQ37</f>
        <v>2.3895197420525311E-3</v>
      </c>
      <c r="CS37" s="47">
        <f t="shared" ref="CS37" si="471">+CR37</f>
        <v>2.3895197420525311E-3</v>
      </c>
      <c r="CT37" s="47">
        <f t="shared" ref="CT37" si="472">+CS37</f>
        <v>2.3895197420525311E-3</v>
      </c>
      <c r="CU37" s="47">
        <f t="shared" ref="CU37" si="473">+CT37</f>
        <v>2.3895197420525311E-3</v>
      </c>
      <c r="CV37" s="47">
        <f t="shared" ref="CV37" si="474">+CU37</f>
        <v>2.3895197420525311E-3</v>
      </c>
      <c r="CW37" s="47">
        <f t="shared" ref="CW37" si="475">+CV37</f>
        <v>2.3895197420525311E-3</v>
      </c>
      <c r="CX37" s="47">
        <f t="shared" ref="CX37" si="476">+CW37</f>
        <v>2.3895197420525311E-3</v>
      </c>
      <c r="CY37" s="47">
        <f t="shared" ref="CY37" si="477">+CX37</f>
        <v>2.3895197420525311E-3</v>
      </c>
      <c r="CZ37" s="47">
        <f t="shared" ref="CZ37" si="478">+CY37</f>
        <v>2.3895197420525311E-3</v>
      </c>
      <c r="DA37" s="47">
        <f t="shared" ref="DA37" si="479">+CZ37</f>
        <v>2.3895197420525311E-3</v>
      </c>
      <c r="DB37" s="47">
        <f t="shared" ref="DB37" si="480">+DA37</f>
        <v>2.3895197420525311E-3</v>
      </c>
      <c r="DE37" s="130"/>
      <c r="DF37" s="46">
        <v>0.21233192309303403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1.0898676999999999</v>
      </c>
      <c r="K38" s="26">
        <f t="shared" si="481"/>
        <v>-4.0743232320000002</v>
      </c>
      <c r="L38" s="26">
        <f t="shared" si="481"/>
        <v>1.262439609000001</v>
      </c>
      <c r="M38" s="26">
        <f t="shared" si="481"/>
        <v>-4.8396617999999973</v>
      </c>
      <c r="N38" s="26">
        <f t="shared" si="481"/>
        <v>1.7820067000000015</v>
      </c>
      <c r="O38" s="26">
        <f t="shared" si="481"/>
        <v>1.2232377000000023</v>
      </c>
      <c r="P38" s="26">
        <f t="shared" si="481"/>
        <v>5.5550545000000051</v>
      </c>
      <c r="Q38" s="26">
        <f t="shared" si="481"/>
        <v>6.8598328999999989</v>
      </c>
      <c r="R38" s="26">
        <f t="shared" si="481"/>
        <v>13.565331000000006</v>
      </c>
      <c r="S38" s="26">
        <f t="shared" si="481"/>
        <v>9.2968908000000052</v>
      </c>
      <c r="T38" s="26">
        <f t="shared" si="481"/>
        <v>23.545999999999992</v>
      </c>
      <c r="U38" s="26">
        <f t="shared" ref="U38:Z38" si="482">U34+U35-U36</f>
        <v>23.018000000000011</v>
      </c>
      <c r="V38" s="26">
        <f t="shared" si="482"/>
        <v>31.179999999999978</v>
      </c>
      <c r="W38" s="26">
        <f t="shared" si="482"/>
        <v>50.458000000000006</v>
      </c>
      <c r="X38" s="26">
        <f t="shared" si="482"/>
        <v>73.378999999999976</v>
      </c>
      <c r="Y38" s="26">
        <f t="shared" si="482"/>
        <v>92.662000000000049</v>
      </c>
      <c r="Z38" s="26">
        <f t="shared" si="482"/>
        <v>107.39799999999998</v>
      </c>
      <c r="AA38" s="26">
        <f t="shared" ref="AA38" si="483">AA34+AA35-AA36</f>
        <v>131.31300000000007</v>
      </c>
      <c r="AB38" s="27">
        <f t="shared" ref="AB38:AD38" si="484">AB34+AB35-AB36</f>
        <v>170.13106366940755</v>
      </c>
      <c r="AC38" s="27">
        <f t="shared" si="484"/>
        <v>246.31461505441655</v>
      </c>
      <c r="AD38" s="27">
        <f t="shared" si="484"/>
        <v>346.85854543718398</v>
      </c>
      <c r="AE38" s="27">
        <f t="shared" ref="AE38" si="485">AE34+AE35-AE36</f>
        <v>479.82935993498057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0</v>
      </c>
      <c r="BA38" s="26">
        <f t="shared" si="489"/>
        <v>0</v>
      </c>
      <c r="BB38" s="26">
        <f t="shared" si="489"/>
        <v>0</v>
      </c>
      <c r="BC38" s="26">
        <f t="shared" si="489"/>
        <v>0</v>
      </c>
      <c r="BD38" s="26">
        <f t="shared" si="489"/>
        <v>0</v>
      </c>
      <c r="BE38" s="26">
        <f t="shared" si="489"/>
        <v>0</v>
      </c>
      <c r="BF38" s="26">
        <f t="shared" si="489"/>
        <v>0</v>
      </c>
      <c r="BG38" s="26">
        <f t="shared" si="489"/>
        <v>0</v>
      </c>
      <c r="BH38" s="26">
        <f t="shared" si="489"/>
        <v>0</v>
      </c>
      <c r="BI38" s="26">
        <f t="shared" si="489"/>
        <v>0</v>
      </c>
      <c r="BJ38" s="26">
        <f t="shared" si="489"/>
        <v>0</v>
      </c>
      <c r="BK38" s="26">
        <f t="shared" si="489"/>
        <v>0</v>
      </c>
      <c r="BL38" s="26">
        <f t="shared" si="489"/>
        <v>0</v>
      </c>
      <c r="BM38" s="26">
        <f t="shared" si="489"/>
        <v>0</v>
      </c>
      <c r="BN38" s="26">
        <f t="shared" si="489"/>
        <v>0</v>
      </c>
      <c r="BO38" s="26">
        <f t="shared" si="489"/>
        <v>0</v>
      </c>
      <c r="BP38" s="26">
        <f t="shared" si="489"/>
        <v>0</v>
      </c>
      <c r="BQ38" s="26">
        <f t="shared" si="489"/>
        <v>0</v>
      </c>
      <c r="BR38" s="26">
        <f t="shared" si="489"/>
        <v>8.9390000000000001</v>
      </c>
      <c r="BS38" s="26">
        <f t="shared" si="489"/>
        <v>11.498999999999995</v>
      </c>
      <c r="BT38" s="26">
        <f t="shared" si="489"/>
        <v>12.427</v>
      </c>
      <c r="BU38" s="26">
        <f t="shared" si="489"/>
        <v>12.817999999999991</v>
      </c>
      <c r="BV38" s="26">
        <f t="shared" si="489"/>
        <v>13.717000000000001</v>
      </c>
      <c r="BW38" s="26">
        <f t="shared" si="489"/>
        <v>16.268000000000004</v>
      </c>
      <c r="BX38" s="26">
        <f t="shared" si="489"/>
        <v>18.713999999999999</v>
      </c>
      <c r="BY38" s="26">
        <f t="shared" si="489"/>
        <v>18.004999999999992</v>
      </c>
      <c r="BZ38" s="26">
        <f t="shared" si="489"/>
        <v>20.390000000000011</v>
      </c>
      <c r="CA38" s="26">
        <f t="shared" si="489"/>
        <v>19.781999999999993</v>
      </c>
      <c r="CB38" s="26">
        <f t="shared" si="489"/>
        <v>23.03799999999999</v>
      </c>
      <c r="CC38" s="26">
        <f t="shared" si="489"/>
        <v>20.474000000000007</v>
      </c>
      <c r="CD38" s="26">
        <f t="shared" si="489"/>
        <v>29.367999999999995</v>
      </c>
      <c r="CE38" s="26">
        <f t="shared" ref="CE38:CF38" si="490">CE34+CE35-CE36</f>
        <v>23.650999999999986</v>
      </c>
      <c r="CF38" s="26">
        <f t="shared" si="490"/>
        <v>27.132000000000009</v>
      </c>
      <c r="CG38" s="26">
        <f t="shared" ref="CG38:CH38" si="491">CG34+CG35-CG36</f>
        <v>25.403000000000006</v>
      </c>
      <c r="CH38" s="26">
        <f t="shared" si="491"/>
        <v>31.212000000000014</v>
      </c>
      <c r="CI38" s="26">
        <f t="shared" ref="CI38:CJ38" si="492">CI34+CI35-CI36</f>
        <v>31.072000000000028</v>
      </c>
      <c r="CJ38" s="26">
        <f t="shared" si="492"/>
        <v>33.015999999999998</v>
      </c>
      <c r="CK38" s="26">
        <f t="shared" ref="CK38:CL38" si="493">CK34+CK35-CK36</f>
        <v>34.099999999999973</v>
      </c>
      <c r="CL38" s="26">
        <f t="shared" si="493"/>
        <v>33.124999999999979</v>
      </c>
      <c r="CM38" s="27">
        <f t="shared" ref="CM38:DB38" si="494">CM34+CM35-CM36</f>
        <v>35.245936002964001</v>
      </c>
      <c r="CN38" s="27">
        <f t="shared" si="494"/>
        <v>40.956855451499493</v>
      </c>
      <c r="CO38" s="27">
        <f t="shared" si="494"/>
        <v>45.946607024515757</v>
      </c>
      <c r="CP38" s="27">
        <f t="shared" si="494"/>
        <v>47.981665190428274</v>
      </c>
      <c r="CQ38" s="27">
        <f t="shared" si="494"/>
        <v>51.563225450173277</v>
      </c>
      <c r="CR38" s="27">
        <f t="shared" si="494"/>
        <v>58.995846903412001</v>
      </c>
      <c r="CS38" s="27">
        <f t="shared" si="494"/>
        <v>66.686849088160756</v>
      </c>
      <c r="CT38" s="27">
        <f t="shared" si="494"/>
        <v>69.068693612670373</v>
      </c>
      <c r="CU38" s="27">
        <f t="shared" si="494"/>
        <v>73.299293047974047</v>
      </c>
      <c r="CV38" s="27">
        <f t="shared" si="494"/>
        <v>83.266048027960537</v>
      </c>
      <c r="CW38" s="27">
        <f t="shared" si="494"/>
        <v>93.664137493226093</v>
      </c>
      <c r="CX38" s="27">
        <f t="shared" si="494"/>
        <v>96.629066868023216</v>
      </c>
      <c r="CY38" s="27">
        <f t="shared" si="494"/>
        <v>102.11165280436998</v>
      </c>
      <c r="CZ38" s="27">
        <f t="shared" si="494"/>
        <v>115.40044536400656</v>
      </c>
      <c r="DA38" s="27">
        <f t="shared" si="494"/>
        <v>129.2408875608119</v>
      </c>
      <c r="DB38" s="27">
        <f t="shared" si="494"/>
        <v>133.07637420579175</v>
      </c>
      <c r="DE38" s="121"/>
      <c r="DF38" s="26">
        <v>131.3129999999999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0.38362740000000001</v>
      </c>
      <c r="K39" s="23">
        <f>'Annual Raw'!L30</f>
        <v>-1.2816217999999999</v>
      </c>
      <c r="L39" s="23">
        <f>'Annual Raw'!M30</f>
        <v>1.2222999999999999</v>
      </c>
      <c r="M39" s="23">
        <f>'Annual Raw'!N30</f>
        <v>-2.33388E-2</v>
      </c>
      <c r="N39" s="23">
        <f>'Annual Raw'!O30</f>
        <v>0.57431399999999999</v>
      </c>
      <c r="O39" s="23">
        <f>'Annual Raw'!P30</f>
        <v>0.4738851</v>
      </c>
      <c r="P39" s="23">
        <f>'Annual Raw'!Q30</f>
        <v>0.84994539999999996</v>
      </c>
      <c r="Q39" s="23">
        <f>'Annual Raw'!R30</f>
        <v>1.5431115</v>
      </c>
      <c r="R39" s="23">
        <f>'Annual Raw'!S30</f>
        <v>3.5547849999999999</v>
      </c>
      <c r="S39" s="23">
        <f>'Annual Raw'!T30</f>
        <v>1.3968048</v>
      </c>
      <c r="T39" s="23">
        <f>'Annual Raw'!U30</f>
        <v>4.2110000000000003</v>
      </c>
      <c r="U39" s="23">
        <f>'Annual Raw'!V30</f>
        <v>4.6020000000000003</v>
      </c>
      <c r="V39" s="23">
        <f>'Annual Raw'!W30</f>
        <v>5.8209999999999997</v>
      </c>
      <c r="W39" s="23">
        <f>'Annual Raw'!X30</f>
        <v>9.3219999999999992</v>
      </c>
      <c r="X39" s="23">
        <f>'Annual Raw'!Y30</f>
        <v>12.180999999999999</v>
      </c>
      <c r="Y39" s="23">
        <f>'Annual Raw'!Z30</f>
        <v>16.309999999999999</v>
      </c>
      <c r="Z39" s="23">
        <f>'Annual Raw'!AA30</f>
        <v>20.164000000000001</v>
      </c>
      <c r="AA39" s="23">
        <f>'Annual Raw'!AB30</f>
        <v>21.265999999999998</v>
      </c>
      <c r="AB39" s="24">
        <f>+SUM(CM39:CP39)</f>
        <v>25.458646575570448</v>
      </c>
      <c r="AC39" s="24">
        <f>+SUM(CQ39:CT39)</f>
        <v>36.323174696263749</v>
      </c>
      <c r="AD39" s="24">
        <f>+SUM(CU39:CX39)</f>
        <v>51.00151560832181</v>
      </c>
      <c r="AE39" s="24">
        <f>+SUM(CY39:DB39)</f>
        <v>70.518802820298404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1.4990000000000001</v>
      </c>
      <c r="BS39" s="23">
        <f>'QTR Raw'!AM29</f>
        <v>2</v>
      </c>
      <c r="BT39" s="23">
        <f>'QTR Raw'!AN29</f>
        <v>2.004</v>
      </c>
      <c r="BU39" s="23">
        <f>'QTR Raw'!AO29</f>
        <v>2.3980000000000001</v>
      </c>
      <c r="BV39" s="23">
        <f>'QTR Raw'!AP29</f>
        <v>2.919</v>
      </c>
      <c r="BW39" s="23">
        <f>'QTR Raw'!AQ29</f>
        <v>2.5550000000000002</v>
      </c>
      <c r="BX39" s="23">
        <f>'QTR Raw'!AR29</f>
        <v>2.242</v>
      </c>
      <c r="BY39" s="23">
        <f>'QTR Raw'!AS29</f>
        <v>2.7930000000000001</v>
      </c>
      <c r="BZ39" s="23">
        <f>'QTR Raw'!AT29</f>
        <v>4.5919999999999996</v>
      </c>
      <c r="CA39" s="23">
        <f>'QTR Raw'!AU29</f>
        <v>3.4089999999999998</v>
      </c>
      <c r="CB39" s="23">
        <f>'QTR Raw'!AV29</f>
        <v>4.2729999999999997</v>
      </c>
      <c r="CC39" s="23">
        <f>'QTR Raw'!AW29</f>
        <v>0.46300000000000002</v>
      </c>
      <c r="CD39" s="23">
        <f>'QTR Raw'!AX29</f>
        <v>8.1649999999999991</v>
      </c>
      <c r="CE39" s="23">
        <f>'QTR Raw'!AY29</f>
        <v>5.4539999999999997</v>
      </c>
      <c r="CF39" s="23">
        <f>'QTR Raw'!AZ29</f>
        <v>4.8339999999999996</v>
      </c>
      <c r="CG39" s="23">
        <f>'QTR Raw'!BA29</f>
        <v>3.0030000000000001</v>
      </c>
      <c r="CH39" s="23">
        <f>'QTR Raw'!BB29</f>
        <v>6.8739999999999997</v>
      </c>
      <c r="CI39" s="23">
        <f>'QTR Raw'!BC29</f>
        <v>6.048</v>
      </c>
      <c r="CJ39" s="23">
        <f>'QTR Raw'!BD29</f>
        <v>6.5759999999999996</v>
      </c>
      <c r="CK39" s="23">
        <f>'QTR Raw'!BE29</f>
        <v>5.0949999999999998</v>
      </c>
      <c r="CL39" s="23">
        <f>'QTR Raw'!BF29</f>
        <v>3.5470000000000002</v>
      </c>
      <c r="CM39" s="24">
        <f t="shared" ref="CM39:DB39" si="495">+CM38*CM40</f>
        <v>5.7302277780946547</v>
      </c>
      <c r="CN39" s="24">
        <f t="shared" si="495"/>
        <v>6.3303662131321836</v>
      </c>
      <c r="CO39" s="24">
        <f t="shared" si="495"/>
        <v>6.5891219824275185</v>
      </c>
      <c r="CP39" s="24">
        <f t="shared" si="495"/>
        <v>6.8089306019160905</v>
      </c>
      <c r="CQ39" s="24">
        <f t="shared" si="495"/>
        <v>7.7661356935371684</v>
      </c>
      <c r="CR39" s="24">
        <f t="shared" si="495"/>
        <v>8.7091266892995147</v>
      </c>
      <c r="CS39" s="24">
        <f t="shared" si="495"/>
        <v>9.7288063460513463</v>
      </c>
      <c r="CT39" s="24">
        <f t="shared" si="495"/>
        <v>10.119105967375717</v>
      </c>
      <c r="CU39" s="24">
        <f t="shared" si="495"/>
        <v>10.823233171184414</v>
      </c>
      <c r="CV39" s="24">
        <f t="shared" si="495"/>
        <v>12.233376462038621</v>
      </c>
      <c r="CW39" s="24">
        <f t="shared" si="495"/>
        <v>13.744580167632446</v>
      </c>
      <c r="CX39" s="24">
        <f t="shared" si="495"/>
        <v>14.200325807466326</v>
      </c>
      <c r="CY39" s="24">
        <f t="shared" si="495"/>
        <v>15.017498566847824</v>
      </c>
      <c r="CZ39" s="24">
        <f t="shared" si="495"/>
        <v>16.9548893263085</v>
      </c>
      <c r="DA39" s="24">
        <f t="shared" si="495"/>
        <v>18.988457102624071</v>
      </c>
      <c r="DB39" s="24">
        <f t="shared" si="495"/>
        <v>19.557957824518013</v>
      </c>
      <c r="DE39" s="123"/>
      <c r="DF39" s="23">
        <v>21.265999999999998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>
        <f t="shared" si="497"/>
        <v>0.35199446685134356</v>
      </c>
      <c r="K40" s="90">
        <f t="shared" si="497"/>
        <v>0.31456065879458428</v>
      </c>
      <c r="L40" s="90">
        <f t="shared" si="497"/>
        <v>0.9682047293875734</v>
      </c>
      <c r="M40" s="90">
        <f t="shared" si="497"/>
        <v>4.8224030860999443E-3</v>
      </c>
      <c r="N40" s="90">
        <f t="shared" si="497"/>
        <v>0.32228498355253071</v>
      </c>
      <c r="O40" s="90">
        <f t="shared" si="497"/>
        <v>0.38740230128616793</v>
      </c>
      <c r="P40" s="90">
        <f t="shared" si="497"/>
        <v>0.15300397142818295</v>
      </c>
      <c r="Q40" s="90">
        <f t="shared" si="497"/>
        <v>0.22494884678604929</v>
      </c>
      <c r="R40" s="90">
        <f t="shared" si="497"/>
        <v>0.26204926367074999</v>
      </c>
      <c r="S40" s="90">
        <f t="shared" si="497"/>
        <v>0.15024429457641894</v>
      </c>
      <c r="T40" s="90">
        <f t="shared" si="497"/>
        <v>0.17884141680115526</v>
      </c>
      <c r="U40" s="90">
        <f t="shared" ref="U40:Z40" si="498">U39/U38</f>
        <v>0.19993048918237893</v>
      </c>
      <c r="V40" s="90">
        <f t="shared" si="498"/>
        <v>0.18669018601667747</v>
      </c>
      <c r="W40" s="90">
        <f t="shared" si="498"/>
        <v>0.18474771096753731</v>
      </c>
      <c r="X40" s="90">
        <f t="shared" si="498"/>
        <v>0.166001171997438</v>
      </c>
      <c r="Y40" s="90">
        <f t="shared" si="498"/>
        <v>0.17601605836265125</v>
      </c>
      <c r="Z40" s="90">
        <f t="shared" si="498"/>
        <v>0.18775023743458916</v>
      </c>
      <c r="AA40" s="90">
        <f t="shared" ref="AA40" si="499">AA39/AA38</f>
        <v>0.1619489311797003</v>
      </c>
      <c r="AB40" s="91">
        <f t="shared" ref="AA40:AD40" si="500">AB39/AB38</f>
        <v>0.14964137663325702</v>
      </c>
      <c r="AC40" s="91">
        <f t="shared" si="500"/>
        <v>0.14746658328917725</v>
      </c>
      <c r="AD40" s="91">
        <f t="shared" si="500"/>
        <v>0.14703837134541112</v>
      </c>
      <c r="AE40" s="91">
        <f t="shared" ref="AE40" si="501">AE39/AE38</f>
        <v>0.14696641912419464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 t="e">
        <f t="shared" si="506"/>
        <v>#DIV/0!</v>
      </c>
      <c r="BA40" s="90" t="e">
        <f t="shared" si="506"/>
        <v>#DIV/0!</v>
      </c>
      <c r="BB40" s="90" t="e">
        <f t="shared" si="506"/>
        <v>#DIV/0!</v>
      </c>
      <c r="BC40" s="90" t="e">
        <f t="shared" si="506"/>
        <v>#DIV/0!</v>
      </c>
      <c r="BD40" s="90" t="e">
        <f t="shared" si="506"/>
        <v>#DIV/0!</v>
      </c>
      <c r="BE40" s="90" t="e">
        <f t="shared" si="506"/>
        <v>#DIV/0!</v>
      </c>
      <c r="BF40" s="90" t="e">
        <f t="shared" si="506"/>
        <v>#DIV/0!</v>
      </c>
      <c r="BG40" s="90" t="e">
        <f t="shared" si="506"/>
        <v>#DIV/0!</v>
      </c>
      <c r="BH40" s="90" t="e">
        <f t="shared" si="506"/>
        <v>#DIV/0!</v>
      </c>
      <c r="BI40" s="90" t="e">
        <f t="shared" si="506"/>
        <v>#DIV/0!</v>
      </c>
      <c r="BJ40" s="90" t="e">
        <f t="shared" si="506"/>
        <v>#DIV/0!</v>
      </c>
      <c r="BK40" s="90" t="e">
        <f t="shared" si="506"/>
        <v>#DIV/0!</v>
      </c>
      <c r="BL40" s="90" t="e">
        <f t="shared" si="506"/>
        <v>#DIV/0!</v>
      </c>
      <c r="BM40" s="90" t="e">
        <f t="shared" si="506"/>
        <v>#DIV/0!</v>
      </c>
      <c r="BN40" s="90" t="e">
        <f t="shared" si="506"/>
        <v>#DIV/0!</v>
      </c>
      <c r="BO40" s="90" t="e">
        <f t="shared" si="506"/>
        <v>#DIV/0!</v>
      </c>
      <c r="BP40" s="90" t="e">
        <f t="shared" si="506"/>
        <v>#DIV/0!</v>
      </c>
      <c r="BQ40" s="90" t="e">
        <f t="shared" si="506"/>
        <v>#DIV/0!</v>
      </c>
      <c r="BR40" s="90">
        <f t="shared" si="506"/>
        <v>0.16769213558563598</v>
      </c>
      <c r="BS40" s="90">
        <f t="shared" si="506"/>
        <v>0.1739281676667537</v>
      </c>
      <c r="BT40" s="90">
        <f t="shared" si="506"/>
        <v>0.16126176872937958</v>
      </c>
      <c r="BU40" s="90">
        <f t="shared" si="506"/>
        <v>0.18708066781089108</v>
      </c>
      <c r="BV40" s="90">
        <f t="shared" si="506"/>
        <v>0.21280163301013341</v>
      </c>
      <c r="BW40" s="90">
        <f t="shared" si="506"/>
        <v>0.15705679862306365</v>
      </c>
      <c r="BX40" s="90">
        <f t="shared" si="506"/>
        <v>0.11980335577642408</v>
      </c>
      <c r="BY40" s="90">
        <f t="shared" si="506"/>
        <v>0.15512357678422667</v>
      </c>
      <c r="BZ40" s="90">
        <f t="shared" si="506"/>
        <v>0.22520843550760161</v>
      </c>
      <c r="CA40" s="90">
        <f t="shared" si="506"/>
        <v>0.17232837933474882</v>
      </c>
      <c r="CB40" s="90">
        <f t="shared" si="506"/>
        <v>0.18547616980640688</v>
      </c>
      <c r="CC40" s="90">
        <f t="shared" si="506"/>
        <v>2.2614047084106664E-2</v>
      </c>
      <c r="CD40" s="90">
        <f t="shared" si="506"/>
        <v>0.2780236992645056</v>
      </c>
      <c r="CE40" s="90">
        <f t="shared" ref="CE40:CF40" si="507">CE39/CE38</f>
        <v>0.2306033571519176</v>
      </c>
      <c r="CF40" s="90">
        <f t="shared" si="507"/>
        <v>0.17816600324340257</v>
      </c>
      <c r="CG40" s="90">
        <f t="shared" ref="CG40:CH40" si="508">CG39/CG38</f>
        <v>0.1182143841278589</v>
      </c>
      <c r="CH40" s="90">
        <f t="shared" si="508"/>
        <v>0.22023580674099694</v>
      </c>
      <c r="CI40" s="90">
        <f t="shared" ref="CI40:CJ40" si="509">CI39/CI38</f>
        <v>0.1946446961894952</v>
      </c>
      <c r="CJ40" s="90">
        <f t="shared" si="509"/>
        <v>0.19917615701478072</v>
      </c>
      <c r="CK40" s="90">
        <f t="shared" ref="CK40:CL40" si="510">CK39/CK38</f>
        <v>0.14941348973607049</v>
      </c>
      <c r="CL40" s="90">
        <f t="shared" si="510"/>
        <v>0.10707924528301895</v>
      </c>
      <c r="CM40" s="91">
        <f t="shared" ref="CM40:DB40" si="511">AVERAGE(CI40:CL40)</f>
        <v>0.16257839705584134</v>
      </c>
      <c r="CN40" s="91">
        <f t="shared" si="511"/>
        <v>0.15456182227242787</v>
      </c>
      <c r="CO40" s="91">
        <f t="shared" si="511"/>
        <v>0.14340823858683965</v>
      </c>
      <c r="CP40" s="91">
        <f t="shared" si="511"/>
        <v>0.14190692579953196</v>
      </c>
      <c r="CQ40" s="91">
        <f t="shared" si="511"/>
        <v>0.1506138459286602</v>
      </c>
      <c r="CR40" s="91">
        <f t="shared" si="511"/>
        <v>0.14762270814686493</v>
      </c>
      <c r="CS40" s="91">
        <f t="shared" si="511"/>
        <v>0.1458879296154742</v>
      </c>
      <c r="CT40" s="91">
        <f t="shared" si="511"/>
        <v>0.14650785237263281</v>
      </c>
      <c r="CU40" s="91">
        <f t="shared" si="511"/>
        <v>0.14765808401590802</v>
      </c>
      <c r="CV40" s="91">
        <f t="shared" si="511"/>
        <v>0.14691914353771998</v>
      </c>
      <c r="CW40" s="91">
        <f t="shared" si="511"/>
        <v>0.14674325238543376</v>
      </c>
      <c r="CX40" s="91">
        <f t="shared" si="511"/>
        <v>0.14695708307792363</v>
      </c>
      <c r="CY40" s="91">
        <f t="shared" si="511"/>
        <v>0.14706939075424635</v>
      </c>
      <c r="CZ40" s="91">
        <f t="shared" si="511"/>
        <v>0.14692221743883094</v>
      </c>
      <c r="DA40" s="91">
        <f t="shared" si="511"/>
        <v>0.14692298591410868</v>
      </c>
      <c r="DB40" s="91">
        <f t="shared" si="511"/>
        <v>0.14696791929627739</v>
      </c>
      <c r="DE40" s="127"/>
      <c r="DF40" s="90">
        <v>0.16194893117970052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0.70624029999999993</v>
      </c>
      <c r="K41" s="26">
        <f t="shared" si="513"/>
        <v>-2.7927014320000003</v>
      </c>
      <c r="L41" s="26">
        <f t="shared" si="513"/>
        <v>4.013960900000102E-2</v>
      </c>
      <c r="M41" s="26">
        <f t="shared" si="513"/>
        <v>-4.816322999999997</v>
      </c>
      <c r="N41" s="26">
        <f t="shared" si="513"/>
        <v>1.2076927000000015</v>
      </c>
      <c r="O41" s="26">
        <f t="shared" si="513"/>
        <v>0.74935260000000237</v>
      </c>
      <c r="P41" s="26">
        <f t="shared" si="513"/>
        <v>4.7051091000000049</v>
      </c>
      <c r="Q41" s="26">
        <f t="shared" si="513"/>
        <v>5.3167213999999987</v>
      </c>
      <c r="R41" s="26">
        <f t="shared" si="513"/>
        <v>10.010546000000005</v>
      </c>
      <c r="S41" s="26">
        <f t="shared" si="513"/>
        <v>7.9000860000000053</v>
      </c>
      <c r="T41" s="26">
        <f t="shared" si="513"/>
        <v>19.334999999999994</v>
      </c>
      <c r="U41" s="26">
        <f t="shared" ref="U41:Z41" si="514">U38-U39</f>
        <v>18.416000000000011</v>
      </c>
      <c r="V41" s="26">
        <f t="shared" si="514"/>
        <v>25.35899999999998</v>
      </c>
      <c r="W41" s="26">
        <f t="shared" si="514"/>
        <v>41.13600000000001</v>
      </c>
      <c r="X41" s="26">
        <f t="shared" si="514"/>
        <v>61.197999999999979</v>
      </c>
      <c r="Y41" s="26">
        <f t="shared" si="514"/>
        <v>76.352000000000046</v>
      </c>
      <c r="Z41" s="26">
        <f t="shared" si="514"/>
        <v>87.23399999999998</v>
      </c>
      <c r="AA41" s="26">
        <f t="shared" ref="AA41" si="515">AA38-AA39</f>
        <v>110.04700000000008</v>
      </c>
      <c r="AB41" s="27">
        <f t="shared" ref="AA41:AD41" si="516">AB38-AB39</f>
        <v>144.67241709383711</v>
      </c>
      <c r="AC41" s="27">
        <f t="shared" si="516"/>
        <v>209.9914403581528</v>
      </c>
      <c r="AD41" s="27">
        <f t="shared" si="516"/>
        <v>295.85702982886215</v>
      </c>
      <c r="AE41" s="27">
        <f t="shared" ref="AE41" si="517">AE38-AE39</f>
        <v>409.31055711468218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0</v>
      </c>
      <c r="BA41" s="26">
        <f t="shared" si="521"/>
        <v>0</v>
      </c>
      <c r="BB41" s="26">
        <f t="shared" si="521"/>
        <v>0</v>
      </c>
      <c r="BC41" s="26">
        <f t="shared" si="521"/>
        <v>0</v>
      </c>
      <c r="BD41" s="26">
        <f t="shared" si="521"/>
        <v>0</v>
      </c>
      <c r="BE41" s="26">
        <f t="shared" si="521"/>
        <v>0</v>
      </c>
      <c r="BF41" s="26">
        <f t="shared" si="521"/>
        <v>0</v>
      </c>
      <c r="BG41" s="26">
        <f t="shared" si="521"/>
        <v>0</v>
      </c>
      <c r="BH41" s="26">
        <f t="shared" si="521"/>
        <v>0</v>
      </c>
      <c r="BI41" s="26">
        <f t="shared" si="521"/>
        <v>0</v>
      </c>
      <c r="BJ41" s="26">
        <f t="shared" si="521"/>
        <v>0</v>
      </c>
      <c r="BK41" s="26">
        <f t="shared" si="521"/>
        <v>0</v>
      </c>
      <c r="BL41" s="26">
        <f t="shared" si="521"/>
        <v>0</v>
      </c>
      <c r="BM41" s="26">
        <f t="shared" si="521"/>
        <v>0</v>
      </c>
      <c r="BN41" s="26">
        <f t="shared" si="521"/>
        <v>0</v>
      </c>
      <c r="BO41" s="26">
        <f t="shared" si="521"/>
        <v>0</v>
      </c>
      <c r="BP41" s="26">
        <f t="shared" si="521"/>
        <v>0</v>
      </c>
      <c r="BQ41" s="26">
        <f t="shared" si="521"/>
        <v>0</v>
      </c>
      <c r="BR41" s="26">
        <f t="shared" si="521"/>
        <v>7.4399999999999995</v>
      </c>
      <c r="BS41" s="26">
        <f t="shared" si="521"/>
        <v>9.4989999999999952</v>
      </c>
      <c r="BT41" s="26">
        <f t="shared" si="521"/>
        <v>10.423</v>
      </c>
      <c r="BU41" s="26">
        <f t="shared" si="521"/>
        <v>10.419999999999991</v>
      </c>
      <c r="BV41" s="26">
        <f t="shared" si="521"/>
        <v>10.798</v>
      </c>
      <c r="BW41" s="26">
        <f t="shared" si="521"/>
        <v>13.713000000000005</v>
      </c>
      <c r="BX41" s="26">
        <f t="shared" si="521"/>
        <v>16.471999999999998</v>
      </c>
      <c r="BY41" s="26">
        <f t="shared" si="521"/>
        <v>15.211999999999993</v>
      </c>
      <c r="BZ41" s="26">
        <f t="shared" si="521"/>
        <v>15.798000000000012</v>
      </c>
      <c r="CA41" s="26">
        <f t="shared" si="521"/>
        <v>16.372999999999994</v>
      </c>
      <c r="CB41" s="26">
        <f t="shared" si="521"/>
        <v>18.76499999999999</v>
      </c>
      <c r="CC41" s="26">
        <f t="shared" si="521"/>
        <v>20.011000000000006</v>
      </c>
      <c r="CD41" s="26">
        <f t="shared" si="521"/>
        <v>21.202999999999996</v>
      </c>
      <c r="CE41" s="26">
        <f t="shared" ref="CE41:CF41" si="522">CE38-CE39</f>
        <v>18.196999999999985</v>
      </c>
      <c r="CF41" s="26">
        <f t="shared" si="522"/>
        <v>22.298000000000009</v>
      </c>
      <c r="CG41" s="26">
        <f t="shared" ref="CG41:CH41" si="523">CG38-CG39</f>
        <v>22.400000000000006</v>
      </c>
      <c r="CH41" s="26">
        <f t="shared" si="523"/>
        <v>24.338000000000015</v>
      </c>
      <c r="CI41" s="26">
        <f t="shared" ref="CI41:CJ41" si="524">CI38-CI39</f>
        <v>25.024000000000029</v>
      </c>
      <c r="CJ41" s="26">
        <f t="shared" si="524"/>
        <v>26.439999999999998</v>
      </c>
      <c r="CK41" s="26">
        <f t="shared" ref="CK41:CL41" si="525">CK38-CK39</f>
        <v>29.004999999999974</v>
      </c>
      <c r="CL41" s="26">
        <f t="shared" si="525"/>
        <v>29.577999999999978</v>
      </c>
      <c r="CM41" s="27">
        <f t="shared" ref="CM41:DB41" si="526">CM38-CM39</f>
        <v>29.515708224869346</v>
      </c>
      <c r="CN41" s="27">
        <f t="shared" si="526"/>
        <v>34.626489238367313</v>
      </c>
      <c r="CO41" s="27">
        <f t="shared" si="526"/>
        <v>39.357485042088236</v>
      </c>
      <c r="CP41" s="27">
        <f t="shared" si="526"/>
        <v>41.172734588512185</v>
      </c>
      <c r="CQ41" s="27">
        <f t="shared" si="526"/>
        <v>43.797089756636112</v>
      </c>
      <c r="CR41" s="27">
        <f t="shared" si="526"/>
        <v>50.286720214112485</v>
      </c>
      <c r="CS41" s="27">
        <f t="shared" si="526"/>
        <v>56.958042742109413</v>
      </c>
      <c r="CT41" s="27">
        <f t="shared" si="526"/>
        <v>58.949587645294656</v>
      </c>
      <c r="CU41" s="27">
        <f t="shared" si="526"/>
        <v>62.476059876789634</v>
      </c>
      <c r="CV41" s="27">
        <f t="shared" si="526"/>
        <v>71.032671565921916</v>
      </c>
      <c r="CW41" s="27">
        <f t="shared" si="526"/>
        <v>79.919557325593644</v>
      </c>
      <c r="CX41" s="27">
        <f t="shared" si="526"/>
        <v>82.428741060556888</v>
      </c>
      <c r="CY41" s="27">
        <f t="shared" si="526"/>
        <v>87.094154237522162</v>
      </c>
      <c r="CZ41" s="27">
        <f t="shared" si="526"/>
        <v>98.445556037698054</v>
      </c>
      <c r="DA41" s="27">
        <f t="shared" si="526"/>
        <v>110.25243045818783</v>
      </c>
      <c r="DB41" s="27">
        <f t="shared" si="526"/>
        <v>113.51841638127374</v>
      </c>
      <c r="DE41" s="121"/>
      <c r="DF41" s="26">
        <v>110.04699999999991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>
        <f t="shared" si="528"/>
        <v>0.11159353009353443</v>
      </c>
      <c r="K42" s="45">
        <f t="shared" si="528"/>
        <v>-0.65683909442569288</v>
      </c>
      <c r="L42" s="45">
        <f t="shared" si="528"/>
        <v>3.3867022565799245E-3</v>
      </c>
      <c r="M42" s="45">
        <f t="shared" si="528"/>
        <v>-0.46274328566666911</v>
      </c>
      <c r="N42" s="45">
        <f t="shared" si="528"/>
        <v>6.935765185697558E-2</v>
      </c>
      <c r="O42" s="45">
        <f t="shared" si="528"/>
        <v>4.6196839503526189E-2</v>
      </c>
      <c r="P42" s="45">
        <f t="shared" si="528"/>
        <v>0.13326112664246209</v>
      </c>
      <c r="Q42" s="45">
        <f t="shared" si="528"/>
        <v>0.11250888500675391</v>
      </c>
      <c r="R42" s="45">
        <f t="shared" si="528"/>
        <v>0.14656475061984289</v>
      </c>
      <c r="S42" s="45">
        <f t="shared" si="528"/>
        <v>0.1036028533446943</v>
      </c>
      <c r="T42" s="45">
        <f t="shared" si="528"/>
        <v>0.19033509214049449</v>
      </c>
      <c r="U42" s="45">
        <f t="shared" si="528"/>
        <v>0.15814512666380429</v>
      </c>
      <c r="V42" s="45">
        <f t="shared" si="528"/>
        <v>0.1927078188049515</v>
      </c>
      <c r="W42" s="45">
        <f t="shared" si="528"/>
        <v>0.22523366021123875</v>
      </c>
      <c r="X42" s="45">
        <f t="shared" si="528"/>
        <v>0.24601518751231113</v>
      </c>
      <c r="Y42" s="45">
        <f t="shared" si="528"/>
        <v>0.20463176627295859</v>
      </c>
      <c r="Z42" s="45">
        <f t="shared" ref="Z42:AA42" si="529">+Z41/Z10</f>
        <v>0.16795633297072496</v>
      </c>
      <c r="AA42" s="45">
        <f t="shared" si="529"/>
        <v>0.15685595370449568</v>
      </c>
      <c r="AB42" s="48">
        <f t="shared" si="528"/>
        <v>0.1538890020552571</v>
      </c>
      <c r="AC42" s="48">
        <f t="shared" si="528"/>
        <v>0.16702069946213921</v>
      </c>
      <c r="AD42" s="48">
        <f t="shared" si="528"/>
        <v>0.17599022920630761</v>
      </c>
      <c r="AE42" s="48">
        <f t="shared" si="528"/>
        <v>0.18209677141773406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 t="e">
        <f t="shared" si="530"/>
        <v>#DIV/0!</v>
      </c>
      <c r="BA42" s="45" t="e">
        <f t="shared" si="530"/>
        <v>#DIV/0!</v>
      </c>
      <c r="BB42" s="45" t="e">
        <f t="shared" si="530"/>
        <v>#DIV/0!</v>
      </c>
      <c r="BC42" s="45" t="e">
        <f t="shared" si="530"/>
        <v>#DIV/0!</v>
      </c>
      <c r="BD42" s="45" t="e">
        <f t="shared" si="530"/>
        <v>#DIV/0!</v>
      </c>
      <c r="BE42" s="45" t="e">
        <f t="shared" si="530"/>
        <v>#DIV/0!</v>
      </c>
      <c r="BF42" s="45" t="e">
        <f t="shared" si="530"/>
        <v>#DIV/0!</v>
      </c>
      <c r="BG42" s="45" t="e">
        <f t="shared" si="530"/>
        <v>#DIV/0!</v>
      </c>
      <c r="BH42" s="45" t="e">
        <f t="shared" si="530"/>
        <v>#DIV/0!</v>
      </c>
      <c r="BI42" s="45" t="e">
        <f t="shared" si="530"/>
        <v>#DIV/0!</v>
      </c>
      <c r="BJ42" s="45" t="e">
        <f t="shared" si="530"/>
        <v>#DIV/0!</v>
      </c>
      <c r="BK42" s="45" t="e">
        <f t="shared" si="530"/>
        <v>#DIV/0!</v>
      </c>
      <c r="BL42" s="45" t="e">
        <f t="shared" si="530"/>
        <v>#DIV/0!</v>
      </c>
      <c r="BM42" s="45" t="e">
        <f t="shared" si="530"/>
        <v>#DIV/0!</v>
      </c>
      <c r="BN42" s="45" t="e">
        <f t="shared" si="530"/>
        <v>#DIV/0!</v>
      </c>
      <c r="BO42" s="45" t="e">
        <f t="shared" ref="BO42:CT42" si="531">+BO41/BO10</f>
        <v>#DIV/0!</v>
      </c>
      <c r="BP42" s="45" t="e">
        <f t="shared" si="531"/>
        <v>#DIV/0!</v>
      </c>
      <c r="BQ42" s="45" t="e">
        <f t="shared" si="531"/>
        <v>#DIV/0!</v>
      </c>
      <c r="BR42" s="45">
        <f t="shared" si="531"/>
        <v>0.19076923076923075</v>
      </c>
      <c r="BS42" s="45">
        <f t="shared" si="531"/>
        <v>0.22133936061142687</v>
      </c>
      <c r="BT42" s="45">
        <f t="shared" si="531"/>
        <v>0.21257979645530378</v>
      </c>
      <c r="BU42" s="45">
        <f t="shared" si="531"/>
        <v>0.23003730931408242</v>
      </c>
      <c r="BV42" s="45">
        <f t="shared" si="531"/>
        <v>0.2378780869297028</v>
      </c>
      <c r="BW42" s="45">
        <f t="shared" si="531"/>
        <v>0.26262065267351009</v>
      </c>
      <c r="BX42" s="45">
        <f t="shared" si="531"/>
        <v>0.28162560481458049</v>
      </c>
      <c r="BY42" s="45">
        <f t="shared" si="531"/>
        <v>0.24839162666144138</v>
      </c>
      <c r="BZ42" s="45">
        <f t="shared" si="531"/>
        <v>0.20567366653213748</v>
      </c>
      <c r="CA42" s="45">
        <f t="shared" si="531"/>
        <v>0.20530664961316122</v>
      </c>
      <c r="CB42" s="45">
        <f t="shared" si="531"/>
        <v>0.19485981308411204</v>
      </c>
      <c r="CC42" s="45">
        <f t="shared" si="531"/>
        <v>0.20549816180246058</v>
      </c>
      <c r="CD42" s="45">
        <f t="shared" si="531"/>
        <v>0.21268507001564818</v>
      </c>
      <c r="CE42" s="45">
        <f t="shared" si="531"/>
        <v>0.19684775318578121</v>
      </c>
      <c r="CF42" s="45">
        <f t="shared" si="531"/>
        <v>0.1578999546793565</v>
      </c>
      <c r="CG42" s="45">
        <f t="shared" si="531"/>
        <v>0.16132517104789346</v>
      </c>
      <c r="CH42" s="45">
        <f t="shared" si="531"/>
        <v>0.16570327552986522</v>
      </c>
      <c r="CI42" s="45">
        <f t="shared" ref="CI42:CJ42" si="532">+CI41/CI10</f>
        <v>0.16988574260517741</v>
      </c>
      <c r="CJ42" s="45">
        <f t="shared" si="532"/>
        <v>0.15294287780187996</v>
      </c>
      <c r="CK42" s="45">
        <f t="shared" ref="CK42:CL42" si="533">+CK41/CK10</f>
        <v>0.15427370884527405</v>
      </c>
      <c r="CL42" s="45">
        <f t="shared" si="533"/>
        <v>0.152940081490827</v>
      </c>
      <c r="CM42" s="48">
        <f t="shared" si="531"/>
        <v>0.14603909659916434</v>
      </c>
      <c r="CN42" s="48">
        <f t="shared" si="531"/>
        <v>0.15211370647893055</v>
      </c>
      <c r="CO42" s="48">
        <f t="shared" si="531"/>
        <v>0.1562325349551735</v>
      </c>
      <c r="CP42" s="48">
        <f t="shared" si="531"/>
        <v>0.15930700579356083</v>
      </c>
      <c r="CQ42" s="48">
        <f t="shared" si="531"/>
        <v>0.16156236451820444</v>
      </c>
      <c r="CR42" s="48">
        <f t="shared" si="531"/>
        <v>0.16565076364279485</v>
      </c>
      <c r="CS42" s="48">
        <f t="shared" si="531"/>
        <v>0.16900997706848978</v>
      </c>
      <c r="CT42" s="48">
        <f t="shared" si="531"/>
        <v>0.17056552818994555</v>
      </c>
      <c r="CU42" s="48">
        <f t="shared" ref="CU42:DB42" si="534">+CU41/CU10</f>
        <v>0.172314612984932</v>
      </c>
      <c r="CV42" s="48">
        <f t="shared" si="534"/>
        <v>0.17507373066299178</v>
      </c>
      <c r="CW42" s="48">
        <f t="shared" si="534"/>
        <v>0.1773348151826446</v>
      </c>
      <c r="CX42" s="48">
        <f t="shared" si="534"/>
        <v>0.17836738575395875</v>
      </c>
      <c r="CY42" s="48">
        <f t="shared" si="534"/>
        <v>0.17965280862891217</v>
      </c>
      <c r="CZ42" s="48">
        <f t="shared" si="534"/>
        <v>0.18147894147088095</v>
      </c>
      <c r="DA42" s="48">
        <f t="shared" si="534"/>
        <v>0.18296058743863433</v>
      </c>
      <c r="DB42" s="48">
        <f t="shared" si="534"/>
        <v>0.18371420521894033</v>
      </c>
      <c r="DE42" s="129"/>
      <c r="DF42" s="45">
        <v>0.15685595370449545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>
        <f t="shared" si="536"/>
        <v>-4.9543218250218803</v>
      </c>
      <c r="L43" s="39">
        <f t="shared" si="536"/>
        <v>1.0143730398602815</v>
      </c>
      <c r="M43" s="39">
        <f t="shared" si="536"/>
        <v>-120.9892853963743</v>
      </c>
      <c r="N43" s="39">
        <f t="shared" si="536"/>
        <v>1.2507499393209305</v>
      </c>
      <c r="O43" s="39">
        <f t="shared" si="536"/>
        <v>-0.37951715697213251</v>
      </c>
      <c r="P43" s="39">
        <f t="shared" si="536"/>
        <v>5.2788987453970133</v>
      </c>
      <c r="Q43" s="39">
        <f t="shared" si="536"/>
        <v>0.12998897305059165</v>
      </c>
      <c r="R43" s="39">
        <f t="shared" si="536"/>
        <v>0.88284193337646166</v>
      </c>
      <c r="S43" s="39">
        <f t="shared" si="536"/>
        <v>-0.21082366536250852</v>
      </c>
      <c r="T43" s="39">
        <f t="shared" si="536"/>
        <v>1.4474417113940254</v>
      </c>
      <c r="U43" s="39">
        <f t="shared" si="536"/>
        <v>-4.7530385311610135E-2</v>
      </c>
      <c r="V43" s="39">
        <f t="shared" si="536"/>
        <v>0.37700912250217011</v>
      </c>
      <c r="W43" s="39">
        <f t="shared" si="536"/>
        <v>0.62214598367443674</v>
      </c>
      <c r="X43" s="39">
        <f t="shared" si="536"/>
        <v>0.48769933877868454</v>
      </c>
      <c r="Y43" s="39">
        <f t="shared" si="536"/>
        <v>0.24762247132259341</v>
      </c>
      <c r="Z43" s="39">
        <f t="shared" ref="Z43:AA43" si="537">+IF(Y41&lt;0,1-Z41/Y41,Z41/Y41-1)</f>
        <v>0.14252409891030915</v>
      </c>
      <c r="AA43" s="39">
        <f t="shared" si="537"/>
        <v>0.26151500561707719</v>
      </c>
      <c r="AB43" s="40">
        <f t="shared" si="536"/>
        <v>0.31464208105479474</v>
      </c>
      <c r="AC43" s="40">
        <f t="shared" si="536"/>
        <v>0.4514960389577829</v>
      </c>
      <c r="AD43" s="40">
        <f t="shared" si="536"/>
        <v>0.4089004262471867</v>
      </c>
      <c r="AE43" s="40">
        <f t="shared" si="536"/>
        <v>0.3834741643673194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 t="e">
        <f t="shared" ref="BD43" si="554">+IF(AZ41&lt;0,1-BD41/AZ41,BD41/AZ41-1)</f>
        <v>#DIV/0!</v>
      </c>
      <c r="BE43" s="39" t="e">
        <f t="shared" ref="BE43" si="555">+IF(BA41&lt;0,1-BE41/BA41,BE41/BA41-1)</f>
        <v>#DIV/0!</v>
      </c>
      <c r="BF43" s="39" t="e">
        <f t="shared" ref="BF43" si="556">+IF(BB41&lt;0,1-BF41/BB41,BF41/BB41-1)</f>
        <v>#DIV/0!</v>
      </c>
      <c r="BG43" s="39" t="e">
        <f t="shared" ref="BG43" si="557">+IF(BC41&lt;0,1-BG41/BC41,BG41/BC41-1)</f>
        <v>#DIV/0!</v>
      </c>
      <c r="BH43" s="39" t="e">
        <f t="shared" ref="BH43" si="558">+IF(BD41&lt;0,1-BH41/BD41,BH41/BD41-1)</f>
        <v>#DIV/0!</v>
      </c>
      <c r="BI43" s="39" t="e">
        <f t="shared" ref="BI43" si="559">+IF(BE41&lt;0,1-BI41/BE41,BI41/BE41-1)</f>
        <v>#DIV/0!</v>
      </c>
      <c r="BJ43" s="39" t="e">
        <f t="shared" ref="BJ43" si="560">+IF(BF41&lt;0,1-BJ41/BF41,BJ41/BF41-1)</f>
        <v>#DIV/0!</v>
      </c>
      <c r="BK43" s="39" t="e">
        <f t="shared" ref="BK43" si="561">+IF(BG41&lt;0,1-BK41/BG41,BK41/BG41-1)</f>
        <v>#DIV/0!</v>
      </c>
      <c r="BL43" s="39" t="e">
        <f t="shared" ref="BL43" si="562">+IF(BH41&lt;0,1-BL41/BH41,BL41/BH41-1)</f>
        <v>#DIV/0!</v>
      </c>
      <c r="BM43" s="39" t="e">
        <f t="shared" ref="BM43" si="563">+IF(BI41&lt;0,1-BM41/BI41,BM41/BI41-1)</f>
        <v>#DIV/0!</v>
      </c>
      <c r="BN43" s="39" t="e">
        <f t="shared" ref="BN43" si="564">+IF(BJ41&lt;0,1-BN41/BJ41,BN41/BJ41-1)</f>
        <v>#DIV/0!</v>
      </c>
      <c r="BO43" s="39" t="e">
        <f t="shared" ref="BO43" si="565">+IF(BK41&lt;0,1-BO41/BK41,BO41/BK41-1)</f>
        <v>#DIV/0!</v>
      </c>
      <c r="BP43" s="39" t="e">
        <f t="shared" ref="BP43" si="566">+IF(BL41&lt;0,1-BP41/BL41,BP41/BL41-1)</f>
        <v>#DIV/0!</v>
      </c>
      <c r="BQ43" s="39" t="e">
        <f t="shared" ref="BQ43" si="567">+IF(BM41&lt;0,1-BQ41/BM41,BQ41/BM41-1)</f>
        <v>#DIV/0!</v>
      </c>
      <c r="BR43" s="39" t="e">
        <f t="shared" ref="BR43" si="568">+IF(BN41&lt;0,1-BR41/BN41,BR41/BN41-1)</f>
        <v>#DIV/0!</v>
      </c>
      <c r="BS43" s="39" t="e">
        <f t="shared" ref="BS43" si="569">+IF(BO41&lt;0,1-BS41/BO41,BS41/BO41-1)</f>
        <v>#DIV/0!</v>
      </c>
      <c r="BT43" s="39" t="e">
        <f t="shared" ref="BT43" si="570">+IF(BP41&lt;0,1-BT41/BP41,BT41/BP41-1)</f>
        <v>#DIV/0!</v>
      </c>
      <c r="BU43" s="39" t="e">
        <f t="shared" ref="BU43" si="571">+IF(BQ41&lt;0,1-BU41/BQ41,BU41/BQ41-1)</f>
        <v>#DIV/0!</v>
      </c>
      <c r="BV43" s="39">
        <f t="shared" ref="BV43" si="572">+IF(BR41&lt;0,1-BV41/BR41,BV41/BR41-1)</f>
        <v>0.45134408602150544</v>
      </c>
      <c r="BW43" s="39">
        <f t="shared" ref="BW43" si="573">+IF(BS41&lt;0,1-BW41/BS41,BW41/BS41-1)</f>
        <v>0.44362564480471756</v>
      </c>
      <c r="BX43" s="39">
        <f t="shared" ref="BX43" si="574">+IF(BT41&lt;0,1-BX41/BT41,BX41/BT41-1)</f>
        <v>0.58035114650292607</v>
      </c>
      <c r="BY43" s="39">
        <f t="shared" ref="BY43" si="575">+IF(BU41&lt;0,1-BY41/BU41,BY41/BU41-1)</f>
        <v>0.45988483685220793</v>
      </c>
      <c r="BZ43" s="39">
        <f t="shared" ref="BZ43" si="576">+IF(BV41&lt;0,1-BZ41/BV41,BZ41/BV41-1)</f>
        <v>0.4630487127245797</v>
      </c>
      <c r="CA43" s="39">
        <f t="shared" ref="CA43" si="577">+IF(BW41&lt;0,1-CA41/BW41,CA41/BW41-1)</f>
        <v>0.1939765186319542</v>
      </c>
      <c r="CB43" s="39">
        <f t="shared" ref="CB43" si="578">+IF(BX41&lt;0,1-CB41/BX41,CB41/BX41-1)</f>
        <v>0.1392059252064104</v>
      </c>
      <c r="CC43" s="39">
        <f t="shared" ref="CC43" si="579">+IF(BY41&lt;0,1-CC41/BY41,CC41/BY41-1)</f>
        <v>0.31547462529582004</v>
      </c>
      <c r="CD43" s="39">
        <f t="shared" ref="CD43" si="580">+IF(BZ41&lt;0,1-CD41/BZ41,CD41/BZ41-1)</f>
        <v>0.3421319154323319</v>
      </c>
      <c r="CE43" s="39">
        <f t="shared" ref="CE43" si="581">+IF(CA41&lt;0,1-CE41/CA41,CE41/CA41-1)</f>
        <v>0.11140291944054193</v>
      </c>
      <c r="CF43" s="39">
        <f t="shared" ref="CF43" si="582">+IF(CB41&lt;0,1-CF41/CB41,CF41/CB41-1)</f>
        <v>0.18827604583000368</v>
      </c>
      <c r="CG43" s="39">
        <f t="shared" ref="CG43" si="583">+IF(CC41&lt;0,1-CG41/CC41,CG41/CC41-1)</f>
        <v>0.1193843386137623</v>
      </c>
      <c r="CH43" s="39">
        <f t="shared" ref="CH43:CL43" si="584">+IF(CD41&lt;0,1-CH41/CD41,CH41/CD41-1)</f>
        <v>0.14785643541008442</v>
      </c>
      <c r="CI43" s="39">
        <f t="shared" si="584"/>
        <v>0.37517173160411321</v>
      </c>
      <c r="CJ43" s="39">
        <f t="shared" si="584"/>
        <v>0.18575657009597224</v>
      </c>
      <c r="CK43" s="39">
        <f t="shared" si="584"/>
        <v>0.29486607142857002</v>
      </c>
      <c r="CL43" s="39">
        <f t="shared" si="584"/>
        <v>0.21530117511709923</v>
      </c>
      <c r="CM43" s="40">
        <f t="shared" ref="CM43" si="585">+CM41/CI41-1</f>
        <v>0.17949601282246297</v>
      </c>
      <c r="CN43" s="40">
        <f t="shared" ref="CN43" si="586">+CN41/CJ41-1</f>
        <v>0.3096251603013358</v>
      </c>
      <c r="CO43" s="40">
        <f t="shared" ref="CO43" si="587">+CO41/CK41-1</f>
        <v>0.35692070477808202</v>
      </c>
      <c r="CP43" s="40">
        <f t="shared" ref="CP43" si="588">+CP41/CL41-1</f>
        <v>0.39200536170505829</v>
      </c>
      <c r="CQ43" s="40">
        <f t="shared" ref="CQ43" si="589">+CQ41/CM41-1</f>
        <v>0.48385698296521173</v>
      </c>
      <c r="CR43" s="40">
        <f t="shared" ref="CR43" si="590">+CR41/CN41-1</f>
        <v>0.45226158701625208</v>
      </c>
      <c r="CS43" s="40">
        <f t="shared" ref="CS43" si="591">+CS41/CO41-1</f>
        <v>0.44719721499479537</v>
      </c>
      <c r="CT43" s="40">
        <f t="shared" ref="CT43" si="592">+CT41/CP41-1</f>
        <v>0.43176274868423437</v>
      </c>
      <c r="CU43" s="40">
        <f t="shared" ref="CU43" si="593">+CU41/CQ41-1</f>
        <v>0.42648884261364173</v>
      </c>
      <c r="CV43" s="40">
        <f t="shared" ref="CV43" si="594">+CV41/CR41-1</f>
        <v>0.41255327974217892</v>
      </c>
      <c r="CW43" s="40">
        <f t="shared" ref="CW43" si="595">+CW41/CS41-1</f>
        <v>0.40313033029326073</v>
      </c>
      <c r="CX43" s="40">
        <f t="shared" ref="CX43" si="596">+CX41/CT41-1</f>
        <v>0.39829207214371976</v>
      </c>
      <c r="CY43" s="40">
        <f t="shared" ref="CY43" si="597">+CY41/CU41-1</f>
        <v>0.3940404438001115</v>
      </c>
      <c r="CZ43" s="40">
        <f t="shared" ref="CZ43" si="598">+CZ41/CV41-1</f>
        <v>0.3859193786106665</v>
      </c>
      <c r="DA43" s="40">
        <f t="shared" ref="DA43" si="599">+DA41/CW41-1</f>
        <v>0.3795425568865145</v>
      </c>
      <c r="DB43" s="40">
        <f t="shared" ref="DB43" si="600">+DB41/CX41-1</f>
        <v>0.37717032822176177</v>
      </c>
      <c r="DE43" s="122"/>
      <c r="DF43" s="39">
        <v>0.26151500561707519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 t="e">
        <f t="shared" ref="BA44" si="615">+IF(AZ41&lt;0,1-BA41/AZ41,BA41/AZ41-1)</f>
        <v>#DIV/0!</v>
      </c>
      <c r="BB44" s="39" t="e">
        <f t="shared" ref="BB44" si="616">+IF(BA41&lt;0,1-BB41/BA41,BB41/BA41-1)</f>
        <v>#DIV/0!</v>
      </c>
      <c r="BC44" s="39" t="e">
        <f t="shared" ref="BC44" si="617">+IF(BB41&lt;0,1-BC41/BB41,BC41/BB41-1)</f>
        <v>#DIV/0!</v>
      </c>
      <c r="BD44" s="39" t="e">
        <f t="shared" ref="BD44" si="618">+IF(BC41&lt;0,1-BD41/BC41,BD41/BC41-1)</f>
        <v>#DIV/0!</v>
      </c>
      <c r="BE44" s="39" t="e">
        <f t="shared" ref="BE44" si="619">+IF(BD41&lt;0,1-BE41/BD41,BE41/BD41-1)</f>
        <v>#DIV/0!</v>
      </c>
      <c r="BF44" s="39" t="e">
        <f t="shared" ref="BF44" si="620">+IF(BE41&lt;0,1-BF41/BE41,BF41/BE41-1)</f>
        <v>#DIV/0!</v>
      </c>
      <c r="BG44" s="39" t="e">
        <f t="shared" ref="BG44" si="621">+IF(BF41&lt;0,1-BG41/BF41,BG41/BF41-1)</f>
        <v>#DIV/0!</v>
      </c>
      <c r="BH44" s="39" t="e">
        <f t="shared" ref="BH44" si="622">+IF(BG41&lt;0,1-BH41/BG41,BH41/BG41-1)</f>
        <v>#DIV/0!</v>
      </c>
      <c r="BI44" s="39" t="e">
        <f t="shared" ref="BI44" si="623">+IF(BH41&lt;0,1-BI41/BH41,BI41/BH41-1)</f>
        <v>#DIV/0!</v>
      </c>
      <c r="BJ44" s="39" t="e">
        <f t="shared" ref="BJ44" si="624">+IF(BI41&lt;0,1-BJ41/BI41,BJ41/BI41-1)</f>
        <v>#DIV/0!</v>
      </c>
      <c r="BK44" s="39" t="e">
        <f t="shared" ref="BK44" si="625">+IF(BJ41&lt;0,1-BK41/BJ41,BK41/BJ41-1)</f>
        <v>#DIV/0!</v>
      </c>
      <c r="BL44" s="39" t="e">
        <f t="shared" ref="BL44" si="626">+IF(BK41&lt;0,1-BL41/BK41,BL41/BK41-1)</f>
        <v>#DIV/0!</v>
      </c>
      <c r="BM44" s="39" t="e">
        <f t="shared" ref="BM44" si="627">+IF(BL41&lt;0,1-BM41/BL41,BM41/BL41-1)</f>
        <v>#DIV/0!</v>
      </c>
      <c r="BN44" s="39" t="e">
        <f t="shared" ref="BN44" si="628">+IF(BM41&lt;0,1-BN41/BM41,BN41/BM41-1)</f>
        <v>#DIV/0!</v>
      </c>
      <c r="BO44" s="39" t="e">
        <f t="shared" ref="BO44" si="629">+IF(BN41&lt;0,1-BO41/BN41,BO41/BN41-1)</f>
        <v>#DIV/0!</v>
      </c>
      <c r="BP44" s="39" t="e">
        <f t="shared" ref="BP44" si="630">+IF(BO41&lt;0,1-BP41/BO41,BP41/BO41-1)</f>
        <v>#DIV/0!</v>
      </c>
      <c r="BQ44" s="39" t="e">
        <f t="shared" ref="BQ44" si="631">+IF(BP41&lt;0,1-BQ41/BP41,BQ41/BP41-1)</f>
        <v>#DIV/0!</v>
      </c>
      <c r="BR44" s="39" t="e">
        <f t="shared" ref="BR44" si="632">+IF(BQ41&lt;0,1-BR41/BQ41,BR41/BQ41-1)</f>
        <v>#DIV/0!</v>
      </c>
      <c r="BS44" s="39">
        <f t="shared" ref="BS44" si="633">+IF(BR41&lt;0,1-BS41/BR41,BS41/BR41-1)</f>
        <v>0.27674731182795642</v>
      </c>
      <c r="BT44" s="39">
        <f t="shared" ref="BT44" si="634">+IF(BS41&lt;0,1-BT41/BS41,BT41/BS41-1)</f>
        <v>9.7273397199705736E-2</v>
      </c>
      <c r="BU44" s="39">
        <f t="shared" ref="BU44" si="635">+IF(BT41&lt;0,1-BU41/BT41,BU41/BT41-1)</f>
        <v>-2.8782500239943332E-4</v>
      </c>
      <c r="BV44" s="39">
        <f t="shared" ref="BV44" si="636">+IF(BU41&lt;0,1-BV41/BU41,BV41/BU41-1)</f>
        <v>3.6276391554703302E-2</v>
      </c>
      <c r="BW44" s="39">
        <f t="shared" ref="BW44" si="637">+IF(BV41&lt;0,1-BW41/BV41,BW41/BV41-1)</f>
        <v>0.26995739951842967</v>
      </c>
      <c r="BX44" s="39">
        <f t="shared" ref="BX44" si="638">+IF(BW41&lt;0,1-BX41/BW41,BX41/BW41-1)</f>
        <v>0.20119594545321906</v>
      </c>
      <c r="BY44" s="39">
        <f t="shared" ref="BY44" si="639">+IF(BX41&lt;0,1-BY41/BX41,BY41/BX41-1)</f>
        <v>-7.6493443419135776E-2</v>
      </c>
      <c r="BZ44" s="39">
        <f t="shared" ref="BZ44" si="640">+IF(BY41&lt;0,1-BZ41/BY41,BZ41/BY41-1)</f>
        <v>3.852221930055344E-2</v>
      </c>
      <c r="CA44" s="39">
        <f t="shared" ref="CA44" si="641">+IF(BZ41&lt;0,1-CA41/BZ41,CA41/BZ41-1)</f>
        <v>3.6397012280034335E-2</v>
      </c>
      <c r="CB44" s="39">
        <f t="shared" ref="CB44" si="642">+IF(CA41&lt;0,1-CB41/CA41,CB41/CA41-1)</f>
        <v>0.14609417944176362</v>
      </c>
      <c r="CC44" s="39">
        <f t="shared" ref="CC44" si="643">+IF(CB41&lt;0,1-CC41/CB41,CC41/CB41-1)</f>
        <v>6.6400213162804089E-2</v>
      </c>
      <c r="CD44" s="39">
        <f t="shared" ref="CD44" si="644">+IF(CC41&lt;0,1-CD41/CC41,CD41/CC41-1)</f>
        <v>5.956723801908903E-2</v>
      </c>
      <c r="CE44" s="39">
        <f t="shared" ref="CE44" si="645">+IF(CD41&lt;0,1-CE41/CD41,CE41/CD41-1)</f>
        <v>-0.14177239069942982</v>
      </c>
      <c r="CF44" s="39">
        <f t="shared" ref="CF44" si="646">+IF(CE41&lt;0,1-CF41/CE41,CF41/CE41-1)</f>
        <v>0.22536681870638176</v>
      </c>
      <c r="CG44" s="39">
        <f t="shared" ref="CG44" si="647">+IF(CF41&lt;0,1-CG41/CF41,CG41/CF41-1)</f>
        <v>4.5744012915955867E-3</v>
      </c>
      <c r="CH44" s="39">
        <f t="shared" ref="CH44:CL44" si="648">+IF(CG41&lt;0,1-CH41/CG41,CH41/CG41-1)</f>
        <v>8.6517857142857535E-2</v>
      </c>
      <c r="CI44" s="39">
        <f t="shared" si="648"/>
        <v>2.8186375215712545E-2</v>
      </c>
      <c r="CJ44" s="39">
        <f t="shared" si="648"/>
        <v>5.6585677749359187E-2</v>
      </c>
      <c r="CK44" s="39">
        <f t="shared" si="648"/>
        <v>9.7012102874431738E-2</v>
      </c>
      <c r="CL44" s="39">
        <f t="shared" si="648"/>
        <v>1.9755214618169425E-2</v>
      </c>
      <c r="CM44" s="40">
        <f t="shared" ref="CM44" si="649">+CM41/CL41-1</f>
        <v>-2.106017145534933E-3</v>
      </c>
      <c r="CN44" s="40">
        <f t="shared" ref="CN44" si="650">+CN41/CM41-1</f>
        <v>0.17315461226817952</v>
      </c>
      <c r="CO44" s="40">
        <f t="shared" ref="CO44" si="651">+CO41/CN41-1</f>
        <v>0.13662938137195901</v>
      </c>
      <c r="CP44" s="40">
        <f t="shared" ref="CP44" si="652">+CP41/CO41-1</f>
        <v>4.6122092010776328E-2</v>
      </c>
      <c r="CQ44" s="40">
        <f t="shared" ref="CQ44" si="653">+CQ41/CP41-1</f>
        <v>6.3740123029286444E-2</v>
      </c>
      <c r="CR44" s="40">
        <f t="shared" ref="CR44" si="654">+CR41/CQ41-1</f>
        <v>0.14817492425950674</v>
      </c>
      <c r="CS44" s="40">
        <f t="shared" ref="CS44" si="655">+CS41/CR41-1</f>
        <v>0.13266569184849497</v>
      </c>
      <c r="CT44" s="40">
        <f t="shared" ref="CT44" si="656">+CT41/CS41-1</f>
        <v>3.496512182138023E-2</v>
      </c>
      <c r="CU44" s="40">
        <f t="shared" ref="CU44" si="657">+CU41/CT41-1</f>
        <v>5.9821830352980498E-2</v>
      </c>
      <c r="CV44" s="40">
        <f t="shared" ref="CV44" si="658">+CV41/CU41-1</f>
        <v>0.1369582477833422</v>
      </c>
      <c r="CW44" s="40">
        <f t="shared" ref="CW44" si="659">+CW41/CV41-1</f>
        <v>0.12510983416165411</v>
      </c>
      <c r="CX44" s="40">
        <f t="shared" ref="CX44" si="660">+CX41/CW41-1</f>
        <v>3.1396366783424279E-2</v>
      </c>
      <c r="CY44" s="40">
        <f t="shared" ref="CY44" si="661">+CY41/CX41-1</f>
        <v>5.65993501409634E-2</v>
      </c>
      <c r="CZ44" s="40">
        <f t="shared" ref="CZ44" si="662">+CZ41/CY41-1</f>
        <v>0.13033483015655078</v>
      </c>
      <c r="DA44" s="40">
        <f t="shared" ref="DA44" si="663">+DA41/CZ41-1</f>
        <v>0.1199330360424653</v>
      </c>
      <c r="DB44" s="40">
        <f t="shared" ref="DB44" si="664">+DB41/DA41-1</f>
        <v>2.9622802050830899E-2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-1.77</v>
      </c>
      <c r="V45" s="75">
        <f>'Annual Raw'!W32</f>
        <v>-7.899</v>
      </c>
      <c r="W45" s="75">
        <f>'Annual Raw'!X32</f>
        <v>0.26800000000000002</v>
      </c>
      <c r="X45" s="75">
        <f>'Annual Raw'!Y32</f>
        <v>0.47899999999999998</v>
      </c>
      <c r="Y45" s="75">
        <f>'Annual Raw'!Z32</f>
        <v>-1.288</v>
      </c>
      <c r="Z45" s="75">
        <f>'Annual Raw'!AA32</f>
        <v>-2.5960000000000001</v>
      </c>
      <c r="AA45" s="75">
        <f>'Annual Raw'!AB32</f>
        <v>-2.246</v>
      </c>
      <c r="AB45" s="76">
        <f t="shared" ref="AB45:AB46" si="665">+SUM(CM45:CP45)</f>
        <v>-2.44</v>
      </c>
      <c r="AC45" s="76">
        <f t="shared" ref="AC45:AC46" si="666">+SUM(CQ45:CT45)</f>
        <v>-2.44</v>
      </c>
      <c r="AD45" s="76">
        <f t="shared" ref="AD45:AD46" si="667">+SUM(CU45:CX45)</f>
        <v>-2.44</v>
      </c>
      <c r="AE45" s="76">
        <f t="shared" ref="AE45:AE46" si="668">+SUM(CY45:DB45)</f>
        <v>-2.44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2.5000000000000001E-2</v>
      </c>
      <c r="BT45" s="75">
        <f>'QTR Raw'!AN34</f>
        <v>0.255</v>
      </c>
      <c r="BU45" s="75">
        <f>'QTR Raw'!AO34</f>
        <v>0</v>
      </c>
      <c r="BV45" s="75">
        <f>'QTR Raw'!AP34</f>
        <v>-1.2E-2</v>
      </c>
      <c r="BW45" s="75">
        <f>'QTR Raw'!AQ34</f>
        <v>0.17299999999999999</v>
      </c>
      <c r="BX45" s="75">
        <f>'QTR Raw'!AR34</f>
        <v>0.17199999999999999</v>
      </c>
      <c r="BY45" s="75">
        <f>'QTR Raw'!AS34</f>
        <v>0.105</v>
      </c>
      <c r="BZ45" s="75">
        <f>'QTR Raw'!AT34</f>
        <v>2.9000000000000001E-2</v>
      </c>
      <c r="CA45" s="75">
        <f>'QTR Raw'!AU34</f>
        <v>-0.79600000000000004</v>
      </c>
      <c r="CB45" s="75">
        <f>'QTR Raw'!AV34</f>
        <v>-0.4</v>
      </c>
      <c r="CC45" s="75">
        <f>'QTR Raw'!AW34</f>
        <v>0.11600000000000001</v>
      </c>
      <c r="CD45" s="75">
        <f>'QTR Raw'!AX34</f>
        <v>-0.20699999999999999</v>
      </c>
      <c r="CE45" s="75">
        <f>'QTR Raw'!AY34</f>
        <v>-0.34799999999999998</v>
      </c>
      <c r="CF45" s="75">
        <f>'QTR Raw'!AZ34</f>
        <v>-0.372</v>
      </c>
      <c r="CG45" s="75">
        <f>'QTR Raw'!BA34</f>
        <v>-1.427</v>
      </c>
      <c r="CH45" s="75">
        <f>'QTR Raw'!BB34</f>
        <v>-0.44900000000000001</v>
      </c>
      <c r="CI45" s="75">
        <f>'QTR Raw'!BC34</f>
        <v>-0.14000000000000001</v>
      </c>
      <c r="CJ45" s="75">
        <f>'QTR Raw'!BD34</f>
        <v>-1.165</v>
      </c>
      <c r="CK45" s="75">
        <f>'QTR Raw'!BE34</f>
        <v>-0.33100000000000002</v>
      </c>
      <c r="CL45" s="75">
        <f>'QTR Raw'!BF34</f>
        <v>-0.61</v>
      </c>
      <c r="CM45" s="76">
        <f t="shared" ref="CM45:CM46" si="669">+CL45</f>
        <v>-0.61</v>
      </c>
      <c r="CN45" s="76">
        <f t="shared" ref="CN45:CN46" si="670">+CM45</f>
        <v>-0.61</v>
      </c>
      <c r="CO45" s="76">
        <f t="shared" ref="CO45:CO46" si="671">+CN45</f>
        <v>-0.61</v>
      </c>
      <c r="CP45" s="76">
        <f t="shared" ref="CP45:CP46" si="672">+CO45</f>
        <v>-0.61</v>
      </c>
      <c r="CQ45" s="76">
        <f t="shared" ref="CQ45:CQ46" si="673">+CP45</f>
        <v>-0.61</v>
      </c>
      <c r="CR45" s="76">
        <f t="shared" ref="CR45:CR46" si="674">+CQ45</f>
        <v>-0.61</v>
      </c>
      <c r="CS45" s="76">
        <f t="shared" ref="CS45:CS46" si="675">+CR45</f>
        <v>-0.61</v>
      </c>
      <c r="CT45" s="76">
        <f t="shared" ref="CT45:CT46" si="676">+CS45</f>
        <v>-0.61</v>
      </c>
      <c r="CU45" s="76">
        <f t="shared" ref="CU45:CU46" si="677">+CT45</f>
        <v>-0.61</v>
      </c>
      <c r="CV45" s="76">
        <f t="shared" ref="CV45:CV46" si="678">+CU45</f>
        <v>-0.61</v>
      </c>
      <c r="CW45" s="76">
        <f t="shared" ref="CW45:CW46" si="679">+CV45</f>
        <v>-0.61</v>
      </c>
      <c r="CX45" s="76">
        <f t="shared" ref="CX45:CX46" si="680">+CW45</f>
        <v>-0.61</v>
      </c>
      <c r="CY45" s="76">
        <f t="shared" ref="CY45:CY46" si="681">+CX45</f>
        <v>-0.61</v>
      </c>
      <c r="CZ45" s="76">
        <f t="shared" ref="CZ45:CZ46" si="682">+CY45</f>
        <v>-0.61</v>
      </c>
      <c r="DA45" s="76">
        <f t="shared" ref="DA45:DA46" si="683">+CZ45</f>
        <v>-0.61</v>
      </c>
      <c r="DB45" s="76">
        <f t="shared" ref="DB45:DB46" si="684">+DA45</f>
        <v>-0.61</v>
      </c>
      <c r="DE45" s="131"/>
      <c r="DF45" s="75">
        <v>-2.246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-8.9999999999999993E-3</v>
      </c>
      <c r="AB46" s="76">
        <f t="shared" si="665"/>
        <v>-1.6E-2</v>
      </c>
      <c r="AC46" s="76">
        <f t="shared" si="666"/>
        <v>-1.6E-2</v>
      </c>
      <c r="AD46" s="76">
        <f t="shared" si="667"/>
        <v>-1.6E-2</v>
      </c>
      <c r="AE46" s="76">
        <f t="shared" si="668"/>
        <v>-1.6E-2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2E-3</v>
      </c>
      <c r="CK46" s="75">
        <f>'QTR Raw'!BE35</f>
        <v>-7.0000000000000001E-3</v>
      </c>
      <c r="CL46" s="75">
        <f>'QTR Raw'!BF35</f>
        <v>-4.0000000000000001E-3</v>
      </c>
      <c r="CM46" s="76">
        <f t="shared" si="669"/>
        <v>-4.0000000000000001E-3</v>
      </c>
      <c r="CN46" s="76">
        <f t="shared" si="670"/>
        <v>-4.0000000000000001E-3</v>
      </c>
      <c r="CO46" s="76">
        <f t="shared" si="671"/>
        <v>-4.0000000000000001E-3</v>
      </c>
      <c r="CP46" s="76">
        <f t="shared" si="672"/>
        <v>-4.0000000000000001E-3</v>
      </c>
      <c r="CQ46" s="76">
        <f t="shared" si="673"/>
        <v>-4.0000000000000001E-3</v>
      </c>
      <c r="CR46" s="76">
        <f t="shared" si="674"/>
        <v>-4.0000000000000001E-3</v>
      </c>
      <c r="CS46" s="76">
        <f t="shared" si="675"/>
        <v>-4.0000000000000001E-3</v>
      </c>
      <c r="CT46" s="76">
        <f t="shared" si="676"/>
        <v>-4.0000000000000001E-3</v>
      </c>
      <c r="CU46" s="76">
        <f t="shared" si="677"/>
        <v>-4.0000000000000001E-3</v>
      </c>
      <c r="CV46" s="76">
        <f t="shared" si="678"/>
        <v>-4.0000000000000001E-3</v>
      </c>
      <c r="CW46" s="76">
        <f t="shared" si="679"/>
        <v>-4.0000000000000001E-3</v>
      </c>
      <c r="CX46" s="76">
        <f t="shared" si="680"/>
        <v>-4.0000000000000001E-3</v>
      </c>
      <c r="CY46" s="76">
        <f t="shared" si="681"/>
        <v>-4.0000000000000001E-3</v>
      </c>
      <c r="CZ46" s="76">
        <f t="shared" si="682"/>
        <v>-4.0000000000000001E-3</v>
      </c>
      <c r="DA46" s="76">
        <f t="shared" si="683"/>
        <v>-4.0000000000000001E-3</v>
      </c>
      <c r="DB46" s="76">
        <f t="shared" si="684"/>
        <v>-4.0000000000000001E-3</v>
      </c>
      <c r="DE46" s="131"/>
      <c r="DF46" s="75">
        <v>-9.0000000000000011E-3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8.25</v>
      </c>
      <c r="N47" s="75">
        <f>'Annual Raw'!O29+'Annual Raw'!O31+'Annual Raw'!O34+'Annual Raw'!O36</f>
        <v>-1.22235E-2</v>
      </c>
      <c r="O47" s="75">
        <f>'Annual Raw'!P29+'Annual Raw'!P31+'Annual Raw'!P34+'Annual Raw'!P36</f>
        <v>-8.1385546000000009</v>
      </c>
      <c r="P47" s="75">
        <f>'Annual Raw'!Q29+'Annual Raw'!Q31+'Annual Raw'!Q34+'Annual Raw'!Q36</f>
        <v>-13.792242</v>
      </c>
      <c r="Q47" s="75">
        <f>'Annual Raw'!R29+'Annual Raw'!R31+'Annual Raw'!R34+'Annual Raw'!R36</f>
        <v>0</v>
      </c>
      <c r="R47" s="75">
        <f>'Annual Raw'!S29+'Annual Raw'!S31+'Annual Raw'!S34+'Annual Raw'!S36</f>
        <v>-0.4696245</v>
      </c>
      <c r="S47" s="75">
        <f>'Annual Raw'!T29+'Annual Raw'!T31+'Annual Raw'!T34+'Annual Raw'!T36</f>
        <v>-0.22947770000000001</v>
      </c>
      <c r="T47" s="75">
        <f>'Annual Raw'!U29+'Annual Raw'!U31+'Annual Raw'!U34+'Annual Raw'!U36</f>
        <v>-1.899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0.70624029999999993</v>
      </c>
      <c r="K48" s="26">
        <f t="shared" si="685"/>
        <v>-2.7927014320000003</v>
      </c>
      <c r="L48" s="26">
        <f t="shared" si="685"/>
        <v>4.013960900000102E-2</v>
      </c>
      <c r="M48" s="26">
        <f t="shared" si="685"/>
        <v>3.433677000000003</v>
      </c>
      <c r="N48" s="26">
        <f t="shared" si="685"/>
        <v>1.1954692000000016</v>
      </c>
      <c r="O48" s="26">
        <f t="shared" si="685"/>
        <v>-7.3892019999999983</v>
      </c>
      <c r="P48" s="26">
        <f t="shared" si="685"/>
        <v>-9.087132899999995</v>
      </c>
      <c r="Q48" s="26">
        <f t="shared" si="685"/>
        <v>5.3167213999999987</v>
      </c>
      <c r="R48" s="26">
        <f t="shared" si="685"/>
        <v>9.5409215000000049</v>
      </c>
      <c r="S48" s="26">
        <f t="shared" si="685"/>
        <v>7.6706083000000049</v>
      </c>
      <c r="T48" s="26">
        <f t="shared" si="685"/>
        <v>17.435999999999993</v>
      </c>
      <c r="U48" s="26">
        <f t="shared" si="685"/>
        <v>16.646000000000011</v>
      </c>
      <c r="V48" s="26">
        <f>V41+V45+V46+V47</f>
        <v>17.45999999999998</v>
      </c>
      <c r="W48" s="26">
        <f>W41+W45+W46+W47</f>
        <v>41.404000000000011</v>
      </c>
      <c r="X48" s="26">
        <f>X41+X45+X46+X47</f>
        <v>61.676999999999978</v>
      </c>
      <c r="Y48" s="26">
        <f>Y41+Y45+Y46+Y47</f>
        <v>75.06400000000005</v>
      </c>
      <c r="Z48" s="26">
        <f>Z41+Z45+Z46+Z47</f>
        <v>84.637999999999977</v>
      </c>
      <c r="AA48" s="26">
        <f>AA41+AA45+AA46+AA47</f>
        <v>107.79200000000009</v>
      </c>
      <c r="AB48" s="27">
        <f t="shared" ref="AA48:AD48" si="686">AB41+AB45+AB46+AB47</f>
        <v>142.21641709383712</v>
      </c>
      <c r="AC48" s="27">
        <f t="shared" si="686"/>
        <v>207.53544035815281</v>
      </c>
      <c r="AD48" s="27">
        <f t="shared" si="686"/>
        <v>293.40102982886214</v>
      </c>
      <c r="AE48" s="27">
        <f t="shared" ref="AE48" si="687">AE41+AE45+AE46+AE47</f>
        <v>406.85455711468217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0</v>
      </c>
      <c r="BA48" s="26">
        <f t="shared" si="692"/>
        <v>0</v>
      </c>
      <c r="BB48" s="26">
        <f t="shared" si="692"/>
        <v>0</v>
      </c>
      <c r="BC48" s="26">
        <f t="shared" si="692"/>
        <v>0</v>
      </c>
      <c r="BD48" s="26">
        <f t="shared" si="692"/>
        <v>0</v>
      </c>
      <c r="BE48" s="26">
        <f t="shared" si="692"/>
        <v>0</v>
      </c>
      <c r="BF48" s="26">
        <f t="shared" si="692"/>
        <v>0</v>
      </c>
      <c r="BG48" s="26">
        <f t="shared" si="692"/>
        <v>0</v>
      </c>
      <c r="BH48" s="26">
        <f t="shared" si="692"/>
        <v>0</v>
      </c>
      <c r="BI48" s="26">
        <f t="shared" si="692"/>
        <v>0</v>
      </c>
      <c r="BJ48" s="26">
        <f t="shared" si="692"/>
        <v>0</v>
      </c>
      <c r="BK48" s="26">
        <f t="shared" si="692"/>
        <v>0</v>
      </c>
      <c r="BL48" s="26">
        <f t="shared" si="692"/>
        <v>0</v>
      </c>
      <c r="BM48" s="26">
        <f t="shared" si="692"/>
        <v>0</v>
      </c>
      <c r="BN48" s="26">
        <f t="shared" si="692"/>
        <v>0</v>
      </c>
      <c r="BO48" s="26">
        <f t="shared" si="692"/>
        <v>0</v>
      </c>
      <c r="BP48" s="26">
        <f t="shared" si="692"/>
        <v>0</v>
      </c>
      <c r="BQ48" s="26">
        <f t="shared" si="692"/>
        <v>0</v>
      </c>
      <c r="BR48" s="26">
        <f t="shared" si="692"/>
        <v>7.4399999999999995</v>
      </c>
      <c r="BS48" s="26">
        <f t="shared" si="692"/>
        <v>9.5239999999999956</v>
      </c>
      <c r="BT48" s="26">
        <f t="shared" si="692"/>
        <v>10.678000000000001</v>
      </c>
      <c r="BU48" s="26">
        <f t="shared" si="692"/>
        <v>10.419999999999991</v>
      </c>
      <c r="BV48" s="26">
        <f t="shared" si="692"/>
        <v>10.786</v>
      </c>
      <c r="BW48" s="26">
        <f t="shared" si="692"/>
        <v>13.886000000000005</v>
      </c>
      <c r="BX48" s="26">
        <f t="shared" si="692"/>
        <v>16.643999999999998</v>
      </c>
      <c r="BY48" s="26">
        <f t="shared" si="692"/>
        <v>15.316999999999993</v>
      </c>
      <c r="BZ48" s="26">
        <f t="shared" si="692"/>
        <v>15.827000000000012</v>
      </c>
      <c r="CA48" s="26">
        <f t="shared" si="692"/>
        <v>15.576999999999995</v>
      </c>
      <c r="CB48" s="26">
        <f t="shared" si="692"/>
        <v>18.364999999999991</v>
      </c>
      <c r="CC48" s="26">
        <f t="shared" si="692"/>
        <v>20.127000000000006</v>
      </c>
      <c r="CD48" s="26">
        <f t="shared" si="692"/>
        <v>20.995999999999995</v>
      </c>
      <c r="CE48" s="26">
        <f t="shared" ref="CE48:CF48" si="693">CE41+CE45+CE46+CE47</f>
        <v>17.848999999999986</v>
      </c>
      <c r="CF48" s="26">
        <f t="shared" si="693"/>
        <v>21.926000000000009</v>
      </c>
      <c r="CG48" s="26">
        <f t="shared" ref="CG48:CH48" si="694">CG41+CG45+CG46+CG47</f>
        <v>20.973000000000006</v>
      </c>
      <c r="CH48" s="26">
        <f t="shared" si="694"/>
        <v>23.889000000000014</v>
      </c>
      <c r="CI48" s="26">
        <f t="shared" ref="CI48:CJ48" si="695">CI41+CI45+CI46+CI47</f>
        <v>24.884000000000029</v>
      </c>
      <c r="CJ48" s="26">
        <f t="shared" si="695"/>
        <v>25.276999999999997</v>
      </c>
      <c r="CK48" s="26">
        <f t="shared" ref="CK48:CL48" si="696">CK41+CK45+CK46+CK47</f>
        <v>28.666999999999973</v>
      </c>
      <c r="CL48" s="26">
        <f t="shared" si="696"/>
        <v>28.963999999999977</v>
      </c>
      <c r="CM48" s="27">
        <f t="shared" ref="CM48:DB48" si="697">CM41+CM45+CM46+CM47</f>
        <v>28.901708224869346</v>
      </c>
      <c r="CN48" s="27">
        <f t="shared" si="697"/>
        <v>34.012489238367316</v>
      </c>
      <c r="CO48" s="27">
        <f t="shared" si="697"/>
        <v>38.743485042088238</v>
      </c>
      <c r="CP48" s="27">
        <f t="shared" si="697"/>
        <v>40.558734588512188</v>
      </c>
      <c r="CQ48" s="27">
        <f t="shared" si="697"/>
        <v>43.183089756636114</v>
      </c>
      <c r="CR48" s="27">
        <f t="shared" si="697"/>
        <v>49.672720214112488</v>
      </c>
      <c r="CS48" s="27">
        <f t="shared" si="697"/>
        <v>56.344042742109416</v>
      </c>
      <c r="CT48" s="27">
        <f t="shared" si="697"/>
        <v>58.335587645294659</v>
      </c>
      <c r="CU48" s="27">
        <f t="shared" si="697"/>
        <v>61.862059876789637</v>
      </c>
      <c r="CV48" s="27">
        <f t="shared" si="697"/>
        <v>70.418671565921912</v>
      </c>
      <c r="CW48" s="27">
        <f t="shared" si="697"/>
        <v>79.305557325593639</v>
      </c>
      <c r="CX48" s="27">
        <f t="shared" si="697"/>
        <v>81.814741060556884</v>
      </c>
      <c r="CY48" s="27">
        <f t="shared" si="697"/>
        <v>86.480154237522157</v>
      </c>
      <c r="CZ48" s="27">
        <f t="shared" si="697"/>
        <v>97.83155603769805</v>
      </c>
      <c r="DA48" s="27">
        <f t="shared" si="697"/>
        <v>109.63843045818783</v>
      </c>
      <c r="DB48" s="27">
        <f t="shared" si="697"/>
        <v>112.90441638127373</v>
      </c>
      <c r="DE48" s="121"/>
      <c r="DF48" s="26">
        <v>107.79199999999992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0.70624030000000004</v>
      </c>
      <c r="K51" s="22">
        <f>'Annual Raw'!L35</f>
        <v>-2.7927014319999999</v>
      </c>
      <c r="L51" s="22">
        <f>'Annual Raw'!M35</f>
        <v>4.0139609E-2</v>
      </c>
      <c r="M51" s="22">
        <f>'Annual Raw'!N35</f>
        <v>3.4336769999999999</v>
      </c>
      <c r="N51" s="22">
        <f>'Annual Raw'!O35</f>
        <v>1.1954692</v>
      </c>
      <c r="O51" s="22">
        <f>'Annual Raw'!P35</f>
        <v>-7.389202</v>
      </c>
      <c r="P51" s="22">
        <f>'Annual Raw'!Q35</f>
        <v>-9.0871329000000003</v>
      </c>
      <c r="Q51" s="22">
        <f>'Annual Raw'!R35</f>
        <v>5.3167213999999996</v>
      </c>
      <c r="R51" s="22">
        <f>'Annual Raw'!S35</f>
        <v>9.5409214999999996</v>
      </c>
      <c r="S51" s="22">
        <f>'Annual Raw'!T35</f>
        <v>7.6706082999999996</v>
      </c>
      <c r="T51" s="22">
        <f>'Annual Raw'!U35</f>
        <v>17.436</v>
      </c>
      <c r="U51" s="22">
        <f>'Annual Raw'!V35</f>
        <v>16.646000000000001</v>
      </c>
      <c r="V51" s="22">
        <f>'Annual Raw'!W35</f>
        <v>17.46</v>
      </c>
      <c r="W51" s="22">
        <f>'Annual Raw'!X35</f>
        <v>41.404000000000003</v>
      </c>
      <c r="X51" s="22">
        <f>'Annual Raw'!Y35</f>
        <v>61.677</v>
      </c>
      <c r="Y51" s="22">
        <f>'Annual Raw'!Z35</f>
        <v>75.063999999999993</v>
      </c>
      <c r="Z51" s="22">
        <f>'Annual Raw'!AA35</f>
        <v>84.638000000000005</v>
      </c>
      <c r="AA51" s="22">
        <f>'Annual Raw'!AB35</f>
        <v>107.792</v>
      </c>
      <c r="AB51" s="21">
        <f t="shared" ref="AA51:AD51" si="698">+AB48</f>
        <v>142.21641709383712</v>
      </c>
      <c r="AC51" s="21">
        <f t="shared" si="698"/>
        <v>207.53544035815281</v>
      </c>
      <c r="AD51" s="21">
        <f t="shared" si="698"/>
        <v>293.40102982886214</v>
      </c>
      <c r="AE51" s="21">
        <f t="shared" ref="AE51" si="699">+AE48</f>
        <v>406.85455711468217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7.44</v>
      </c>
      <c r="BS51" s="22">
        <f>'QTR Raw'!AM42</f>
        <v>9.5239999999999991</v>
      </c>
      <c r="BT51" s="22">
        <f>'QTR Raw'!AN42</f>
        <v>10.679</v>
      </c>
      <c r="BU51" s="22">
        <f>'QTR Raw'!AO42</f>
        <v>10.417</v>
      </c>
      <c r="BV51" s="22">
        <f>'QTR Raw'!AP42</f>
        <v>10.785</v>
      </c>
      <c r="BW51" s="22">
        <f>'QTR Raw'!AQ42</f>
        <v>13.885999999999999</v>
      </c>
      <c r="BX51" s="22">
        <f>'QTR Raw'!AR42</f>
        <v>16.643999999999998</v>
      </c>
      <c r="BY51" s="22">
        <f>'QTR Raw'!AS42</f>
        <v>15.317</v>
      </c>
      <c r="BZ51" s="22">
        <f>'QTR Raw'!AT42</f>
        <v>15.829000000000001</v>
      </c>
      <c r="CA51" s="22">
        <f>'QTR Raw'!AU42</f>
        <v>15.577</v>
      </c>
      <c r="CB51" s="22">
        <f>'QTR Raw'!AV42</f>
        <v>18.364999999999998</v>
      </c>
      <c r="CC51" s="22">
        <f>'QTR Raw'!AW42</f>
        <v>20.126999999999999</v>
      </c>
      <c r="CD51" s="22">
        <f>'QTR Raw'!AX42</f>
        <v>20.995999999999999</v>
      </c>
      <c r="CE51" s="22">
        <f>'QTR Raw'!AY42</f>
        <v>17.849</v>
      </c>
      <c r="CF51" s="22">
        <f>'QTR Raw'!AZ42</f>
        <v>21.925999999999998</v>
      </c>
      <c r="CG51" s="22">
        <f>'QTR Raw'!BA42</f>
        <v>20.972999999999999</v>
      </c>
      <c r="CH51" s="22">
        <f>'QTR Raw'!BB42</f>
        <v>23.888999999999999</v>
      </c>
      <c r="CI51" s="22">
        <f>'QTR Raw'!BC42</f>
        <v>24.884</v>
      </c>
      <c r="CJ51" s="22">
        <f>'QTR Raw'!BD42</f>
        <v>25.276</v>
      </c>
      <c r="CK51" s="22">
        <f>'QTR Raw'!BE42</f>
        <v>28.667000000000002</v>
      </c>
      <c r="CL51" s="22">
        <f>'QTR Raw'!BF42</f>
        <v>28.963999999999999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107.79199999999992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-1.0200174038743626E-15</v>
      </c>
      <c r="M52" s="25">
        <f t="shared" si="700"/>
        <v>0</v>
      </c>
      <c r="N52" s="25">
        <f t="shared" si="700"/>
        <v>0</v>
      </c>
      <c r="O52" s="25">
        <f t="shared" si="700"/>
        <v>0</v>
      </c>
      <c r="P52" s="25">
        <f t="shared" si="700"/>
        <v>0</v>
      </c>
      <c r="Q52" s="25">
        <f t="shared" si="700"/>
        <v>0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9.9999999999944578E-4</v>
      </c>
      <c r="BU52" s="25">
        <f t="shared" si="710"/>
        <v>-2.9999999999912319E-3</v>
      </c>
      <c r="BV52" s="25">
        <f t="shared" si="710"/>
        <v>-9.9999999999944578E-4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1.9999999999882334E-3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-2.8421709430404007E-14</v>
      </c>
      <c r="CJ52" s="25">
        <f t="shared" si="713"/>
        <v>-9.9999999999766942E-4</v>
      </c>
      <c r="CK52" s="25">
        <f t="shared" ref="CK52:CL52" si="714">CK51-CK48</f>
        <v>2.8421709430404007E-14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 t="e">
        <f t="shared" si="715"/>
        <v>#DIV/0!</v>
      </c>
      <c r="J54" s="39">
        <f t="shared" si="715"/>
        <v>4.0573971623268923E-2</v>
      </c>
      <c r="K54" s="39">
        <f t="shared" si="715"/>
        <v>-0.10048909363628993</v>
      </c>
      <c r="L54" s="39">
        <f t="shared" si="715"/>
        <v>7.5977049038991585E-4</v>
      </c>
      <c r="M54" s="39">
        <f t="shared" si="715"/>
        <v>-8.5600835550310228E-2</v>
      </c>
      <c r="N54" s="39">
        <f t="shared" si="715"/>
        <v>2.101783511488222E-2</v>
      </c>
      <c r="O54" s="39">
        <f t="shared" si="715"/>
        <v>1.4965748675801013E-2</v>
      </c>
      <c r="P54" s="39">
        <f t="shared" si="715"/>
        <v>9.2951574429316591E-2</v>
      </c>
      <c r="Q54" s="39">
        <f t="shared" si="715"/>
        <v>9.7634726147411505E-2</v>
      </c>
      <c r="R54" s="39">
        <f t="shared" si="715"/>
        <v>0.15862582800146693</v>
      </c>
      <c r="S54" s="39">
        <f t="shared" si="715"/>
        <v>0.11908712841037335</v>
      </c>
      <c r="T54" s="39">
        <f t="shared" si="715"/>
        <v>0.25560858242005202</v>
      </c>
      <c r="U54" s="39">
        <f t="shared" si="715"/>
        <v>0.18065986542218376</v>
      </c>
      <c r="V54" s="39">
        <f t="shared" si="715"/>
        <v>0.16263343206840644</v>
      </c>
      <c r="W54" s="39">
        <f t="shared" si="715"/>
        <v>0.27095794667748657</v>
      </c>
      <c r="X54" s="39">
        <f t="shared" si="715"/>
        <v>0.15750160880090699</v>
      </c>
      <c r="Y54" s="39">
        <f t="shared" si="715"/>
        <v>0.11437574376078985</v>
      </c>
      <c r="Z54" s="39">
        <f t="shared" si="715"/>
        <v>0.11355836238102518</v>
      </c>
      <c r="AA54" s="39">
        <f t="shared" ref="AA54" si="716">(AA48-AA47)/AA120</f>
        <v>0.11830545046661693</v>
      </c>
      <c r="AB54" s="40">
        <f t="shared" si="715"/>
        <v>0.13501352427403285</v>
      </c>
      <c r="AC54" s="40">
        <f t="shared" si="715"/>
        <v>0.16459507712507768</v>
      </c>
      <c r="AD54" s="40">
        <f t="shared" si="715"/>
        <v>0.18876902391628425</v>
      </c>
      <c r="AE54" s="40">
        <f t="shared" si="715"/>
        <v>0.20745814420245856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 t="e">
        <f t="shared" si="717"/>
        <v>#DIV/0!</v>
      </c>
      <c r="BB54" s="39" t="e">
        <f t="shared" si="717"/>
        <v>#DIV/0!</v>
      </c>
      <c r="BC54" s="39" t="e">
        <f t="shared" si="717"/>
        <v>#DIV/0!</v>
      </c>
      <c r="BD54" s="39" t="e">
        <f t="shared" si="717"/>
        <v>#DIV/0!</v>
      </c>
      <c r="BE54" s="39" t="e">
        <f t="shared" si="717"/>
        <v>#DIV/0!</v>
      </c>
      <c r="BF54" s="39" t="e">
        <f t="shared" si="717"/>
        <v>#DIV/0!</v>
      </c>
      <c r="BG54" s="39" t="e">
        <f t="shared" si="717"/>
        <v>#DIV/0!</v>
      </c>
      <c r="BH54" s="39" t="e">
        <f t="shared" si="717"/>
        <v>#DIV/0!</v>
      </c>
      <c r="BI54" s="39" t="e">
        <f t="shared" si="717"/>
        <v>#DIV/0!</v>
      </c>
      <c r="BJ54" s="39" t="e">
        <f t="shared" si="717"/>
        <v>#DIV/0!</v>
      </c>
      <c r="BK54" s="39" t="e">
        <f t="shared" si="717"/>
        <v>#DIV/0!</v>
      </c>
      <c r="BL54" s="39" t="e">
        <f t="shared" si="717"/>
        <v>#DIV/0!</v>
      </c>
      <c r="BM54" s="39" t="e">
        <f t="shared" si="717"/>
        <v>#DIV/0!</v>
      </c>
      <c r="BN54" s="39" t="e">
        <f t="shared" si="717"/>
        <v>#DIV/0!</v>
      </c>
      <c r="BO54" s="39" t="e">
        <f t="shared" si="717"/>
        <v>#DIV/0!</v>
      </c>
      <c r="BP54" s="39" t="e">
        <f t="shared" si="717"/>
        <v>#DIV/0!</v>
      </c>
      <c r="BQ54" s="39" t="e">
        <f t="shared" si="717"/>
        <v>#DIV/0!</v>
      </c>
      <c r="BR54" s="39">
        <f t="shared" ref="BR54:CW54" si="718">(SUM(BO48:BR48)-SUM(BO47:BR47))/BR120</f>
        <v>6.9300843905437878E-2</v>
      </c>
      <c r="BS54" s="39">
        <f t="shared" si="718"/>
        <v>0.14513783131705477</v>
      </c>
      <c r="BT54" s="39" t="e">
        <f t="shared" si="718"/>
        <v>#DIV/0!</v>
      </c>
      <c r="BU54" s="39">
        <f t="shared" si="718"/>
        <v>3.6527831094049921</v>
      </c>
      <c r="BV54" s="39">
        <f t="shared" si="718"/>
        <v>0.27098412366006563</v>
      </c>
      <c r="BW54" s="39">
        <f t="shared" si="718"/>
        <v>0.27457826410385616</v>
      </c>
      <c r="BX54" s="39">
        <f t="shared" si="718"/>
        <v>0.14186411909390789</v>
      </c>
      <c r="BY54" s="39">
        <f t="shared" si="718"/>
        <v>0.14903264176166564</v>
      </c>
      <c r="BZ54" s="39">
        <f t="shared" si="718"/>
        <v>0.15749394784420681</v>
      </c>
      <c r="CA54" s="39">
        <f t="shared" si="718"/>
        <v>0.1556218118588413</v>
      </c>
      <c r="CB54" s="39">
        <f t="shared" si="718"/>
        <v>0.155619899721928</v>
      </c>
      <c r="CC54" s="39">
        <f t="shared" si="718"/>
        <v>0.15944739987772719</v>
      </c>
      <c r="CD54" s="39">
        <f t="shared" si="718"/>
        <v>0.11437726747047429</v>
      </c>
      <c r="CE54" s="39">
        <f t="shared" si="718"/>
        <v>0.11471915412479861</v>
      </c>
      <c r="CF54" s="39">
        <f t="shared" si="718"/>
        <v>0.11730451060769299</v>
      </c>
      <c r="CG54" s="39">
        <f t="shared" si="718"/>
        <v>0.11503291519728011</v>
      </c>
      <c r="CH54" s="39">
        <f t="shared" si="718"/>
        <v>0.11355702068625007</v>
      </c>
      <c r="CI54" s="39">
        <f t="shared" si="718"/>
        <v>0.11902208488594027</v>
      </c>
      <c r="CJ54" s="39">
        <f t="shared" si="718"/>
        <v>0.1168911047718162</v>
      </c>
      <c r="CK54" s="39">
        <f t="shared" si="718"/>
        <v>0.1220516976280499</v>
      </c>
      <c r="CL54" s="39">
        <f t="shared" si="718"/>
        <v>0.11830545046661681</v>
      </c>
      <c r="CM54" s="40">
        <f t="shared" si="718"/>
        <v>0.11894210633563421</v>
      </c>
      <c r="CN54" s="40">
        <f t="shared" si="718"/>
        <v>0.1237570394711662</v>
      </c>
      <c r="CO54" s="40">
        <f t="shared" si="718"/>
        <v>0.12897204206323071</v>
      </c>
      <c r="CP54" s="40">
        <f t="shared" si="718"/>
        <v>0.13501352427403282</v>
      </c>
      <c r="CQ54" s="40">
        <f t="shared" si="718"/>
        <v>0.14272061945076875</v>
      </c>
      <c r="CR54" s="40">
        <f t="shared" si="718"/>
        <v>0.15019825903450393</v>
      </c>
      <c r="CS54" s="40">
        <f t="shared" si="718"/>
        <v>0.15779693361908834</v>
      </c>
      <c r="CT54" s="40">
        <f t="shared" si="718"/>
        <v>0.16459507712507754</v>
      </c>
      <c r="CU54" s="40">
        <f t="shared" si="718"/>
        <v>0.17101866389916431</v>
      </c>
      <c r="CV54" s="40">
        <f t="shared" si="718"/>
        <v>0.17726561996556855</v>
      </c>
      <c r="CW54" s="40">
        <f t="shared" si="718"/>
        <v>0.18331216683360202</v>
      </c>
      <c r="CX54" s="40">
        <f t="shared" ref="CX54:DB54" si="719">(SUM(CU48:CX48)-SUM(CU47:CX47))/CX120</f>
        <v>0.1887690239162842</v>
      </c>
      <c r="CY54" s="40">
        <f t="shared" si="719"/>
        <v>0.19382356542148935</v>
      </c>
      <c r="CZ54" s="40">
        <f t="shared" si="719"/>
        <v>0.19868427814863018</v>
      </c>
      <c r="DA54" s="40">
        <f t="shared" si="719"/>
        <v>0.20331000808250985</v>
      </c>
      <c r="DB54" s="40">
        <f t="shared" si="719"/>
        <v>0.20745814420245837</v>
      </c>
      <c r="DE54" s="122"/>
      <c r="DF54" s="38">
        <v>0.11830545046661674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 t="e">
        <f t="shared" si="720"/>
        <v>#DIV/0!</v>
      </c>
      <c r="J55" s="39">
        <f t="shared" si="720"/>
        <v>5.6764728222211201E-2</v>
      </c>
      <c r="K55" s="39">
        <f t="shared" si="720"/>
        <v>-0.19283599014843789</v>
      </c>
      <c r="L55" s="39">
        <f t="shared" si="720"/>
        <v>-9.3318717990916233E-2</v>
      </c>
      <c r="M55" s="39">
        <f t="shared" si="720"/>
        <v>-0.11686436846311891</v>
      </c>
      <c r="N55" s="39">
        <f t="shared" si="720"/>
        <v>-4.8305637377678142E-3</v>
      </c>
      <c r="O55" s="39">
        <f t="shared" si="720"/>
        <v>-1.8339319690284111E-3</v>
      </c>
      <c r="P55" s="39">
        <f t="shared" si="720"/>
        <v>6.8645289877737922E-2</v>
      </c>
      <c r="Q55" s="39">
        <f t="shared" si="720"/>
        <v>0.11942232002305465</v>
      </c>
      <c r="R55" s="39">
        <f t="shared" si="720"/>
        <v>0.19003976753643062</v>
      </c>
      <c r="S55" s="39">
        <f t="shared" si="720"/>
        <v>0.11815384026848581</v>
      </c>
      <c r="T55" s="39">
        <f t="shared" si="720"/>
        <v>0.22977791558466718</v>
      </c>
      <c r="U55" s="39">
        <f t="shared" si="720"/>
        <v>0.17346286495807822</v>
      </c>
      <c r="V55" s="39">
        <f t="shared" si="720"/>
        <v>0.20430509385838944</v>
      </c>
      <c r="W55" s="39">
        <f t="shared" si="720"/>
        <v>0.25861779532166557</v>
      </c>
      <c r="X55" s="39">
        <f t="shared" si="720"/>
        <v>0.17513184206398991</v>
      </c>
      <c r="Y55" s="39">
        <f t="shared" si="720"/>
        <v>0.13254653153032059</v>
      </c>
      <c r="Z55" s="39">
        <f t="shared" si="720"/>
        <v>0.13395915854833529</v>
      </c>
      <c r="AA55" s="39">
        <f t="shared" ref="AA55" si="721">+AA34/AA129</f>
        <v>0.1296623571886984</v>
      </c>
      <c r="AB55" s="40">
        <f t="shared" si="720"/>
        <v>0.15649733513261033</v>
      </c>
      <c r="AC55" s="40">
        <f t="shared" si="720"/>
        <v>0.18920505044327246</v>
      </c>
      <c r="AD55" s="40">
        <f t="shared" si="720"/>
        <v>0.21633252077638424</v>
      </c>
      <c r="AE55" s="40">
        <f t="shared" si="720"/>
        <v>0.23749810942863339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 t="e">
        <f t="shared" si="722"/>
        <v>#DIV/0!</v>
      </c>
      <c r="BB55" s="39" t="e">
        <f t="shared" si="722"/>
        <v>#DIV/0!</v>
      </c>
      <c r="BC55" s="39" t="e">
        <f t="shared" si="722"/>
        <v>#DIV/0!</v>
      </c>
      <c r="BD55" s="39" t="e">
        <f t="shared" si="722"/>
        <v>#DIV/0!</v>
      </c>
      <c r="BE55" s="39" t="e">
        <f t="shared" si="722"/>
        <v>#DIV/0!</v>
      </c>
      <c r="BF55" s="39" t="e">
        <f t="shared" si="722"/>
        <v>#DIV/0!</v>
      </c>
      <c r="BG55" s="39" t="e">
        <f t="shared" si="722"/>
        <v>#DIV/0!</v>
      </c>
      <c r="BH55" s="39" t="e">
        <f t="shared" si="722"/>
        <v>#DIV/0!</v>
      </c>
      <c r="BI55" s="39" t="e">
        <f t="shared" si="722"/>
        <v>#DIV/0!</v>
      </c>
      <c r="BJ55" s="39" t="e">
        <f t="shared" si="722"/>
        <v>#DIV/0!</v>
      </c>
      <c r="BK55" s="39" t="e">
        <f t="shared" si="722"/>
        <v>#DIV/0!</v>
      </c>
      <c r="BL55" s="39" t="e">
        <f t="shared" si="722"/>
        <v>#DIV/0!</v>
      </c>
      <c r="BM55" s="39" t="e">
        <f t="shared" si="722"/>
        <v>#DIV/0!</v>
      </c>
      <c r="BN55" s="39" t="e">
        <f t="shared" si="722"/>
        <v>#DIV/0!</v>
      </c>
      <c r="BO55" s="39" t="e">
        <f t="shared" si="722"/>
        <v>#DIV/0!</v>
      </c>
      <c r="BP55" s="39" t="e">
        <f t="shared" si="722"/>
        <v>#DIV/0!</v>
      </c>
      <c r="BQ55" s="39" t="e">
        <f t="shared" si="722"/>
        <v>#DIV/0!</v>
      </c>
      <c r="BR55" s="39">
        <f t="shared" ref="BR55:CW55" si="723">+SUM(BO34:BR34)/BR129</f>
        <v>6.6590694803388889E-2</v>
      </c>
      <c r="BS55" s="39">
        <f t="shared" si="723"/>
        <v>0.13535142436618727</v>
      </c>
      <c r="BT55" s="39" t="e">
        <f t="shared" si="723"/>
        <v>#DIV/0!</v>
      </c>
      <c r="BU55" s="39">
        <f t="shared" si="723"/>
        <v>4.7021113243762018</v>
      </c>
      <c r="BV55" s="39">
        <f t="shared" si="723"/>
        <v>0.26204237072707476</v>
      </c>
      <c r="BW55" s="39">
        <f t="shared" si="723"/>
        <v>0.26908566006682288</v>
      </c>
      <c r="BX55" s="39">
        <f t="shared" si="723"/>
        <v>0.16677030703458989</v>
      </c>
      <c r="BY55" s="39">
        <f t="shared" si="723"/>
        <v>0.16721783749971958</v>
      </c>
      <c r="BZ55" s="39">
        <f t="shared" si="723"/>
        <v>0.17512939146800507</v>
      </c>
      <c r="CA55" s="39">
        <f t="shared" si="723"/>
        <v>0.17442362755257398</v>
      </c>
      <c r="CB55" s="39">
        <f t="shared" si="723"/>
        <v>0.17920089483837656</v>
      </c>
      <c r="CC55" s="39">
        <f t="shared" si="723"/>
        <v>0.17595951239900295</v>
      </c>
      <c r="CD55" s="39">
        <f t="shared" si="723"/>
        <v>0.1325465315303205</v>
      </c>
      <c r="CE55" s="39">
        <f t="shared" si="723"/>
        <v>0.13242895278551631</v>
      </c>
      <c r="CF55" s="39">
        <f t="shared" si="723"/>
        <v>0.13630986342724666</v>
      </c>
      <c r="CG55" s="39">
        <f t="shared" si="723"/>
        <v>0.13837101382630615</v>
      </c>
      <c r="CH55" s="39">
        <f t="shared" si="723"/>
        <v>0.13395915854833532</v>
      </c>
      <c r="CI55" s="39">
        <f t="shared" si="723"/>
        <v>0.13819862101833297</v>
      </c>
      <c r="CJ55" s="39">
        <f t="shared" si="723"/>
        <v>0.13475095536964585</v>
      </c>
      <c r="CK55" s="39">
        <f t="shared" si="723"/>
        <v>0.14008468308857591</v>
      </c>
      <c r="CL55" s="39">
        <f t="shared" si="723"/>
        <v>0.13324925811270702</v>
      </c>
      <c r="CM55" s="40">
        <f t="shared" si="723"/>
        <v>0.13660377397844417</v>
      </c>
      <c r="CN55" s="40">
        <f t="shared" si="723"/>
        <v>0.14077510374780267</v>
      </c>
      <c r="CO55" s="40">
        <f t="shared" si="723"/>
        <v>0.1484721530327639</v>
      </c>
      <c r="CP55" s="40">
        <f t="shared" si="723"/>
        <v>0.1564973351326103</v>
      </c>
      <c r="CQ55" s="40">
        <f t="shared" si="723"/>
        <v>0.1646905786641856</v>
      </c>
      <c r="CR55" s="40">
        <f t="shared" si="723"/>
        <v>0.17276851177334038</v>
      </c>
      <c r="CS55" s="40">
        <f t="shared" si="723"/>
        <v>0.18138809658944322</v>
      </c>
      <c r="CT55" s="40">
        <f t="shared" si="723"/>
        <v>0.18920505044327235</v>
      </c>
      <c r="CU55" s="40">
        <f t="shared" si="723"/>
        <v>0.19628347047733424</v>
      </c>
      <c r="CV55" s="40">
        <f t="shared" si="723"/>
        <v>0.20327782225083857</v>
      </c>
      <c r="CW55" s="40">
        <f t="shared" si="723"/>
        <v>0.21015063336566983</v>
      </c>
      <c r="CX55" s="40">
        <f t="shared" ref="CX55:DB55" si="724">+SUM(CU34:CX34)/CX129</f>
        <v>0.21633252077638418</v>
      </c>
      <c r="CY55" s="40">
        <f t="shared" si="724"/>
        <v>0.22200514832646853</v>
      </c>
      <c r="CZ55" s="40">
        <f t="shared" si="724"/>
        <v>0.22751113286494259</v>
      </c>
      <c r="DA55" s="40">
        <f t="shared" si="724"/>
        <v>0.23278578677219031</v>
      </c>
      <c r="DB55" s="40">
        <f t="shared" si="724"/>
        <v>0.2374981094286332</v>
      </c>
      <c r="DE55" s="122"/>
      <c r="DF55" s="38">
        <v>0.13324925811270696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17.4125373</v>
      </c>
      <c r="O58" s="9">
        <f>O10-SUM(AM10:AP10)</f>
        <v>16.2208629</v>
      </c>
      <c r="P58" s="9">
        <f>P10-SUM(AQ10:AT10)</f>
        <v>35.307439000000002</v>
      </c>
      <c r="Q58" s="9">
        <f>Q10-SUM(AU10:AX10)</f>
        <v>47.256013600000003</v>
      </c>
      <c r="R58" s="9">
        <f>R10-SUM(AY10:BB10)</f>
        <v>68.301184000000006</v>
      </c>
      <c r="S58" s="9">
        <f>S10-SUM(BC10:BF10)</f>
        <v>76.253556200000006</v>
      </c>
      <c r="T58" s="9">
        <f>T10-SUM(BG10:BJ10)</f>
        <v>101.584</v>
      </c>
      <c r="U58" s="9">
        <f>U10-SUM(BK10:BN10)</f>
        <v>116.45</v>
      </c>
      <c r="V58" s="9">
        <f>V10-SUM(BO10:BR10)</f>
        <v>92.592999999999989</v>
      </c>
      <c r="W58" s="9">
        <f>W10-SUM(BS10:BV10)</f>
        <v>0</v>
      </c>
      <c r="X58" s="9">
        <f>X10-SUM(BW10:BZ10)</f>
        <v>-1.0000000000047748E-3</v>
      </c>
      <c r="Y58" s="9">
        <f>Y10-SUM(CA10:CD10)</f>
        <v>0</v>
      </c>
      <c r="Z58" s="9">
        <f>Z10-SUM(CE10:CH10)</f>
        <v>0</v>
      </c>
      <c r="AA58" s="9">
        <f>AA10-SUM(CF10:CI10)</f>
        <v>127.33799999999997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11.505895200000001</v>
      </c>
      <c r="O59" s="9">
        <f>O16-SUM(AM16:AP16)</f>
        <v>10.2857716</v>
      </c>
      <c r="P59" s="9">
        <f>P16-SUM(AQ16:AT16)</f>
        <v>21.847047900000003</v>
      </c>
      <c r="Q59" s="9">
        <f>Q16-SUM(AU16:AX16)</f>
        <v>29.257614700000001</v>
      </c>
      <c r="R59" s="9">
        <f>R16-SUM(AY16:BB16)</f>
        <v>45.147624500000006</v>
      </c>
      <c r="S59" s="9">
        <f>S16-SUM(BC16:BF16)</f>
        <v>55.754902300000012</v>
      </c>
      <c r="T59" s="9">
        <f>T16-SUM(BG16:BJ16)</f>
        <v>81.152000000000001</v>
      </c>
      <c r="U59" s="9">
        <f>U16-SUM(BK16:BN16)</f>
        <v>91.77300000000001</v>
      </c>
      <c r="V59" s="9">
        <f>V16-SUM(BO16:BR16)</f>
        <v>73.807999999999993</v>
      </c>
      <c r="W59" s="9">
        <f>W16-SUM(BS16:BV16)</f>
        <v>-9.9999999997635314E-4</v>
      </c>
      <c r="X59" s="9">
        <f>X16-SUM(BW16:BZ16)</f>
        <v>-1.0000000000047748E-3</v>
      </c>
      <c r="Y59" s="9">
        <f>Y16-SUM(CA16:CD16)</f>
        <v>0</v>
      </c>
      <c r="Z59" s="9">
        <f>Z16-SUM(CE16:CH16)</f>
        <v>0</v>
      </c>
      <c r="AA59" s="9">
        <f>AA16-SUM(CF16:CI16)</f>
        <v>108.49400000000003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1.3277118000000012</v>
      </c>
      <c r="O60" s="9">
        <f>O28-SUM(AM28:AP28)</f>
        <v>1.2727128000000025</v>
      </c>
      <c r="P60" s="9">
        <f>P28-SUM(AQ28:AT28)</f>
        <v>6.1557266000000048</v>
      </c>
      <c r="Q60" s="9">
        <f>Q28-SUM(AU28:AX28)</f>
        <v>11.145335899999999</v>
      </c>
      <c r="R60" s="9">
        <f>R28-SUM(AY28:BB28)</f>
        <v>18.522263900000006</v>
      </c>
      <c r="S60" s="9">
        <f>S28-SUM(BC28:BF28)</f>
        <v>14.906502200000006</v>
      </c>
      <c r="T60" s="9">
        <f>T28-SUM(BG28:BJ28)</f>
        <v>32.213999999999992</v>
      </c>
      <c r="U60" s="9">
        <f>U28-SUM(BK28:BN28)</f>
        <v>31.938000000000009</v>
      </c>
      <c r="V60" s="9">
        <f>V28-SUM(BO28:BR28)</f>
        <v>27.618999999999978</v>
      </c>
      <c r="W60" s="9">
        <f>W28-SUM(BS28:BV28)</f>
        <v>-0.71399999999997021</v>
      </c>
      <c r="X60" s="9">
        <f>X28-SUM(BW28:BZ28)</f>
        <v>9.9999999997635314E-4</v>
      </c>
      <c r="Y60" s="9">
        <f>Y28-SUM(CA28:CD28)</f>
        <v>0</v>
      </c>
      <c r="Z60" s="9">
        <f>Z28-SUM(CE28:CH28)</f>
        <v>0</v>
      </c>
      <c r="AA60" s="9">
        <f>AA28-SUM(CF28:CI28)</f>
        <v>23.938000000000017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1.1954692000000016</v>
      </c>
      <c r="O61" s="9">
        <f>O48-SUM(AM48:AP48)</f>
        <v>-7.3892019999999983</v>
      </c>
      <c r="P61" s="9">
        <f>P48-SUM(AQ48:AT48)</f>
        <v>-9.087132899999995</v>
      </c>
      <c r="Q61" s="9">
        <f>Q48-SUM(AU48:AX48)</f>
        <v>5.3167213999999987</v>
      </c>
      <c r="R61" s="9">
        <f>R48-SUM(AY48:BB48)</f>
        <v>9.5409215000000049</v>
      </c>
      <c r="S61" s="9">
        <f>S48-SUM(BC48:BF48)</f>
        <v>7.6706083000000049</v>
      </c>
      <c r="T61" s="9">
        <f>T48-SUM(BG48:BJ48)</f>
        <v>17.435999999999993</v>
      </c>
      <c r="U61" s="9">
        <f>U48-SUM(BK48:BN48)</f>
        <v>16.646000000000011</v>
      </c>
      <c r="V61" s="9">
        <f>V48-SUM(BO48:BR48)</f>
        <v>10.01999999999998</v>
      </c>
      <c r="W61" s="9">
        <f>W41-SUM(BS41:BV41)</f>
        <v>-3.9999999999764668E-3</v>
      </c>
      <c r="X61" s="9">
        <f>X41-SUM(BW41:BZ41)</f>
        <v>2.999999999971692E-3</v>
      </c>
      <c r="Y61" s="9">
        <f>Y41-SUM(CA41:CD41)</f>
        <v>0</v>
      </c>
      <c r="Z61" s="9">
        <f>Z41-SUM(CE41:CH41)</f>
        <v>9.9999999997635314E-4</v>
      </c>
      <c r="AA61" s="9">
        <f>AA41-SUM(CF41:CI41)</f>
        <v>15.987000000000023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4.5474735088646412E-13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41.021999999999998</v>
      </c>
      <c r="F63" s="3">
        <f t="shared" ca="1" si="725"/>
        <v>41.021999999999998</v>
      </c>
      <c r="G63" s="3">
        <f t="shared" ca="1" si="725"/>
        <v>41.021999999999998</v>
      </c>
      <c r="H63" s="3">
        <f t="shared" ca="1" si="725"/>
        <v>41.021999999999998</v>
      </c>
      <c r="I63" s="3">
        <f t="shared" ca="1" si="725"/>
        <v>41.021999999999998</v>
      </c>
      <c r="J63" s="3">
        <f t="shared" ca="1" si="725"/>
        <v>41.021999999999998</v>
      </c>
      <c r="K63" s="3">
        <f t="shared" ca="1" si="725"/>
        <v>41.021999999999998</v>
      </c>
      <c r="L63" s="3">
        <f t="shared" ca="1" si="725"/>
        <v>41.021999999999998</v>
      </c>
      <c r="M63" s="3">
        <f t="shared" ca="1" si="725"/>
        <v>41.021999999999998</v>
      </c>
      <c r="N63" s="3">
        <f t="shared" ca="1" si="725"/>
        <v>41.021999999999998</v>
      </c>
      <c r="O63" s="3">
        <f t="shared" ca="1" si="725"/>
        <v>41.021999999999998</v>
      </c>
      <c r="P63" s="3">
        <f t="shared" ca="1" si="725"/>
        <v>41.021999999999998</v>
      </c>
      <c r="Q63" s="3">
        <f t="shared" ca="1" si="725"/>
        <v>41.021999999999998</v>
      </c>
      <c r="R63" s="3">
        <f t="shared" ca="1" si="725"/>
        <v>41.021999999999998</v>
      </c>
      <c r="S63" s="3">
        <f t="shared" ca="1" si="725"/>
        <v>41.021999999999998</v>
      </c>
      <c r="T63" s="3">
        <f t="shared" ca="1" si="725"/>
        <v>41.021999999999998</v>
      </c>
      <c r="U63" s="3">
        <f t="shared" ca="1" si="725"/>
        <v>41.021999999999998</v>
      </c>
      <c r="V63" s="3">
        <f t="shared" ca="1" si="725"/>
        <v>41.021999999999998</v>
      </c>
      <c r="W63" s="3">
        <f t="shared" ca="1" si="725"/>
        <v>41.021999999999998</v>
      </c>
      <c r="X63" s="3">
        <f t="shared" ca="1" si="725"/>
        <v>41.021999999999998</v>
      </c>
      <c r="Y63" s="3">
        <f t="shared" ca="1" si="725"/>
        <v>41.021999999999998</v>
      </c>
      <c r="Z63" s="3">
        <f ca="1">+AA63</f>
        <v>41.021999999999998</v>
      </c>
      <c r="AA63" s="3">
        <f ca="1">+AB63</f>
        <v>41.021999999999998</v>
      </c>
      <c r="AB63" s="37">
        <f t="shared" ref="AB63:AB64" ca="1" si="726">AA63</f>
        <v>41.021999999999998</v>
      </c>
      <c r="AC63" s="37">
        <f t="shared" ref="AC63:AC64" ca="1" si="727">AB63</f>
        <v>41.021999999999998</v>
      </c>
      <c r="AD63" s="37">
        <f t="shared" ref="AD63:AD64" ca="1" si="728">AC63</f>
        <v>41.021999999999998</v>
      </c>
      <c r="AE63" s="37">
        <f t="shared" ref="AE63:AE64" ca="1" si="729">AD63</f>
        <v>41.021999999999998</v>
      </c>
      <c r="AI63" s="3">
        <f t="shared" ref="AI63:CH63" si="730">+AJ63</f>
        <v>40.844999999999999</v>
      </c>
      <c r="AJ63" s="3">
        <f t="shared" si="730"/>
        <v>40.844999999999999</v>
      </c>
      <c r="AK63" s="3">
        <f t="shared" si="730"/>
        <v>40.844999999999999</v>
      </c>
      <c r="AL63" s="3">
        <f t="shared" si="730"/>
        <v>40.844999999999999</v>
      </c>
      <c r="AM63" s="3">
        <f t="shared" si="730"/>
        <v>40.844999999999999</v>
      </c>
      <c r="AN63" s="3">
        <f t="shared" si="730"/>
        <v>40.844999999999999</v>
      </c>
      <c r="AO63" s="3">
        <f t="shared" si="730"/>
        <v>40.844999999999999</v>
      </c>
      <c r="AP63" s="3">
        <f t="shared" si="730"/>
        <v>40.844999999999999</v>
      </c>
      <c r="AQ63" s="3">
        <f t="shared" si="730"/>
        <v>40.844999999999999</v>
      </c>
      <c r="AR63" s="3">
        <f t="shared" si="730"/>
        <v>40.844999999999999</v>
      </c>
      <c r="AS63" s="3">
        <f t="shared" si="730"/>
        <v>40.844999999999999</v>
      </c>
      <c r="AT63" s="3">
        <f t="shared" si="730"/>
        <v>40.844999999999999</v>
      </c>
      <c r="AU63" s="3">
        <f t="shared" si="730"/>
        <v>40.844999999999999</v>
      </c>
      <c r="AV63" s="3">
        <f t="shared" si="730"/>
        <v>40.844999999999999</v>
      </c>
      <c r="AW63" s="3">
        <f t="shared" si="730"/>
        <v>40.844999999999999</v>
      </c>
      <c r="AX63" s="3">
        <f t="shared" si="730"/>
        <v>40.844999999999999</v>
      </c>
      <c r="AY63" s="3">
        <f t="shared" si="730"/>
        <v>40.844999999999999</v>
      </c>
      <c r="AZ63" s="3">
        <f t="shared" si="730"/>
        <v>40.844999999999999</v>
      </c>
      <c r="BA63" s="3">
        <f t="shared" si="730"/>
        <v>40.844999999999999</v>
      </c>
      <c r="BB63" s="3">
        <f t="shared" si="730"/>
        <v>40.844999999999999</v>
      </c>
      <c r="BC63" s="3">
        <f t="shared" si="730"/>
        <v>40.844999999999999</v>
      </c>
      <c r="BD63" s="3">
        <f t="shared" si="730"/>
        <v>40.844999999999999</v>
      </c>
      <c r="BE63" s="3">
        <f t="shared" si="730"/>
        <v>40.844999999999999</v>
      </c>
      <c r="BF63" s="3">
        <f t="shared" si="730"/>
        <v>40.844999999999999</v>
      </c>
      <c r="BG63" s="3">
        <f t="shared" si="730"/>
        <v>40.844999999999999</v>
      </c>
      <c r="BH63" s="3">
        <f t="shared" si="730"/>
        <v>40.844999999999999</v>
      </c>
      <c r="BI63" s="3">
        <f t="shared" si="730"/>
        <v>40.844999999999999</v>
      </c>
      <c r="BJ63" s="3">
        <f t="shared" si="730"/>
        <v>40.844999999999999</v>
      </c>
      <c r="BK63" s="3">
        <f t="shared" si="730"/>
        <v>40.844999999999999</v>
      </c>
      <c r="BL63" s="3">
        <f t="shared" si="730"/>
        <v>40.844999999999999</v>
      </c>
      <c r="BM63" s="3">
        <f t="shared" si="730"/>
        <v>40.844999999999999</v>
      </c>
      <c r="BN63" s="3">
        <f t="shared" si="730"/>
        <v>40.844999999999999</v>
      </c>
      <c r="BO63" s="3">
        <f t="shared" si="730"/>
        <v>40.844999999999999</v>
      </c>
      <c r="BP63" s="3">
        <f t="shared" si="730"/>
        <v>40.844999999999999</v>
      </c>
      <c r="BQ63" s="3">
        <f t="shared" si="730"/>
        <v>40.844999999999999</v>
      </c>
      <c r="BR63" s="3">
        <f t="shared" si="730"/>
        <v>40.844999999999999</v>
      </c>
      <c r="BS63" s="3">
        <f t="shared" si="730"/>
        <v>40.844999999999999</v>
      </c>
      <c r="BT63" s="3">
        <f t="shared" si="730"/>
        <v>40.844999999999999</v>
      </c>
      <c r="BU63" s="3">
        <f t="shared" si="730"/>
        <v>40.844999999999999</v>
      </c>
      <c r="BV63" s="3">
        <f t="shared" si="730"/>
        <v>40.844999999999999</v>
      </c>
      <c r="BW63" s="3">
        <f t="shared" si="730"/>
        <v>40.844999999999999</v>
      </c>
      <c r="BX63" s="3">
        <f t="shared" si="730"/>
        <v>40.844999999999999</v>
      </c>
      <c r="BY63" s="3">
        <f t="shared" si="730"/>
        <v>40.844999999999999</v>
      </c>
      <c r="BZ63" s="3">
        <f t="shared" si="730"/>
        <v>40.844999999999999</v>
      </c>
      <c r="CA63" s="3">
        <f t="shared" si="730"/>
        <v>40.844999999999999</v>
      </c>
      <c r="CB63" s="3">
        <f t="shared" si="730"/>
        <v>40.844999999999999</v>
      </c>
      <c r="CC63" s="3">
        <f t="shared" si="730"/>
        <v>40.844999999999999</v>
      </c>
      <c r="CD63" s="3">
        <f t="shared" si="730"/>
        <v>40.844999999999999</v>
      </c>
      <c r="CE63" s="3">
        <f t="shared" si="730"/>
        <v>40.844999999999999</v>
      </c>
      <c r="CF63" s="3">
        <f t="shared" si="730"/>
        <v>40.844999999999999</v>
      </c>
      <c r="CG63" s="3">
        <f t="shared" si="730"/>
        <v>40.844999999999999</v>
      </c>
      <c r="CH63" s="3">
        <f t="shared" si="730"/>
        <v>40.844999999999999</v>
      </c>
      <c r="CI63" s="3">
        <f>+CJ63</f>
        <v>40.844999999999999</v>
      </c>
      <c r="CJ63" s="3">
        <f>'QTR Raw'!BD45</f>
        <v>40.844999999999999</v>
      </c>
      <c r="CK63" s="3">
        <f>'QTR Raw'!BE45</f>
        <v>40.929000000000002</v>
      </c>
      <c r="CL63" s="3">
        <f>'QTR Raw'!BF45</f>
        <v>41.021999999999998</v>
      </c>
      <c r="CM63" s="37">
        <f t="shared" ref="CM63:CM64" si="731">+CL63</f>
        <v>41.021999999999998</v>
      </c>
      <c r="CN63" s="37">
        <f t="shared" ref="CN63:CN64" si="732">+CM63</f>
        <v>41.021999999999998</v>
      </c>
      <c r="CO63" s="37">
        <f t="shared" ref="CO63:CO64" si="733">+CN63</f>
        <v>41.021999999999998</v>
      </c>
      <c r="CP63" s="37">
        <f t="shared" ref="CP63:CP64" si="734">+CO63</f>
        <v>41.021999999999998</v>
      </c>
      <c r="CQ63" s="37">
        <f t="shared" ref="CQ63:CQ64" si="735">+CP63</f>
        <v>41.021999999999998</v>
      </c>
      <c r="CR63" s="37">
        <f t="shared" ref="CR63:CR64" si="736">+CQ63</f>
        <v>41.021999999999998</v>
      </c>
      <c r="CS63" s="37">
        <f t="shared" ref="CS63:CS64" si="737">+CR63</f>
        <v>41.021999999999998</v>
      </c>
      <c r="CT63" s="37">
        <f t="shared" ref="CT63:CT64" si="738">+CS63</f>
        <v>41.021999999999998</v>
      </c>
      <c r="CU63" s="37">
        <f t="shared" ref="CU63:CU64" si="739">+CT63</f>
        <v>41.021999999999998</v>
      </c>
      <c r="CV63" s="37">
        <f t="shared" ref="CV63:CV64" si="740">+CU63</f>
        <v>41.021999999999998</v>
      </c>
      <c r="CW63" s="37">
        <f t="shared" ref="CW63:CW64" si="741">+CV63</f>
        <v>41.021999999999998</v>
      </c>
      <c r="CX63" s="37">
        <f t="shared" ref="CX63:CX64" si="742">+CW63</f>
        <v>41.021999999999998</v>
      </c>
      <c r="CY63" s="37">
        <f t="shared" ref="CY63:CY64" si="743">+CX63</f>
        <v>41.021999999999998</v>
      </c>
      <c r="CZ63" s="37">
        <f t="shared" ref="CZ63:CZ64" si="744">+CY63</f>
        <v>41.021999999999998</v>
      </c>
      <c r="DA63" s="37">
        <f t="shared" ref="DA63:DA64" si="745">+CZ63</f>
        <v>41.021999999999998</v>
      </c>
      <c r="DB63" s="37">
        <f t="shared" ref="DB63:DB64" si="746">+DA63</f>
        <v>41.021999999999998</v>
      </c>
      <c r="DE63" s="134"/>
      <c r="DF63" s="3">
        <v>41.021999999999998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5</v>
      </c>
      <c r="F64" s="3">
        <f t="shared" ca="1" si="747"/>
        <v>5</v>
      </c>
      <c r="G64" s="3">
        <f t="shared" ca="1" si="747"/>
        <v>5</v>
      </c>
      <c r="H64" s="3">
        <f t="shared" ca="1" si="747"/>
        <v>5</v>
      </c>
      <c r="I64" s="3">
        <f t="shared" ca="1" si="747"/>
        <v>5</v>
      </c>
      <c r="J64" s="3">
        <f t="shared" ca="1" si="747"/>
        <v>5</v>
      </c>
      <c r="K64" s="3">
        <f t="shared" ca="1" si="747"/>
        <v>5</v>
      </c>
      <c r="L64" s="3">
        <f t="shared" ca="1" si="747"/>
        <v>5</v>
      </c>
      <c r="M64" s="3">
        <f t="shared" ca="1" si="747"/>
        <v>5</v>
      </c>
      <c r="N64" s="3">
        <f t="shared" ca="1" si="747"/>
        <v>5</v>
      </c>
      <c r="O64" s="3">
        <f t="shared" ca="1" si="747"/>
        <v>5</v>
      </c>
      <c r="P64" s="3">
        <f t="shared" ca="1" si="747"/>
        <v>5</v>
      </c>
      <c r="Q64" s="3">
        <f t="shared" ca="1" si="747"/>
        <v>5</v>
      </c>
      <c r="R64" s="3">
        <f t="shared" ca="1" si="747"/>
        <v>5</v>
      </c>
      <c r="S64" s="3">
        <f t="shared" ca="1" si="747"/>
        <v>5</v>
      </c>
      <c r="T64" s="3">
        <f t="shared" ca="1" si="747"/>
        <v>5</v>
      </c>
      <c r="U64" s="3">
        <f t="shared" ca="1" si="747"/>
        <v>5</v>
      </c>
      <c r="V64" s="3">
        <f t="shared" ca="1" si="747"/>
        <v>5</v>
      </c>
      <c r="W64" s="3">
        <f t="shared" ca="1" si="747"/>
        <v>5</v>
      </c>
      <c r="X64" s="3">
        <f t="shared" ca="1" si="747"/>
        <v>5</v>
      </c>
      <c r="Y64" s="3">
        <f t="shared" ca="1" si="747"/>
        <v>5</v>
      </c>
      <c r="Z64" s="3">
        <f ca="1">+AA64</f>
        <v>5</v>
      </c>
      <c r="AA64" s="3">
        <f ca="1">+AB64</f>
        <v>5</v>
      </c>
      <c r="AB64" s="37">
        <f t="shared" ca="1" si="726"/>
        <v>5</v>
      </c>
      <c r="AC64" s="37">
        <f t="shared" ca="1" si="727"/>
        <v>5</v>
      </c>
      <c r="AD64" s="37">
        <f t="shared" ca="1" si="728"/>
        <v>5</v>
      </c>
      <c r="AE64" s="37">
        <f t="shared" ca="1" si="729"/>
        <v>5</v>
      </c>
      <c r="AI64" s="3">
        <f t="shared" ref="AI64:CH64" si="748">AJ64</f>
        <v>5</v>
      </c>
      <c r="AJ64" s="3">
        <f t="shared" si="748"/>
        <v>5</v>
      </c>
      <c r="AK64" s="3">
        <f t="shared" si="748"/>
        <v>5</v>
      </c>
      <c r="AL64" s="3">
        <f t="shared" si="748"/>
        <v>5</v>
      </c>
      <c r="AM64" s="3">
        <f t="shared" si="748"/>
        <v>5</v>
      </c>
      <c r="AN64" s="3">
        <f t="shared" si="748"/>
        <v>5</v>
      </c>
      <c r="AO64" s="3">
        <f t="shared" si="748"/>
        <v>5</v>
      </c>
      <c r="AP64" s="3">
        <f t="shared" si="748"/>
        <v>5</v>
      </c>
      <c r="AQ64" s="3">
        <f t="shared" si="748"/>
        <v>5</v>
      </c>
      <c r="AR64" s="3">
        <f t="shared" si="748"/>
        <v>5</v>
      </c>
      <c r="AS64" s="3">
        <f t="shared" si="748"/>
        <v>5</v>
      </c>
      <c r="AT64" s="3">
        <f t="shared" si="748"/>
        <v>5</v>
      </c>
      <c r="AU64" s="3">
        <f t="shared" si="748"/>
        <v>5</v>
      </c>
      <c r="AV64" s="3">
        <f t="shared" si="748"/>
        <v>5</v>
      </c>
      <c r="AW64" s="3">
        <f t="shared" si="748"/>
        <v>5</v>
      </c>
      <c r="AX64" s="3">
        <f t="shared" si="748"/>
        <v>5</v>
      </c>
      <c r="AY64" s="3">
        <f t="shared" si="748"/>
        <v>5</v>
      </c>
      <c r="AZ64" s="3">
        <f t="shared" si="748"/>
        <v>5</v>
      </c>
      <c r="BA64" s="3">
        <f t="shared" si="748"/>
        <v>5</v>
      </c>
      <c r="BB64" s="3">
        <f t="shared" si="748"/>
        <v>5</v>
      </c>
      <c r="BC64" s="3">
        <f t="shared" si="748"/>
        <v>5</v>
      </c>
      <c r="BD64" s="3">
        <f t="shared" si="748"/>
        <v>5</v>
      </c>
      <c r="BE64" s="3">
        <f t="shared" si="748"/>
        <v>5</v>
      </c>
      <c r="BF64" s="3">
        <f t="shared" si="748"/>
        <v>5</v>
      </c>
      <c r="BG64" s="3">
        <f t="shared" si="748"/>
        <v>5</v>
      </c>
      <c r="BH64" s="3">
        <f t="shared" si="748"/>
        <v>5</v>
      </c>
      <c r="BI64" s="3">
        <f t="shared" si="748"/>
        <v>5</v>
      </c>
      <c r="BJ64" s="3">
        <f t="shared" si="748"/>
        <v>5</v>
      </c>
      <c r="BK64" s="3">
        <f t="shared" si="748"/>
        <v>5</v>
      </c>
      <c r="BL64" s="3">
        <f t="shared" si="748"/>
        <v>5</v>
      </c>
      <c r="BM64" s="3">
        <f t="shared" si="748"/>
        <v>5</v>
      </c>
      <c r="BN64" s="3">
        <f t="shared" si="748"/>
        <v>5</v>
      </c>
      <c r="BO64" s="3">
        <f t="shared" si="748"/>
        <v>5</v>
      </c>
      <c r="BP64" s="3">
        <f t="shared" si="748"/>
        <v>5</v>
      </c>
      <c r="BQ64" s="3">
        <f t="shared" si="748"/>
        <v>5</v>
      </c>
      <c r="BR64" s="3">
        <f t="shared" si="748"/>
        <v>5</v>
      </c>
      <c r="BS64" s="3">
        <f t="shared" si="748"/>
        <v>5</v>
      </c>
      <c r="BT64" s="3">
        <f t="shared" si="748"/>
        <v>5</v>
      </c>
      <c r="BU64" s="3">
        <f t="shared" si="748"/>
        <v>5</v>
      </c>
      <c r="BV64" s="3">
        <f t="shared" si="748"/>
        <v>5</v>
      </c>
      <c r="BW64" s="3">
        <f t="shared" si="748"/>
        <v>5</v>
      </c>
      <c r="BX64" s="3">
        <f t="shared" si="748"/>
        <v>5</v>
      </c>
      <c r="BY64" s="3">
        <f t="shared" si="748"/>
        <v>5</v>
      </c>
      <c r="BZ64" s="3">
        <f t="shared" si="748"/>
        <v>5</v>
      </c>
      <c r="CA64" s="3">
        <f t="shared" si="748"/>
        <v>5</v>
      </c>
      <c r="CB64" s="3">
        <f t="shared" si="748"/>
        <v>5</v>
      </c>
      <c r="CC64" s="3">
        <f t="shared" si="748"/>
        <v>5</v>
      </c>
      <c r="CD64" s="3">
        <f t="shared" si="748"/>
        <v>5</v>
      </c>
      <c r="CE64" s="3">
        <f t="shared" si="748"/>
        <v>5</v>
      </c>
      <c r="CF64" s="3">
        <f t="shared" si="748"/>
        <v>5</v>
      </c>
      <c r="CG64" s="3">
        <f t="shared" si="748"/>
        <v>5</v>
      </c>
      <c r="CH64" s="3">
        <f t="shared" si="748"/>
        <v>5</v>
      </c>
      <c r="CI64" s="3">
        <f>CJ64</f>
        <v>5</v>
      </c>
      <c r="CJ64" s="3">
        <f>'QTR Raw'!BD46</f>
        <v>5</v>
      </c>
      <c r="CK64" s="3">
        <f>'QTR Raw'!BE46</f>
        <v>5</v>
      </c>
      <c r="CL64" s="3">
        <f>'QTR Raw'!BF46</f>
        <v>5</v>
      </c>
      <c r="CM64" s="37">
        <f t="shared" si="731"/>
        <v>5</v>
      </c>
      <c r="CN64" s="37">
        <f t="shared" si="732"/>
        <v>5</v>
      </c>
      <c r="CO64" s="37">
        <f t="shared" si="733"/>
        <v>5</v>
      </c>
      <c r="CP64" s="37">
        <f t="shared" si="734"/>
        <v>5</v>
      </c>
      <c r="CQ64" s="37">
        <f t="shared" si="735"/>
        <v>5</v>
      </c>
      <c r="CR64" s="37">
        <f t="shared" si="736"/>
        <v>5</v>
      </c>
      <c r="CS64" s="37">
        <f t="shared" si="737"/>
        <v>5</v>
      </c>
      <c r="CT64" s="37">
        <f t="shared" si="738"/>
        <v>5</v>
      </c>
      <c r="CU64" s="37">
        <f t="shared" si="739"/>
        <v>5</v>
      </c>
      <c r="CV64" s="37">
        <f t="shared" si="740"/>
        <v>5</v>
      </c>
      <c r="CW64" s="37">
        <f t="shared" si="741"/>
        <v>5</v>
      </c>
      <c r="CX64" s="37">
        <f t="shared" si="742"/>
        <v>5</v>
      </c>
      <c r="CY64" s="37">
        <f t="shared" si="743"/>
        <v>5</v>
      </c>
      <c r="CZ64" s="37">
        <f t="shared" si="744"/>
        <v>5</v>
      </c>
      <c r="DA64" s="37">
        <f t="shared" si="745"/>
        <v>5</v>
      </c>
      <c r="DB64" s="37">
        <f t="shared" si="746"/>
        <v>5</v>
      </c>
      <c r="DE64" s="134"/>
      <c r="DF64" s="3">
        <v>5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>
        <f t="shared" ca="1" si="749"/>
        <v>8.2043999999999997</v>
      </c>
      <c r="F65" s="3">
        <f t="shared" ca="1" si="749"/>
        <v>8.2043999999999997</v>
      </c>
      <c r="G65" s="3">
        <f t="shared" ca="1" si="749"/>
        <v>8.2043999999999997</v>
      </c>
      <c r="H65" s="3">
        <f t="shared" ca="1" si="749"/>
        <v>8.2043999999999997</v>
      </c>
      <c r="I65" s="3">
        <f t="shared" ca="1" si="749"/>
        <v>8.2043999999999997</v>
      </c>
      <c r="J65" s="3">
        <f t="shared" ca="1" si="749"/>
        <v>8.2043999999999997</v>
      </c>
      <c r="K65" s="3">
        <f t="shared" ca="1" si="749"/>
        <v>8.2043999999999997</v>
      </c>
      <c r="L65" s="3">
        <f t="shared" ca="1" si="749"/>
        <v>8.2043999999999997</v>
      </c>
      <c r="M65" s="3">
        <f t="shared" ca="1" si="749"/>
        <v>8.2043999999999997</v>
      </c>
      <c r="N65" s="3">
        <f t="shared" ca="1" si="749"/>
        <v>8.2043999999999997</v>
      </c>
      <c r="O65" s="3">
        <f t="shared" ca="1" si="749"/>
        <v>8.2043999999999997</v>
      </c>
      <c r="P65" s="3">
        <f t="shared" ca="1" si="749"/>
        <v>8.2043999999999997</v>
      </c>
      <c r="Q65" s="3">
        <f t="shared" ca="1" si="749"/>
        <v>8.2043999999999997</v>
      </c>
      <c r="R65" s="3">
        <f t="shared" ca="1" si="749"/>
        <v>8.2043999999999997</v>
      </c>
      <c r="S65" s="3">
        <f t="shared" ca="1" si="749"/>
        <v>8.2043999999999997</v>
      </c>
      <c r="T65" s="3">
        <f t="shared" ca="1" si="749"/>
        <v>8.2043999999999997</v>
      </c>
      <c r="U65" s="3">
        <f t="shared" ca="1" si="749"/>
        <v>8.2043999999999997</v>
      </c>
      <c r="V65" s="3">
        <f ca="1">V63/V64</f>
        <v>8.2043999999999997</v>
      </c>
      <c r="W65" s="3">
        <f t="shared" ca="1" si="749"/>
        <v>8.2043999999999997</v>
      </c>
      <c r="X65" s="3">
        <f t="shared" ref="X65:Y65" ca="1" si="750">X63/X64</f>
        <v>8.2043999999999997</v>
      </c>
      <c r="Y65" s="3">
        <f t="shared" ca="1" si="750"/>
        <v>8.2043999999999997</v>
      </c>
      <c r="Z65" s="3">
        <f t="shared" ref="Z65:AA65" ca="1" si="751">Z63/Z64</f>
        <v>8.2043999999999997</v>
      </c>
      <c r="AA65" s="3">
        <f t="shared" ca="1" si="751"/>
        <v>8.2043999999999997</v>
      </c>
      <c r="AB65" s="37">
        <f t="shared" ref="AA65:AD65" ca="1" si="752">AB63/AB64</f>
        <v>8.2043999999999997</v>
      </c>
      <c r="AC65" s="37">
        <f t="shared" ca="1" si="752"/>
        <v>8.2043999999999997</v>
      </c>
      <c r="AD65" s="37">
        <f t="shared" ca="1" si="752"/>
        <v>8.2043999999999997</v>
      </c>
      <c r="AE65" s="37">
        <f t="shared" ref="AE65" ca="1" si="753">AE63/AE64</f>
        <v>8.2043999999999997</v>
      </c>
      <c r="AI65" s="3">
        <f t="shared" ref="AI65" si="754">AI63/AI64</f>
        <v>8.1690000000000005</v>
      </c>
      <c r="AJ65" s="3">
        <f t="shared" ref="AJ65" si="755">AJ63/AJ64</f>
        <v>8.1690000000000005</v>
      </c>
      <c r="AK65" s="3">
        <f t="shared" ref="AK65:AM65" si="756">AK63/AK64</f>
        <v>8.1690000000000005</v>
      </c>
      <c r="AL65" s="3">
        <f t="shared" si="756"/>
        <v>8.1690000000000005</v>
      </c>
      <c r="AM65" s="3">
        <f t="shared" si="756"/>
        <v>8.1690000000000005</v>
      </c>
      <c r="AN65" s="3">
        <f t="shared" ref="AN65:AO65" si="757">AN63/AN64</f>
        <v>8.1690000000000005</v>
      </c>
      <c r="AO65" s="3">
        <f t="shared" si="757"/>
        <v>8.1690000000000005</v>
      </c>
      <c r="AP65" s="3">
        <f t="shared" ref="AP65:CD65" si="758">AP63/AP64</f>
        <v>8.1690000000000005</v>
      </c>
      <c r="AQ65" s="3">
        <f t="shared" si="758"/>
        <v>8.1690000000000005</v>
      </c>
      <c r="AR65" s="3">
        <f t="shared" si="758"/>
        <v>8.1690000000000005</v>
      </c>
      <c r="AS65" s="3">
        <f t="shared" si="758"/>
        <v>8.1690000000000005</v>
      </c>
      <c r="AT65" s="3">
        <f t="shared" si="758"/>
        <v>8.1690000000000005</v>
      </c>
      <c r="AU65" s="3">
        <f t="shared" si="758"/>
        <v>8.1690000000000005</v>
      </c>
      <c r="AV65" s="3">
        <f t="shared" si="758"/>
        <v>8.1690000000000005</v>
      </c>
      <c r="AW65" s="3">
        <f t="shared" si="758"/>
        <v>8.1690000000000005</v>
      </c>
      <c r="AX65" s="3">
        <f t="shared" si="758"/>
        <v>8.1690000000000005</v>
      </c>
      <c r="AY65" s="3">
        <f t="shared" si="758"/>
        <v>8.1690000000000005</v>
      </c>
      <c r="AZ65" s="3">
        <f t="shared" si="758"/>
        <v>8.1690000000000005</v>
      </c>
      <c r="BA65" s="3">
        <f t="shared" si="758"/>
        <v>8.1690000000000005</v>
      </c>
      <c r="BB65" s="3">
        <f t="shared" si="758"/>
        <v>8.1690000000000005</v>
      </c>
      <c r="BC65" s="3">
        <f t="shared" si="758"/>
        <v>8.1690000000000005</v>
      </c>
      <c r="BD65" s="3">
        <f t="shared" si="758"/>
        <v>8.1690000000000005</v>
      </c>
      <c r="BE65" s="3">
        <f t="shared" si="758"/>
        <v>8.1690000000000005</v>
      </c>
      <c r="BF65" s="3">
        <f t="shared" si="758"/>
        <v>8.1690000000000005</v>
      </c>
      <c r="BG65" s="3">
        <f t="shared" si="758"/>
        <v>8.1690000000000005</v>
      </c>
      <c r="BH65" s="3">
        <f t="shared" si="758"/>
        <v>8.1690000000000005</v>
      </c>
      <c r="BI65" s="3">
        <f t="shared" si="758"/>
        <v>8.1690000000000005</v>
      </c>
      <c r="BJ65" s="3">
        <f t="shared" si="758"/>
        <v>8.1690000000000005</v>
      </c>
      <c r="BK65" s="3">
        <f t="shared" si="758"/>
        <v>8.1690000000000005</v>
      </c>
      <c r="BL65" s="3">
        <f t="shared" si="758"/>
        <v>8.1690000000000005</v>
      </c>
      <c r="BM65" s="3">
        <f t="shared" si="758"/>
        <v>8.1690000000000005</v>
      </c>
      <c r="BN65" s="3">
        <f t="shared" si="758"/>
        <v>8.1690000000000005</v>
      </c>
      <c r="BO65" s="3">
        <f t="shared" si="758"/>
        <v>8.1690000000000005</v>
      </c>
      <c r="BP65" s="3">
        <f t="shared" si="758"/>
        <v>8.1690000000000005</v>
      </c>
      <c r="BQ65" s="3">
        <f t="shared" si="758"/>
        <v>8.1690000000000005</v>
      </c>
      <c r="BR65" s="3">
        <f t="shared" si="758"/>
        <v>8.1690000000000005</v>
      </c>
      <c r="BS65" s="3">
        <f t="shared" si="758"/>
        <v>8.1690000000000005</v>
      </c>
      <c r="BT65" s="3">
        <f t="shared" si="758"/>
        <v>8.1690000000000005</v>
      </c>
      <c r="BU65" s="3">
        <f t="shared" si="758"/>
        <v>8.1690000000000005</v>
      </c>
      <c r="BV65" s="3">
        <f t="shared" si="758"/>
        <v>8.1690000000000005</v>
      </c>
      <c r="BW65" s="3">
        <f t="shared" si="758"/>
        <v>8.1690000000000005</v>
      </c>
      <c r="BX65" s="3">
        <f t="shared" si="758"/>
        <v>8.1690000000000005</v>
      </c>
      <c r="BY65" s="3">
        <f t="shared" si="758"/>
        <v>8.1690000000000005</v>
      </c>
      <c r="BZ65" s="3">
        <f t="shared" si="758"/>
        <v>8.1690000000000005</v>
      </c>
      <c r="CA65" s="3">
        <f t="shared" si="758"/>
        <v>8.1690000000000005</v>
      </c>
      <c r="CB65" s="3">
        <f t="shared" si="758"/>
        <v>8.1690000000000005</v>
      </c>
      <c r="CC65" s="3">
        <f t="shared" si="758"/>
        <v>8.1690000000000005</v>
      </c>
      <c r="CD65" s="3">
        <f t="shared" si="758"/>
        <v>8.1690000000000005</v>
      </c>
      <c r="CE65" s="3">
        <f t="shared" ref="CE65:CF65" si="759">CE63/CE64</f>
        <v>8.1690000000000005</v>
      </c>
      <c r="CF65" s="3">
        <f t="shared" si="759"/>
        <v>8.1690000000000005</v>
      </c>
      <c r="CG65" s="3">
        <f t="shared" ref="CG65:CH65" si="760">CG63/CG64</f>
        <v>8.1690000000000005</v>
      </c>
      <c r="CH65" s="3">
        <f t="shared" si="760"/>
        <v>8.1690000000000005</v>
      </c>
      <c r="CI65" s="3">
        <f t="shared" ref="CI65:CJ65" si="761">CI63/CI64</f>
        <v>8.1690000000000005</v>
      </c>
      <c r="CJ65" s="3">
        <f t="shared" si="761"/>
        <v>8.1690000000000005</v>
      </c>
      <c r="CK65" s="3">
        <f t="shared" ref="CK65:CL65" si="762">CK63/CK64</f>
        <v>8.1858000000000004</v>
      </c>
      <c r="CL65" s="3">
        <f t="shared" si="762"/>
        <v>8.2043999999999997</v>
      </c>
      <c r="CM65" s="37">
        <f t="shared" ref="CM65:DB65" si="763">CM63/CM64</f>
        <v>8.2043999999999997</v>
      </c>
      <c r="CN65" s="37">
        <f t="shared" si="763"/>
        <v>8.2043999999999997</v>
      </c>
      <c r="CO65" s="37">
        <f t="shared" si="763"/>
        <v>8.2043999999999997</v>
      </c>
      <c r="CP65" s="37">
        <f t="shared" si="763"/>
        <v>8.2043999999999997</v>
      </c>
      <c r="CQ65" s="37">
        <f t="shared" si="763"/>
        <v>8.2043999999999997</v>
      </c>
      <c r="CR65" s="37">
        <f t="shared" si="763"/>
        <v>8.2043999999999997</v>
      </c>
      <c r="CS65" s="37">
        <f t="shared" si="763"/>
        <v>8.2043999999999997</v>
      </c>
      <c r="CT65" s="37">
        <f t="shared" si="763"/>
        <v>8.2043999999999997</v>
      </c>
      <c r="CU65" s="37">
        <f t="shared" si="763"/>
        <v>8.2043999999999997</v>
      </c>
      <c r="CV65" s="37">
        <f t="shared" si="763"/>
        <v>8.2043999999999997</v>
      </c>
      <c r="CW65" s="37">
        <f t="shared" si="763"/>
        <v>8.2043999999999997</v>
      </c>
      <c r="CX65" s="37">
        <f t="shared" si="763"/>
        <v>8.2043999999999997</v>
      </c>
      <c r="CY65" s="37">
        <f t="shared" si="763"/>
        <v>8.2043999999999997</v>
      </c>
      <c r="CZ65" s="37">
        <f t="shared" si="763"/>
        <v>8.2043999999999997</v>
      </c>
      <c r="DA65" s="37">
        <f t="shared" si="763"/>
        <v>8.2043999999999997</v>
      </c>
      <c r="DB65" s="37">
        <f t="shared" si="763"/>
        <v>8.2043999999999997</v>
      </c>
      <c r="DE65" s="134"/>
      <c r="DF65" s="3">
        <v>8.2043999999999997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8.6080676222514738E-2</v>
      </c>
      <c r="K66" s="53">
        <f t="shared" ca="1" si="764"/>
        <v>-0.34039069669933214</v>
      </c>
      <c r="L66" s="53">
        <f t="shared" ca="1" si="764"/>
        <v>4.8924490517284654E-3</v>
      </c>
      <c r="M66" s="53">
        <f t="shared" ca="1" si="764"/>
        <v>-0.58704146555506764</v>
      </c>
      <c r="N66" s="53">
        <f t="shared" ca="1" si="764"/>
        <v>0.14720061186680336</v>
      </c>
      <c r="O66" s="53">
        <f t="shared" ca="1" si="764"/>
        <v>9.133545414655582E-2</v>
      </c>
      <c r="P66" s="53">
        <f t="shared" ca="1" si="764"/>
        <v>0.57348606845107564</v>
      </c>
      <c r="Q66" s="53">
        <f t="shared" ca="1" si="764"/>
        <v>0.64803293354785219</v>
      </c>
      <c r="R66" s="53">
        <f t="shared" ca="1" si="764"/>
        <v>1.2201435814928581</v>
      </c>
      <c r="S66" s="53">
        <f t="shared" ca="1" si="764"/>
        <v>0.96290843937399517</v>
      </c>
      <c r="T66" s="53">
        <f t="shared" ca="1" si="764"/>
        <v>2.3566622787772409</v>
      </c>
      <c r="U66" s="53">
        <f t="shared" ca="1" si="764"/>
        <v>2.0289113158792857</v>
      </c>
      <c r="V66" s="53">
        <f t="shared" ca="1" si="764"/>
        <v>2.1281263712154428</v>
      </c>
      <c r="W66" s="53">
        <f t="shared" ca="1" si="764"/>
        <v>5.0465603822339249</v>
      </c>
      <c r="X66" s="53">
        <f t="shared" ca="1" si="764"/>
        <v>7.5175515577007435</v>
      </c>
      <c r="Y66" s="53">
        <f t="shared" ca="1" si="764"/>
        <v>9.1492369947832941</v>
      </c>
      <c r="Z66" s="53">
        <f t="shared" ca="1" si="764"/>
        <v>10.316171810248157</v>
      </c>
      <c r="AA66" s="53">
        <f t="shared" ref="AA66" ca="1" si="765">(AA48-AA47)/AA65</f>
        <v>10.316171810248157</v>
      </c>
      <c r="AB66" s="54">
        <f t="shared" ca="1" si="764"/>
        <v>17.334164240387736</v>
      </c>
      <c r="AC66" s="54">
        <f t="shared" ca="1" si="764"/>
        <v>25.295626780526646</v>
      </c>
      <c r="AD66" s="54">
        <f t="shared" ca="1" si="764"/>
        <v>35.761424336802463</v>
      </c>
      <c r="AE66" s="54">
        <f t="shared" ca="1" si="764"/>
        <v>49.58980024312347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0</v>
      </c>
      <c r="BA66" s="53">
        <f t="shared" si="766"/>
        <v>0</v>
      </c>
      <c r="BB66" s="53">
        <f t="shared" si="766"/>
        <v>0</v>
      </c>
      <c r="BC66" s="53">
        <f t="shared" si="766"/>
        <v>0</v>
      </c>
      <c r="BD66" s="53">
        <f t="shared" si="766"/>
        <v>0</v>
      </c>
      <c r="BE66" s="53">
        <f t="shared" si="766"/>
        <v>0</v>
      </c>
      <c r="BF66" s="53">
        <f t="shared" si="766"/>
        <v>0</v>
      </c>
      <c r="BG66" s="53">
        <f t="shared" si="766"/>
        <v>0</v>
      </c>
      <c r="BH66" s="53">
        <f t="shared" si="766"/>
        <v>0</v>
      </c>
      <c r="BI66" s="53">
        <f t="shared" si="766"/>
        <v>0</v>
      </c>
      <c r="BJ66" s="53">
        <f t="shared" si="766"/>
        <v>0</v>
      </c>
      <c r="BK66" s="53">
        <f t="shared" si="766"/>
        <v>0</v>
      </c>
      <c r="BL66" s="53">
        <f t="shared" si="766"/>
        <v>0</v>
      </c>
      <c r="BM66" s="53">
        <f t="shared" si="766"/>
        <v>0</v>
      </c>
      <c r="BN66" s="53">
        <f t="shared" si="766"/>
        <v>0</v>
      </c>
      <c r="BO66" s="53">
        <f t="shared" ref="BO66:CT66" si="767">(BO48-BO47)/BO65</f>
        <v>0</v>
      </c>
      <c r="BP66" s="53">
        <f t="shared" si="767"/>
        <v>0</v>
      </c>
      <c r="BQ66" s="53">
        <f t="shared" si="767"/>
        <v>0</v>
      </c>
      <c r="BR66" s="53">
        <f t="shared" si="767"/>
        <v>0.91076019096584637</v>
      </c>
      <c r="BS66" s="53">
        <f t="shared" si="767"/>
        <v>1.1658709756396126</v>
      </c>
      <c r="BT66" s="53">
        <f t="shared" si="767"/>
        <v>1.3071367364426492</v>
      </c>
      <c r="BU66" s="53">
        <f t="shared" si="767"/>
        <v>1.2755539233688322</v>
      </c>
      <c r="BV66" s="53">
        <f t="shared" si="767"/>
        <v>1.3203574488921532</v>
      </c>
      <c r="BW66" s="53">
        <f t="shared" si="767"/>
        <v>1.6998408617945897</v>
      </c>
      <c r="BX66" s="53">
        <f t="shared" si="767"/>
        <v>2.0374586852735952</v>
      </c>
      <c r="BY66" s="53">
        <f t="shared" si="767"/>
        <v>1.8750153017505193</v>
      </c>
      <c r="BZ66" s="53">
        <f t="shared" si="767"/>
        <v>1.9374464438731804</v>
      </c>
      <c r="CA66" s="53">
        <f t="shared" si="767"/>
        <v>1.9068429428326592</v>
      </c>
      <c r="CB66" s="53">
        <f t="shared" si="767"/>
        <v>2.2481331864365273</v>
      </c>
      <c r="CC66" s="53">
        <f t="shared" si="767"/>
        <v>2.4638266617701072</v>
      </c>
      <c r="CD66" s="53">
        <f t="shared" si="767"/>
        <v>2.5702044313869501</v>
      </c>
      <c r="CE66" s="53">
        <f t="shared" si="767"/>
        <v>2.1849675602888952</v>
      </c>
      <c r="CF66" s="53">
        <f t="shared" si="767"/>
        <v>2.6840494552576826</v>
      </c>
      <c r="CG66" s="53">
        <f t="shared" si="767"/>
        <v>2.5673889092912234</v>
      </c>
      <c r="CH66" s="53">
        <f t="shared" si="767"/>
        <v>2.9243481454278384</v>
      </c>
      <c r="CI66" s="53">
        <f t="shared" si="767"/>
        <v>3.0461500795691059</v>
      </c>
      <c r="CJ66" s="53">
        <f t="shared" si="767"/>
        <v>3.0942587832047983</v>
      </c>
      <c r="CK66" s="53">
        <f t="shared" ref="CK66:CL66" si="768">(CK48-CK47)/CK65</f>
        <v>3.5020401182535577</v>
      </c>
      <c r="CL66" s="53">
        <f t="shared" si="768"/>
        <v>3.5303008141972572</v>
      </c>
      <c r="CM66" s="54">
        <f t="shared" si="767"/>
        <v>3.5227083302702633</v>
      </c>
      <c r="CN66" s="54">
        <f t="shared" si="767"/>
        <v>4.1456400514805853</v>
      </c>
      <c r="CO66" s="54">
        <f t="shared" si="767"/>
        <v>4.7222813419736047</v>
      </c>
      <c r="CP66" s="54">
        <f t="shared" si="767"/>
        <v>4.9435345166632771</v>
      </c>
      <c r="CQ66" s="54">
        <f t="shared" si="767"/>
        <v>5.263406191389512</v>
      </c>
      <c r="CR66" s="54">
        <f t="shared" si="767"/>
        <v>6.0544001041041993</v>
      </c>
      <c r="CS66" s="54">
        <f t="shared" si="767"/>
        <v>6.8675397033432573</v>
      </c>
      <c r="CT66" s="54">
        <f t="shared" si="767"/>
        <v>7.1102807816896618</v>
      </c>
      <c r="CU66" s="54">
        <f t="shared" ref="CU66:DB66" si="769">(CU48-CU47)/CU65</f>
        <v>7.5401077320449561</v>
      </c>
      <c r="CV66" s="54">
        <f t="shared" si="769"/>
        <v>8.5830373416608055</v>
      </c>
      <c r="CW66" s="54">
        <f t="shared" si="769"/>
        <v>9.6662226763192489</v>
      </c>
      <c r="CX66" s="54">
        <f t="shared" si="769"/>
        <v>9.9720565867774464</v>
      </c>
      <c r="CY66" s="54">
        <f t="shared" si="769"/>
        <v>10.540704285203326</v>
      </c>
      <c r="CZ66" s="54">
        <f t="shared" si="769"/>
        <v>11.924279171870953</v>
      </c>
      <c r="DA66" s="54">
        <f t="shared" si="769"/>
        <v>13.363369711153506</v>
      </c>
      <c r="DB66" s="54">
        <f t="shared" si="769"/>
        <v>13.761447074895633</v>
      </c>
      <c r="DE66" s="132"/>
      <c r="DF66" s="53">
        <v>13.138316025547258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1.25</v>
      </c>
      <c r="X67" s="3">
        <f>'Annual Raw'!Y110</f>
        <v>1.25</v>
      </c>
      <c r="Y67" s="3">
        <f>'Annual Raw'!Z110</f>
        <v>1.25</v>
      </c>
      <c r="Z67" s="3">
        <f>'Annual Raw'!AA110</f>
        <v>1.25</v>
      </c>
      <c r="AA67" s="3">
        <f>'Annual Raw'!AB110</f>
        <v>1.25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>
        <f t="shared" ca="1" si="770"/>
        <v>0</v>
      </c>
      <c r="K68" s="3">
        <f t="shared" ca="1" si="770"/>
        <v>0</v>
      </c>
      <c r="L68" s="3">
        <f t="shared" ca="1" si="770"/>
        <v>0</v>
      </c>
      <c r="M68" s="3">
        <f t="shared" ca="1" si="770"/>
        <v>0</v>
      </c>
      <c r="N68" s="3">
        <f t="shared" ca="1" si="770"/>
        <v>0</v>
      </c>
      <c r="O68" s="3">
        <f t="shared" ca="1" si="770"/>
        <v>0</v>
      </c>
      <c r="P68" s="3">
        <f t="shared" ca="1" si="770"/>
        <v>0</v>
      </c>
      <c r="Q68" s="3">
        <f t="shared" ca="1" si="770"/>
        <v>0</v>
      </c>
      <c r="R68" s="3">
        <f t="shared" ca="1" si="770"/>
        <v>0</v>
      </c>
      <c r="S68" s="3">
        <f t="shared" ca="1" si="770"/>
        <v>0</v>
      </c>
      <c r="T68" s="3">
        <f t="shared" ca="1" si="770"/>
        <v>0</v>
      </c>
      <c r="U68" s="3">
        <f t="shared" ca="1" si="770"/>
        <v>0</v>
      </c>
      <c r="V68" s="3">
        <f ca="1">V67/V66</f>
        <v>0</v>
      </c>
      <c r="W68" s="3">
        <f t="shared" ref="W68" ca="1" si="771">W67/W66</f>
        <v>0.24769345956912367</v>
      </c>
      <c r="X68" s="3">
        <f t="shared" ref="X68:Y68" ca="1" si="772">X67/X66</f>
        <v>0.16627754268203712</v>
      </c>
      <c r="Y68" s="3">
        <f t="shared" ca="1" si="772"/>
        <v>0.1366234146861344</v>
      </c>
      <c r="Z68" s="3">
        <f t="shared" ref="Z68:AA68" ca="1" si="773">Z67/Z66</f>
        <v>0.12116897847302632</v>
      </c>
      <c r="AA68" s="3">
        <f t="shared" ca="1" si="773"/>
        <v>0.12116897847302632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8.6080676222514738E-2</v>
      </c>
      <c r="K69" s="3">
        <f t="shared" ca="1" si="776"/>
        <v>-0.34039069669933214</v>
      </c>
      <c r="L69" s="3">
        <f t="shared" ca="1" si="776"/>
        <v>4.8924490517284654E-3</v>
      </c>
      <c r="M69" s="3">
        <f t="shared" ca="1" si="776"/>
        <v>-0.58704146555506764</v>
      </c>
      <c r="N69" s="3">
        <f t="shared" ca="1" si="776"/>
        <v>0.14720061186680336</v>
      </c>
      <c r="O69" s="3">
        <f t="shared" ca="1" si="776"/>
        <v>9.133545414655582E-2</v>
      </c>
      <c r="P69" s="3">
        <f t="shared" ca="1" si="776"/>
        <v>0.57348606845107564</v>
      </c>
      <c r="Q69" s="3">
        <f t="shared" ca="1" si="776"/>
        <v>0.64803293354785219</v>
      </c>
      <c r="R69" s="3">
        <f t="shared" ca="1" si="776"/>
        <v>1.2201435814928581</v>
      </c>
      <c r="S69" s="3">
        <f t="shared" ca="1" si="776"/>
        <v>0.96290843937399517</v>
      </c>
      <c r="T69" s="3">
        <f ca="1">+T66</f>
        <v>2.3566622787772409</v>
      </c>
      <c r="U69" s="3">
        <f t="shared" ca="1" si="776"/>
        <v>2.0289113158792857</v>
      </c>
      <c r="V69" s="3">
        <f ca="1">+V66</f>
        <v>2.1281263712154428</v>
      </c>
      <c r="W69" s="3">
        <f t="shared" ref="W69" ca="1" si="777">+W66</f>
        <v>5.0465603822339249</v>
      </c>
      <c r="X69" s="3">
        <f t="shared" ref="X69:Y69" ca="1" si="778">+X66</f>
        <v>7.5175515577007435</v>
      </c>
      <c r="Y69" s="3">
        <f t="shared" ca="1" si="778"/>
        <v>9.1492369947832941</v>
      </c>
      <c r="Z69" s="3">
        <f t="shared" ref="Z69:AA69" ca="1" si="779">+Z66</f>
        <v>10.316171810248157</v>
      </c>
      <c r="AA69" s="3">
        <f t="shared" ca="1" si="779"/>
        <v>10.316171810248157</v>
      </c>
      <c r="AB69" s="37">
        <f t="shared" ref="AA69:AD69" ca="1" si="780">+AB66</f>
        <v>17.334164240387736</v>
      </c>
      <c r="AC69" s="37">
        <f t="shared" ca="1" si="780"/>
        <v>25.295626780526646</v>
      </c>
      <c r="AD69" s="37">
        <f t="shared" ca="1" si="780"/>
        <v>35.761424336802463</v>
      </c>
      <c r="AE69" s="37">
        <f t="shared" ref="AE69" ca="1" si="781">+AE66</f>
        <v>49.58980024312347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0</v>
      </c>
      <c r="BA69" s="3">
        <f t="shared" ref="BA69" si="796">SUM(AX66:BA66)</f>
        <v>0</v>
      </c>
      <c r="BB69" s="3">
        <f t="shared" ref="BB69" si="797">SUM(AY66:BB66)</f>
        <v>0</v>
      </c>
      <c r="BC69" s="3">
        <f t="shared" ref="BC69" si="798">SUM(AZ66:BC66)</f>
        <v>0</v>
      </c>
      <c r="BD69" s="3">
        <f t="shared" ref="BD69" si="799">SUM(BA66:BD66)</f>
        <v>0</v>
      </c>
      <c r="BE69" s="3">
        <f t="shared" ref="BE69" si="800">SUM(BB66:BE66)</f>
        <v>0</v>
      </c>
      <c r="BF69" s="3">
        <f t="shared" ref="BF69" si="801">SUM(BC66:BF66)</f>
        <v>0</v>
      </c>
      <c r="BG69" s="3">
        <f t="shared" ref="BG69" si="802">SUM(BD66:BG66)</f>
        <v>0</v>
      </c>
      <c r="BH69" s="3">
        <f t="shared" ref="BH69" si="803">SUM(BE66:BH66)</f>
        <v>0</v>
      </c>
      <c r="BI69" s="3">
        <f t="shared" ref="BI69" si="804">SUM(BF66:BI66)</f>
        <v>0</v>
      </c>
      <c r="BJ69" s="3">
        <f t="shared" ref="BJ69" si="805">SUM(BG66:BJ66)</f>
        <v>0</v>
      </c>
      <c r="BK69" s="3">
        <f t="shared" ref="BK69" si="806">SUM(BH66:BK66)</f>
        <v>0</v>
      </c>
      <c r="BL69" s="3">
        <f t="shared" ref="BL69" si="807">SUM(BI66:BL66)</f>
        <v>0</v>
      </c>
      <c r="BM69" s="3">
        <f t="shared" ref="BM69" si="808">SUM(BJ66:BM66)</f>
        <v>0</v>
      </c>
      <c r="BN69" s="3">
        <f t="shared" ref="BN69" si="809">SUM(BK66:BN66)</f>
        <v>0</v>
      </c>
      <c r="BO69" s="3">
        <f t="shared" ref="BO69" si="810">SUM(BL66:BO66)</f>
        <v>0</v>
      </c>
      <c r="BP69" s="3">
        <f t="shared" ref="BP69" si="811">SUM(BM66:BP66)</f>
        <v>0</v>
      </c>
      <c r="BQ69" s="3">
        <f t="shared" ref="BQ69" si="812">SUM(BN66:BQ66)</f>
        <v>0</v>
      </c>
      <c r="BR69" s="3">
        <f t="shared" ref="BR69" si="813">SUM(BO66:BR66)</f>
        <v>0.91076019096584637</v>
      </c>
      <c r="BS69" s="3">
        <f t="shared" ref="BS69" si="814">SUM(BP66:BS66)</f>
        <v>2.0766311666054591</v>
      </c>
      <c r="BT69" s="3">
        <f t="shared" ref="BT69" si="815">SUM(BQ66:BT66)</f>
        <v>3.383767903048108</v>
      </c>
      <c r="BU69" s="3">
        <f t="shared" ref="BU69" si="816">SUM(BR66:BU66)</f>
        <v>4.6593218264169405</v>
      </c>
      <c r="BV69" s="3">
        <f t="shared" ref="BV69" si="817">SUM(BS66:BV66)</f>
        <v>5.0689190843432472</v>
      </c>
      <c r="BW69" s="3">
        <f t="shared" ref="BW69" si="818">SUM(BT66:BW66)</f>
        <v>5.6028889704982241</v>
      </c>
      <c r="BX69" s="3">
        <f t="shared" ref="BX69" si="819">SUM(BU66:BX66)</f>
        <v>6.3332109193291704</v>
      </c>
      <c r="BY69" s="3">
        <f t="shared" ref="BY69" si="820">SUM(BV66:BY66)</f>
        <v>6.932672297710857</v>
      </c>
      <c r="BZ69" s="3">
        <f t="shared" ref="BZ69" si="821">SUM(BW66:BZ66)</f>
        <v>7.5497612926918842</v>
      </c>
      <c r="CA69" s="3">
        <f t="shared" ref="CA69" si="822">SUM(BX66:CA66)</f>
        <v>7.7567633737299539</v>
      </c>
      <c r="CB69" s="3">
        <f t="shared" ref="CB69" si="823">SUM(BY66:CB66)</f>
        <v>7.9674378748928856</v>
      </c>
      <c r="CC69" s="3">
        <f t="shared" ref="CC69" si="824">SUM(BZ66:CC66)</f>
        <v>8.5562492349124746</v>
      </c>
      <c r="CD69" s="3">
        <f t="shared" ref="CD69" si="825">SUM(CA66:CD66)</f>
        <v>9.1890072224262447</v>
      </c>
      <c r="CE69" s="3">
        <f t="shared" ref="CE69" si="826">SUM(CB66:CE66)</f>
        <v>9.4671318398824784</v>
      </c>
      <c r="CF69" s="3">
        <f t="shared" ref="CF69" si="827">SUM(CC66:CF66)</f>
        <v>9.9030481087036346</v>
      </c>
      <c r="CG69" s="3">
        <f t="shared" ref="CG69" si="828">SUM(CD66:CG66)</f>
        <v>10.006610356224751</v>
      </c>
      <c r="CH69" s="3">
        <f t="shared" ref="CH69:CL69" si="829">SUM(CE66:CH66)</f>
        <v>10.36075407026564</v>
      </c>
      <c r="CI69" s="3">
        <f t="shared" si="829"/>
        <v>11.22193658954585</v>
      </c>
      <c r="CJ69" s="3">
        <f t="shared" si="829"/>
        <v>11.632145917492966</v>
      </c>
      <c r="CK69" s="3">
        <f t="shared" si="829"/>
        <v>12.566797126455301</v>
      </c>
      <c r="CL69" s="3">
        <f t="shared" si="829"/>
        <v>13.172749795224719</v>
      </c>
      <c r="CM69" s="37">
        <f t="shared" ref="CM69" si="830">SUM(CJ66:CM66)</f>
        <v>13.649308045925878</v>
      </c>
      <c r="CN69" s="37">
        <f t="shared" ref="CN69" si="831">SUM(CK66:CN66)</f>
        <v>14.700689314201663</v>
      </c>
      <c r="CO69" s="37">
        <f t="shared" ref="CO69" si="832">SUM(CL66:CO66)</f>
        <v>15.920930537921709</v>
      </c>
      <c r="CP69" s="37">
        <f t="shared" ref="CP69" si="833">SUM(CM66:CP66)</f>
        <v>17.334164240387729</v>
      </c>
      <c r="CQ69" s="37">
        <f t="shared" ref="CQ69" si="834">SUM(CN66:CQ66)</f>
        <v>19.07486210150698</v>
      </c>
      <c r="CR69" s="37">
        <f t="shared" ref="CR69" si="835">SUM(CO66:CR66)</f>
        <v>20.983622154130593</v>
      </c>
      <c r="CS69" s="37">
        <f t="shared" ref="CS69" si="836">SUM(CP66:CS66)</f>
        <v>23.128880515500246</v>
      </c>
      <c r="CT69" s="37">
        <f t="shared" ref="CT69" si="837">SUM(CQ66:CT66)</f>
        <v>25.295626780526632</v>
      </c>
      <c r="CU69" s="37">
        <f t="shared" ref="CU69" si="838">SUM(CR66:CU66)</f>
        <v>27.572328321182074</v>
      </c>
      <c r="CV69" s="37">
        <f t="shared" ref="CV69" si="839">SUM(CS66:CV66)</f>
        <v>30.100965558738679</v>
      </c>
      <c r="CW69" s="37">
        <f t="shared" ref="CW69" si="840">SUM(CT66:CW66)</f>
        <v>32.899648531714675</v>
      </c>
      <c r="CX69" s="37">
        <f t="shared" ref="CX69" si="841">SUM(CU66:CX66)</f>
        <v>35.761424336802456</v>
      </c>
      <c r="CY69" s="37">
        <f t="shared" ref="CY69" si="842">SUM(CV66:CY66)</f>
        <v>38.76202088996083</v>
      </c>
      <c r="CZ69" s="37">
        <f t="shared" ref="CZ69" si="843">SUM(CW66:CZ66)</f>
        <v>42.103262720170974</v>
      </c>
      <c r="DA69" s="37">
        <f t="shared" ref="DA69" si="844">SUM(CX66:DA66)</f>
        <v>45.800409755005234</v>
      </c>
      <c r="DB69" s="37">
        <f t="shared" ref="DB69" si="845">SUM(CY66:DB66)</f>
        <v>49.58980024312342</v>
      </c>
      <c r="DE69" s="134"/>
      <c r="DF69" s="3">
        <v>13.138316025547258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>
        <f t="shared" ca="1" si="846"/>
        <v>-4.9543218250218812</v>
      </c>
      <c r="L70" s="101">
        <f t="shared" ca="1" si="846"/>
        <v>-1.0143730398602815</v>
      </c>
      <c r="M70" s="101">
        <f t="shared" ca="1" si="846"/>
        <v>-120.9892853963743</v>
      </c>
      <c r="N70" s="101">
        <f t="shared" ca="1" si="846"/>
        <v>-1.2507499393209305</v>
      </c>
      <c r="O70" s="101">
        <f t="shared" ca="1" si="846"/>
        <v>-0.3795171569721324</v>
      </c>
      <c r="P70" s="101">
        <f t="shared" ca="1" si="846"/>
        <v>5.2788987453970115</v>
      </c>
      <c r="Q70" s="101">
        <f t="shared" ca="1" si="846"/>
        <v>0.12998897305059143</v>
      </c>
      <c r="R70" s="101">
        <f t="shared" ca="1" si="846"/>
        <v>0.88284193337646166</v>
      </c>
      <c r="S70" s="101">
        <f t="shared" ca="1" si="846"/>
        <v>-0.21082366536250852</v>
      </c>
      <c r="T70" s="101">
        <f t="shared" ca="1" si="846"/>
        <v>1.4474417113940254</v>
      </c>
      <c r="U70" s="101">
        <f t="shared" ca="1" si="846"/>
        <v>-0.13907421773984918</v>
      </c>
      <c r="V70" s="101">
        <f t="shared" ca="1" si="846"/>
        <v>4.8900636789617202E-2</v>
      </c>
      <c r="W70" s="101">
        <f t="shared" ca="1" si="846"/>
        <v>1.3713631156930162</v>
      </c>
      <c r="X70" s="101">
        <f t="shared" ca="1" si="846"/>
        <v>0.48963868225292151</v>
      </c>
      <c r="Y70" s="101">
        <f t="shared" ca="1" si="846"/>
        <v>0.21705011592652168</v>
      </c>
      <c r="Z70" s="101">
        <f t="shared" ca="1" si="846"/>
        <v>0.12754449536395507</v>
      </c>
      <c r="AA70" s="101">
        <f t="shared" ca="1" si="846"/>
        <v>0.12754449536395507</v>
      </c>
      <c r="AB70" s="174">
        <f t="shared" ref="AB70" ca="1" si="847">+AB69/AA69-1</f>
        <v>0.31935966578073738</v>
      </c>
      <c r="AC70" s="174">
        <f t="shared" ref="AC70" ca="1" si="848">+AC69/AB69-1</f>
        <v>0.45929312943678591</v>
      </c>
      <c r="AD70" s="174">
        <f t="shared" ref="AD70" ca="1" si="849">+AD69/AC69-1</f>
        <v>0.41373940432789391</v>
      </c>
      <c r="AE70" s="174">
        <f t="shared" ref="AE70" ca="1" si="850">+AE69/AD69-1</f>
        <v>0.38668414815038776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 t="e">
        <f t="shared" si="851"/>
        <v>#DIV/0!</v>
      </c>
      <c r="BE70" s="176" t="e">
        <f t="shared" si="851"/>
        <v>#DIV/0!</v>
      </c>
      <c r="BF70" s="176" t="e">
        <f t="shared" si="851"/>
        <v>#DIV/0!</v>
      </c>
      <c r="BG70" s="176" t="e">
        <f t="shared" si="851"/>
        <v>#DIV/0!</v>
      </c>
      <c r="BH70" s="176" t="e">
        <f t="shared" si="851"/>
        <v>#DIV/0!</v>
      </c>
      <c r="BI70" s="176" t="e">
        <f t="shared" si="851"/>
        <v>#DIV/0!</v>
      </c>
      <c r="BJ70" s="176" t="e">
        <f t="shared" si="851"/>
        <v>#DIV/0!</v>
      </c>
      <c r="BK70" s="176" t="e">
        <f t="shared" si="851"/>
        <v>#DIV/0!</v>
      </c>
      <c r="BL70" s="176" t="e">
        <f t="shared" si="851"/>
        <v>#DIV/0!</v>
      </c>
      <c r="BM70" s="176" t="e">
        <f t="shared" si="851"/>
        <v>#DIV/0!</v>
      </c>
      <c r="BN70" s="176" t="e">
        <f t="shared" si="851"/>
        <v>#DIV/0!</v>
      </c>
      <c r="BO70" s="176" t="e">
        <f t="shared" si="851"/>
        <v>#DIV/0!</v>
      </c>
      <c r="BP70" s="176" t="e">
        <f t="shared" si="851"/>
        <v>#DIV/0!</v>
      </c>
      <c r="BQ70" s="176" t="e">
        <f t="shared" si="851"/>
        <v>#DIV/0!</v>
      </c>
      <c r="BR70" s="176" t="e">
        <f t="shared" si="851"/>
        <v>#DIV/0!</v>
      </c>
      <c r="BS70" s="176" t="e">
        <f t="shared" si="851"/>
        <v>#DIV/0!</v>
      </c>
      <c r="BT70" s="176" t="e">
        <f t="shared" si="851"/>
        <v>#DIV/0!</v>
      </c>
      <c r="BU70" s="176" t="e">
        <f t="shared" si="851"/>
        <v>#DIV/0!</v>
      </c>
      <c r="BV70" s="176">
        <f t="shared" si="851"/>
        <v>4.5655913978494613</v>
      </c>
      <c r="BW70" s="176">
        <f t="shared" si="851"/>
        <v>1.6980664937514742</v>
      </c>
      <c r="BX70" s="176">
        <f t="shared" si="851"/>
        <v>0.87164459879892919</v>
      </c>
      <c r="BY70" s="176">
        <f t="shared" si="851"/>
        <v>0.48791445536230382</v>
      </c>
      <c r="BZ70" s="176">
        <f t="shared" si="851"/>
        <v>0.48942233384853218</v>
      </c>
      <c r="CA70" s="176">
        <f t="shared" si="851"/>
        <v>0.38442211055276387</v>
      </c>
      <c r="CB70" s="176">
        <f t="shared" si="851"/>
        <v>0.2580408226380082</v>
      </c>
      <c r="CC70" s="176">
        <f t="shared" si="851"/>
        <v>0.23419207882330118</v>
      </c>
      <c r="CD70" s="176">
        <f t="shared" si="851"/>
        <v>0.21712553101793275</v>
      </c>
      <c r="CE70" s="176">
        <f t="shared" si="851"/>
        <v>0.22050027617770018</v>
      </c>
      <c r="CF70" s="176">
        <f t="shared" si="851"/>
        <v>0.24294011000829685</v>
      </c>
      <c r="CG70" s="176">
        <f t="shared" si="851"/>
        <v>0.16950898477738341</v>
      </c>
      <c r="CH70" s="176">
        <f t="shared" si="851"/>
        <v>0.12751615266768823</v>
      </c>
      <c r="CI70" s="176">
        <f t="shared" si="851"/>
        <v>0.18535759080388536</v>
      </c>
      <c r="CJ70" s="176">
        <f t="shared" si="851"/>
        <v>0.17460258597245981</v>
      </c>
      <c r="CK70" s="176">
        <f t="shared" si="851"/>
        <v>0.25584955135561449</v>
      </c>
      <c r="CL70" s="176">
        <f t="shared" si="851"/>
        <v>0.27140840385635956</v>
      </c>
      <c r="CM70" s="102">
        <f t="shared" ref="CM70:DB70" si="852">+IF(CI69&lt;0,1-CM69/CI69,CM69/CI69-1)</f>
        <v>0.21630593231486639</v>
      </c>
      <c r="CN70" s="102">
        <f t="shared" si="852"/>
        <v>0.26379856463922757</v>
      </c>
      <c r="CO70" s="102">
        <f t="shared" si="852"/>
        <v>0.26690439717574277</v>
      </c>
      <c r="CP70" s="102">
        <f t="shared" si="852"/>
        <v>0.31591083941118892</v>
      </c>
      <c r="CQ70" s="102">
        <f t="shared" si="852"/>
        <v>0.39749663772886668</v>
      </c>
      <c r="CR70" s="102">
        <f t="shared" si="852"/>
        <v>0.42739035603312003</v>
      </c>
      <c r="CS70" s="102">
        <f t="shared" si="852"/>
        <v>0.45273421427284544</v>
      </c>
      <c r="CT70" s="102">
        <f t="shared" si="852"/>
        <v>0.45929312943678569</v>
      </c>
      <c r="CU70" s="102">
        <f t="shared" si="852"/>
        <v>0.44547982441266321</v>
      </c>
      <c r="CV70" s="102">
        <f t="shared" si="852"/>
        <v>0.43449807367091542</v>
      </c>
      <c r="CW70" s="102">
        <f t="shared" si="852"/>
        <v>0.42244880852172551</v>
      </c>
      <c r="CX70" s="102">
        <f t="shared" si="852"/>
        <v>0.41373940432789458</v>
      </c>
      <c r="CY70" s="102">
        <f t="shared" si="852"/>
        <v>0.40583052829029409</v>
      </c>
      <c r="CZ70" s="102">
        <f t="shared" si="852"/>
        <v>0.39873462324692377</v>
      </c>
      <c r="DA70" s="102">
        <f t="shared" si="852"/>
        <v>0.39212459096195063</v>
      </c>
      <c r="DB70" s="102">
        <f t="shared" si="852"/>
        <v>0.38668414815038665</v>
      </c>
      <c r="DE70" s="135"/>
      <c r="DF70" s="97">
        <v>0.27356506533708203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100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57.7</v>
      </c>
      <c r="Y73" s="3">
        <f>'Annual Raw'!Z112</f>
        <v>54.4</v>
      </c>
      <c r="Z73" s="3">
        <f>'Annual Raw'!AA112</f>
        <v>54.4</v>
      </c>
      <c r="AA73" s="3">
        <f>'Annual Raw'!AB112</f>
        <v>54.4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61.03</v>
      </c>
      <c r="BX73" s="3">
        <f>'QTR Raw'!AR49</f>
        <v>61.03</v>
      </c>
      <c r="BY73" s="3">
        <f>'QTR Raw'!AS49</f>
        <v>61.03</v>
      </c>
      <c r="BZ73" s="3">
        <f>'QTR Raw'!AT49</f>
        <v>57.7</v>
      </c>
      <c r="CA73" s="3">
        <f>'QTR Raw'!AU49</f>
        <v>57.7</v>
      </c>
      <c r="CB73" s="3">
        <f>'QTR Raw'!AV49</f>
        <v>57.7</v>
      </c>
      <c r="CC73" s="3">
        <f>'QTR Raw'!AW49</f>
        <v>57.7</v>
      </c>
      <c r="CD73" s="3">
        <f>'QTR Raw'!AX49</f>
        <v>54.4</v>
      </c>
      <c r="CE73" s="3">
        <f>'QTR Raw'!AY49</f>
        <v>54.4</v>
      </c>
      <c r="CF73" s="3">
        <f>'QTR Raw'!AZ49</f>
        <v>54.4</v>
      </c>
      <c r="CG73" s="3">
        <f>'QTR Raw'!BA49</f>
        <v>54.4</v>
      </c>
      <c r="CH73" s="3">
        <f>'QTR Raw'!BB49</f>
        <v>54.4</v>
      </c>
      <c r="CI73" s="3">
        <f>'QTR Raw'!BC49</f>
        <v>54.4</v>
      </c>
      <c r="CJ73" s="3">
        <f>'QTR Raw'!BD49</f>
        <v>54.4</v>
      </c>
      <c r="CK73" s="3">
        <f>'QTR Raw'!BE49</f>
        <v>54.4</v>
      </c>
      <c r="CL73" s="3">
        <f>'QTR Raw'!BF49</f>
        <v>54.4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215.7</v>
      </c>
      <c r="Y77" s="13">
        <f>'Annual Raw'!Z106</f>
        <v>754.45</v>
      </c>
      <c r="Z77" s="13">
        <f>'Annual Raw'!AA106</f>
        <v>849.1</v>
      </c>
      <c r="AA77" s="13">
        <f>'Annual Raw'!AB106</f>
        <v>370.05</v>
      </c>
      <c r="AB77" s="37">
        <f>+CP77</f>
        <v>370.05</v>
      </c>
      <c r="AC77" s="37">
        <f>+CT77</f>
        <v>370.05</v>
      </c>
      <c r="AD77" s="37">
        <f>+CX77</f>
        <v>370.05</v>
      </c>
      <c r="AE77" s="37">
        <f>+DB77</f>
        <v>370.05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252.1</v>
      </c>
      <c r="BX77" s="13">
        <f>'QTR Share Price'!JD21</f>
        <v>325.10000000000002</v>
      </c>
      <c r="BY77" s="13">
        <f>'QTR Share Price'!JE21</f>
        <v>315.8</v>
      </c>
      <c r="BZ77" s="13">
        <f>'QTR Share Price'!JF21</f>
        <v>215.7</v>
      </c>
      <c r="CA77" s="13">
        <f>'QTR Share Price'!JG21</f>
        <v>431.5</v>
      </c>
      <c r="CB77" s="13">
        <f>'QTR Share Price'!JH21</f>
        <v>467.65</v>
      </c>
      <c r="CC77" s="13">
        <f>'QTR Share Price'!JI21</f>
        <v>455.75</v>
      </c>
      <c r="CD77" s="13">
        <f>'QTR Share Price'!JJ21</f>
        <v>754.45</v>
      </c>
      <c r="CE77" s="13">
        <f>'QTR Share Price'!JK21</f>
        <v>857.3</v>
      </c>
      <c r="CF77" s="13">
        <f>'QTR Share Price'!JL21</f>
        <v>878.55</v>
      </c>
      <c r="CG77" s="13">
        <f>'QTR Share Price'!JM21</f>
        <v>935</v>
      </c>
      <c r="CH77" s="13">
        <f>'QTR Share Price'!JN21</f>
        <v>849.1</v>
      </c>
      <c r="CI77" s="13">
        <f>'QTR Share Price'!JO21</f>
        <v>767.7</v>
      </c>
      <c r="CJ77" s="13">
        <f>'QTR Share Price'!JP21</f>
        <v>682.6</v>
      </c>
      <c r="CK77" s="13">
        <f>'QTR Share Price'!JQ21</f>
        <v>567.5</v>
      </c>
      <c r="CL77" s="13">
        <f>'QTR Share Price'!JR21</f>
        <v>370.05</v>
      </c>
      <c r="CM77" s="37">
        <f t="shared" ref="CM77" si="853">+CL77</f>
        <v>370.05</v>
      </c>
      <c r="CN77" s="37">
        <f t="shared" ref="CN77" si="854">+CM77</f>
        <v>370.05</v>
      </c>
      <c r="CO77" s="37">
        <f t="shared" ref="CO77" si="855">+CN77</f>
        <v>370.05</v>
      </c>
      <c r="CP77" s="37">
        <f t="shared" ref="CP77" si="856">+CO77</f>
        <v>370.05</v>
      </c>
      <c r="CQ77" s="37">
        <f t="shared" ref="CQ77" si="857">+CP77</f>
        <v>370.05</v>
      </c>
      <c r="CR77" s="37">
        <f t="shared" ref="CR77" si="858">+CQ77</f>
        <v>370.05</v>
      </c>
      <c r="CS77" s="37">
        <f t="shared" ref="CS77" si="859">+CR77</f>
        <v>370.05</v>
      </c>
      <c r="CT77" s="37">
        <f t="shared" ref="CT77" si="860">+CS77</f>
        <v>370.05</v>
      </c>
      <c r="CU77" s="37">
        <f t="shared" ref="CU77" si="861">+CT77</f>
        <v>370.05</v>
      </c>
      <c r="CV77" s="37">
        <f t="shared" ref="CV77" si="862">+CU77</f>
        <v>370.05</v>
      </c>
      <c r="CW77" s="37">
        <f t="shared" ref="CW77" si="863">+CV77</f>
        <v>370.05</v>
      </c>
      <c r="CX77" s="37">
        <f t="shared" ref="CX77" si="864">+CW77</f>
        <v>370.05</v>
      </c>
      <c r="CY77" s="37">
        <f t="shared" ref="CY77" si="865">+CX77</f>
        <v>370.05</v>
      </c>
      <c r="CZ77" s="37">
        <f t="shared" ref="CZ77" si="866">+CY77</f>
        <v>370.05</v>
      </c>
      <c r="DA77" s="37">
        <f t="shared" ref="DA77" si="867">+CZ77</f>
        <v>370.05</v>
      </c>
      <c r="DB77" s="37">
        <f t="shared" ref="DB77" si="868">+DA77</f>
        <v>370.05</v>
      </c>
      <c r="DE77" s="134"/>
      <c r="DF77" s="13">
        <v>370.05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399.7</v>
      </c>
      <c r="Y78" s="13">
        <f>'Annual Raw'!Z107</f>
        <v>869.95</v>
      </c>
      <c r="Z78" s="13">
        <f>'Annual Raw'!AA107</f>
        <v>1023.55</v>
      </c>
      <c r="AA78" s="13">
        <f>'Annual Raw'!AB107</f>
        <v>907.9</v>
      </c>
      <c r="AB78" s="37">
        <f>+MAX(CM78:CP78)</f>
        <v>811.06164587108628</v>
      </c>
      <c r="AC78" s="37">
        <f>+MAX(CQ78:CT78)</f>
        <v>1183.5766873693676</v>
      </c>
      <c r="AD78" s="37">
        <f>+MAX(CU78:CX78)</f>
        <v>1673.2690009779524</v>
      </c>
      <c r="AE78" s="37">
        <f>+MAX(CY78:DB78)</f>
        <v>2320.2955992475604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279</v>
      </c>
      <c r="BX78" s="13">
        <f>'QTR Share Price'!JD19</f>
        <v>399.7</v>
      </c>
      <c r="BY78" s="13">
        <f>'QTR Share Price'!JE19</f>
        <v>357.15</v>
      </c>
      <c r="BZ78" s="13">
        <f>'QTR Share Price'!JF19</f>
        <v>316.60000000000002</v>
      </c>
      <c r="CA78" s="13">
        <f>'QTR Share Price'!JG19</f>
        <v>445</v>
      </c>
      <c r="CB78" s="13">
        <f>'QTR Share Price'!JH19</f>
        <v>535.35</v>
      </c>
      <c r="CC78" s="13">
        <f>'QTR Share Price'!JI19</f>
        <v>494</v>
      </c>
      <c r="CD78" s="13">
        <f>'QTR Share Price'!JJ19</f>
        <v>869.95</v>
      </c>
      <c r="CE78" s="13">
        <f>'QTR Share Price'!JK19</f>
        <v>915.15</v>
      </c>
      <c r="CF78" s="13">
        <f>'QTR Share Price'!JL19</f>
        <v>925.45</v>
      </c>
      <c r="CG78" s="13">
        <f>'QTR Share Price'!JM19</f>
        <v>1023.55</v>
      </c>
      <c r="CH78" s="13">
        <f>'QTR Share Price'!JN19</f>
        <v>990</v>
      </c>
      <c r="CI78" s="13">
        <f>'QTR Share Price'!JO19</f>
        <v>907.9</v>
      </c>
      <c r="CJ78" s="13">
        <f>'QTR Share Price'!JP19</f>
        <v>842.25</v>
      </c>
      <c r="CK78" s="13">
        <f>'QTR Share Price'!JQ19</f>
        <v>687.6</v>
      </c>
      <c r="CL78" s="13">
        <f>'QTR Share Price'!JR19</f>
        <v>616.35</v>
      </c>
      <c r="CM78" s="37">
        <f t="shared" ref="CM78:DB78" si="869">+CM69*CM86</f>
        <v>638.64805335907454</v>
      </c>
      <c r="CN78" s="37">
        <f t="shared" si="869"/>
        <v>687.84194641674833</v>
      </c>
      <c r="CO78" s="37">
        <f t="shared" si="869"/>
        <v>744.93675880834894</v>
      </c>
      <c r="CP78" s="37">
        <f t="shared" si="869"/>
        <v>811.06164587108628</v>
      </c>
      <c r="CQ78" s="37">
        <f t="shared" si="869"/>
        <v>892.50850726139242</v>
      </c>
      <c r="CR78" s="37">
        <f t="shared" si="869"/>
        <v>981.81896079031662</v>
      </c>
      <c r="CS78" s="37">
        <f t="shared" si="869"/>
        <v>1082.1951169904071</v>
      </c>
      <c r="CT78" s="37">
        <f t="shared" si="869"/>
        <v>1183.5766873693676</v>
      </c>
      <c r="CU78" s="37">
        <f t="shared" si="869"/>
        <v>1290.1030403630057</v>
      </c>
      <c r="CV78" s="37">
        <f t="shared" si="869"/>
        <v>1408.4174079472891</v>
      </c>
      <c r="CW78" s="37">
        <f t="shared" si="869"/>
        <v>1539.3671547510337</v>
      </c>
      <c r="CX78" s="37">
        <f t="shared" si="869"/>
        <v>1673.2690009779524</v>
      </c>
      <c r="CY78" s="37">
        <f t="shared" si="869"/>
        <v>1813.6662387824388</v>
      </c>
      <c r="CZ78" s="37">
        <f t="shared" si="869"/>
        <v>1970.0021924795606</v>
      </c>
      <c r="DA78" s="37">
        <f t="shared" si="869"/>
        <v>2142.9908706480446</v>
      </c>
      <c r="DB78" s="37">
        <f t="shared" si="869"/>
        <v>2320.2955992475604</v>
      </c>
      <c r="DE78" s="134"/>
      <c r="DF78" s="13">
        <v>907.9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206.9</v>
      </c>
      <c r="Y79" s="13">
        <f>'Annual Raw'!Z108</f>
        <v>216.15</v>
      </c>
      <c r="Z79" s="13">
        <f>'Annual Raw'!AA108</f>
        <v>651.6</v>
      </c>
      <c r="AA79" s="13">
        <f>'Annual Raw'!AB108</f>
        <v>365.75</v>
      </c>
      <c r="AB79" s="37">
        <f>+MIN(CM79:CP79)</f>
        <v>378.98195102795734</v>
      </c>
      <c r="AC79" s="37">
        <f>+MIN(CQ79:CT79)</f>
        <v>529.62600232149634</v>
      </c>
      <c r="AD79" s="37">
        <f>+MIN(CU79:CX79)</f>
        <v>765.56370084005732</v>
      </c>
      <c r="AE79" s="37">
        <f>+MIN(CY79:DB79)</f>
        <v>1076.2528219918504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244.05</v>
      </c>
      <c r="BY79" s="13">
        <f>+'QTR Share Price'!JE20</f>
        <v>296.14999999999998</v>
      </c>
      <c r="BZ79" s="13">
        <f>+'QTR Share Price'!JF20</f>
        <v>206.9</v>
      </c>
      <c r="CA79" s="13">
        <f>+'QTR Share Price'!JG20</f>
        <v>216.15</v>
      </c>
      <c r="CB79" s="13">
        <f>+'QTR Share Price'!JH20</f>
        <v>406.65</v>
      </c>
      <c r="CC79" s="13">
        <f>+'QTR Share Price'!JI20</f>
        <v>415.95</v>
      </c>
      <c r="CD79" s="13">
        <f>+'QTR Share Price'!JJ20</f>
        <v>416.5</v>
      </c>
      <c r="CE79" s="13">
        <f>+'QTR Share Price'!JK20</f>
        <v>674.5</v>
      </c>
      <c r="CF79" s="13">
        <f>+'QTR Share Price'!JL20</f>
        <v>716.95</v>
      </c>
      <c r="CG79" s="13">
        <f>+'QTR Share Price'!JM20</f>
        <v>831.05</v>
      </c>
      <c r="CH79" s="13">
        <f>+'QTR Share Price'!JN20</f>
        <v>651.6</v>
      </c>
      <c r="CI79" s="13">
        <f>+'QTR Share Price'!JO20</f>
        <v>685</v>
      </c>
      <c r="CJ79" s="13">
        <f>+'QTR Share Price'!JP20</f>
        <v>626</v>
      </c>
      <c r="CK79" s="13">
        <f>+'QTR Share Price'!JQ20</f>
        <v>563.54999999999995</v>
      </c>
      <c r="CL79" s="13">
        <f>+'QTR Share Price'!JR20</f>
        <v>365.75</v>
      </c>
      <c r="CM79" s="37">
        <f t="shared" ref="CM79:DB79" si="870">+CM87*CM69</f>
        <v>378.98195102795734</v>
      </c>
      <c r="CN79" s="37">
        <f t="shared" si="870"/>
        <v>408.17423850397614</v>
      </c>
      <c r="CO79" s="37">
        <f t="shared" si="870"/>
        <v>442.05503291012189</v>
      </c>
      <c r="CP79" s="37">
        <f t="shared" si="870"/>
        <v>481.29438951464238</v>
      </c>
      <c r="CQ79" s="37">
        <f t="shared" si="870"/>
        <v>529.62600232149634</v>
      </c>
      <c r="CR79" s="37">
        <f t="shared" si="870"/>
        <v>582.62397162173818</v>
      </c>
      <c r="CS79" s="37">
        <f t="shared" si="870"/>
        <v>642.18847090004283</v>
      </c>
      <c r="CT79" s="37">
        <f t="shared" si="870"/>
        <v>702.3495958551897</v>
      </c>
      <c r="CU79" s="37">
        <f t="shared" si="870"/>
        <v>765.56370084005732</v>
      </c>
      <c r="CV79" s="37">
        <f t="shared" si="870"/>
        <v>835.77296496588144</v>
      </c>
      <c r="CW79" s="37">
        <f t="shared" si="870"/>
        <v>913.48022527815465</v>
      </c>
      <c r="CX79" s="37">
        <f t="shared" si="870"/>
        <v>992.93929927425336</v>
      </c>
      <c r="CY79" s="37">
        <f t="shared" si="870"/>
        <v>1076.2528219918504</v>
      </c>
      <c r="CZ79" s="37">
        <f t="shared" si="870"/>
        <v>1169.0245832715166</v>
      </c>
      <c r="DA79" s="37">
        <f t="shared" si="870"/>
        <v>1271.6782849671815</v>
      </c>
      <c r="DB79" s="37">
        <f t="shared" si="870"/>
        <v>1376.8931863791599</v>
      </c>
      <c r="DE79" s="134"/>
      <c r="DF79" s="13">
        <v>365.75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1.1917623182572252</v>
      </c>
      <c r="AC81" s="48">
        <f t="shared" si="871"/>
        <v>2.198423692391211</v>
      </c>
      <c r="AD81" s="48">
        <f t="shared" si="871"/>
        <v>3.521737605669375</v>
      </c>
      <c r="AE81" s="48">
        <f t="shared" ref="AE81" si="872">+AE78/AE77-1</f>
        <v>5.270221859877207</v>
      </c>
      <c r="CM81" s="48">
        <f t="shared" ref="CM81:DB81" si="873">+CM78/CM77-1</f>
        <v>0.72584259791669914</v>
      </c>
      <c r="CN81" s="48">
        <f t="shared" si="873"/>
        <v>0.8587811009775661</v>
      </c>
      <c r="CO81" s="48">
        <f t="shared" si="873"/>
        <v>1.013070554812455</v>
      </c>
      <c r="CP81" s="48">
        <f t="shared" si="873"/>
        <v>1.1917623182572252</v>
      </c>
      <c r="CQ81" s="48">
        <f t="shared" si="873"/>
        <v>1.411859227837839</v>
      </c>
      <c r="CR81" s="48">
        <f t="shared" si="873"/>
        <v>1.6532062175120026</v>
      </c>
      <c r="CS81" s="48">
        <f t="shared" si="873"/>
        <v>1.9244564707212728</v>
      </c>
      <c r="CT81" s="48">
        <f t="shared" si="873"/>
        <v>2.198423692391211</v>
      </c>
      <c r="CU81" s="48">
        <f t="shared" si="873"/>
        <v>2.4862938531631014</v>
      </c>
      <c r="CV81" s="48">
        <f t="shared" si="873"/>
        <v>2.8060192080726636</v>
      </c>
      <c r="CW81" s="48">
        <f t="shared" si="873"/>
        <v>3.1598896223511241</v>
      </c>
      <c r="CX81" s="48">
        <f t="shared" si="873"/>
        <v>3.521737605669375</v>
      </c>
      <c r="CY81" s="48">
        <f t="shared" si="873"/>
        <v>3.9011383293674875</v>
      </c>
      <c r="CZ81" s="48">
        <f t="shared" si="873"/>
        <v>4.3236108430740723</v>
      </c>
      <c r="DA81" s="48">
        <f t="shared" si="873"/>
        <v>4.7910846389624231</v>
      </c>
      <c r="DB81" s="48">
        <f t="shared" si="873"/>
        <v>5.270221859877207</v>
      </c>
      <c r="DE81" s="129"/>
      <c r="DF81" s="51">
        <v>1.4534522361842992</v>
      </c>
    </row>
    <row r="82" spans="1:110" s="51" customFormat="1" x14ac:dyDescent="0.2">
      <c r="A82" s="51" t="s">
        <v>347</v>
      </c>
      <c r="AB82" s="48">
        <f t="shared" ref="AB82:AD82" si="874">+AB79/AB77-1</f>
        <v>2.4137146407126941E-2</v>
      </c>
      <c r="AC82" s="48">
        <f t="shared" si="874"/>
        <v>0.43122821867719585</v>
      </c>
      <c r="AD82" s="48">
        <f t="shared" si="874"/>
        <v>1.0688115142279617</v>
      </c>
      <c r="AE82" s="48">
        <f t="shared" ref="AE82" si="875">+AE79/AE77-1</f>
        <v>1.9083983839801388</v>
      </c>
      <c r="CM82" s="48">
        <f t="shared" ref="CM82:DB82" si="876">+CM79/CM77-1</f>
        <v>2.4137146407126941E-2</v>
      </c>
      <c r="CN82" s="48">
        <f t="shared" si="876"/>
        <v>0.10302456020531325</v>
      </c>
      <c r="CO82" s="48">
        <f t="shared" si="876"/>
        <v>0.19458190220273441</v>
      </c>
      <c r="CP82" s="48">
        <f t="shared" si="876"/>
        <v>0.30061988789256144</v>
      </c>
      <c r="CQ82" s="48">
        <f t="shared" si="876"/>
        <v>0.43122821867719585</v>
      </c>
      <c r="CR82" s="48">
        <f t="shared" si="876"/>
        <v>0.57444661970473754</v>
      </c>
      <c r="CS82" s="48">
        <f t="shared" si="876"/>
        <v>0.7354100010810507</v>
      </c>
      <c r="CT82" s="48">
        <f t="shared" si="876"/>
        <v>0.89798566641045729</v>
      </c>
      <c r="CU82" s="48">
        <f t="shared" si="876"/>
        <v>1.0688115142279617</v>
      </c>
      <c r="CV82" s="48">
        <f t="shared" si="876"/>
        <v>1.2585406430641304</v>
      </c>
      <c r="CW82" s="48">
        <f t="shared" si="876"/>
        <v>1.4685318883344269</v>
      </c>
      <c r="CX82" s="48">
        <f t="shared" si="876"/>
        <v>1.6832571254540016</v>
      </c>
      <c r="CY82" s="48">
        <f t="shared" si="876"/>
        <v>1.9083983839801388</v>
      </c>
      <c r="CZ82" s="48">
        <f t="shared" si="876"/>
        <v>2.1590989954641713</v>
      </c>
      <c r="DA82" s="48">
        <f t="shared" si="876"/>
        <v>2.4365039453240955</v>
      </c>
      <c r="DB82" s="48">
        <f t="shared" si="876"/>
        <v>2.7208301212786377</v>
      </c>
      <c r="DE82" s="129"/>
      <c r="DF82" s="51">
        <v>-1.1620051344412907E-2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>
        <f t="shared" ca="1" si="878"/>
        <v>0</v>
      </c>
      <c r="K85" s="13">
        <f t="shared" ca="1" si="878"/>
        <v>0</v>
      </c>
      <c r="L85" s="13">
        <f t="shared" ca="1" si="878"/>
        <v>0</v>
      </c>
      <c r="M85" s="13">
        <f t="shared" ca="1" si="878"/>
        <v>0</v>
      </c>
      <c r="N85" s="13">
        <f t="shared" ca="1" si="878"/>
        <v>0</v>
      </c>
      <c r="O85" s="13">
        <f t="shared" ca="1" si="878"/>
        <v>0</v>
      </c>
      <c r="P85" s="13">
        <f t="shared" ca="1" si="878"/>
        <v>0</v>
      </c>
      <c r="Q85" s="13">
        <f t="shared" ca="1" si="878"/>
        <v>0</v>
      </c>
      <c r="R85" s="13">
        <f t="shared" ca="1" si="878"/>
        <v>0</v>
      </c>
      <c r="S85" s="13">
        <f t="shared" ca="1" si="878"/>
        <v>0</v>
      </c>
      <c r="T85" s="13">
        <f t="shared" ca="1" si="878"/>
        <v>0</v>
      </c>
      <c r="U85" s="13">
        <f t="shared" ca="1" si="878"/>
        <v>0</v>
      </c>
      <c r="V85" s="13">
        <f t="shared" ca="1" si="878"/>
        <v>0</v>
      </c>
      <c r="W85" s="13">
        <f t="shared" ca="1" si="878"/>
        <v>0</v>
      </c>
      <c r="X85" s="13">
        <f t="shared" ca="1" si="878"/>
        <v>28.692852765212322</v>
      </c>
      <c r="Y85" s="13">
        <f t="shared" ca="1" si="878"/>
        <v>82.460428167963272</v>
      </c>
      <c r="Z85" s="13">
        <f t="shared" ref="Z85:AA85" ca="1" si="879">+Z77/Z69</f>
        <v>82.307663697157324</v>
      </c>
      <c r="AA85" s="13">
        <f t="shared" ca="1" si="879"/>
        <v>82.307663697157324</v>
      </c>
      <c r="AB85" s="37">
        <f t="shared" ca="1" si="878"/>
        <v>21.348015102903087</v>
      </c>
      <c r="AC85" s="37">
        <f t="shared" ca="1" si="878"/>
        <v>14.629010904164506</v>
      </c>
      <c r="AD85" s="37">
        <f t="shared" ca="1" si="878"/>
        <v>10.34774220721342</v>
      </c>
      <c r="AE85" s="37">
        <f t="shared" ca="1" si="878"/>
        <v>7.4622200167324566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 t="e">
        <f t="shared" si="880"/>
        <v>#DIV/0!</v>
      </c>
      <c r="BA85" s="13" t="e">
        <f t="shared" si="880"/>
        <v>#DIV/0!</v>
      </c>
      <c r="BB85" s="13" t="e">
        <f t="shared" si="880"/>
        <v>#DIV/0!</v>
      </c>
      <c r="BC85" s="13" t="e">
        <f t="shared" si="880"/>
        <v>#DIV/0!</v>
      </c>
      <c r="BD85" s="13" t="e">
        <f t="shared" si="880"/>
        <v>#DIV/0!</v>
      </c>
      <c r="BE85" s="13" t="e">
        <f t="shared" si="880"/>
        <v>#DIV/0!</v>
      </c>
      <c r="BF85" s="13" t="e">
        <f t="shared" si="880"/>
        <v>#DIV/0!</v>
      </c>
      <c r="BG85" s="13" t="e">
        <f t="shared" si="880"/>
        <v>#DIV/0!</v>
      </c>
      <c r="BH85" s="13" t="e">
        <f t="shared" si="880"/>
        <v>#DIV/0!</v>
      </c>
      <c r="BI85" s="13" t="e">
        <f t="shared" si="880"/>
        <v>#DIV/0!</v>
      </c>
      <c r="BJ85" s="13" t="e">
        <f t="shared" si="880"/>
        <v>#DIV/0!</v>
      </c>
      <c r="BK85" s="13" t="e">
        <f t="shared" si="880"/>
        <v>#DIV/0!</v>
      </c>
      <c r="BL85" s="13" t="e">
        <f t="shared" si="880"/>
        <v>#DIV/0!</v>
      </c>
      <c r="BM85" s="13" t="e">
        <f t="shared" si="880"/>
        <v>#DIV/0!</v>
      </c>
      <c r="BN85" s="13" t="e">
        <f t="shared" si="880"/>
        <v>#DIV/0!</v>
      </c>
      <c r="BO85" s="13" t="e">
        <f t="shared" si="880"/>
        <v>#DIV/0!</v>
      </c>
      <c r="BP85" s="13" t="e">
        <f t="shared" si="880"/>
        <v>#DIV/0!</v>
      </c>
      <c r="BQ85" s="13" t="e">
        <f t="shared" si="880"/>
        <v>#DIV/0!</v>
      </c>
      <c r="BR85" s="13">
        <f t="shared" ref="BR85:DB85" si="881">+BR77/BR69</f>
        <v>0</v>
      </c>
      <c r="BS85" s="13">
        <f t="shared" si="881"/>
        <v>0</v>
      </c>
      <c r="BT85" s="13">
        <f t="shared" si="881"/>
        <v>0</v>
      </c>
      <c r="BU85" s="13">
        <f t="shared" si="881"/>
        <v>0</v>
      </c>
      <c r="BV85" s="13">
        <f t="shared" si="881"/>
        <v>0</v>
      </c>
      <c r="BW85" s="13">
        <f t="shared" si="881"/>
        <v>44.994644963950194</v>
      </c>
      <c r="BX85" s="13">
        <f t="shared" si="881"/>
        <v>51.332571130354118</v>
      </c>
      <c r="BY85" s="13">
        <f t="shared" si="881"/>
        <v>45.552419967156965</v>
      </c>
      <c r="BZ85" s="13">
        <f t="shared" si="881"/>
        <v>28.570439731491387</v>
      </c>
      <c r="CA85" s="13">
        <f t="shared" si="881"/>
        <v>55.628872405902321</v>
      </c>
      <c r="CB85" s="13">
        <f t="shared" si="881"/>
        <v>58.6951548720155</v>
      </c>
      <c r="CC85" s="13">
        <f t="shared" si="881"/>
        <v>53.265161811834723</v>
      </c>
      <c r="CD85" s="13">
        <f t="shared" si="881"/>
        <v>82.103537600746037</v>
      </c>
      <c r="CE85" s="13">
        <f t="shared" si="881"/>
        <v>90.555409441793742</v>
      </c>
      <c r="CF85" s="13">
        <f t="shared" si="881"/>
        <v>88.715109767855822</v>
      </c>
      <c r="CG85" s="13">
        <f t="shared" si="881"/>
        <v>93.438233998825609</v>
      </c>
      <c r="CH85" s="13">
        <f t="shared" si="881"/>
        <v>81.953494334629042</v>
      </c>
      <c r="CI85" s="13">
        <f t="shared" ref="CI85:CJ85" si="882">+CI77/CI69</f>
        <v>68.410652107513712</v>
      </c>
      <c r="CJ85" s="13">
        <f t="shared" si="882"/>
        <v>58.682207465560943</v>
      </c>
      <c r="CK85" s="13">
        <f t="shared" ref="CK85:CL85" si="883">+CK77/CK69</f>
        <v>45.158682382586846</v>
      </c>
      <c r="CL85" s="13">
        <f t="shared" si="883"/>
        <v>28.092084473823952</v>
      </c>
      <c r="CM85" s="37">
        <f t="shared" si="881"/>
        <v>27.111264450541476</v>
      </c>
      <c r="CN85" s="37">
        <f t="shared" si="881"/>
        <v>25.17228900569388</v>
      </c>
      <c r="CO85" s="37">
        <f t="shared" si="881"/>
        <v>23.242988160684842</v>
      </c>
      <c r="CP85" s="37">
        <f t="shared" si="881"/>
        <v>21.348015102903098</v>
      </c>
      <c r="CQ85" s="37">
        <f t="shared" si="881"/>
        <v>19.39987812392965</v>
      </c>
      <c r="CR85" s="37">
        <f t="shared" si="881"/>
        <v>17.63518220457264</v>
      </c>
      <c r="CS85" s="37">
        <f t="shared" si="881"/>
        <v>15.999477352654582</v>
      </c>
      <c r="CT85" s="37">
        <f t="shared" si="881"/>
        <v>14.629010904164515</v>
      </c>
      <c r="CU85" s="37">
        <f t="shared" si="881"/>
        <v>13.42106461555929</v>
      </c>
      <c r="CV85" s="37">
        <f t="shared" si="881"/>
        <v>12.293625574166008</v>
      </c>
      <c r="CW85" s="37">
        <f t="shared" si="881"/>
        <v>11.247840524596437</v>
      </c>
      <c r="CX85" s="37">
        <f t="shared" si="881"/>
        <v>10.347742207213422</v>
      </c>
      <c r="CY85" s="37">
        <f t="shared" si="881"/>
        <v>9.5467158704266915</v>
      </c>
      <c r="CZ85" s="37">
        <f t="shared" si="881"/>
        <v>8.7891050738620127</v>
      </c>
      <c r="DA85" s="37">
        <f t="shared" si="881"/>
        <v>8.0796220378696422</v>
      </c>
      <c r="DB85" s="37">
        <f t="shared" si="881"/>
        <v>7.4622200167324646</v>
      </c>
      <c r="DE85" s="134"/>
      <c r="DF85" s="13">
        <v>28.165710071248352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>
        <f t="shared" ca="1" si="885"/>
        <v>0</v>
      </c>
      <c r="K86" s="13">
        <f t="shared" ca="1" si="885"/>
        <v>0</v>
      </c>
      <c r="L86" s="13">
        <f t="shared" ca="1" si="885"/>
        <v>0</v>
      </c>
      <c r="M86" s="13">
        <f t="shared" ca="1" si="885"/>
        <v>0</v>
      </c>
      <c r="N86" s="13">
        <f t="shared" ca="1" si="885"/>
        <v>0</v>
      </c>
      <c r="O86" s="13">
        <f t="shared" ca="1" si="885"/>
        <v>0</v>
      </c>
      <c r="P86" s="13">
        <f t="shared" ca="1" si="885"/>
        <v>0</v>
      </c>
      <c r="Q86" s="13">
        <f t="shared" ca="1" si="885"/>
        <v>0</v>
      </c>
      <c r="R86" s="13">
        <f t="shared" ca="1" si="885"/>
        <v>0</v>
      </c>
      <c r="S86" s="13">
        <f t="shared" ca="1" si="885"/>
        <v>0</v>
      </c>
      <c r="T86" s="13">
        <f t="shared" ca="1" si="885"/>
        <v>0</v>
      </c>
      <c r="U86" s="13">
        <f t="shared" ca="1" si="885"/>
        <v>0</v>
      </c>
      <c r="V86" s="13">
        <f t="shared" ca="1" si="885"/>
        <v>0</v>
      </c>
      <c r="W86" s="13">
        <f t="shared" ca="1" si="885"/>
        <v>0</v>
      </c>
      <c r="X86" s="13">
        <f t="shared" ca="1" si="885"/>
        <v>53.168907048008187</v>
      </c>
      <c r="Y86" s="13">
        <f t="shared" ca="1" si="885"/>
        <v>95.084431684962098</v>
      </c>
      <c r="Z86" s="13">
        <f t="shared" ref="Z86:AA86" ca="1" si="886">+Z78/Z69</f>
        <v>99.21800633285288</v>
      </c>
      <c r="AA86" s="13">
        <f t="shared" ca="1" si="886"/>
        <v>99.21800633285288</v>
      </c>
      <c r="AB86" s="60">
        <f t="shared" ca="1" si="885"/>
        <v>46.789775072129146</v>
      </c>
      <c r="AC86" s="60">
        <f t="shared" ca="1" si="885"/>
        <v>46.789775072129125</v>
      </c>
      <c r="AD86" s="60">
        <f t="shared" ca="1" si="885"/>
        <v>46.789775072129146</v>
      </c>
      <c r="AE86" s="60">
        <f t="shared" ca="1" si="885"/>
        <v>46.789775072129103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 t="e">
        <f t="shared" si="887"/>
        <v>#DIV/0!</v>
      </c>
      <c r="BA86" s="13" t="e">
        <f t="shared" si="887"/>
        <v>#DIV/0!</v>
      </c>
      <c r="BB86" s="13" t="e">
        <f t="shared" si="887"/>
        <v>#DIV/0!</v>
      </c>
      <c r="BC86" s="13" t="e">
        <f t="shared" si="887"/>
        <v>#DIV/0!</v>
      </c>
      <c r="BD86" s="13" t="e">
        <f t="shared" si="887"/>
        <v>#DIV/0!</v>
      </c>
      <c r="BE86" s="13" t="e">
        <f t="shared" si="887"/>
        <v>#DIV/0!</v>
      </c>
      <c r="BF86" s="13" t="e">
        <f t="shared" si="887"/>
        <v>#DIV/0!</v>
      </c>
      <c r="BG86" s="13" t="e">
        <f t="shared" si="887"/>
        <v>#DIV/0!</v>
      </c>
      <c r="BH86" s="13" t="e">
        <f t="shared" si="887"/>
        <v>#DIV/0!</v>
      </c>
      <c r="BI86" s="13" t="e">
        <f t="shared" si="887"/>
        <v>#DIV/0!</v>
      </c>
      <c r="BJ86" s="13" t="e">
        <f t="shared" si="887"/>
        <v>#DIV/0!</v>
      </c>
      <c r="BK86" s="13" t="e">
        <f t="shared" si="887"/>
        <v>#DIV/0!</v>
      </c>
      <c r="BL86" s="13" t="e">
        <f t="shared" si="887"/>
        <v>#DIV/0!</v>
      </c>
      <c r="BM86" s="13" t="e">
        <f t="shared" si="887"/>
        <v>#DIV/0!</v>
      </c>
      <c r="BN86" s="13" t="e">
        <f t="shared" si="887"/>
        <v>#DIV/0!</v>
      </c>
      <c r="BO86" s="13" t="e">
        <f t="shared" si="887"/>
        <v>#DIV/0!</v>
      </c>
      <c r="BP86" s="13" t="e">
        <f t="shared" si="887"/>
        <v>#DIV/0!</v>
      </c>
      <c r="BQ86" s="13" t="e">
        <f t="shared" si="887"/>
        <v>#DIV/0!</v>
      </c>
      <c r="BR86" s="13">
        <f t="shared" ref="BR86:CH86" si="888">+BR78/BR69</f>
        <v>0</v>
      </c>
      <c r="BS86" s="13">
        <f t="shared" si="888"/>
        <v>0</v>
      </c>
      <c r="BT86" s="13">
        <f t="shared" si="888"/>
        <v>0</v>
      </c>
      <c r="BU86" s="13">
        <f t="shared" si="888"/>
        <v>0</v>
      </c>
      <c r="BV86" s="13">
        <f t="shared" si="888"/>
        <v>0</v>
      </c>
      <c r="BW86" s="13">
        <f t="shared" si="888"/>
        <v>49.795739567402237</v>
      </c>
      <c r="BX86" s="13">
        <f t="shared" si="888"/>
        <v>63.111746172877695</v>
      </c>
      <c r="BY86" s="13">
        <f t="shared" si="888"/>
        <v>51.51693094132397</v>
      </c>
      <c r="BZ86" s="13">
        <f t="shared" si="888"/>
        <v>41.935100690728675</v>
      </c>
      <c r="CA86" s="13">
        <f t="shared" si="888"/>
        <v>57.369289039690685</v>
      </c>
      <c r="CB86" s="13">
        <f t="shared" si="888"/>
        <v>67.192240266724042</v>
      </c>
      <c r="CC86" s="13">
        <f t="shared" si="888"/>
        <v>57.735578573881192</v>
      </c>
      <c r="CD86" s="13">
        <f t="shared" si="888"/>
        <v>94.672904149736908</v>
      </c>
      <c r="CE86" s="13">
        <f t="shared" si="888"/>
        <v>96.666024671244074</v>
      </c>
      <c r="CF86" s="13">
        <f t="shared" si="888"/>
        <v>93.451025365274802</v>
      </c>
      <c r="CG86" s="13">
        <f t="shared" si="888"/>
        <v>102.28738439518497</v>
      </c>
      <c r="CH86" s="13">
        <f t="shared" si="888"/>
        <v>95.552890579770065</v>
      </c>
      <c r="CI86" s="13">
        <f t="shared" ref="CI86:CJ86" si="889">+CI78/CI69</f>
        <v>80.90403940134388</v>
      </c>
      <c r="CJ86" s="13">
        <f t="shared" si="889"/>
        <v>72.40710406954102</v>
      </c>
      <c r="CK86" s="13">
        <f t="shared" ref="CK86:CL86" si="890">+CK78/CK69</f>
        <v>54.715612345844434</v>
      </c>
      <c r="CL86" s="13">
        <f t="shared" si="890"/>
        <v>46.789775072129153</v>
      </c>
      <c r="CM86" s="60">
        <f t="shared" ref="CM86:CM87" si="891">+CL86</f>
        <v>46.789775072129153</v>
      </c>
      <c r="CN86" s="60">
        <f t="shared" ref="CN86:CN87" si="892">+CM86</f>
        <v>46.789775072129153</v>
      </c>
      <c r="CO86" s="60">
        <f t="shared" ref="CO86:CO87" si="893">+CN86</f>
        <v>46.789775072129153</v>
      </c>
      <c r="CP86" s="60">
        <f t="shared" ref="CP86:CP87" si="894">+CO86</f>
        <v>46.789775072129153</v>
      </c>
      <c r="CQ86" s="60">
        <f t="shared" ref="CQ86:CQ87" si="895">+CP86</f>
        <v>46.789775072129153</v>
      </c>
      <c r="CR86" s="60">
        <f t="shared" ref="CR86:CR87" si="896">+CQ86</f>
        <v>46.789775072129153</v>
      </c>
      <c r="CS86" s="60">
        <f t="shared" ref="CS86:CS87" si="897">+CR86</f>
        <v>46.789775072129153</v>
      </c>
      <c r="CT86" s="60">
        <f t="shared" ref="CT86:CT87" si="898">+CS86</f>
        <v>46.789775072129153</v>
      </c>
      <c r="CU86" s="60">
        <f t="shared" ref="CU86:CU87" si="899">+CT86</f>
        <v>46.789775072129153</v>
      </c>
      <c r="CV86" s="60">
        <f t="shared" ref="CV86:CV87" si="900">+CU86</f>
        <v>46.789775072129153</v>
      </c>
      <c r="CW86" s="60">
        <f t="shared" ref="CW86:CW87" si="901">+CV86</f>
        <v>46.789775072129153</v>
      </c>
      <c r="CX86" s="60">
        <f t="shared" ref="CX86:CX87" si="902">+CW86</f>
        <v>46.789775072129153</v>
      </c>
      <c r="CY86" s="60">
        <f t="shared" ref="CY86:CY87" si="903">+CX86</f>
        <v>46.789775072129153</v>
      </c>
      <c r="CZ86" s="60">
        <f t="shared" ref="CZ86:CZ87" si="904">+CY86</f>
        <v>46.789775072129153</v>
      </c>
      <c r="DA86" s="60">
        <f t="shared" ref="DA86:DA87" si="905">+CZ86</f>
        <v>46.789775072129153</v>
      </c>
      <c r="DB86" s="60">
        <f t="shared" ref="DB86:DB87" si="906">+DA86</f>
        <v>46.789775072129153</v>
      </c>
      <c r="DE86" s="136"/>
      <c r="DF86" s="13">
        <v>69.103224358022899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>
        <f t="shared" ca="1" si="908"/>
        <v>0</v>
      </c>
      <c r="K87" s="13">
        <f t="shared" ca="1" si="908"/>
        <v>0</v>
      </c>
      <c r="L87" s="13">
        <f t="shared" ca="1" si="908"/>
        <v>0</v>
      </c>
      <c r="M87" s="13">
        <f t="shared" ca="1" si="908"/>
        <v>0</v>
      </c>
      <c r="N87" s="13">
        <f t="shared" ca="1" si="908"/>
        <v>0</v>
      </c>
      <c r="O87" s="13">
        <f t="shared" ca="1" si="908"/>
        <v>0</v>
      </c>
      <c r="P87" s="13">
        <f t="shared" ca="1" si="908"/>
        <v>0</v>
      </c>
      <c r="Q87" s="13">
        <f t="shared" ca="1" si="908"/>
        <v>0</v>
      </c>
      <c r="R87" s="13">
        <f t="shared" ca="1" si="908"/>
        <v>0</v>
      </c>
      <c r="S87" s="13">
        <f t="shared" ca="1" si="908"/>
        <v>0</v>
      </c>
      <c r="T87" s="13">
        <f t="shared" ca="1" si="908"/>
        <v>0</v>
      </c>
      <c r="U87" s="13">
        <f t="shared" ca="1" si="908"/>
        <v>0</v>
      </c>
      <c r="V87" s="13">
        <f t="shared" ca="1" si="908"/>
        <v>0</v>
      </c>
      <c r="W87" s="13">
        <f t="shared" ca="1" si="908"/>
        <v>0</v>
      </c>
      <c r="X87" s="13">
        <f t="shared" ca="1" si="908"/>
        <v>27.522258864730784</v>
      </c>
      <c r="Y87" s="13">
        <f t="shared" ca="1" si="908"/>
        <v>23.62492086752636</v>
      </c>
      <c r="Z87" s="13">
        <f t="shared" ref="Z87:AA87" ca="1" si="909">+Z79/Z69</f>
        <v>63.162965098419164</v>
      </c>
      <c r="AA87" s="13">
        <f t="shared" ca="1" si="909"/>
        <v>63.162965098419164</v>
      </c>
      <c r="AB87" s="60">
        <f t="shared" ca="1" si="908"/>
        <v>21.863295268943418</v>
      </c>
      <c r="AC87" s="60">
        <f t="shared" ca="1" si="908"/>
        <v>20.937453217376639</v>
      </c>
      <c r="AD87" s="60">
        <f t="shared" ca="1" si="908"/>
        <v>21.407528224545786</v>
      </c>
      <c r="AE87" s="60">
        <f t="shared" ca="1" si="908"/>
        <v>21.703108637568921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 t="e">
        <f t="shared" si="910"/>
        <v>#DIV/0!</v>
      </c>
      <c r="BA87" s="13" t="e">
        <f t="shared" si="910"/>
        <v>#DIV/0!</v>
      </c>
      <c r="BB87" s="13" t="e">
        <f t="shared" si="910"/>
        <v>#DIV/0!</v>
      </c>
      <c r="BC87" s="13" t="e">
        <f t="shared" si="910"/>
        <v>#DIV/0!</v>
      </c>
      <c r="BD87" s="13" t="e">
        <f t="shared" si="910"/>
        <v>#DIV/0!</v>
      </c>
      <c r="BE87" s="13" t="e">
        <f t="shared" si="910"/>
        <v>#DIV/0!</v>
      </c>
      <c r="BF87" s="13" t="e">
        <f t="shared" si="910"/>
        <v>#DIV/0!</v>
      </c>
      <c r="BG87" s="13" t="e">
        <f t="shared" si="910"/>
        <v>#DIV/0!</v>
      </c>
      <c r="BH87" s="13" t="e">
        <f t="shared" si="910"/>
        <v>#DIV/0!</v>
      </c>
      <c r="BI87" s="13" t="e">
        <f t="shared" si="910"/>
        <v>#DIV/0!</v>
      </c>
      <c r="BJ87" s="13" t="e">
        <f t="shared" si="910"/>
        <v>#DIV/0!</v>
      </c>
      <c r="BK87" s="13" t="e">
        <f t="shared" si="910"/>
        <v>#DIV/0!</v>
      </c>
      <c r="BL87" s="13" t="e">
        <f t="shared" si="910"/>
        <v>#DIV/0!</v>
      </c>
      <c r="BM87" s="13" t="e">
        <f t="shared" si="910"/>
        <v>#DIV/0!</v>
      </c>
      <c r="BN87" s="13" t="e">
        <f t="shared" si="910"/>
        <v>#DIV/0!</v>
      </c>
      <c r="BO87" s="13" t="e">
        <f t="shared" si="910"/>
        <v>#DIV/0!</v>
      </c>
      <c r="BP87" s="13" t="e">
        <f t="shared" si="910"/>
        <v>#DIV/0!</v>
      </c>
      <c r="BQ87" s="13" t="e">
        <f t="shared" si="910"/>
        <v>#DIV/0!</v>
      </c>
      <c r="BR87" s="13">
        <f t="shared" ref="BR87:CH87" si="911">+BR79/BR69</f>
        <v>0</v>
      </c>
      <c r="BS87" s="13">
        <f t="shared" si="911"/>
        <v>0</v>
      </c>
      <c r="BT87" s="13">
        <f t="shared" si="911"/>
        <v>0</v>
      </c>
      <c r="BU87" s="13">
        <f t="shared" si="911"/>
        <v>0</v>
      </c>
      <c r="BV87" s="13">
        <f t="shared" si="911"/>
        <v>0</v>
      </c>
      <c r="BW87" s="13">
        <f t="shared" si="911"/>
        <v>0</v>
      </c>
      <c r="BX87" s="13">
        <f t="shared" si="911"/>
        <v>38.534955350239684</v>
      </c>
      <c r="BY87" s="13">
        <f t="shared" si="911"/>
        <v>42.718015114862361</v>
      </c>
      <c r="BZ87" s="13">
        <f t="shared" si="911"/>
        <v>27.404839964977139</v>
      </c>
      <c r="CA87" s="13">
        <f t="shared" si="911"/>
        <v>27.866004103211555</v>
      </c>
      <c r="CB87" s="13">
        <f t="shared" si="911"/>
        <v>51.03899225639924</v>
      </c>
      <c r="CC87" s="13">
        <f t="shared" si="911"/>
        <v>48.613590906489634</v>
      </c>
      <c r="CD87" s="13">
        <f t="shared" si="911"/>
        <v>45.325897555451945</v>
      </c>
      <c r="CE87" s="13">
        <f t="shared" si="911"/>
        <v>71.246499088405329</v>
      </c>
      <c r="CF87" s="13">
        <f t="shared" si="911"/>
        <v>72.396901653934592</v>
      </c>
      <c r="CG87" s="13">
        <f t="shared" si="911"/>
        <v>83.050100924838517</v>
      </c>
      <c r="CH87" s="13">
        <f t="shared" si="911"/>
        <v>62.891175254321389</v>
      </c>
      <c r="CI87" s="13">
        <f t="shared" ref="CI87:CJ87" si="912">+CI79/CI69</f>
        <v>61.041157605375659</v>
      </c>
      <c r="CJ87" s="13">
        <f t="shared" si="912"/>
        <v>53.816381297159609</v>
      </c>
      <c r="CK87" s="13">
        <f t="shared" ref="CK87:CL87" si="913">+CK79/CK69</f>
        <v>44.844362038249898</v>
      </c>
      <c r="CL87" s="13">
        <f t="shared" si="913"/>
        <v>27.765653009866533</v>
      </c>
      <c r="CM87" s="60">
        <f t="shared" si="891"/>
        <v>27.765653009866533</v>
      </c>
      <c r="CN87" s="60">
        <f t="shared" si="892"/>
        <v>27.765653009866533</v>
      </c>
      <c r="CO87" s="60">
        <f t="shared" si="893"/>
        <v>27.765653009866533</v>
      </c>
      <c r="CP87" s="60">
        <f t="shared" si="894"/>
        <v>27.765653009866533</v>
      </c>
      <c r="CQ87" s="60">
        <f t="shared" si="895"/>
        <v>27.765653009866533</v>
      </c>
      <c r="CR87" s="60">
        <f t="shared" si="896"/>
        <v>27.765653009866533</v>
      </c>
      <c r="CS87" s="60">
        <f t="shared" si="897"/>
        <v>27.765653009866533</v>
      </c>
      <c r="CT87" s="60">
        <f t="shared" si="898"/>
        <v>27.765653009866533</v>
      </c>
      <c r="CU87" s="60">
        <f t="shared" si="899"/>
        <v>27.765653009866533</v>
      </c>
      <c r="CV87" s="60">
        <f t="shared" si="900"/>
        <v>27.765653009866533</v>
      </c>
      <c r="CW87" s="60">
        <f t="shared" si="901"/>
        <v>27.765653009866533</v>
      </c>
      <c r="CX87" s="60">
        <f t="shared" si="902"/>
        <v>27.765653009866533</v>
      </c>
      <c r="CY87" s="60">
        <f t="shared" si="903"/>
        <v>27.765653009866533</v>
      </c>
      <c r="CZ87" s="60">
        <f t="shared" si="904"/>
        <v>27.765653009866533</v>
      </c>
      <c r="DA87" s="60">
        <f t="shared" si="905"/>
        <v>27.765653009866533</v>
      </c>
      <c r="DB87" s="60">
        <f t="shared" si="906"/>
        <v>27.765653009866533</v>
      </c>
      <c r="DE87" s="136"/>
      <c r="DF87" s="13">
        <v>27.838423074068597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>
        <f t="shared" ca="1" si="914"/>
        <v>0</v>
      </c>
      <c r="J89" s="13">
        <f t="shared" ca="1" si="914"/>
        <v>0</v>
      </c>
      <c r="K89" s="13">
        <f t="shared" ca="1" si="914"/>
        <v>0</v>
      </c>
      <c r="L89" s="13">
        <f t="shared" ca="1" si="914"/>
        <v>0</v>
      </c>
      <c r="M89" s="13">
        <f t="shared" ca="1" si="914"/>
        <v>0</v>
      </c>
      <c r="N89" s="13">
        <f t="shared" ca="1" si="914"/>
        <v>0</v>
      </c>
      <c r="O89" s="13">
        <f t="shared" ca="1" si="914"/>
        <v>0</v>
      </c>
      <c r="P89" s="13">
        <f t="shared" ca="1" si="914"/>
        <v>0</v>
      </c>
      <c r="Q89" s="13">
        <f t="shared" ca="1" si="914"/>
        <v>0</v>
      </c>
      <c r="R89" s="13">
        <f t="shared" ca="1" si="914"/>
        <v>0</v>
      </c>
      <c r="S89" s="13">
        <f t="shared" ca="1" si="914"/>
        <v>0</v>
      </c>
      <c r="T89" s="13">
        <f t="shared" ca="1" si="914"/>
        <v>0</v>
      </c>
      <c r="U89" s="13">
        <f t="shared" ca="1" si="914"/>
        <v>0</v>
      </c>
      <c r="V89" s="13">
        <f t="shared" ca="1" si="914"/>
        <v>0</v>
      </c>
      <c r="W89" s="13">
        <f t="shared" ca="1" si="914"/>
        <v>0</v>
      </c>
      <c r="X89" s="13">
        <f t="shared" ca="1" si="914"/>
        <v>43.686703080038335</v>
      </c>
      <c r="Y89" s="13">
        <f t="shared" ca="1" si="914"/>
        <v>84.328762258087409</v>
      </c>
      <c r="Z89" s="13">
        <f t="shared" ref="Z89:AA89" ca="1" si="915">+Z78/AA69</f>
        <v>77.905722317055123</v>
      </c>
      <c r="AA89" s="13">
        <f t="shared" ca="1" si="915"/>
        <v>77.905722317055123</v>
      </c>
      <c r="AB89" s="37">
        <f t="shared" ca="1" si="914"/>
        <v>32.063314853121838</v>
      </c>
      <c r="AC89" s="37">
        <f t="shared" ca="1" si="914"/>
        <v>33.096463838307926</v>
      </c>
      <c r="AD89" s="37">
        <f t="shared" ca="1" si="914"/>
        <v>33.742200871437902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 t="e">
        <f t="shared" si="916"/>
        <v>#DIV/0!</v>
      </c>
      <c r="AW89" s="13" t="e">
        <f t="shared" si="916"/>
        <v>#DIV/0!</v>
      </c>
      <c r="AX89" s="13" t="e">
        <f t="shared" si="916"/>
        <v>#DIV/0!</v>
      </c>
      <c r="AY89" s="13" t="e">
        <f t="shared" si="916"/>
        <v>#DIV/0!</v>
      </c>
      <c r="AZ89" s="13" t="e">
        <f t="shared" si="916"/>
        <v>#DIV/0!</v>
      </c>
      <c r="BA89" s="13" t="e">
        <f t="shared" si="916"/>
        <v>#DIV/0!</v>
      </c>
      <c r="BB89" s="13" t="e">
        <f t="shared" si="916"/>
        <v>#DIV/0!</v>
      </c>
      <c r="BC89" s="13" t="e">
        <f t="shared" si="916"/>
        <v>#DIV/0!</v>
      </c>
      <c r="BD89" s="13" t="e">
        <f t="shared" si="916"/>
        <v>#DIV/0!</v>
      </c>
      <c r="BE89" s="13" t="e">
        <f t="shared" si="916"/>
        <v>#DIV/0!</v>
      </c>
      <c r="BF89" s="13" t="e">
        <f t="shared" si="916"/>
        <v>#DIV/0!</v>
      </c>
      <c r="BG89" s="13" t="e">
        <f t="shared" si="916"/>
        <v>#DIV/0!</v>
      </c>
      <c r="BH89" s="13" t="e">
        <f t="shared" si="916"/>
        <v>#DIV/0!</v>
      </c>
      <c r="BI89" s="13" t="e">
        <f t="shared" si="916"/>
        <v>#DIV/0!</v>
      </c>
      <c r="BJ89" s="13" t="e">
        <f t="shared" si="916"/>
        <v>#DIV/0!</v>
      </c>
      <c r="BK89" s="13" t="e">
        <f t="shared" si="916"/>
        <v>#DIV/0!</v>
      </c>
      <c r="BL89" s="13" t="e">
        <f t="shared" si="916"/>
        <v>#DIV/0!</v>
      </c>
      <c r="BM89" s="13" t="e">
        <f t="shared" si="916"/>
        <v>#DIV/0!</v>
      </c>
      <c r="BN89" s="13">
        <f t="shared" si="916"/>
        <v>0</v>
      </c>
      <c r="BO89" s="13">
        <f t="shared" si="916"/>
        <v>0</v>
      </c>
      <c r="BP89" s="13">
        <f t="shared" si="916"/>
        <v>0</v>
      </c>
      <c r="BQ89" s="13">
        <f t="shared" si="916"/>
        <v>0</v>
      </c>
      <c r="BR89" s="13">
        <f t="shared" ref="BR89:CL89" si="917">+BR78/BV69</f>
        <v>0</v>
      </c>
      <c r="BS89" s="13">
        <f t="shared" si="917"/>
        <v>0</v>
      </c>
      <c r="BT89" s="13">
        <f t="shared" si="917"/>
        <v>0</v>
      </c>
      <c r="BU89" s="13">
        <f t="shared" si="917"/>
        <v>0</v>
      </c>
      <c r="BV89" s="13">
        <f t="shared" si="917"/>
        <v>0</v>
      </c>
      <c r="BW89" s="13">
        <f t="shared" si="917"/>
        <v>35.968610431626296</v>
      </c>
      <c r="BX89" s="13">
        <f t="shared" si="917"/>
        <v>50.166691761669192</v>
      </c>
      <c r="BY89" s="13">
        <f t="shared" si="917"/>
        <v>41.741420825226044</v>
      </c>
      <c r="BZ89" s="13">
        <f t="shared" si="917"/>
        <v>34.454211683207895</v>
      </c>
      <c r="CA89" s="13">
        <f t="shared" si="917"/>
        <v>47.004732534233312</v>
      </c>
      <c r="CB89" s="13">
        <f t="shared" si="917"/>
        <v>54.059113327894394</v>
      </c>
      <c r="CC89" s="13">
        <f t="shared" si="917"/>
        <v>49.367366412213748</v>
      </c>
      <c r="CD89" s="13">
        <f t="shared" si="917"/>
        <v>83.965896121081784</v>
      </c>
      <c r="CE89" s="13">
        <f t="shared" si="917"/>
        <v>81.55009544899201</v>
      </c>
      <c r="CF89" s="13">
        <f t="shared" si="917"/>
        <v>79.559696599770547</v>
      </c>
      <c r="CG89" s="13">
        <f t="shared" si="917"/>
        <v>81.448756568628667</v>
      </c>
      <c r="CH89" s="13">
        <f t="shared" si="917"/>
        <v>75.155151004150014</v>
      </c>
      <c r="CI89" s="13">
        <f t="shared" si="917"/>
        <v>66.516192391964893</v>
      </c>
      <c r="CJ89" s="13">
        <f t="shared" si="917"/>
        <v>57.293231766100988</v>
      </c>
      <c r="CK89" s="13">
        <f t="shared" si="917"/>
        <v>43.188430372346701</v>
      </c>
      <c r="CL89" s="13">
        <f t="shared" si="917"/>
        <v>35.556949354612414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52.376335392313777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 t="e">
        <f t="shared" si="918"/>
        <v>#DIV/0!</v>
      </c>
      <c r="BE90" s="175" t="e">
        <f t="shared" si="918"/>
        <v>#DIV/0!</v>
      </c>
      <c r="BF90" s="175" t="e">
        <f t="shared" si="918"/>
        <v>#DIV/0!</v>
      </c>
      <c r="BG90" s="175" t="e">
        <f t="shared" si="918"/>
        <v>#DIV/0!</v>
      </c>
      <c r="BH90" s="175" t="e">
        <f t="shared" si="918"/>
        <v>#DIV/0!</v>
      </c>
      <c r="BI90" s="175" t="e">
        <f t="shared" si="918"/>
        <v>#DIV/0!</v>
      </c>
      <c r="BJ90" s="175" t="e">
        <f t="shared" si="918"/>
        <v>#DIV/0!</v>
      </c>
      <c r="BK90" s="175" t="e">
        <f t="shared" si="918"/>
        <v>#DIV/0!</v>
      </c>
      <c r="BL90" s="175" t="e">
        <f t="shared" si="918"/>
        <v>#DIV/0!</v>
      </c>
      <c r="BM90" s="175" t="e">
        <f t="shared" si="918"/>
        <v>#DIV/0!</v>
      </c>
      <c r="BN90" s="175" t="e">
        <f t="shared" si="918"/>
        <v>#DIV/0!</v>
      </c>
      <c r="BO90" s="175" t="e">
        <f t="shared" si="918"/>
        <v>#DIV/0!</v>
      </c>
      <c r="BP90" s="175" t="e">
        <f t="shared" si="918"/>
        <v>#DIV/0!</v>
      </c>
      <c r="BQ90" s="175" t="e">
        <f t="shared" si="918"/>
        <v>#DIV/0!</v>
      </c>
      <c r="BR90" s="175" t="e">
        <f t="shared" si="918"/>
        <v>#DIV/0!</v>
      </c>
      <c r="BS90" s="175" t="e">
        <f t="shared" si="918"/>
        <v>#DIV/0!</v>
      </c>
      <c r="BT90" s="175" t="e">
        <f t="shared" si="918"/>
        <v>#DIV/0!</v>
      </c>
      <c r="BU90" s="175" t="e">
        <f t="shared" si="918"/>
        <v>#DIV/0!</v>
      </c>
      <c r="BV90" s="175" t="e">
        <f t="shared" si="918"/>
        <v>#DIV/0!</v>
      </c>
      <c r="BW90" s="175">
        <f t="shared" si="918"/>
        <v>0.65141549429374046</v>
      </c>
      <c r="BX90" s="175">
        <f t="shared" si="918"/>
        <v>0.93706114777862781</v>
      </c>
      <c r="BY90" s="175">
        <f t="shared" si="918"/>
        <v>0.75440740077014845</v>
      </c>
      <c r="BZ90" s="175">
        <f t="shared" si="918"/>
        <v>-0.48016561418245213</v>
      </c>
      <c r="CA90" s="175">
        <f t="shared" si="918"/>
        <v>-0.55574702122393382</v>
      </c>
      <c r="CB90" s="175">
        <f t="shared" si="918"/>
        <v>0.54563041246542565</v>
      </c>
      <c r="CC90" s="175">
        <f t="shared" si="918"/>
        <v>0.48554736689550909</v>
      </c>
      <c r="CD90" s="175">
        <f t="shared" si="918"/>
        <v>0.79022825612836123</v>
      </c>
      <c r="CE90" s="175">
        <f t="shared" si="918"/>
        <v>0.83553178307923692</v>
      </c>
      <c r="CF90" s="175">
        <f t="shared" si="918"/>
        <v>0.83337829559243837</v>
      </c>
      <c r="CG90" s="175">
        <f t="shared" si="918"/>
        <v>0.47213883006738638</v>
      </c>
      <c r="CH90" s="175">
        <f t="shared" si="918"/>
        <v>7.7123210625938375E-3</v>
      </c>
      <c r="CI90" s="175">
        <f t="shared" si="918"/>
        <v>-0.86721968768902813</v>
      </c>
      <c r="CJ90" s="175">
        <f>+CORREL(CG69:CJ69,CG86:CJ86)</f>
        <v>-0.99938226516923778</v>
      </c>
      <c r="CK90" s="175">
        <f>+CORREL(CH69:CK69,CH86:CK86)</f>
        <v>-0.99937083069693355</v>
      </c>
      <c r="CL90" s="175">
        <f>+CORREL(CI69:CL69,CI86:CL86)</f>
        <v>-0.99673433978763915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2.1215738262395787</v>
      </c>
      <c r="K92" s="162">
        <f t="shared" ca="1" si="919"/>
        <v>3.3873397040612354</v>
      </c>
      <c r="L92" s="162">
        <f t="shared" ca="1" si="919"/>
        <v>6.4393775667934277</v>
      </c>
      <c r="M92" s="162">
        <f t="shared" ca="1" si="919"/>
        <v>6.8578941056018721</v>
      </c>
      <c r="N92" s="162">
        <f t="shared" ca="1" si="919"/>
        <v>7.0036048461800986</v>
      </c>
      <c r="O92" s="162">
        <f t="shared" ca="1" si="919"/>
        <v>6.1029659207254641</v>
      </c>
      <c r="P92" s="162">
        <f t="shared" ca="1" si="919"/>
        <v>6.1697294744283564</v>
      </c>
      <c r="Q92" s="162">
        <f t="shared" ca="1" si="919"/>
        <v>6.6373201330993128</v>
      </c>
      <c r="R92" s="162">
        <f t="shared" ca="1" si="919"/>
        <v>7.6919603627321926</v>
      </c>
      <c r="S92" s="162">
        <f t="shared" ca="1" si="919"/>
        <v>8.0857474038320909</v>
      </c>
      <c r="T92" s="162">
        <f t="shared" ca="1" si="919"/>
        <v>9.21980888303837</v>
      </c>
      <c r="U92" s="162">
        <f t="shared" ca="1" si="919"/>
        <v>11.230559212130077</v>
      </c>
      <c r="V92" s="162">
        <f t="shared" ca="1" si="919"/>
        <v>13.085417580810297</v>
      </c>
      <c r="W92" s="162">
        <f t="shared" ca="1" si="919"/>
        <v>18.6248842084735</v>
      </c>
      <c r="X92" s="162">
        <f t="shared" ca="1" si="919"/>
        <v>47.729998537370193</v>
      </c>
      <c r="Y92" s="162">
        <f t="shared" ca="1" si="919"/>
        <v>79.992808736775388</v>
      </c>
      <c r="Z92" s="162">
        <f t="shared" ca="1" si="919"/>
        <v>90.844668714348401</v>
      </c>
      <c r="AA92" s="162">
        <f t="shared" ca="1" si="919"/>
        <v>90.844668714348401</v>
      </c>
      <c r="AB92" s="21">
        <f t="shared" ca="1" si="919"/>
        <v>128.38835467478879</v>
      </c>
      <c r="AC92" s="21">
        <f t="shared" ca="1" si="919"/>
        <v>153.68398145531543</v>
      </c>
      <c r="AD92" s="21">
        <f t="shared" ca="1" si="919"/>
        <v>189.44540579211784</v>
      </c>
      <c r="AE92" s="21">
        <f t="shared" ca="1" si="919"/>
        <v>239.03520603524123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0</v>
      </c>
      <c r="BB92" s="162">
        <f t="shared" si="920"/>
        <v>0</v>
      </c>
      <c r="BC92" s="162">
        <f t="shared" si="920"/>
        <v>0</v>
      </c>
      <c r="BD92" s="162">
        <f t="shared" si="920"/>
        <v>0</v>
      </c>
      <c r="BE92" s="162">
        <f t="shared" si="920"/>
        <v>0</v>
      </c>
      <c r="BF92" s="162">
        <f t="shared" si="920"/>
        <v>0</v>
      </c>
      <c r="BG92" s="162">
        <f t="shared" si="920"/>
        <v>0</v>
      </c>
      <c r="BH92" s="162">
        <f t="shared" si="920"/>
        <v>0</v>
      </c>
      <c r="BI92" s="162">
        <f t="shared" si="920"/>
        <v>0</v>
      </c>
      <c r="BJ92" s="162">
        <f t="shared" si="920"/>
        <v>0</v>
      </c>
      <c r="BK92" s="162">
        <f t="shared" si="920"/>
        <v>0</v>
      </c>
      <c r="BL92" s="162">
        <f t="shared" si="920"/>
        <v>0</v>
      </c>
      <c r="BM92" s="162">
        <f t="shared" si="920"/>
        <v>0</v>
      </c>
      <c r="BN92" s="162">
        <f t="shared" si="920"/>
        <v>0</v>
      </c>
      <c r="BO92" s="162">
        <f t="shared" si="920"/>
        <v>0</v>
      </c>
      <c r="BP92" s="162">
        <f t="shared" si="920"/>
        <v>0</v>
      </c>
      <c r="BQ92" s="162">
        <f t="shared" si="920"/>
        <v>0</v>
      </c>
      <c r="BR92" s="162">
        <f t="shared" ref="BR92:DB92" si="921">+BR$120/BR$65</f>
        <v>13.14212265883217</v>
      </c>
      <c r="BS92" s="162">
        <f t="shared" si="921"/>
        <v>14.307993634471783</v>
      </c>
      <c r="BT92" s="162">
        <f t="shared" si="921"/>
        <v>0</v>
      </c>
      <c r="BU92" s="162">
        <f t="shared" si="921"/>
        <v>1.2755539233688322</v>
      </c>
      <c r="BV92" s="162">
        <f t="shared" si="921"/>
        <v>18.705594319990205</v>
      </c>
      <c r="BW92" s="162">
        <f t="shared" si="921"/>
        <v>20.405435181784796</v>
      </c>
      <c r="BX92" s="162">
        <f t="shared" si="921"/>
        <v>44.642795935855062</v>
      </c>
      <c r="BY92" s="162">
        <f t="shared" si="921"/>
        <v>46.517811237605585</v>
      </c>
      <c r="BZ92" s="162">
        <f t="shared" si="921"/>
        <v>47.936834373852363</v>
      </c>
      <c r="CA92" s="162">
        <f t="shared" si="921"/>
        <v>49.843677316685024</v>
      </c>
      <c r="CB92" s="162">
        <f t="shared" si="921"/>
        <v>51.198065858734239</v>
      </c>
      <c r="CC92" s="162">
        <f t="shared" si="921"/>
        <v>53.661892520504345</v>
      </c>
      <c r="CD92" s="162">
        <f t="shared" si="921"/>
        <v>80.339454033541429</v>
      </c>
      <c r="CE92" s="162">
        <f t="shared" si="921"/>
        <v>82.524421593830326</v>
      </c>
      <c r="CF92" s="162">
        <f t="shared" si="921"/>
        <v>84.421716244338342</v>
      </c>
      <c r="CG92" s="162">
        <f t="shared" si="921"/>
        <v>86.989105153629566</v>
      </c>
      <c r="CH92" s="162">
        <f t="shared" si="921"/>
        <v>91.238340066103561</v>
      </c>
      <c r="CI92" s="162">
        <f t="shared" si="921"/>
        <v>94.284490145672663</v>
      </c>
      <c r="CJ92" s="162">
        <f t="shared" si="921"/>
        <v>99.512669849430765</v>
      </c>
      <c r="CK92" s="162">
        <f t="shared" si="921"/>
        <v>102.81047667912726</v>
      </c>
      <c r="CL92" s="162">
        <f t="shared" si="921"/>
        <v>111.05419043440106</v>
      </c>
      <c r="CM92" s="21">
        <f t="shared" si="921"/>
        <v>114.57689876467133</v>
      </c>
      <c r="CN92" s="21">
        <f t="shared" si="921"/>
        <v>118.72253881615191</v>
      </c>
      <c r="CO92" s="21">
        <f t="shared" si="921"/>
        <v>123.44482015812551</v>
      </c>
      <c r="CP92" s="21">
        <f t="shared" si="921"/>
        <v>128.38835467478879</v>
      </c>
      <c r="CQ92" s="21">
        <f t="shared" si="921"/>
        <v>133.65176086617828</v>
      </c>
      <c r="CR92" s="21">
        <f t="shared" si="921"/>
        <v>139.7061609702825</v>
      </c>
      <c r="CS92" s="21">
        <f t="shared" si="921"/>
        <v>146.57370067362575</v>
      </c>
      <c r="CT92" s="21">
        <f t="shared" si="921"/>
        <v>153.68398145531543</v>
      </c>
      <c r="CU92" s="21">
        <f t="shared" si="921"/>
        <v>161.22408918736036</v>
      </c>
      <c r="CV92" s="21">
        <f t="shared" si="921"/>
        <v>169.80712652902116</v>
      </c>
      <c r="CW92" s="21">
        <f t="shared" si="921"/>
        <v>179.47334920534041</v>
      </c>
      <c r="CX92" s="21">
        <f t="shared" si="921"/>
        <v>189.44540579211784</v>
      </c>
      <c r="CY92" s="21">
        <f t="shared" si="921"/>
        <v>199.98611007732114</v>
      </c>
      <c r="CZ92" s="21">
        <f t="shared" si="921"/>
        <v>211.91038924919209</v>
      </c>
      <c r="DA92" s="21">
        <f t="shared" si="921"/>
        <v>225.27375896034559</v>
      </c>
      <c r="DB92" s="21">
        <f t="shared" si="921"/>
        <v>239.03520603524123</v>
      </c>
      <c r="DE92" s="22"/>
      <c r="DF92" s="162">
        <v>111.05419043440106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>
        <f t="shared" ca="1" si="922"/>
        <v>0</v>
      </c>
      <c r="K94" s="162">
        <f t="shared" ca="1" si="922"/>
        <v>0</v>
      </c>
      <c r="L94" s="162">
        <f t="shared" ca="1" si="922"/>
        <v>0</v>
      </c>
      <c r="M94" s="162">
        <f t="shared" ca="1" si="922"/>
        <v>0</v>
      </c>
      <c r="N94" s="162">
        <f t="shared" ca="1" si="922"/>
        <v>0</v>
      </c>
      <c r="O94" s="162">
        <f t="shared" ca="1" si="922"/>
        <v>0</v>
      </c>
      <c r="P94" s="162">
        <f t="shared" ca="1" si="922"/>
        <v>0</v>
      </c>
      <c r="Q94" s="162">
        <f t="shared" ca="1" si="922"/>
        <v>0</v>
      </c>
      <c r="R94" s="162">
        <f t="shared" ca="1" si="922"/>
        <v>0</v>
      </c>
      <c r="S94" s="162">
        <f t="shared" ca="1" si="922"/>
        <v>0</v>
      </c>
      <c r="T94" s="162">
        <f t="shared" ca="1" si="922"/>
        <v>0</v>
      </c>
      <c r="U94" s="162">
        <f t="shared" ca="1" si="922"/>
        <v>0</v>
      </c>
      <c r="V94" s="162">
        <f t="shared" ca="1" si="922"/>
        <v>0</v>
      </c>
      <c r="W94" s="162">
        <f t="shared" ca="1" si="922"/>
        <v>0</v>
      </c>
      <c r="X94" s="162">
        <f t="shared" ca="1" si="922"/>
        <v>4.5191704716084944</v>
      </c>
      <c r="Y94" s="162">
        <f t="shared" ca="1" si="922"/>
        <v>9.4314728025439862</v>
      </c>
      <c r="Z94" s="162">
        <f t="shared" ca="1" si="922"/>
        <v>9.3467235008573422</v>
      </c>
      <c r="AA94" s="162">
        <f t="shared" ref="AA94" ca="1" si="923">+AA77/AA$92</f>
        <v>9.3467235008573422</v>
      </c>
      <c r="AB94" s="21">
        <f t="shared" ca="1" si="922"/>
        <v>2.8822707552982263</v>
      </c>
      <c r="AC94" s="21">
        <f t="shared" ca="1" si="922"/>
        <v>2.407863178034559</v>
      </c>
      <c r="AD94" s="21">
        <f t="shared" ca="1" si="922"/>
        <v>1.9533331961930138</v>
      </c>
      <c r="AE94" s="21">
        <f t="shared" ca="1" si="922"/>
        <v>1.5480983163017548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 t="e">
        <f t="shared" si="924"/>
        <v>#DIV/0!</v>
      </c>
      <c r="BB94" s="162" t="e">
        <f t="shared" si="924"/>
        <v>#DIV/0!</v>
      </c>
      <c r="BC94" s="162" t="e">
        <f t="shared" si="924"/>
        <v>#DIV/0!</v>
      </c>
      <c r="BD94" s="162" t="e">
        <f t="shared" si="924"/>
        <v>#DIV/0!</v>
      </c>
      <c r="BE94" s="162" t="e">
        <f t="shared" si="924"/>
        <v>#DIV/0!</v>
      </c>
      <c r="BF94" s="162" t="e">
        <f t="shared" si="924"/>
        <v>#DIV/0!</v>
      </c>
      <c r="BG94" s="162" t="e">
        <f t="shared" si="924"/>
        <v>#DIV/0!</v>
      </c>
      <c r="BH94" s="162" t="e">
        <f t="shared" si="924"/>
        <v>#DIV/0!</v>
      </c>
      <c r="BI94" s="162" t="e">
        <f t="shared" si="924"/>
        <v>#DIV/0!</v>
      </c>
      <c r="BJ94" s="162" t="e">
        <f t="shared" si="924"/>
        <v>#DIV/0!</v>
      </c>
      <c r="BK94" s="162" t="e">
        <f t="shared" si="924"/>
        <v>#DIV/0!</v>
      </c>
      <c r="BL94" s="162" t="e">
        <f t="shared" si="924"/>
        <v>#DIV/0!</v>
      </c>
      <c r="BM94" s="162" t="e">
        <f t="shared" si="924"/>
        <v>#DIV/0!</v>
      </c>
      <c r="BN94" s="162" t="e">
        <f t="shared" si="924"/>
        <v>#DIV/0!</v>
      </c>
      <c r="BO94" s="162" t="e">
        <f t="shared" si="924"/>
        <v>#DIV/0!</v>
      </c>
      <c r="BP94" s="162" t="e">
        <f t="shared" si="924"/>
        <v>#DIV/0!</v>
      </c>
      <c r="BQ94" s="162" t="e">
        <f t="shared" si="924"/>
        <v>#DIV/0!</v>
      </c>
      <c r="BR94" s="162">
        <f t="shared" si="924"/>
        <v>0</v>
      </c>
      <c r="BS94" s="162">
        <f t="shared" si="924"/>
        <v>0</v>
      </c>
      <c r="BT94" s="162" t="e">
        <f t="shared" si="924"/>
        <v>#DIV/0!</v>
      </c>
      <c r="BU94" s="162">
        <f t="shared" si="924"/>
        <v>0</v>
      </c>
      <c r="BV94" s="162">
        <f t="shared" si="924"/>
        <v>0</v>
      </c>
      <c r="BW94" s="162">
        <f t="shared" si="924"/>
        <v>12.354551508170758</v>
      </c>
      <c r="BX94" s="162">
        <f t="shared" si="924"/>
        <v>7.2822499842330553</v>
      </c>
      <c r="BY94" s="162">
        <f t="shared" si="924"/>
        <v>6.7887974863422489</v>
      </c>
      <c r="BZ94" s="162">
        <f t="shared" si="924"/>
        <v>4.4996713449575587</v>
      </c>
      <c r="CA94" s="162">
        <f t="shared" si="924"/>
        <v>8.6570659154708203</v>
      </c>
      <c r="CB94" s="162">
        <f t="shared" si="924"/>
        <v>9.1341341153460824</v>
      </c>
      <c r="CC94" s="162">
        <f t="shared" si="924"/>
        <v>8.4929915549634547</v>
      </c>
      <c r="CD94" s="162">
        <f t="shared" si="924"/>
        <v>9.3907782804326736</v>
      </c>
      <c r="CE94" s="162">
        <f t="shared" si="924"/>
        <v>10.388439972587378</v>
      </c>
      <c r="CF94" s="162">
        <f t="shared" si="924"/>
        <v>10.406682534826091</v>
      </c>
      <c r="CG94" s="162">
        <f t="shared" si="924"/>
        <v>10.748472447770521</v>
      </c>
      <c r="CH94" s="162">
        <f t="shared" si="924"/>
        <v>9.306394651467949</v>
      </c>
      <c r="CI94" s="162">
        <f t="shared" si="924"/>
        <v>8.1423784422430252</v>
      </c>
      <c r="CJ94" s="162">
        <f>+CJ77/CJ$92</f>
        <v>6.8594280610983391</v>
      </c>
      <c r="CK94" s="162">
        <f>+CK77/CK$92</f>
        <v>5.5198654682943875</v>
      </c>
      <c r="CL94" s="162">
        <f>+CL77/CL$92</f>
        <v>3.3321570176911601</v>
      </c>
      <c r="CM94" s="21">
        <f t="shared" ref="CM94:DB94" si="925">+CM77/CM$92</f>
        <v>3.2297086410066225</v>
      </c>
      <c r="CN94" s="21">
        <f t="shared" si="925"/>
        <v>3.1169313231503741</v>
      </c>
      <c r="CO94" s="21">
        <f t="shared" si="925"/>
        <v>2.9976956467350178</v>
      </c>
      <c r="CP94" s="21">
        <f t="shared" si="925"/>
        <v>2.8822707552982263</v>
      </c>
      <c r="CQ94" s="21">
        <f t="shared" si="925"/>
        <v>2.7687626231166576</v>
      </c>
      <c r="CR94" s="21">
        <f t="shared" si="925"/>
        <v>2.6487736648830751</v>
      </c>
      <c r="CS94" s="21">
        <f t="shared" si="925"/>
        <v>2.524668465756942</v>
      </c>
      <c r="CT94" s="21">
        <f t="shared" si="925"/>
        <v>2.407863178034559</v>
      </c>
      <c r="CU94" s="21">
        <f t="shared" si="925"/>
        <v>2.2952525386573011</v>
      </c>
      <c r="CV94" s="21">
        <f t="shared" si="925"/>
        <v>2.179237159029106</v>
      </c>
      <c r="CW94" s="21">
        <f t="shared" si="925"/>
        <v>2.0618660187625717</v>
      </c>
      <c r="CX94" s="21">
        <f t="shared" si="925"/>
        <v>1.9533331961930138</v>
      </c>
      <c r="CY94" s="21">
        <f t="shared" si="925"/>
        <v>1.8503785080720188</v>
      </c>
      <c r="CZ94" s="21">
        <f t="shared" si="925"/>
        <v>1.7462569971727369</v>
      </c>
      <c r="DA94" s="21">
        <f t="shared" si="925"/>
        <v>1.6426680218229015</v>
      </c>
      <c r="DB94" s="21">
        <f t="shared" si="925"/>
        <v>1.5480983163017548</v>
      </c>
      <c r="DE94" s="22"/>
      <c r="DF94" s="162">
        <v>3.3321570176911601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>
        <f t="shared" ca="1" si="922"/>
        <v>0</v>
      </c>
      <c r="K95" s="162">
        <f t="shared" ca="1" si="922"/>
        <v>0</v>
      </c>
      <c r="L95" s="162">
        <f t="shared" ca="1" si="922"/>
        <v>0</v>
      </c>
      <c r="M95" s="162">
        <f t="shared" ca="1" si="922"/>
        <v>0</v>
      </c>
      <c r="N95" s="162">
        <f t="shared" ca="1" si="922"/>
        <v>0</v>
      </c>
      <c r="O95" s="162">
        <f t="shared" ca="1" si="922"/>
        <v>0</v>
      </c>
      <c r="P95" s="162">
        <f t="shared" ca="1" si="922"/>
        <v>0</v>
      </c>
      <c r="Q95" s="162">
        <f t="shared" ca="1" si="922"/>
        <v>0</v>
      </c>
      <c r="R95" s="162">
        <f t="shared" ca="1" si="922"/>
        <v>0</v>
      </c>
      <c r="S95" s="162">
        <f t="shared" ca="1" si="922"/>
        <v>0</v>
      </c>
      <c r="T95" s="162">
        <f t="shared" ca="1" si="922"/>
        <v>0</v>
      </c>
      <c r="U95" s="162">
        <f t="shared" ca="1" si="922"/>
        <v>0</v>
      </c>
      <c r="V95" s="162">
        <f t="shared" ca="1" si="922"/>
        <v>0</v>
      </c>
      <c r="W95" s="162">
        <f t="shared" ca="1" si="922"/>
        <v>0</v>
      </c>
      <c r="X95" s="162">
        <f t="shared" ca="1" si="922"/>
        <v>8.3741883982471723</v>
      </c>
      <c r="Y95" s="162">
        <f t="shared" ca="1" si="922"/>
        <v>10.875352594039553</v>
      </c>
      <c r="Z95" s="162">
        <f t="shared" ca="1" si="922"/>
        <v>11.267034317868958</v>
      </c>
      <c r="AA95" s="162">
        <f t="shared" ref="AA95" ca="1" si="926">+AA78/AA$92</f>
        <v>11.267034317868958</v>
      </c>
      <c r="AB95" s="21">
        <f t="shared" ca="1" si="922"/>
        <v>6.3172524324774457</v>
      </c>
      <c r="AC95" s="21">
        <f t="shared" ca="1" si="922"/>
        <v>7.7013666366621294</v>
      </c>
      <c r="AD95" s="21">
        <f t="shared" ca="1" si="922"/>
        <v>8.8324601696283054</v>
      </c>
      <c r="AE95" s="21">
        <f t="shared" ca="1" si="922"/>
        <v>9.7069199041143612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 t="e">
        <f t="shared" si="924"/>
        <v>#DIV/0!</v>
      </c>
      <c r="BB95" s="162" t="e">
        <f t="shared" si="924"/>
        <v>#DIV/0!</v>
      </c>
      <c r="BC95" s="162" t="e">
        <f t="shared" si="924"/>
        <v>#DIV/0!</v>
      </c>
      <c r="BD95" s="162" t="e">
        <f t="shared" si="924"/>
        <v>#DIV/0!</v>
      </c>
      <c r="BE95" s="162" t="e">
        <f t="shared" si="924"/>
        <v>#DIV/0!</v>
      </c>
      <c r="BF95" s="162" t="e">
        <f t="shared" si="924"/>
        <v>#DIV/0!</v>
      </c>
      <c r="BG95" s="162" t="e">
        <f t="shared" si="924"/>
        <v>#DIV/0!</v>
      </c>
      <c r="BH95" s="162" t="e">
        <f t="shared" si="924"/>
        <v>#DIV/0!</v>
      </c>
      <c r="BI95" s="162" t="e">
        <f t="shared" si="924"/>
        <v>#DIV/0!</v>
      </c>
      <c r="BJ95" s="162" t="e">
        <f t="shared" si="924"/>
        <v>#DIV/0!</v>
      </c>
      <c r="BK95" s="162" t="e">
        <f t="shared" si="924"/>
        <v>#DIV/0!</v>
      </c>
      <c r="BL95" s="162" t="e">
        <f t="shared" si="924"/>
        <v>#DIV/0!</v>
      </c>
      <c r="BM95" s="162" t="e">
        <f t="shared" si="924"/>
        <v>#DIV/0!</v>
      </c>
      <c r="BN95" s="162" t="e">
        <f t="shared" si="924"/>
        <v>#DIV/0!</v>
      </c>
      <c r="BO95" s="162" t="e">
        <f t="shared" si="924"/>
        <v>#DIV/0!</v>
      </c>
      <c r="BP95" s="162" t="e">
        <f t="shared" si="924"/>
        <v>#DIV/0!</v>
      </c>
      <c r="BQ95" s="162" t="e">
        <f t="shared" si="924"/>
        <v>#DIV/0!</v>
      </c>
      <c r="BR95" s="162">
        <f t="shared" si="924"/>
        <v>0</v>
      </c>
      <c r="BS95" s="162">
        <f t="shared" si="924"/>
        <v>0</v>
      </c>
      <c r="BT95" s="162" t="e">
        <f t="shared" si="924"/>
        <v>#DIV/0!</v>
      </c>
      <c r="BU95" s="162">
        <f t="shared" si="924"/>
        <v>0</v>
      </c>
      <c r="BV95" s="162">
        <f t="shared" si="924"/>
        <v>0</v>
      </c>
      <c r="BW95" s="162">
        <f t="shared" si="924"/>
        <v>13.672827730185013</v>
      </c>
      <c r="BX95" s="162">
        <f t="shared" si="924"/>
        <v>8.9532922752936077</v>
      </c>
      <c r="BY95" s="162">
        <f t="shared" si="924"/>
        <v>7.6777043136388032</v>
      </c>
      <c r="BZ95" s="162">
        <f t="shared" si="924"/>
        <v>6.6045245610271825</v>
      </c>
      <c r="CA95" s="162">
        <f t="shared" si="924"/>
        <v>8.9279127054102325</v>
      </c>
      <c r="CB95" s="162">
        <f t="shared" si="924"/>
        <v>10.456449692399286</v>
      </c>
      <c r="CC95" s="162">
        <f t="shared" si="924"/>
        <v>9.2057878840415732</v>
      </c>
      <c r="CD95" s="162">
        <f t="shared" si="924"/>
        <v>10.828428080141036</v>
      </c>
      <c r="CE95" s="162">
        <f t="shared" si="924"/>
        <v>11.089444582892032</v>
      </c>
      <c r="CF95" s="162">
        <f t="shared" si="924"/>
        <v>10.962226796260666</v>
      </c>
      <c r="CG95" s="162">
        <f t="shared" si="924"/>
        <v>11.766416014882905</v>
      </c>
      <c r="CH95" s="162">
        <f t="shared" si="924"/>
        <v>10.850701572197938</v>
      </c>
      <c r="CI95" s="162">
        <f t="shared" si="924"/>
        <v>9.629367445242206</v>
      </c>
      <c r="CJ95" s="162">
        <f t="shared" ref="CJ95:CK96" si="927">+CJ78/CJ$92</f>
        <v>8.4637463880165189</v>
      </c>
      <c r="CK95" s="162">
        <f t="shared" si="927"/>
        <v>6.6880343541836496</v>
      </c>
      <c r="CL95" s="162">
        <f t="shared" ref="CL95" si="928">+CL78/CL$92</f>
        <v>5.5499931843100843</v>
      </c>
      <c r="CM95" s="94">
        <f t="shared" ref="CM95:DB95" si="929">+CL95</f>
        <v>5.5499931843100843</v>
      </c>
      <c r="CN95" s="94">
        <f t="shared" si="929"/>
        <v>5.5499931843100843</v>
      </c>
      <c r="CO95" s="94">
        <f t="shared" si="929"/>
        <v>5.5499931843100843</v>
      </c>
      <c r="CP95" s="94">
        <f t="shared" si="929"/>
        <v>5.5499931843100843</v>
      </c>
      <c r="CQ95" s="94">
        <f t="shared" si="929"/>
        <v>5.5499931843100843</v>
      </c>
      <c r="CR95" s="94">
        <f t="shared" si="929"/>
        <v>5.5499931843100843</v>
      </c>
      <c r="CS95" s="94">
        <f t="shared" si="929"/>
        <v>5.5499931843100843</v>
      </c>
      <c r="CT95" s="94">
        <f t="shared" si="929"/>
        <v>5.5499931843100843</v>
      </c>
      <c r="CU95" s="94">
        <f t="shared" si="929"/>
        <v>5.5499931843100843</v>
      </c>
      <c r="CV95" s="94">
        <f t="shared" si="929"/>
        <v>5.5499931843100843</v>
      </c>
      <c r="CW95" s="94">
        <f t="shared" si="929"/>
        <v>5.5499931843100843</v>
      </c>
      <c r="CX95" s="94">
        <f t="shared" si="929"/>
        <v>5.5499931843100843</v>
      </c>
      <c r="CY95" s="94">
        <f t="shared" si="929"/>
        <v>5.5499931843100843</v>
      </c>
      <c r="CZ95" s="94">
        <f t="shared" si="929"/>
        <v>5.5499931843100843</v>
      </c>
      <c r="DA95" s="94">
        <f t="shared" si="929"/>
        <v>5.5499931843100843</v>
      </c>
      <c r="DB95" s="94">
        <f t="shared" si="929"/>
        <v>5.5499931843100843</v>
      </c>
      <c r="DC95" s="94"/>
      <c r="DE95" s="22"/>
      <c r="DF95" s="162">
        <v>8.175288086371582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>
        <f t="shared" ca="1" si="922"/>
        <v>0</v>
      </c>
      <c r="K96" s="162">
        <f t="shared" ca="1" si="922"/>
        <v>0</v>
      </c>
      <c r="L96" s="162">
        <f t="shared" ca="1" si="922"/>
        <v>0</v>
      </c>
      <c r="M96" s="162">
        <f t="shared" ca="1" si="922"/>
        <v>0</v>
      </c>
      <c r="N96" s="162">
        <f t="shared" ca="1" si="922"/>
        <v>0</v>
      </c>
      <c r="O96" s="162">
        <f t="shared" ca="1" si="922"/>
        <v>0</v>
      </c>
      <c r="P96" s="162">
        <f t="shared" ca="1" si="922"/>
        <v>0</v>
      </c>
      <c r="Q96" s="162">
        <f t="shared" ca="1" si="922"/>
        <v>0</v>
      </c>
      <c r="R96" s="162">
        <f t="shared" ca="1" si="922"/>
        <v>0</v>
      </c>
      <c r="S96" s="162">
        <f t="shared" ca="1" si="922"/>
        <v>0</v>
      </c>
      <c r="T96" s="162">
        <f t="shared" ca="1" si="922"/>
        <v>0</v>
      </c>
      <c r="U96" s="162">
        <f t="shared" ca="1" si="922"/>
        <v>0</v>
      </c>
      <c r="V96" s="162">
        <f t="shared" ca="1" si="922"/>
        <v>0</v>
      </c>
      <c r="W96" s="162">
        <f t="shared" ca="1" si="922"/>
        <v>0</v>
      </c>
      <c r="X96" s="162">
        <f t="shared" ca="1" si="922"/>
        <v>4.3348000490301226</v>
      </c>
      <c r="Y96" s="162">
        <f t="shared" ca="1" si="922"/>
        <v>2.7021178955131324</v>
      </c>
      <c r="Z96" s="162">
        <f t="shared" ca="1" si="922"/>
        <v>7.17268287970633</v>
      </c>
      <c r="AA96" s="162">
        <f t="shared" ref="AA96" ca="1" si="930">+AA79/AA$92</f>
        <v>7.17268287970633</v>
      </c>
      <c r="AB96" s="21">
        <f t="shared" ca="1" si="922"/>
        <v>2.9518405465038398</v>
      </c>
      <c r="AC96" s="21">
        <f t="shared" ca="1" si="922"/>
        <v>3.4462017271168133</v>
      </c>
      <c r="AD96" s="21">
        <f t="shared" ca="1" si="922"/>
        <v>4.0410782074078133</v>
      </c>
      <c r="AE96" s="21">
        <f t="shared" ca="1" si="922"/>
        <v>4.5024866413743974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 t="e">
        <f t="shared" si="924"/>
        <v>#DIV/0!</v>
      </c>
      <c r="BB96" s="162" t="e">
        <f t="shared" si="924"/>
        <v>#DIV/0!</v>
      </c>
      <c r="BC96" s="162" t="e">
        <f t="shared" si="924"/>
        <v>#DIV/0!</v>
      </c>
      <c r="BD96" s="162" t="e">
        <f t="shared" si="924"/>
        <v>#DIV/0!</v>
      </c>
      <c r="BE96" s="162" t="e">
        <f t="shared" si="924"/>
        <v>#DIV/0!</v>
      </c>
      <c r="BF96" s="162" t="e">
        <f t="shared" si="924"/>
        <v>#DIV/0!</v>
      </c>
      <c r="BG96" s="162" t="e">
        <f t="shared" si="924"/>
        <v>#DIV/0!</v>
      </c>
      <c r="BH96" s="162" t="e">
        <f t="shared" si="924"/>
        <v>#DIV/0!</v>
      </c>
      <c r="BI96" s="162" t="e">
        <f t="shared" si="924"/>
        <v>#DIV/0!</v>
      </c>
      <c r="BJ96" s="162" t="e">
        <f t="shared" si="924"/>
        <v>#DIV/0!</v>
      </c>
      <c r="BK96" s="162" t="e">
        <f t="shared" si="924"/>
        <v>#DIV/0!</v>
      </c>
      <c r="BL96" s="162" t="e">
        <f t="shared" si="924"/>
        <v>#DIV/0!</v>
      </c>
      <c r="BM96" s="162" t="e">
        <f t="shared" si="924"/>
        <v>#DIV/0!</v>
      </c>
      <c r="BN96" s="162" t="e">
        <f t="shared" si="924"/>
        <v>#DIV/0!</v>
      </c>
      <c r="BO96" s="162" t="e">
        <f t="shared" si="924"/>
        <v>#DIV/0!</v>
      </c>
      <c r="BP96" s="162" t="e">
        <f t="shared" si="924"/>
        <v>#DIV/0!</v>
      </c>
      <c r="BQ96" s="162" t="e">
        <f t="shared" si="924"/>
        <v>#DIV/0!</v>
      </c>
      <c r="BR96" s="162">
        <f t="shared" si="924"/>
        <v>0</v>
      </c>
      <c r="BS96" s="162">
        <f t="shared" si="924"/>
        <v>0</v>
      </c>
      <c r="BT96" s="162" t="e">
        <f t="shared" si="924"/>
        <v>#DIV/0!</v>
      </c>
      <c r="BU96" s="162">
        <f t="shared" si="924"/>
        <v>0</v>
      </c>
      <c r="BV96" s="162">
        <f t="shared" si="924"/>
        <v>0</v>
      </c>
      <c r="BW96" s="162">
        <f t="shared" si="924"/>
        <v>0</v>
      </c>
      <c r="BX96" s="162">
        <f t="shared" si="924"/>
        <v>5.4667274950848261</v>
      </c>
      <c r="BY96" s="162">
        <f t="shared" si="924"/>
        <v>6.3663786433827001</v>
      </c>
      <c r="BZ96" s="162">
        <f t="shared" si="924"/>
        <v>4.3160964361229439</v>
      </c>
      <c r="CA96" s="162">
        <f t="shared" si="924"/>
        <v>4.3365580478076895</v>
      </c>
      <c r="CB96" s="162">
        <f t="shared" si="924"/>
        <v>7.9426828568491068</v>
      </c>
      <c r="CC96" s="162">
        <f t="shared" si="924"/>
        <v>7.7513106687592961</v>
      </c>
      <c r="CD96" s="162">
        <f t="shared" si="924"/>
        <v>5.1842523080392455</v>
      </c>
      <c r="CE96" s="162">
        <f t="shared" si="924"/>
        <v>8.1733381097750932</v>
      </c>
      <c r="CF96" s="162">
        <f t="shared" si="924"/>
        <v>8.492483118028078</v>
      </c>
      <c r="CG96" s="162">
        <f t="shared" si="924"/>
        <v>9.5534952168125038</v>
      </c>
      <c r="CH96" s="162">
        <f t="shared" si="924"/>
        <v>7.1417344893375523</v>
      </c>
      <c r="CI96" s="162">
        <f t="shared" si="924"/>
        <v>7.265245842043079</v>
      </c>
      <c r="CJ96" s="162">
        <f t="shared" si="927"/>
        <v>6.2906562646462936</v>
      </c>
      <c r="CK96" s="162">
        <f t="shared" si="927"/>
        <v>5.4814452593080203</v>
      </c>
      <c r="CL96" s="162">
        <f t="shared" ref="CL96" si="931">+CL79/CL$92</f>
        <v>3.2934371820579429</v>
      </c>
      <c r="CM96" s="94">
        <f t="shared" ref="CM96:DB96" si="932">+CL96</f>
        <v>3.2934371820579429</v>
      </c>
      <c r="CN96" s="94">
        <f t="shared" si="932"/>
        <v>3.2934371820579429</v>
      </c>
      <c r="CO96" s="94">
        <f t="shared" si="932"/>
        <v>3.2934371820579429</v>
      </c>
      <c r="CP96" s="94">
        <f t="shared" si="932"/>
        <v>3.2934371820579429</v>
      </c>
      <c r="CQ96" s="94">
        <f t="shared" si="932"/>
        <v>3.2934371820579429</v>
      </c>
      <c r="CR96" s="94">
        <f t="shared" si="932"/>
        <v>3.2934371820579429</v>
      </c>
      <c r="CS96" s="94">
        <f t="shared" si="932"/>
        <v>3.2934371820579429</v>
      </c>
      <c r="CT96" s="94">
        <f t="shared" si="932"/>
        <v>3.2934371820579429</v>
      </c>
      <c r="CU96" s="94">
        <f t="shared" si="932"/>
        <v>3.2934371820579429</v>
      </c>
      <c r="CV96" s="94">
        <f t="shared" si="932"/>
        <v>3.2934371820579429</v>
      </c>
      <c r="CW96" s="94">
        <f t="shared" si="932"/>
        <v>3.2934371820579429</v>
      </c>
      <c r="CX96" s="94">
        <f t="shared" si="932"/>
        <v>3.2934371820579429</v>
      </c>
      <c r="CY96" s="94">
        <f t="shared" si="932"/>
        <v>3.2934371820579429</v>
      </c>
      <c r="CZ96" s="94">
        <f t="shared" si="932"/>
        <v>3.2934371820579429</v>
      </c>
      <c r="DA96" s="94">
        <f t="shared" si="932"/>
        <v>3.2934371820579429</v>
      </c>
      <c r="DB96" s="94">
        <f t="shared" si="932"/>
        <v>3.2934371820579429</v>
      </c>
      <c r="DC96" s="94"/>
      <c r="DE96" s="22"/>
      <c r="DF96" s="162">
        <v>3.2934371820579429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0</v>
      </c>
      <c r="J98" s="177">
        <f t="shared" si="933"/>
        <v>6.3286850000000001</v>
      </c>
      <c r="K98" s="177">
        <f t="shared" si="933"/>
        <v>4.2517284000000002</v>
      </c>
      <c r="L98" s="177">
        <f t="shared" si="933"/>
        <v>11.8521222</v>
      </c>
      <c r="M98" s="177">
        <f t="shared" si="933"/>
        <v>10.4081964</v>
      </c>
      <c r="N98" s="177">
        <f t="shared" si="933"/>
        <v>17.4125373</v>
      </c>
      <c r="O98" s="177">
        <f t="shared" si="933"/>
        <v>16.2208629</v>
      </c>
      <c r="P98" s="177">
        <f t="shared" si="933"/>
        <v>35.307439000000002</v>
      </c>
      <c r="Q98" s="177">
        <f t="shared" si="933"/>
        <v>47.256013600000003</v>
      </c>
      <c r="R98" s="177">
        <f t="shared" si="933"/>
        <v>68.301184000000006</v>
      </c>
      <c r="S98" s="177">
        <f t="shared" si="933"/>
        <v>76.253556200000006</v>
      </c>
      <c r="T98" s="177">
        <f t="shared" si="933"/>
        <v>101.584</v>
      </c>
      <c r="U98" s="177">
        <f t="shared" si="933"/>
        <v>116.45</v>
      </c>
      <c r="V98" s="177">
        <f t="shared" si="933"/>
        <v>131.59299999999999</v>
      </c>
      <c r="W98" s="177">
        <f t="shared" si="933"/>
        <v>182.637</v>
      </c>
      <c r="X98" s="177">
        <f t="shared" si="933"/>
        <v>248.75700000000001</v>
      </c>
      <c r="Y98" s="177">
        <f t="shared" si="933"/>
        <v>373.11900000000003</v>
      </c>
      <c r="Z98" s="177">
        <f>+Z10</f>
        <v>519.38499999999999</v>
      </c>
      <c r="AA98" s="177">
        <f>+AA10</f>
        <v>701.58</v>
      </c>
      <c r="AB98" s="178">
        <f t="shared" ref="AA98:AE98" si="934">+AB10</f>
        <v>940.10887822827931</v>
      </c>
      <c r="AC98" s="178">
        <f t="shared" si="934"/>
        <v>1257.2779364138296</v>
      </c>
      <c r="AD98" s="178">
        <f t="shared" si="934"/>
        <v>1681.0991789892983</v>
      </c>
      <c r="AE98" s="178">
        <f t="shared" si="934"/>
        <v>2247.7639440169678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0</v>
      </c>
      <c r="BA98" s="177">
        <f t="shared" si="935"/>
        <v>0</v>
      </c>
      <c r="BB98" s="177">
        <f t="shared" si="935"/>
        <v>0</v>
      </c>
      <c r="BC98" s="177">
        <f t="shared" si="935"/>
        <v>0</v>
      </c>
      <c r="BD98" s="177">
        <f t="shared" si="935"/>
        <v>0</v>
      </c>
      <c r="BE98" s="177">
        <f t="shared" si="935"/>
        <v>0</v>
      </c>
      <c r="BF98" s="177">
        <f t="shared" si="935"/>
        <v>0</v>
      </c>
      <c r="BG98" s="177">
        <f t="shared" si="935"/>
        <v>0</v>
      </c>
      <c r="BH98" s="177">
        <f t="shared" si="935"/>
        <v>0</v>
      </c>
      <c r="BI98" s="177">
        <f t="shared" si="935"/>
        <v>0</v>
      </c>
      <c r="BJ98" s="177">
        <f t="shared" si="935"/>
        <v>0</v>
      </c>
      <c r="BK98" s="177">
        <f t="shared" si="935"/>
        <v>0</v>
      </c>
      <c r="BL98" s="177">
        <f t="shared" si="935"/>
        <v>0</v>
      </c>
      <c r="BM98" s="177">
        <f t="shared" si="935"/>
        <v>0</v>
      </c>
      <c r="BN98" s="177">
        <f t="shared" si="935"/>
        <v>0</v>
      </c>
      <c r="BO98" s="177">
        <f t="shared" si="935"/>
        <v>0</v>
      </c>
      <c r="BP98" s="177">
        <f t="shared" si="935"/>
        <v>0</v>
      </c>
      <c r="BQ98" s="177">
        <f t="shared" si="935"/>
        <v>0</v>
      </c>
      <c r="BR98" s="177">
        <f t="shared" ref="BR98:CW98" si="936">+SUM(BO8:BR8)</f>
        <v>39</v>
      </c>
      <c r="BS98" s="177">
        <f t="shared" si="936"/>
        <v>81.915999999999997</v>
      </c>
      <c r="BT98" s="177">
        <f t="shared" si="936"/>
        <v>130.947</v>
      </c>
      <c r="BU98" s="177">
        <f t="shared" si="936"/>
        <v>176.244</v>
      </c>
      <c r="BV98" s="177">
        <f t="shared" si="936"/>
        <v>182.637</v>
      </c>
      <c r="BW98" s="177">
        <f t="shared" si="936"/>
        <v>191.93700000000001</v>
      </c>
      <c r="BX98" s="177">
        <f t="shared" si="936"/>
        <v>201.39500000000001</v>
      </c>
      <c r="BY98" s="177">
        <f t="shared" si="936"/>
        <v>217.34</v>
      </c>
      <c r="BZ98" s="177">
        <f t="shared" si="936"/>
        <v>248.75800000000001</v>
      </c>
      <c r="CA98" s="177">
        <f t="shared" si="936"/>
        <v>276.291</v>
      </c>
      <c r="CB98" s="177">
        <f t="shared" si="936"/>
        <v>314.10199999999998</v>
      </c>
      <c r="CC98" s="177">
        <f t="shared" si="936"/>
        <v>350.238</v>
      </c>
      <c r="CD98" s="177">
        <f t="shared" si="936"/>
        <v>373.11899999999997</v>
      </c>
      <c r="CE98" s="177">
        <f t="shared" si="936"/>
        <v>385.81200000000001</v>
      </c>
      <c r="CF98" s="177">
        <f t="shared" si="936"/>
        <v>430.72800000000001</v>
      </c>
      <c r="CG98" s="177">
        <f t="shared" si="936"/>
        <v>472.20000000000005</v>
      </c>
      <c r="CH98" s="177">
        <f t="shared" si="936"/>
        <v>519.38499999999999</v>
      </c>
      <c r="CI98" s="177">
        <f t="shared" si="936"/>
        <v>574.24200000000008</v>
      </c>
      <c r="CJ98" s="177">
        <f t="shared" si="936"/>
        <v>605.90099999999995</v>
      </c>
      <c r="CK98" s="177">
        <f t="shared" si="936"/>
        <v>655.06100000000004</v>
      </c>
      <c r="CL98" s="177">
        <f t="shared" si="936"/>
        <v>701.57999999999993</v>
      </c>
      <c r="CM98" s="178">
        <f t="shared" si="936"/>
        <v>756.38926355548847</v>
      </c>
      <c r="CN98" s="178">
        <f t="shared" si="936"/>
        <v>811.14982671339146</v>
      </c>
      <c r="CO98" s="178">
        <f t="shared" si="936"/>
        <v>875.05588922483162</v>
      </c>
      <c r="CP98" s="178">
        <f t="shared" si="936"/>
        <v>940.10887822827931</v>
      </c>
      <c r="CQ98" s="178">
        <f t="shared" si="936"/>
        <v>1009.0853433919051</v>
      </c>
      <c r="CR98" s="178">
        <f t="shared" si="936"/>
        <v>1085.0204919425789</v>
      </c>
      <c r="CS98" s="178">
        <f t="shared" si="936"/>
        <v>1170.1143724537787</v>
      </c>
      <c r="CT98" s="178">
        <f t="shared" si="936"/>
        <v>1257.2779364138296</v>
      </c>
      <c r="CU98" s="178">
        <f t="shared" si="936"/>
        <v>1348.7629212816462</v>
      </c>
      <c r="CV98" s="178">
        <f t="shared" si="936"/>
        <v>1450.9222485510829</v>
      </c>
      <c r="CW98" s="178">
        <f t="shared" si="936"/>
        <v>1564.5827350393156</v>
      </c>
      <c r="CX98" s="178">
        <f t="shared" ref="CX98:DB98" si="937">+SUM(CU8:CX8)</f>
        <v>1681.0991789892983</v>
      </c>
      <c r="CY98" s="178">
        <f t="shared" si="937"/>
        <v>1803.3209635270773</v>
      </c>
      <c r="CZ98" s="178">
        <f t="shared" si="937"/>
        <v>1940.0536215418938</v>
      </c>
      <c r="DA98" s="178">
        <f t="shared" si="937"/>
        <v>2091.9852715371712</v>
      </c>
      <c r="DB98" s="178">
        <f t="shared" si="937"/>
        <v>2247.7639440169678</v>
      </c>
      <c r="DE98" s="179"/>
      <c r="DF98" s="177">
        <v>701.57999999999993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0.77137694407878699</v>
      </c>
      <c r="K99" s="163">
        <f t="shared" ca="1" si="938"/>
        <v>0.51822539125347378</v>
      </c>
      <c r="L99" s="163">
        <f t="shared" ca="1" si="938"/>
        <v>1.4446056018721662</v>
      </c>
      <c r="M99" s="163">
        <f t="shared" ca="1" si="938"/>
        <v>1.2686115255228902</v>
      </c>
      <c r="N99" s="163">
        <f t="shared" ca="1" si="938"/>
        <v>2.1223413412315346</v>
      </c>
      <c r="O99" s="163">
        <f t="shared" ca="1" si="938"/>
        <v>1.9770931329530497</v>
      </c>
      <c r="P99" s="163">
        <f t="shared" ca="1" si="938"/>
        <v>4.3034760616254699</v>
      </c>
      <c r="Q99" s="163">
        <f t="shared" ca="1" si="938"/>
        <v>5.7598378431085768</v>
      </c>
      <c r="R99" s="163">
        <f t="shared" ca="1" si="938"/>
        <v>8.3249456389254561</v>
      </c>
      <c r="S99" s="163">
        <f t="shared" ca="1" si="938"/>
        <v>9.294227024523428</v>
      </c>
      <c r="T99" s="163">
        <f t="shared" ca="1" si="938"/>
        <v>12.381648871337331</v>
      </c>
      <c r="U99" s="163">
        <f t="shared" ca="1" si="938"/>
        <v>14.193603432304618</v>
      </c>
      <c r="V99" s="163">
        <f t="shared" ca="1" si="938"/>
        <v>16.039320364682364</v>
      </c>
      <c r="W99" s="163">
        <f t="shared" ca="1" si="938"/>
        <v>22.260860026327336</v>
      </c>
      <c r="X99" s="163">
        <f t="shared" ca="1" si="938"/>
        <v>30.319950270586517</v>
      </c>
      <c r="Y99" s="163">
        <f t="shared" ca="1" si="938"/>
        <v>45.477914289893235</v>
      </c>
      <c r="Z99" s="163">
        <f t="shared" ref="Z99:AA99" ca="1" si="939">+Z98/Z65</f>
        <v>63.305665252791187</v>
      </c>
      <c r="AA99" s="163">
        <f t="shared" ca="1" si="939"/>
        <v>63.305665252791187</v>
      </c>
      <c r="AB99" s="94">
        <f t="shared" ca="1" si="938"/>
        <v>114.58593903616101</v>
      </c>
      <c r="AC99" s="94">
        <f t="shared" ca="1" si="938"/>
        <v>153.24434893640358</v>
      </c>
      <c r="AD99" s="94">
        <f t="shared" ca="1" si="938"/>
        <v>204.9021475049118</v>
      </c>
      <c r="AE99" s="94">
        <f t="shared" ca="1" si="938"/>
        <v>273.97054556298667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0</v>
      </c>
      <c r="BA99" s="163">
        <f t="shared" si="940"/>
        <v>0</v>
      </c>
      <c r="BB99" s="163">
        <f t="shared" si="940"/>
        <v>0</v>
      </c>
      <c r="BC99" s="163">
        <f t="shared" si="940"/>
        <v>0</v>
      </c>
      <c r="BD99" s="163">
        <f t="shared" si="940"/>
        <v>0</v>
      </c>
      <c r="BE99" s="163">
        <f t="shared" si="940"/>
        <v>0</v>
      </c>
      <c r="BF99" s="163">
        <f t="shared" si="940"/>
        <v>0</v>
      </c>
      <c r="BG99" s="163">
        <f t="shared" si="940"/>
        <v>0</v>
      </c>
      <c r="BH99" s="163">
        <f t="shared" si="940"/>
        <v>0</v>
      </c>
      <c r="BI99" s="163">
        <f t="shared" si="940"/>
        <v>0</v>
      </c>
      <c r="BJ99" s="163">
        <f t="shared" si="940"/>
        <v>0</v>
      </c>
      <c r="BK99" s="163">
        <f t="shared" si="940"/>
        <v>0</v>
      </c>
      <c r="BL99" s="163">
        <f t="shared" si="940"/>
        <v>0</v>
      </c>
      <c r="BM99" s="163">
        <f t="shared" si="940"/>
        <v>0</v>
      </c>
      <c r="BN99" s="163">
        <f t="shared" si="940"/>
        <v>0</v>
      </c>
      <c r="BO99" s="163">
        <f t="shared" si="940"/>
        <v>0</v>
      </c>
      <c r="BP99" s="163">
        <f t="shared" si="940"/>
        <v>0</v>
      </c>
      <c r="BQ99" s="163">
        <f t="shared" si="940"/>
        <v>0</v>
      </c>
      <c r="BR99" s="163">
        <f t="shared" ref="BR99:CW99" si="941">+BR98/BR65</f>
        <v>4.7741461623209691</v>
      </c>
      <c r="BS99" s="163">
        <f t="shared" si="941"/>
        <v>10.027665564940628</v>
      </c>
      <c r="BT99" s="163">
        <f t="shared" si="941"/>
        <v>16.029746603011382</v>
      </c>
      <c r="BU99" s="163">
        <f t="shared" si="941"/>
        <v>21.574733749540947</v>
      </c>
      <c r="BV99" s="163">
        <f t="shared" si="941"/>
        <v>22.357326478149098</v>
      </c>
      <c r="BW99" s="163">
        <f t="shared" si="941"/>
        <v>23.495776716856408</v>
      </c>
      <c r="BX99" s="163">
        <f t="shared" si="941"/>
        <v>24.653568368221325</v>
      </c>
      <c r="BY99" s="163">
        <f t="shared" si="941"/>
        <v>26.605459664585627</v>
      </c>
      <c r="BZ99" s="163">
        <f t="shared" si="941"/>
        <v>30.451462847349735</v>
      </c>
      <c r="CA99" s="163">
        <f t="shared" si="941"/>
        <v>33.821887623944178</v>
      </c>
      <c r="CB99" s="163">
        <f t="shared" si="941"/>
        <v>38.450483535316437</v>
      </c>
      <c r="CC99" s="163">
        <f t="shared" si="941"/>
        <v>42.874035989717221</v>
      </c>
      <c r="CD99" s="163">
        <f t="shared" si="941"/>
        <v>45.674990818949681</v>
      </c>
      <c r="CE99" s="163">
        <f t="shared" si="941"/>
        <v>47.228791773778916</v>
      </c>
      <c r="CF99" s="163">
        <f t="shared" si="941"/>
        <v>52.727139184722731</v>
      </c>
      <c r="CG99" s="163">
        <f t="shared" si="941"/>
        <v>57.803892765332357</v>
      </c>
      <c r="CH99" s="163">
        <f t="shared" si="941"/>
        <v>63.579997551719913</v>
      </c>
      <c r="CI99" s="163">
        <f t="shared" si="941"/>
        <v>70.29526257803893</v>
      </c>
      <c r="CJ99" s="163">
        <f t="shared" si="941"/>
        <v>74.170767535806092</v>
      </c>
      <c r="CK99" s="163">
        <f t="shared" ref="CK99:CL99" si="942">+CK98/CK65</f>
        <v>80.024066065625846</v>
      </c>
      <c r="CL99" s="163">
        <f t="shared" si="942"/>
        <v>85.512651747842611</v>
      </c>
      <c r="CM99" s="50">
        <f t="shared" si="941"/>
        <v>92.193123635547821</v>
      </c>
      <c r="CN99" s="50">
        <f t="shared" si="941"/>
        <v>98.867659635487243</v>
      </c>
      <c r="CO99" s="50">
        <f t="shared" si="941"/>
        <v>106.65690229935542</v>
      </c>
      <c r="CP99" s="50">
        <f t="shared" si="941"/>
        <v>114.58593903616101</v>
      </c>
      <c r="CQ99" s="50">
        <f t="shared" si="941"/>
        <v>122.99319187166705</v>
      </c>
      <c r="CR99" s="50">
        <f t="shared" si="941"/>
        <v>132.24860951959667</v>
      </c>
      <c r="CS99" s="50">
        <f t="shared" si="941"/>
        <v>142.6203466985738</v>
      </c>
      <c r="CT99" s="50">
        <f t="shared" si="941"/>
        <v>153.24434893640358</v>
      </c>
      <c r="CU99" s="50">
        <f t="shared" si="941"/>
        <v>164.39507109376021</v>
      </c>
      <c r="CV99" s="50">
        <f t="shared" si="941"/>
        <v>176.84684419958595</v>
      </c>
      <c r="CW99" s="50">
        <f t="shared" si="941"/>
        <v>190.7004454974545</v>
      </c>
      <c r="CX99" s="50">
        <f t="shared" ref="CX99:DB99" si="943">+CX98/CX65</f>
        <v>204.9021475049118</v>
      </c>
      <c r="CY99" s="50">
        <f t="shared" si="943"/>
        <v>219.79924961326574</v>
      </c>
      <c r="CZ99" s="50">
        <f t="shared" si="943"/>
        <v>236.46502139606721</v>
      </c>
      <c r="DA99" s="50">
        <f t="shared" si="943"/>
        <v>254.98333473955088</v>
      </c>
      <c r="DB99" s="50">
        <f t="shared" si="943"/>
        <v>273.97054556298667</v>
      </c>
      <c r="DE99" s="164"/>
      <c r="DF99" s="163">
        <v>85.512651747842611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>
        <f t="shared" ca="1" si="944"/>
        <v>0</v>
      </c>
      <c r="K102" s="163">
        <f t="shared" ca="1" si="944"/>
        <v>0</v>
      </c>
      <c r="L102" s="163">
        <f t="shared" ca="1" si="944"/>
        <v>0</v>
      </c>
      <c r="M102" s="163">
        <f t="shared" ca="1" si="944"/>
        <v>0</v>
      </c>
      <c r="N102" s="163">
        <f t="shared" ca="1" si="944"/>
        <v>0</v>
      </c>
      <c r="O102" s="163">
        <f t="shared" ca="1" si="944"/>
        <v>0</v>
      </c>
      <c r="P102" s="163">
        <f t="shared" ca="1" si="944"/>
        <v>0</v>
      </c>
      <c r="Q102" s="163">
        <f t="shared" ca="1" si="944"/>
        <v>0</v>
      </c>
      <c r="R102" s="163">
        <f t="shared" ca="1" si="944"/>
        <v>0</v>
      </c>
      <c r="S102" s="163">
        <f t="shared" ca="1" si="944"/>
        <v>0</v>
      </c>
      <c r="T102" s="163">
        <f t="shared" ca="1" si="944"/>
        <v>0</v>
      </c>
      <c r="U102" s="163">
        <f t="shared" ca="1" si="944"/>
        <v>0</v>
      </c>
      <c r="V102" s="163">
        <f t="shared" ca="1" si="944"/>
        <v>0</v>
      </c>
      <c r="W102" s="163">
        <f t="shared" ca="1" si="944"/>
        <v>0</v>
      </c>
      <c r="X102" s="163">
        <f t="shared" ca="1" si="944"/>
        <v>7.1141277632388222</v>
      </c>
      <c r="Y102" s="163">
        <f t="shared" ca="1" si="944"/>
        <v>16.589371165767488</v>
      </c>
      <c r="Z102" s="163">
        <f ca="1">+Z77/Z$99</f>
        <v>13.412701637513598</v>
      </c>
      <c r="AA102" s="163">
        <f ca="1">+AA77/AA$99</f>
        <v>13.412701637513598</v>
      </c>
      <c r="AB102" s="50">
        <f t="shared" ref="AA102:AE102" ca="1" si="945">+AB77/AB$99</f>
        <v>3.2294538327535958</v>
      </c>
      <c r="AC102" s="50">
        <f t="shared" ca="1" si="945"/>
        <v>2.4147709365359424</v>
      </c>
      <c r="AD102" s="50">
        <f t="shared" ca="1" si="945"/>
        <v>1.8059840001976035</v>
      </c>
      <c r="AE102" s="50">
        <f t="shared" ca="1" si="945"/>
        <v>1.3506926419392205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 t="e">
        <f t="shared" si="946"/>
        <v>#DIV/0!</v>
      </c>
      <c r="BA102" s="163" t="e">
        <f t="shared" si="946"/>
        <v>#DIV/0!</v>
      </c>
      <c r="BB102" s="163" t="e">
        <f t="shared" si="946"/>
        <v>#DIV/0!</v>
      </c>
      <c r="BC102" s="163" t="e">
        <f t="shared" si="946"/>
        <v>#DIV/0!</v>
      </c>
      <c r="BD102" s="163" t="e">
        <f t="shared" si="946"/>
        <v>#DIV/0!</v>
      </c>
      <c r="BE102" s="163" t="e">
        <f t="shared" si="946"/>
        <v>#DIV/0!</v>
      </c>
      <c r="BF102" s="163" t="e">
        <f t="shared" si="946"/>
        <v>#DIV/0!</v>
      </c>
      <c r="BG102" s="163" t="e">
        <f t="shared" si="946"/>
        <v>#DIV/0!</v>
      </c>
      <c r="BH102" s="163" t="e">
        <f t="shared" si="946"/>
        <v>#DIV/0!</v>
      </c>
      <c r="BI102" s="163" t="e">
        <f t="shared" si="946"/>
        <v>#DIV/0!</v>
      </c>
      <c r="BJ102" s="163" t="e">
        <f t="shared" si="946"/>
        <v>#DIV/0!</v>
      </c>
      <c r="BK102" s="163" t="e">
        <f t="shared" si="946"/>
        <v>#DIV/0!</v>
      </c>
      <c r="BL102" s="163" t="e">
        <f t="shared" si="946"/>
        <v>#DIV/0!</v>
      </c>
      <c r="BM102" s="163" t="e">
        <f t="shared" si="946"/>
        <v>#DIV/0!</v>
      </c>
      <c r="BN102" s="163" t="e">
        <f t="shared" si="946"/>
        <v>#DIV/0!</v>
      </c>
      <c r="BO102" s="163" t="e">
        <f t="shared" si="946"/>
        <v>#DIV/0!</v>
      </c>
      <c r="BP102" s="163" t="e">
        <f t="shared" si="946"/>
        <v>#DIV/0!</v>
      </c>
      <c r="BQ102" s="163" t="e">
        <f t="shared" si="946"/>
        <v>#DIV/0!</v>
      </c>
      <c r="BR102" s="163">
        <f t="shared" ref="BR102:DB102" si="947">+BR77/BR99</f>
        <v>0</v>
      </c>
      <c r="BS102" s="163">
        <f t="shared" si="947"/>
        <v>0</v>
      </c>
      <c r="BT102" s="163">
        <f t="shared" si="947"/>
        <v>0</v>
      </c>
      <c r="BU102" s="163">
        <f t="shared" si="947"/>
        <v>0</v>
      </c>
      <c r="BV102" s="163">
        <f t="shared" si="947"/>
        <v>0</v>
      </c>
      <c r="BW102" s="163">
        <f t="shared" si="947"/>
        <v>10.729587833507869</v>
      </c>
      <c r="BX102" s="163">
        <f t="shared" si="947"/>
        <v>13.186732043993148</v>
      </c>
      <c r="BY102" s="163">
        <f t="shared" si="947"/>
        <v>11.869744179626393</v>
      </c>
      <c r="BZ102" s="163">
        <f t="shared" si="947"/>
        <v>7.0834035488305904</v>
      </c>
      <c r="CA102" s="163">
        <f t="shared" si="947"/>
        <v>12.758010575805944</v>
      </c>
      <c r="CB102" s="163">
        <f t="shared" si="947"/>
        <v>12.162395814098605</v>
      </c>
      <c r="CC102" s="163">
        <f t="shared" si="947"/>
        <v>10.629976615901187</v>
      </c>
      <c r="CD102" s="163">
        <f t="shared" si="947"/>
        <v>16.51779204489721</v>
      </c>
      <c r="CE102" s="163">
        <f t="shared" si="947"/>
        <v>18.15206292183758</v>
      </c>
      <c r="CF102" s="163">
        <f t="shared" si="947"/>
        <v>16.662197372819971</v>
      </c>
      <c r="CG102" s="163">
        <f t="shared" si="947"/>
        <v>16.175381194409148</v>
      </c>
      <c r="CH102" s="163">
        <f t="shared" si="947"/>
        <v>13.354829076696479</v>
      </c>
      <c r="CI102" s="163">
        <f t="shared" si="947"/>
        <v>10.921077350664007</v>
      </c>
      <c r="CJ102" s="163">
        <f t="shared" si="947"/>
        <v>9.2030866428673992</v>
      </c>
      <c r="CK102" s="163">
        <f t="shared" ref="CK102:CL102" si="948">+CK77/CK99</f>
        <v>7.0916166586012599</v>
      </c>
      <c r="CL102" s="163">
        <f t="shared" si="948"/>
        <v>4.3274298298127087</v>
      </c>
      <c r="CM102" s="50">
        <f t="shared" si="947"/>
        <v>4.0138568410249214</v>
      </c>
      <c r="CN102" s="50">
        <f t="shared" si="947"/>
        <v>3.7428821655567486</v>
      </c>
      <c r="CO102" s="50">
        <f t="shared" si="947"/>
        <v>3.4695363546315594</v>
      </c>
      <c r="CP102" s="50">
        <f t="shared" si="947"/>
        <v>3.2294538327535958</v>
      </c>
      <c r="CQ102" s="50">
        <f t="shared" si="947"/>
        <v>3.0087031189995925</v>
      </c>
      <c r="CR102" s="50">
        <f t="shared" si="947"/>
        <v>2.7981390605484271</v>
      </c>
      <c r="CS102" s="50">
        <f t="shared" si="947"/>
        <v>2.5946508234347219</v>
      </c>
      <c r="CT102" s="50">
        <f t="shared" si="947"/>
        <v>2.4147709365359424</v>
      </c>
      <c r="CU102" s="50">
        <f t="shared" si="947"/>
        <v>2.250979895795949</v>
      </c>
      <c r="CV102" s="50">
        <f t="shared" si="947"/>
        <v>2.0924885692750541</v>
      </c>
      <c r="CW102" s="50">
        <f t="shared" si="947"/>
        <v>1.9404778999582333</v>
      </c>
      <c r="CX102" s="50">
        <f t="shared" si="947"/>
        <v>1.8059840001976035</v>
      </c>
      <c r="CY102" s="50">
        <f t="shared" si="947"/>
        <v>1.683581725829814</v>
      </c>
      <c r="CZ102" s="50">
        <f t="shared" si="947"/>
        <v>1.5649249001618069</v>
      </c>
      <c r="DA102" s="50">
        <f t="shared" si="947"/>
        <v>1.4512713169195248</v>
      </c>
      <c r="DB102" s="50">
        <f t="shared" si="947"/>
        <v>1.3506926419392205</v>
      </c>
      <c r="DE102" s="106"/>
      <c r="DF102" s="163">
        <v>4.3274298298127087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>
        <f t="shared" ca="1" si="944"/>
        <v>0</v>
      </c>
      <c r="K103" s="163">
        <f t="shared" ca="1" si="944"/>
        <v>0</v>
      </c>
      <c r="L103" s="163">
        <f t="shared" ca="1" si="944"/>
        <v>0</v>
      </c>
      <c r="M103" s="163">
        <f t="shared" ca="1" si="944"/>
        <v>0</v>
      </c>
      <c r="N103" s="163">
        <f t="shared" ca="1" si="944"/>
        <v>0</v>
      </c>
      <c r="O103" s="163">
        <f t="shared" ca="1" si="944"/>
        <v>0</v>
      </c>
      <c r="P103" s="163">
        <f t="shared" ca="1" si="944"/>
        <v>0</v>
      </c>
      <c r="Q103" s="163">
        <f t="shared" ca="1" si="944"/>
        <v>0</v>
      </c>
      <c r="R103" s="163">
        <f t="shared" ca="1" si="944"/>
        <v>0</v>
      </c>
      <c r="S103" s="163">
        <f t="shared" ca="1" si="944"/>
        <v>0</v>
      </c>
      <c r="T103" s="163">
        <f t="shared" ca="1" si="944"/>
        <v>0</v>
      </c>
      <c r="U103" s="163">
        <f t="shared" ca="1" si="944"/>
        <v>0</v>
      </c>
      <c r="V103" s="163">
        <f t="shared" ca="1" si="944"/>
        <v>0</v>
      </c>
      <c r="W103" s="163">
        <f t="shared" ca="1" si="944"/>
        <v>0</v>
      </c>
      <c r="X103" s="163">
        <f t="shared" ca="1" si="944"/>
        <v>13.182739299798596</v>
      </c>
      <c r="Y103" s="163">
        <f t="shared" ca="1" si="944"/>
        <v>19.129065472409604</v>
      </c>
      <c r="Z103" s="163">
        <f t="shared" ref="Z103:AA104" ca="1" si="949">+Z78/Z$99</f>
        <v>16.168379179221578</v>
      </c>
      <c r="AA103" s="163">
        <f t="shared" ca="1" si="949"/>
        <v>16.168379179221578</v>
      </c>
      <c r="AB103" s="94">
        <f t="shared" ca="1" si="944"/>
        <v>7.0781952191807047</v>
      </c>
      <c r="AC103" s="94">
        <f t="shared" ca="1" si="944"/>
        <v>7.7234605751142711</v>
      </c>
      <c r="AD103" s="94">
        <f t="shared" ca="1" si="944"/>
        <v>8.1661857689307116</v>
      </c>
      <c r="AE103" s="94">
        <f t="shared" ca="1" si="944"/>
        <v>8.4691425294625962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 t="e">
        <f t="shared" si="950"/>
        <v>#DIV/0!</v>
      </c>
      <c r="BA103" s="163" t="e">
        <f t="shared" si="950"/>
        <v>#DIV/0!</v>
      </c>
      <c r="BB103" s="163" t="e">
        <f t="shared" si="950"/>
        <v>#DIV/0!</v>
      </c>
      <c r="BC103" s="163" t="e">
        <f t="shared" si="950"/>
        <v>#DIV/0!</v>
      </c>
      <c r="BD103" s="163" t="e">
        <f t="shared" si="950"/>
        <v>#DIV/0!</v>
      </c>
      <c r="BE103" s="163" t="e">
        <f t="shared" si="950"/>
        <v>#DIV/0!</v>
      </c>
      <c r="BF103" s="163" t="e">
        <f t="shared" si="950"/>
        <v>#DIV/0!</v>
      </c>
      <c r="BG103" s="163" t="e">
        <f t="shared" si="950"/>
        <v>#DIV/0!</v>
      </c>
      <c r="BH103" s="163" t="e">
        <f t="shared" si="950"/>
        <v>#DIV/0!</v>
      </c>
      <c r="BI103" s="163" t="e">
        <f t="shared" si="950"/>
        <v>#DIV/0!</v>
      </c>
      <c r="BJ103" s="163" t="e">
        <f t="shared" si="950"/>
        <v>#DIV/0!</v>
      </c>
      <c r="BK103" s="163" t="e">
        <f t="shared" si="950"/>
        <v>#DIV/0!</v>
      </c>
      <c r="BL103" s="163" t="e">
        <f t="shared" si="950"/>
        <v>#DIV/0!</v>
      </c>
      <c r="BM103" s="163" t="e">
        <f t="shared" si="950"/>
        <v>#DIV/0!</v>
      </c>
      <c r="BN103" s="163" t="e">
        <f t="shared" si="950"/>
        <v>#DIV/0!</v>
      </c>
      <c r="BO103" s="163" t="e">
        <f t="shared" si="950"/>
        <v>#DIV/0!</v>
      </c>
      <c r="BP103" s="163" t="e">
        <f t="shared" si="950"/>
        <v>#DIV/0!</v>
      </c>
      <c r="BQ103" s="163" t="e">
        <f t="shared" si="950"/>
        <v>#DIV/0!</v>
      </c>
      <c r="BR103" s="163">
        <f t="shared" ref="BR103:CJ103" si="951">+BR78/BR99</f>
        <v>0</v>
      </c>
      <c r="BS103" s="163">
        <f t="shared" si="951"/>
        <v>0</v>
      </c>
      <c r="BT103" s="163">
        <f t="shared" si="951"/>
        <v>0</v>
      </c>
      <c r="BU103" s="163">
        <f t="shared" si="951"/>
        <v>0</v>
      </c>
      <c r="BV103" s="163">
        <f t="shared" si="951"/>
        <v>0</v>
      </c>
      <c r="BW103" s="163">
        <f t="shared" si="951"/>
        <v>11.874474436924617</v>
      </c>
      <c r="BX103" s="163">
        <f t="shared" si="951"/>
        <v>16.212663174358845</v>
      </c>
      <c r="BY103" s="163">
        <f t="shared" si="951"/>
        <v>13.423936459004326</v>
      </c>
      <c r="BZ103" s="163">
        <f t="shared" si="951"/>
        <v>10.396873266387415</v>
      </c>
      <c r="CA103" s="163">
        <f t="shared" si="951"/>
        <v>13.157160385245991</v>
      </c>
      <c r="CB103" s="163">
        <f t="shared" si="951"/>
        <v>13.923101890468702</v>
      </c>
      <c r="CC103" s="163">
        <f t="shared" si="951"/>
        <v>11.522124955030581</v>
      </c>
      <c r="CD103" s="163">
        <f t="shared" si="951"/>
        <v>19.046528185377859</v>
      </c>
      <c r="CE103" s="163">
        <f t="shared" si="951"/>
        <v>19.376951338994122</v>
      </c>
      <c r="CF103" s="163">
        <f t="shared" si="951"/>
        <v>17.551682384242493</v>
      </c>
      <c r="CG103" s="163">
        <f t="shared" si="951"/>
        <v>17.707284942820838</v>
      </c>
      <c r="CH103" s="163">
        <f t="shared" si="951"/>
        <v>15.570934855646582</v>
      </c>
      <c r="CI103" s="163">
        <f t="shared" si="951"/>
        <v>12.915521853155985</v>
      </c>
      <c r="CJ103" s="163">
        <f t="shared" si="951"/>
        <v>11.3555518970921</v>
      </c>
      <c r="CK103" s="163">
        <f t="shared" ref="CK103:CL103" si="952">+CK78/CK99</f>
        <v>8.5924151796550241</v>
      </c>
      <c r="CL103" s="163">
        <f t="shared" si="952"/>
        <v>7.2077053792867538</v>
      </c>
      <c r="CM103" s="94">
        <f t="shared" ref="CM103:DB103" si="953">+CL103</f>
        <v>7.2077053792867538</v>
      </c>
      <c r="CN103" s="94">
        <f t="shared" si="953"/>
        <v>7.2077053792867538</v>
      </c>
      <c r="CO103" s="94">
        <f t="shared" si="953"/>
        <v>7.2077053792867538</v>
      </c>
      <c r="CP103" s="94">
        <f t="shared" si="953"/>
        <v>7.2077053792867538</v>
      </c>
      <c r="CQ103" s="94">
        <f t="shared" si="953"/>
        <v>7.2077053792867538</v>
      </c>
      <c r="CR103" s="94">
        <f t="shared" si="953"/>
        <v>7.2077053792867538</v>
      </c>
      <c r="CS103" s="94">
        <f t="shared" si="953"/>
        <v>7.2077053792867538</v>
      </c>
      <c r="CT103" s="94">
        <f t="shared" si="953"/>
        <v>7.2077053792867538</v>
      </c>
      <c r="CU103" s="94">
        <f t="shared" si="953"/>
        <v>7.2077053792867538</v>
      </c>
      <c r="CV103" s="94">
        <f t="shared" si="953"/>
        <v>7.2077053792867538</v>
      </c>
      <c r="CW103" s="94">
        <f t="shared" si="953"/>
        <v>7.2077053792867538</v>
      </c>
      <c r="CX103" s="94">
        <f t="shared" si="953"/>
        <v>7.2077053792867538</v>
      </c>
      <c r="CY103" s="94">
        <f t="shared" si="953"/>
        <v>7.2077053792867538</v>
      </c>
      <c r="CZ103" s="94">
        <f t="shared" si="953"/>
        <v>7.2077053792867538</v>
      </c>
      <c r="DA103" s="94">
        <f t="shared" si="953"/>
        <v>7.2077053792867538</v>
      </c>
      <c r="DB103" s="94">
        <f t="shared" si="953"/>
        <v>7.2077053792867538</v>
      </c>
      <c r="DE103" s="164"/>
      <c r="DF103" s="163">
        <v>10.617142392884633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>
        <f t="shared" ca="1" si="944"/>
        <v>0</v>
      </c>
      <c r="K104" s="163">
        <f t="shared" ca="1" si="944"/>
        <v>0</v>
      </c>
      <c r="L104" s="163">
        <f t="shared" ca="1" si="944"/>
        <v>0</v>
      </c>
      <c r="M104" s="163">
        <f t="shared" ca="1" si="944"/>
        <v>0</v>
      </c>
      <c r="N104" s="163">
        <f t="shared" ca="1" si="944"/>
        <v>0</v>
      </c>
      <c r="O104" s="163">
        <f t="shared" ca="1" si="944"/>
        <v>0</v>
      </c>
      <c r="P104" s="163">
        <f t="shared" ca="1" si="944"/>
        <v>0</v>
      </c>
      <c r="Q104" s="163">
        <f t="shared" ca="1" si="944"/>
        <v>0</v>
      </c>
      <c r="R104" s="163">
        <f t="shared" ca="1" si="944"/>
        <v>0</v>
      </c>
      <c r="S104" s="163">
        <f t="shared" ca="1" si="944"/>
        <v>0</v>
      </c>
      <c r="T104" s="163">
        <f t="shared" ca="1" si="944"/>
        <v>0</v>
      </c>
      <c r="U104" s="163">
        <f t="shared" ca="1" si="944"/>
        <v>0</v>
      </c>
      <c r="V104" s="163">
        <f t="shared" ca="1" si="944"/>
        <v>0</v>
      </c>
      <c r="W104" s="163">
        <f t="shared" ca="1" si="944"/>
        <v>0</v>
      </c>
      <c r="X104" s="163">
        <f t="shared" ca="1" si="944"/>
        <v>6.8238898201859639</v>
      </c>
      <c r="Y104" s="163">
        <f t="shared" ca="1" si="944"/>
        <v>4.7528564881445323</v>
      </c>
      <c r="Z104" s="163">
        <f t="shared" ca="1" si="949"/>
        <v>10.292917662235144</v>
      </c>
      <c r="AA104" s="163">
        <f t="shared" ca="1" si="949"/>
        <v>10.292917662235144</v>
      </c>
      <c r="AB104" s="94">
        <f t="shared" ca="1" si="944"/>
        <v>3.3074036327298262</v>
      </c>
      <c r="AC104" s="94">
        <f t="shared" ca="1" si="944"/>
        <v>3.4560883060118006</v>
      </c>
      <c r="AD104" s="94">
        <f t="shared" ca="1" si="944"/>
        <v>3.7362404941202758</v>
      </c>
      <c r="AE104" s="94">
        <f t="shared" ca="1" si="944"/>
        <v>3.9283522970698925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 t="e">
        <f t="shared" si="954"/>
        <v>#DIV/0!</v>
      </c>
      <c r="BA104" s="163" t="e">
        <f t="shared" si="954"/>
        <v>#DIV/0!</v>
      </c>
      <c r="BB104" s="163" t="e">
        <f t="shared" si="954"/>
        <v>#DIV/0!</v>
      </c>
      <c r="BC104" s="163" t="e">
        <f t="shared" si="954"/>
        <v>#DIV/0!</v>
      </c>
      <c r="BD104" s="163" t="e">
        <f t="shared" si="954"/>
        <v>#DIV/0!</v>
      </c>
      <c r="BE104" s="163" t="e">
        <f t="shared" si="954"/>
        <v>#DIV/0!</v>
      </c>
      <c r="BF104" s="163" t="e">
        <f t="shared" si="954"/>
        <v>#DIV/0!</v>
      </c>
      <c r="BG104" s="163" t="e">
        <f t="shared" si="954"/>
        <v>#DIV/0!</v>
      </c>
      <c r="BH104" s="163" t="e">
        <f t="shared" si="954"/>
        <v>#DIV/0!</v>
      </c>
      <c r="BI104" s="163" t="e">
        <f t="shared" si="954"/>
        <v>#DIV/0!</v>
      </c>
      <c r="BJ104" s="163" t="e">
        <f t="shared" si="954"/>
        <v>#DIV/0!</v>
      </c>
      <c r="BK104" s="163" t="e">
        <f t="shared" si="954"/>
        <v>#DIV/0!</v>
      </c>
      <c r="BL104" s="163" t="e">
        <f t="shared" si="954"/>
        <v>#DIV/0!</v>
      </c>
      <c r="BM104" s="163" t="e">
        <f t="shared" si="954"/>
        <v>#DIV/0!</v>
      </c>
      <c r="BN104" s="163" t="e">
        <f t="shared" si="954"/>
        <v>#DIV/0!</v>
      </c>
      <c r="BO104" s="163" t="e">
        <f t="shared" si="954"/>
        <v>#DIV/0!</v>
      </c>
      <c r="BP104" s="163" t="e">
        <f t="shared" si="954"/>
        <v>#DIV/0!</v>
      </c>
      <c r="BQ104" s="163" t="e">
        <f t="shared" si="954"/>
        <v>#DIV/0!</v>
      </c>
      <c r="BR104" s="163">
        <f t="shared" ref="BR104:CJ104" si="955">+BR79/BR99</f>
        <v>0</v>
      </c>
      <c r="BS104" s="163">
        <f t="shared" si="955"/>
        <v>0</v>
      </c>
      <c r="BT104" s="163">
        <f t="shared" si="955"/>
        <v>0</v>
      </c>
      <c r="BU104" s="163">
        <f t="shared" si="955"/>
        <v>0</v>
      </c>
      <c r="BV104" s="163">
        <f t="shared" si="955"/>
        <v>0</v>
      </c>
      <c r="BW104" s="163">
        <f t="shared" si="955"/>
        <v>0</v>
      </c>
      <c r="BX104" s="163">
        <f t="shared" si="955"/>
        <v>9.899175500881352</v>
      </c>
      <c r="BY104" s="163">
        <f t="shared" si="955"/>
        <v>11.131173967056226</v>
      </c>
      <c r="BZ104" s="163">
        <f t="shared" si="955"/>
        <v>6.794419073959431</v>
      </c>
      <c r="CA104" s="163">
        <f t="shared" si="955"/>
        <v>6.3908319489234184</v>
      </c>
      <c r="CB104" s="163">
        <f t="shared" si="955"/>
        <v>10.575939822096007</v>
      </c>
      <c r="CC104" s="163">
        <f t="shared" si="955"/>
        <v>9.7016758604149178</v>
      </c>
      <c r="CD104" s="163">
        <f t="shared" si="955"/>
        <v>9.118775779309015</v>
      </c>
      <c r="CE104" s="163">
        <f t="shared" si="955"/>
        <v>14.281542564772481</v>
      </c>
      <c r="CF104" s="163">
        <f t="shared" si="955"/>
        <v>13.597362024293755</v>
      </c>
      <c r="CG104" s="163">
        <f t="shared" si="955"/>
        <v>14.377059402795425</v>
      </c>
      <c r="CH104" s="163">
        <f t="shared" si="955"/>
        <v>10.248506214080114</v>
      </c>
      <c r="CI104" s="163">
        <f t="shared" si="955"/>
        <v>9.7446111569686646</v>
      </c>
      <c r="CJ104" s="163">
        <f t="shared" si="955"/>
        <v>8.4399827694623379</v>
      </c>
      <c r="CK104" s="163">
        <f t="shared" ref="CK104:CL104" si="956">+CK79/CK99</f>
        <v>7.0422565074092329</v>
      </c>
      <c r="CL104" s="163">
        <f t="shared" si="956"/>
        <v>4.2771448730009416</v>
      </c>
      <c r="CM104" s="94">
        <f t="shared" ref="CM104:DB104" si="957">+CL104</f>
        <v>4.2771448730009416</v>
      </c>
      <c r="CN104" s="94">
        <f t="shared" si="957"/>
        <v>4.2771448730009416</v>
      </c>
      <c r="CO104" s="94">
        <f t="shared" si="957"/>
        <v>4.2771448730009416</v>
      </c>
      <c r="CP104" s="94">
        <f t="shared" si="957"/>
        <v>4.2771448730009416</v>
      </c>
      <c r="CQ104" s="94">
        <f t="shared" si="957"/>
        <v>4.2771448730009416</v>
      </c>
      <c r="CR104" s="94">
        <f t="shared" si="957"/>
        <v>4.2771448730009416</v>
      </c>
      <c r="CS104" s="94">
        <f t="shared" si="957"/>
        <v>4.2771448730009416</v>
      </c>
      <c r="CT104" s="94">
        <f t="shared" si="957"/>
        <v>4.2771448730009416</v>
      </c>
      <c r="CU104" s="94">
        <f t="shared" si="957"/>
        <v>4.2771448730009416</v>
      </c>
      <c r="CV104" s="94">
        <f t="shared" si="957"/>
        <v>4.2771448730009416</v>
      </c>
      <c r="CW104" s="94">
        <f t="shared" si="957"/>
        <v>4.2771448730009416</v>
      </c>
      <c r="CX104" s="94">
        <f t="shared" si="957"/>
        <v>4.2771448730009416</v>
      </c>
      <c r="CY104" s="94">
        <f t="shared" si="957"/>
        <v>4.2771448730009416</v>
      </c>
      <c r="CZ104" s="94">
        <f t="shared" si="957"/>
        <v>4.2771448730009416</v>
      </c>
      <c r="DA104" s="94">
        <f t="shared" si="957"/>
        <v>4.2771448730009416</v>
      </c>
      <c r="DB104" s="94">
        <f t="shared" si="957"/>
        <v>4.2771448730009416</v>
      </c>
      <c r="DE104" s="164"/>
      <c r="DF104" s="163">
        <v>4.2771448730009416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0</v>
      </c>
      <c r="Q107" s="162">
        <f t="shared" ca="1" si="958"/>
        <v>0</v>
      </c>
      <c r="R107" s="162">
        <f t="shared" ca="1" si="958"/>
        <v>0</v>
      </c>
      <c r="S107" s="162">
        <f t="shared" ca="1" si="958"/>
        <v>0</v>
      </c>
      <c r="T107" s="162">
        <f t="shared" ca="1" si="958"/>
        <v>0</v>
      </c>
      <c r="U107" s="162">
        <f t="shared" ca="1" si="958"/>
        <v>0</v>
      </c>
      <c r="V107" s="162">
        <f t="shared" ca="1" si="958"/>
        <v>0</v>
      </c>
      <c r="W107" s="162">
        <f t="shared" ca="1" si="958"/>
        <v>0</v>
      </c>
      <c r="X107" s="162">
        <f t="shared" ca="1" si="958"/>
        <v>3279.2986799999999</v>
      </c>
      <c r="Y107" s="162">
        <f t="shared" ca="1" si="958"/>
        <v>7137.4177799999998</v>
      </c>
      <c r="Z107" s="162">
        <f t="shared" ca="1" si="958"/>
        <v>8397.6136200000001</v>
      </c>
      <c r="AA107" s="162">
        <f t="shared" ref="AA107" ca="1" si="959">+AA78*AA65</f>
        <v>8397.6136200000001</v>
      </c>
      <c r="AB107" s="21">
        <f t="shared" ca="1" si="958"/>
        <v>6654.2741673847422</v>
      </c>
      <c r="AC107" s="21">
        <f t="shared" ca="1" si="958"/>
        <v>9710.53657385324</v>
      </c>
      <c r="AD107" s="21">
        <f t="shared" ca="1" si="958"/>
        <v>13728.168191623512</v>
      </c>
      <c r="AE107" s="21">
        <f t="shared" ca="1" si="958"/>
        <v>19036.633214466685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0</v>
      </c>
      <c r="BE107" s="162">
        <f t="shared" si="960"/>
        <v>0</v>
      </c>
      <c r="BF107" s="162">
        <f t="shared" si="960"/>
        <v>0</v>
      </c>
      <c r="BG107" s="162">
        <f t="shared" si="960"/>
        <v>0</v>
      </c>
      <c r="BH107" s="162">
        <f t="shared" si="960"/>
        <v>0</v>
      </c>
      <c r="BI107" s="162">
        <f t="shared" si="960"/>
        <v>0</v>
      </c>
      <c r="BJ107" s="162">
        <f t="shared" si="960"/>
        <v>0</v>
      </c>
      <c r="BK107" s="162">
        <f t="shared" si="960"/>
        <v>0</v>
      </c>
      <c r="BL107" s="162">
        <f t="shared" si="960"/>
        <v>0</v>
      </c>
      <c r="BM107" s="162">
        <f t="shared" si="960"/>
        <v>0</v>
      </c>
      <c r="BN107" s="162">
        <f t="shared" si="960"/>
        <v>0</v>
      </c>
      <c r="BO107" s="162">
        <f t="shared" si="960"/>
        <v>0</v>
      </c>
      <c r="BP107" s="162">
        <f t="shared" si="960"/>
        <v>0</v>
      </c>
      <c r="BQ107" s="162">
        <f t="shared" si="960"/>
        <v>0</v>
      </c>
      <c r="BR107" s="162">
        <f t="shared" ref="BR107:CJ107" si="961">+BR78*BR65</f>
        <v>0</v>
      </c>
      <c r="BS107" s="162">
        <f t="shared" si="961"/>
        <v>0</v>
      </c>
      <c r="BT107" s="162">
        <f t="shared" si="961"/>
        <v>0</v>
      </c>
      <c r="BU107" s="162">
        <f t="shared" si="961"/>
        <v>0</v>
      </c>
      <c r="BV107" s="162">
        <f t="shared" si="961"/>
        <v>0</v>
      </c>
      <c r="BW107" s="162">
        <f t="shared" si="961"/>
        <v>2279.1510000000003</v>
      </c>
      <c r="BX107" s="162">
        <f t="shared" si="961"/>
        <v>3265.1493</v>
      </c>
      <c r="BY107" s="162">
        <f t="shared" si="961"/>
        <v>2917.5583499999998</v>
      </c>
      <c r="BZ107" s="162">
        <f t="shared" si="961"/>
        <v>2586.3054000000002</v>
      </c>
      <c r="CA107" s="162">
        <f t="shared" si="961"/>
        <v>3635.2050000000004</v>
      </c>
      <c r="CB107" s="162">
        <f t="shared" si="961"/>
        <v>4373.2741500000002</v>
      </c>
      <c r="CC107" s="162">
        <f t="shared" si="961"/>
        <v>4035.4860000000003</v>
      </c>
      <c r="CD107" s="162">
        <f t="shared" si="961"/>
        <v>7106.6215500000008</v>
      </c>
      <c r="CE107" s="162">
        <f t="shared" si="961"/>
        <v>7475.8603499999999</v>
      </c>
      <c r="CF107" s="162">
        <f t="shared" si="961"/>
        <v>7560.0010500000008</v>
      </c>
      <c r="CG107" s="162">
        <f t="shared" si="961"/>
        <v>8361.3799500000005</v>
      </c>
      <c r="CH107" s="162">
        <f t="shared" si="961"/>
        <v>8087.31</v>
      </c>
      <c r="CI107" s="162">
        <f t="shared" si="961"/>
        <v>7416.6351000000004</v>
      </c>
      <c r="CJ107" s="162">
        <f t="shared" si="961"/>
        <v>6880.3402500000002</v>
      </c>
      <c r="CK107" s="162">
        <f t="shared" ref="CK107:CL107" si="962">+CK78*CK65</f>
        <v>5628.5560800000003</v>
      </c>
      <c r="CL107" s="162">
        <f t="shared" si="962"/>
        <v>5056.7819399999998</v>
      </c>
      <c r="CM107" s="21">
        <f t="shared" ref="CM107:DB107" si="963">+CM78*CM65</f>
        <v>5239.724088979191</v>
      </c>
      <c r="CN107" s="21">
        <f t="shared" si="963"/>
        <v>5643.3304651815697</v>
      </c>
      <c r="CO107" s="21">
        <f t="shared" si="963"/>
        <v>6111.7591439672178</v>
      </c>
      <c r="CP107" s="21">
        <f t="shared" si="963"/>
        <v>6654.2741673847404</v>
      </c>
      <c r="CQ107" s="21">
        <f t="shared" si="963"/>
        <v>7322.4967969753679</v>
      </c>
      <c r="CR107" s="21">
        <f t="shared" si="963"/>
        <v>8055.2354819080738</v>
      </c>
      <c r="CS107" s="21">
        <f t="shared" si="963"/>
        <v>8878.761617836095</v>
      </c>
      <c r="CT107" s="21">
        <f t="shared" si="963"/>
        <v>9710.53657385324</v>
      </c>
      <c r="CU107" s="21">
        <f t="shared" si="963"/>
        <v>10584.521384354244</v>
      </c>
      <c r="CV107" s="21">
        <f t="shared" si="963"/>
        <v>11555.219781762738</v>
      </c>
      <c r="CW107" s="21">
        <f t="shared" si="963"/>
        <v>12629.58388443938</v>
      </c>
      <c r="CX107" s="21">
        <f t="shared" si="963"/>
        <v>13728.168191623512</v>
      </c>
      <c r="CY107" s="21">
        <f t="shared" si="963"/>
        <v>14880.043289466639</v>
      </c>
      <c r="CZ107" s="21">
        <f t="shared" si="963"/>
        <v>16162.685987979306</v>
      </c>
      <c r="DA107" s="21">
        <f t="shared" si="963"/>
        <v>17581.954299144818</v>
      </c>
      <c r="DB107" s="21">
        <f t="shared" si="963"/>
        <v>19036.633214466685</v>
      </c>
      <c r="DE107" s="22"/>
      <c r="DF107" s="162">
        <v>7448.7747599999993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0</v>
      </c>
      <c r="Q108" s="162">
        <f t="shared" ca="1" si="964"/>
        <v>0</v>
      </c>
      <c r="R108" s="162">
        <f t="shared" ca="1" si="964"/>
        <v>0</v>
      </c>
      <c r="S108" s="162">
        <f t="shared" ca="1" si="964"/>
        <v>0</v>
      </c>
      <c r="T108" s="162">
        <f t="shared" ca="1" si="964"/>
        <v>0</v>
      </c>
      <c r="U108" s="162">
        <f t="shared" ca="1" si="964"/>
        <v>0</v>
      </c>
      <c r="V108" s="162">
        <f t="shared" ca="1" si="964"/>
        <v>0</v>
      </c>
      <c r="W108" s="162">
        <f t="shared" ca="1" si="964"/>
        <v>0</v>
      </c>
      <c r="X108" s="162">
        <f t="shared" ca="1" si="964"/>
        <v>1697.49036</v>
      </c>
      <c r="Y108" s="162">
        <f t="shared" ca="1" si="964"/>
        <v>1773.3810599999999</v>
      </c>
      <c r="Z108" s="162">
        <f t="shared" ca="1" si="964"/>
        <v>5345.98704</v>
      </c>
      <c r="AA108" s="162">
        <f t="shared" ref="AA108" ca="1" si="965">+AA79*AA65</f>
        <v>5345.98704</v>
      </c>
      <c r="AB108" s="21">
        <f t="shared" ca="1" si="964"/>
        <v>3109.3195190137731</v>
      </c>
      <c r="AC108" s="21">
        <f t="shared" ca="1" si="964"/>
        <v>4345.2635734464848</v>
      </c>
      <c r="AD108" s="21">
        <f t="shared" ca="1" si="964"/>
        <v>6280.9908271721661</v>
      </c>
      <c r="AE108" s="21">
        <f t="shared" ca="1" si="964"/>
        <v>8830.008652749937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0</v>
      </c>
      <c r="BF108" s="162">
        <f t="shared" si="966"/>
        <v>0</v>
      </c>
      <c r="BG108" s="162">
        <f t="shared" si="966"/>
        <v>0</v>
      </c>
      <c r="BH108" s="162">
        <f t="shared" si="966"/>
        <v>0</v>
      </c>
      <c r="BI108" s="162">
        <f t="shared" si="966"/>
        <v>0</v>
      </c>
      <c r="BJ108" s="162">
        <f t="shared" si="966"/>
        <v>0</v>
      </c>
      <c r="BK108" s="162">
        <f t="shared" si="966"/>
        <v>0</v>
      </c>
      <c r="BL108" s="162">
        <f t="shared" si="966"/>
        <v>0</v>
      </c>
      <c r="BM108" s="162">
        <f t="shared" si="966"/>
        <v>0</v>
      </c>
      <c r="BN108" s="162">
        <f t="shared" si="966"/>
        <v>0</v>
      </c>
      <c r="BO108" s="162">
        <f t="shared" si="966"/>
        <v>0</v>
      </c>
      <c r="BP108" s="162">
        <f t="shared" si="966"/>
        <v>0</v>
      </c>
      <c r="BQ108" s="162">
        <f t="shared" si="966"/>
        <v>0</v>
      </c>
      <c r="BR108" s="162">
        <f t="shared" ref="BR108:CJ108" si="967">+BR79*BR65</f>
        <v>0</v>
      </c>
      <c r="BS108" s="162">
        <f t="shared" si="967"/>
        <v>0</v>
      </c>
      <c r="BT108" s="162">
        <f t="shared" si="967"/>
        <v>0</v>
      </c>
      <c r="BU108" s="162">
        <f t="shared" si="967"/>
        <v>0</v>
      </c>
      <c r="BV108" s="162">
        <f t="shared" si="967"/>
        <v>0</v>
      </c>
      <c r="BW108" s="162">
        <f t="shared" si="967"/>
        <v>0</v>
      </c>
      <c r="BX108" s="162">
        <f t="shared" si="967"/>
        <v>1993.6444500000002</v>
      </c>
      <c r="BY108" s="162">
        <f t="shared" si="967"/>
        <v>2419.24935</v>
      </c>
      <c r="BZ108" s="162">
        <f t="shared" si="967"/>
        <v>1690.1661000000001</v>
      </c>
      <c r="CA108" s="162">
        <f t="shared" si="967"/>
        <v>1765.7293500000001</v>
      </c>
      <c r="CB108" s="162">
        <f t="shared" si="967"/>
        <v>3321.9238500000001</v>
      </c>
      <c r="CC108" s="162">
        <f t="shared" si="967"/>
        <v>3397.8955500000002</v>
      </c>
      <c r="CD108" s="162">
        <f t="shared" si="967"/>
        <v>3402.3885</v>
      </c>
      <c r="CE108" s="162">
        <f t="shared" si="967"/>
        <v>5509.9904999999999</v>
      </c>
      <c r="CF108" s="162">
        <f t="shared" si="967"/>
        <v>5856.7645500000008</v>
      </c>
      <c r="CG108" s="162">
        <f t="shared" si="967"/>
        <v>6788.8474500000002</v>
      </c>
      <c r="CH108" s="162">
        <f t="shared" si="967"/>
        <v>5322.9204000000009</v>
      </c>
      <c r="CI108" s="162">
        <f t="shared" si="967"/>
        <v>5595.7650000000003</v>
      </c>
      <c r="CJ108" s="162">
        <f t="shared" si="967"/>
        <v>5113.7939999999999</v>
      </c>
      <c r="CK108" s="162">
        <f t="shared" ref="CK108:CL108" si="968">+CK79*CK65</f>
        <v>4613.1075899999996</v>
      </c>
      <c r="CL108" s="162">
        <f t="shared" si="968"/>
        <v>3000.7592999999997</v>
      </c>
      <c r="CM108" s="21">
        <f t="shared" ref="CM108:DB108" si="969">+CM79*CM65</f>
        <v>3109.3195190137731</v>
      </c>
      <c r="CN108" s="21">
        <f t="shared" si="969"/>
        <v>3348.8247223820217</v>
      </c>
      <c r="CO108" s="21">
        <f t="shared" si="969"/>
        <v>3626.7963120078039</v>
      </c>
      <c r="CP108" s="21">
        <f t="shared" si="969"/>
        <v>3948.7316893339316</v>
      </c>
      <c r="CQ108" s="21">
        <f t="shared" si="969"/>
        <v>4345.2635734464848</v>
      </c>
      <c r="CR108" s="21">
        <f t="shared" si="969"/>
        <v>4780.0801127733885</v>
      </c>
      <c r="CS108" s="21">
        <f t="shared" si="969"/>
        <v>5268.7710906523116</v>
      </c>
      <c r="CT108" s="21">
        <f t="shared" si="969"/>
        <v>5762.3570242343185</v>
      </c>
      <c r="CU108" s="21">
        <f t="shared" si="969"/>
        <v>6280.9908271721661</v>
      </c>
      <c r="CV108" s="21">
        <f t="shared" si="969"/>
        <v>6857.0157137660772</v>
      </c>
      <c r="CW108" s="21">
        <f t="shared" si="969"/>
        <v>7494.557160272092</v>
      </c>
      <c r="CX108" s="21">
        <f t="shared" si="969"/>
        <v>8146.471186965684</v>
      </c>
      <c r="CY108" s="21">
        <f t="shared" si="969"/>
        <v>8830.008652749937</v>
      </c>
      <c r="CZ108" s="21">
        <f t="shared" si="969"/>
        <v>9591.1452909928303</v>
      </c>
      <c r="DA108" s="21">
        <f t="shared" si="969"/>
        <v>10433.357321184743</v>
      </c>
      <c r="DB108" s="21">
        <f t="shared" si="969"/>
        <v>11296.58245832918</v>
      </c>
      <c r="DE108" s="22"/>
      <c r="DF108" s="162">
        <v>3000.7592999999997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0</v>
      </c>
      <c r="J109" s="162">
        <f t="shared" si="970"/>
        <v>-3.8075378</v>
      </c>
      <c r="K109" s="162">
        <f t="shared" si="970"/>
        <v>-1.5937222</v>
      </c>
      <c r="L109" s="162">
        <f t="shared" si="970"/>
        <v>-4.8017875999999999</v>
      </c>
      <c r="M109" s="162">
        <f t="shared" si="970"/>
        <v>0.90750059999999966</v>
      </c>
      <c r="N109" s="162">
        <f t="shared" si="970"/>
        <v>1.4967581999999999</v>
      </c>
      <c r="O109" s="162">
        <f t="shared" si="970"/>
        <v>-2.7140342</v>
      </c>
      <c r="P109" s="162">
        <f t="shared" si="970"/>
        <v>-1.5206949999999999</v>
      </c>
      <c r="Q109" s="162">
        <f t="shared" si="970"/>
        <v>-3.5500916999999999</v>
      </c>
      <c r="R109" s="162">
        <f t="shared" si="970"/>
        <v>-5.0982207000000006</v>
      </c>
      <c r="S109" s="162">
        <f t="shared" si="970"/>
        <v>1.728961</v>
      </c>
      <c r="T109" s="162">
        <f t="shared" si="970"/>
        <v>25.23</v>
      </c>
      <c r="U109" s="162">
        <f t="shared" si="970"/>
        <v>32.173000000000002</v>
      </c>
      <c r="V109" s="162">
        <f t="shared" si="970"/>
        <v>28.125000000000007</v>
      </c>
      <c r="W109" s="162">
        <f t="shared" si="970"/>
        <v>41.135999999999996</v>
      </c>
      <c r="X109" s="162">
        <f t="shared" ref="X109:Y109" si="971">+X168</f>
        <v>-103.67599999999999</v>
      </c>
      <c r="Y109" s="162">
        <f t="shared" si="971"/>
        <v>-241.988</v>
      </c>
      <c r="Z109" s="162">
        <f t="shared" ref="Z109:AA109" si="972">+Z168</f>
        <v>-186.81900000000002</v>
      </c>
      <c r="AA109" s="162">
        <f t="shared" si="972"/>
        <v>-85.570999999999998</v>
      </c>
      <c r="AB109" s="21">
        <f t="shared" ref="AA109:AD109" si="973">+AB168</f>
        <v>-239.39197225034695</v>
      </c>
      <c r="AC109" s="21">
        <f t="shared" si="973"/>
        <v>-444.11879270818901</v>
      </c>
      <c r="AD109" s="21">
        <f t="shared" si="973"/>
        <v>-717.28987197199922</v>
      </c>
      <c r="AE109" s="21">
        <f t="shared" ref="AE109" si="974">+AE168</f>
        <v>-1082.1969269196534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 t="e">
        <f t="shared" si="977"/>
        <v>#DIV/0!</v>
      </c>
      <c r="BB109" s="162">
        <f t="shared" si="977"/>
        <v>0</v>
      </c>
      <c r="BC109" s="162" t="e">
        <f t="shared" si="977"/>
        <v>#DIV/0!</v>
      </c>
      <c r="BD109" s="162">
        <f t="shared" si="977"/>
        <v>0</v>
      </c>
      <c r="BE109" s="162" t="e">
        <f t="shared" si="977"/>
        <v>#DIV/0!</v>
      </c>
      <c r="BF109" s="162">
        <f t="shared" si="977"/>
        <v>0</v>
      </c>
      <c r="BG109" s="162" t="e">
        <f t="shared" si="977"/>
        <v>#DIV/0!</v>
      </c>
      <c r="BH109" s="162">
        <f t="shared" si="977"/>
        <v>0</v>
      </c>
      <c r="BI109" s="162" t="e">
        <f t="shared" si="977"/>
        <v>#DIV/0!</v>
      </c>
      <c r="BJ109" s="162">
        <f t="shared" si="977"/>
        <v>0</v>
      </c>
      <c r="BK109" s="162" t="e">
        <f t="shared" si="977"/>
        <v>#DIV/0!</v>
      </c>
      <c r="BL109" s="162">
        <f t="shared" si="977"/>
        <v>0</v>
      </c>
      <c r="BM109" s="162" t="e">
        <f t="shared" si="977"/>
        <v>#DIV/0!</v>
      </c>
      <c r="BN109" s="162">
        <f t="shared" si="977"/>
        <v>0</v>
      </c>
      <c r="BO109" s="162" t="e">
        <f t="shared" si="977"/>
        <v>#DIV/0!</v>
      </c>
      <c r="BP109" s="162">
        <f t="shared" si="977"/>
        <v>0</v>
      </c>
      <c r="BQ109" s="162" t="e">
        <f t="shared" si="977"/>
        <v>#DIV/0!</v>
      </c>
      <c r="BR109" s="162">
        <f t="shared" si="977"/>
        <v>23.030999999999999</v>
      </c>
      <c r="BS109" s="162">
        <f t="shared" si="977"/>
        <v>14.724574769230781</v>
      </c>
      <c r="BT109" s="162">
        <f t="shared" si="977"/>
        <v>0</v>
      </c>
      <c r="BU109" s="162">
        <f t="shared" si="977"/>
        <v>-10.419999999999991</v>
      </c>
      <c r="BV109" s="162">
        <f t="shared" si="977"/>
        <v>41.135999999999996</v>
      </c>
      <c r="BW109" s="162">
        <f t="shared" si="977"/>
        <v>32.058251206133072</v>
      </c>
      <c r="BX109" s="162">
        <f t="shared" si="977"/>
        <v>-121.06900000000002</v>
      </c>
      <c r="BY109" s="162">
        <f t="shared" si="977"/>
        <v>-133.72393668895006</v>
      </c>
      <c r="BZ109" s="162">
        <f t="shared" si="977"/>
        <v>-103.67599999999999</v>
      </c>
      <c r="CA109" s="162">
        <f t="shared" si="977"/>
        <v>-117.33883051906625</v>
      </c>
      <c r="CB109" s="162">
        <f t="shared" si="977"/>
        <v>-44.882999999999996</v>
      </c>
      <c r="CC109" s="162">
        <f t="shared" si="977"/>
        <v>-63.97083262720669</v>
      </c>
      <c r="CD109" s="162">
        <f t="shared" si="977"/>
        <v>-241.988</v>
      </c>
      <c r="CE109" s="162">
        <f t="shared" ref="CE109:CF109" si="978">+CE168</f>
        <v>-265.81942085623723</v>
      </c>
      <c r="CF109" s="162">
        <f t="shared" si="978"/>
        <v>-166.54399999999998</v>
      </c>
      <c r="CG109" s="162">
        <f t="shared" ref="CG109:CH109" si="979">+CG168</f>
        <v>-188.95656128200773</v>
      </c>
      <c r="CH109" s="162">
        <f t="shared" si="979"/>
        <v>-186.81900000000002</v>
      </c>
      <c r="CI109" s="162">
        <f t="shared" ref="CI109:CJ109" si="980">+CI168</f>
        <v>-218.04444004847599</v>
      </c>
      <c r="CJ109" s="162">
        <f t="shared" si="980"/>
        <v>-85.550000000000011</v>
      </c>
      <c r="CK109" s="162">
        <f t="shared" ref="CK109:CL109" si="981">+CK168</f>
        <v>-117.17835809110645</v>
      </c>
      <c r="CL109" s="162">
        <f t="shared" si="981"/>
        <v>-85.570999999999998</v>
      </c>
      <c r="CM109" s="21">
        <f t="shared" ref="CM109:DB109" si="982">+CM168</f>
        <v>-121.31693220155898</v>
      </c>
      <c r="CN109" s="21">
        <f t="shared" si="982"/>
        <v>-154.01540096385418</v>
      </c>
      <c r="CO109" s="21">
        <f t="shared" si="982"/>
        <v>-191.76397005183802</v>
      </c>
      <c r="CP109" s="21">
        <f t="shared" si="982"/>
        <v>-239.39197225034695</v>
      </c>
      <c r="CQ109" s="21">
        <f t="shared" si="982"/>
        <v>-286.52971945429834</v>
      </c>
      <c r="CR109" s="21">
        <f t="shared" si="982"/>
        <v>-330.60157195804072</v>
      </c>
      <c r="CS109" s="21">
        <f t="shared" si="982"/>
        <v>-380.65758791167593</v>
      </c>
      <c r="CT109" s="21">
        <f t="shared" si="982"/>
        <v>-444.11879270818901</v>
      </c>
      <c r="CU109" s="21">
        <f t="shared" si="982"/>
        <v>-506.96009967775893</v>
      </c>
      <c r="CV109" s="21">
        <f t="shared" si="982"/>
        <v>-565.84677378127049</v>
      </c>
      <c r="CW109" s="21">
        <f t="shared" si="982"/>
        <v>-632.56847397352408</v>
      </c>
      <c r="CX109" s="21">
        <f t="shared" si="982"/>
        <v>-717.28987197199922</v>
      </c>
      <c r="CY109" s="21">
        <f t="shared" si="982"/>
        <v>-801.21594338643843</v>
      </c>
      <c r="CZ109" s="21">
        <f t="shared" si="982"/>
        <v>-879.87396725940221</v>
      </c>
      <c r="DA109" s="21">
        <f t="shared" si="982"/>
        <v>-968.98513744455045</v>
      </c>
      <c r="DB109" s="21">
        <f t="shared" si="982"/>
        <v>-1082.1969269196534</v>
      </c>
      <c r="DE109" s="22"/>
      <c r="DF109" s="162">
        <v>-85.570999999999998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-3.8075378</v>
      </c>
      <c r="K110" s="162">
        <f t="shared" ca="1" si="983"/>
        <v>-1.5937222</v>
      </c>
      <c r="L110" s="162">
        <f t="shared" ca="1" si="983"/>
        <v>-4.8017875999999999</v>
      </c>
      <c r="M110" s="162">
        <f t="shared" ca="1" si="983"/>
        <v>0.90750059999999966</v>
      </c>
      <c r="N110" s="162">
        <f t="shared" ca="1" si="983"/>
        <v>1.4967581999999999</v>
      </c>
      <c r="O110" s="162">
        <f t="shared" ca="1" si="983"/>
        <v>-2.7140342</v>
      </c>
      <c r="P110" s="162">
        <f t="shared" ca="1" si="983"/>
        <v>-1.5206949999999999</v>
      </c>
      <c r="Q110" s="162">
        <f t="shared" ca="1" si="983"/>
        <v>-3.5500916999999999</v>
      </c>
      <c r="R110" s="162">
        <f t="shared" ca="1" si="983"/>
        <v>-5.0982207000000006</v>
      </c>
      <c r="S110" s="162">
        <f t="shared" ca="1" si="983"/>
        <v>1.728961</v>
      </c>
      <c r="T110" s="162">
        <f t="shared" ca="1" si="983"/>
        <v>25.23</v>
      </c>
      <c r="U110" s="162">
        <f t="shared" ca="1" si="983"/>
        <v>32.173000000000002</v>
      </c>
      <c r="V110" s="162">
        <f t="shared" ca="1" si="983"/>
        <v>28.125000000000007</v>
      </c>
      <c r="W110" s="162">
        <f t="shared" ca="1" si="983"/>
        <v>41.135999999999996</v>
      </c>
      <c r="X110" s="162">
        <f t="shared" ref="X110:Y110" ca="1" si="984">+X107+X109</f>
        <v>3175.6226799999999</v>
      </c>
      <c r="Y110" s="162">
        <f t="shared" ca="1" si="984"/>
        <v>6895.4297799999995</v>
      </c>
      <c r="Z110" s="162">
        <f t="shared" ref="Z110:AA110" ca="1" si="985">+Z107+Z109</f>
        <v>8210.7946200000006</v>
      </c>
      <c r="AA110" s="162">
        <f t="shared" ca="1" si="985"/>
        <v>8210.7946200000006</v>
      </c>
      <c r="AB110" s="21">
        <f t="shared" ref="AA110:AD110" ca="1" si="986">+AB107+AB109</f>
        <v>6414.8821951343953</v>
      </c>
      <c r="AC110" s="21">
        <f t="shared" ca="1" si="986"/>
        <v>9266.4177811450518</v>
      </c>
      <c r="AD110" s="21">
        <f t="shared" ca="1" si="986"/>
        <v>13010.878319651512</v>
      </c>
      <c r="AE110" s="21">
        <f t="shared" ref="AE110" ca="1" si="987">+AE107+AE109</f>
        <v>17954.436287547032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 t="e">
        <f t="shared" si="990"/>
        <v>#DIV/0!</v>
      </c>
      <c r="BB110" s="162">
        <f t="shared" si="990"/>
        <v>0</v>
      </c>
      <c r="BC110" s="162" t="e">
        <f t="shared" si="990"/>
        <v>#DIV/0!</v>
      </c>
      <c r="BD110" s="162">
        <f t="shared" si="990"/>
        <v>0</v>
      </c>
      <c r="BE110" s="162" t="e">
        <f t="shared" si="990"/>
        <v>#DIV/0!</v>
      </c>
      <c r="BF110" s="162">
        <f t="shared" si="990"/>
        <v>0</v>
      </c>
      <c r="BG110" s="162" t="e">
        <f t="shared" si="990"/>
        <v>#DIV/0!</v>
      </c>
      <c r="BH110" s="162">
        <f t="shared" si="990"/>
        <v>0</v>
      </c>
      <c r="BI110" s="162" t="e">
        <f t="shared" si="990"/>
        <v>#DIV/0!</v>
      </c>
      <c r="BJ110" s="162">
        <f t="shared" si="990"/>
        <v>0</v>
      </c>
      <c r="BK110" s="162" t="e">
        <f t="shared" si="990"/>
        <v>#DIV/0!</v>
      </c>
      <c r="BL110" s="162">
        <f t="shared" si="990"/>
        <v>0</v>
      </c>
      <c r="BM110" s="162" t="e">
        <f t="shared" si="990"/>
        <v>#DIV/0!</v>
      </c>
      <c r="BN110" s="162">
        <f t="shared" si="990"/>
        <v>0</v>
      </c>
      <c r="BO110" s="162" t="e">
        <f t="shared" si="990"/>
        <v>#DIV/0!</v>
      </c>
      <c r="BP110" s="162">
        <f t="shared" si="990"/>
        <v>0</v>
      </c>
      <c r="BQ110" s="162" t="e">
        <f t="shared" si="990"/>
        <v>#DIV/0!</v>
      </c>
      <c r="BR110" s="162">
        <f t="shared" si="990"/>
        <v>23.030999999999999</v>
      </c>
      <c r="BS110" s="162">
        <f t="shared" si="990"/>
        <v>14.724574769230781</v>
      </c>
      <c r="BT110" s="162">
        <f t="shared" si="990"/>
        <v>0</v>
      </c>
      <c r="BU110" s="162">
        <f t="shared" si="990"/>
        <v>-10.419999999999991</v>
      </c>
      <c r="BV110" s="162">
        <f t="shared" si="990"/>
        <v>41.135999999999996</v>
      </c>
      <c r="BW110" s="162">
        <f t="shared" si="990"/>
        <v>2311.2092512061336</v>
      </c>
      <c r="BX110" s="162">
        <f t="shared" si="990"/>
        <v>3144.0803000000001</v>
      </c>
      <c r="BY110" s="162">
        <f t="shared" si="990"/>
        <v>2783.8344133110495</v>
      </c>
      <c r="BZ110" s="162">
        <f t="shared" si="990"/>
        <v>2482.6294000000003</v>
      </c>
      <c r="CA110" s="162">
        <f t="shared" si="990"/>
        <v>3517.8661694809343</v>
      </c>
      <c r="CB110" s="162">
        <f t="shared" si="990"/>
        <v>4328.3911500000004</v>
      </c>
      <c r="CC110" s="162">
        <f t="shared" si="990"/>
        <v>3971.5151673727937</v>
      </c>
      <c r="CD110" s="162">
        <f t="shared" si="990"/>
        <v>6864.6335500000005</v>
      </c>
      <c r="CE110" s="162">
        <f t="shared" ref="CE110:CF110" si="991">+CE107+CE109</f>
        <v>7210.0409291437627</v>
      </c>
      <c r="CF110" s="162">
        <f t="shared" si="991"/>
        <v>7393.4570500000009</v>
      </c>
      <c r="CG110" s="162">
        <f t="shared" ref="CG110:CH110" si="992">+CG107+CG109</f>
        <v>8172.4233887179926</v>
      </c>
      <c r="CH110" s="162">
        <f t="shared" si="992"/>
        <v>7900.491</v>
      </c>
      <c r="CI110" s="162">
        <f t="shared" ref="CI110:CJ110" si="993">+CI107+CI109</f>
        <v>7198.5906599515247</v>
      </c>
      <c r="CJ110" s="162">
        <f t="shared" si="993"/>
        <v>6794.79025</v>
      </c>
      <c r="CK110" s="162">
        <f t="shared" ref="CK110:CL110" si="994">+CK107+CK109</f>
        <v>5511.3777219088943</v>
      </c>
      <c r="CL110" s="162">
        <f t="shared" si="994"/>
        <v>4971.2109399999999</v>
      </c>
      <c r="CM110" s="21">
        <f t="shared" ref="CM110:DB110" si="995">+CM107+CM109</f>
        <v>5118.4071567776318</v>
      </c>
      <c r="CN110" s="21">
        <f t="shared" si="995"/>
        <v>5489.3150642177152</v>
      </c>
      <c r="CO110" s="21">
        <f t="shared" si="995"/>
        <v>5919.9951739153794</v>
      </c>
      <c r="CP110" s="21">
        <f t="shared" si="995"/>
        <v>6414.8821951343934</v>
      </c>
      <c r="CQ110" s="21">
        <f t="shared" si="995"/>
        <v>7035.9670775210698</v>
      </c>
      <c r="CR110" s="21">
        <f t="shared" si="995"/>
        <v>7724.6339099500328</v>
      </c>
      <c r="CS110" s="21">
        <f t="shared" si="995"/>
        <v>8498.1040299244196</v>
      </c>
      <c r="CT110" s="21">
        <f t="shared" si="995"/>
        <v>9266.4177811450518</v>
      </c>
      <c r="CU110" s="21">
        <f t="shared" si="995"/>
        <v>10077.561284676485</v>
      </c>
      <c r="CV110" s="21">
        <f t="shared" si="995"/>
        <v>10989.373007981469</v>
      </c>
      <c r="CW110" s="21">
        <f t="shared" si="995"/>
        <v>11997.015410465856</v>
      </c>
      <c r="CX110" s="21">
        <f t="shared" si="995"/>
        <v>13010.878319651512</v>
      </c>
      <c r="CY110" s="21">
        <f t="shared" si="995"/>
        <v>14078.827346080201</v>
      </c>
      <c r="CZ110" s="21">
        <f t="shared" si="995"/>
        <v>15282.812020719904</v>
      </c>
      <c r="DA110" s="21">
        <f t="shared" si="995"/>
        <v>16612.969161700268</v>
      </c>
      <c r="DB110" s="21">
        <f t="shared" si="995"/>
        <v>17954.436287547032</v>
      </c>
      <c r="DE110" s="22"/>
      <c r="DF110" s="162">
        <v>7363.2037599999994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-3.8075378</v>
      </c>
      <c r="K111" s="162">
        <f t="shared" ca="1" si="996"/>
        <v>-1.5937222</v>
      </c>
      <c r="L111" s="162">
        <f t="shared" ca="1" si="996"/>
        <v>-4.8017875999999999</v>
      </c>
      <c r="M111" s="162">
        <f t="shared" ca="1" si="996"/>
        <v>0.90750059999999966</v>
      </c>
      <c r="N111" s="162">
        <f t="shared" ca="1" si="996"/>
        <v>1.4967581999999999</v>
      </c>
      <c r="O111" s="162">
        <f t="shared" ca="1" si="996"/>
        <v>-2.7140342</v>
      </c>
      <c r="P111" s="162">
        <f t="shared" ca="1" si="996"/>
        <v>-1.5206949999999999</v>
      </c>
      <c r="Q111" s="162">
        <f t="shared" ca="1" si="996"/>
        <v>-3.5500916999999999</v>
      </c>
      <c r="R111" s="162">
        <f t="shared" ca="1" si="996"/>
        <v>-5.0982207000000006</v>
      </c>
      <c r="S111" s="162">
        <f t="shared" ca="1" si="996"/>
        <v>1.728961</v>
      </c>
      <c r="T111" s="162">
        <f t="shared" ca="1" si="996"/>
        <v>25.23</v>
      </c>
      <c r="U111" s="162">
        <f t="shared" ca="1" si="996"/>
        <v>32.173000000000002</v>
      </c>
      <c r="V111" s="162">
        <f t="shared" ca="1" si="996"/>
        <v>28.125000000000007</v>
      </c>
      <c r="W111" s="162">
        <f t="shared" ca="1" si="996"/>
        <v>41.135999999999996</v>
      </c>
      <c r="X111" s="162">
        <f t="shared" ref="X111:Y111" ca="1" si="997">+X108+X109</f>
        <v>1593.8143600000001</v>
      </c>
      <c r="Y111" s="162">
        <f t="shared" ca="1" si="997"/>
        <v>1531.3930599999999</v>
      </c>
      <c r="Z111" s="162">
        <f t="shared" ref="Z111:AA111" ca="1" si="998">+Z108+Z109</f>
        <v>5159.1680399999996</v>
      </c>
      <c r="AA111" s="162">
        <f t="shared" ca="1" si="998"/>
        <v>5159.1680399999996</v>
      </c>
      <c r="AB111" s="21">
        <f t="shared" ref="AA111:AD111" ca="1" si="999">+AB108+AB109</f>
        <v>2869.9275467634261</v>
      </c>
      <c r="AC111" s="21">
        <f t="shared" ca="1" si="999"/>
        <v>3901.1447807382956</v>
      </c>
      <c r="AD111" s="21">
        <f t="shared" ca="1" si="999"/>
        <v>5563.7009552001673</v>
      </c>
      <c r="AE111" s="21">
        <f t="shared" ref="AE111" ca="1" si="1000">+AE108+AE109</f>
        <v>7747.8117258302836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 t="e">
        <f t="shared" si="1003"/>
        <v>#DIV/0!</v>
      </c>
      <c r="BB111" s="162">
        <f t="shared" si="1003"/>
        <v>0</v>
      </c>
      <c r="BC111" s="162" t="e">
        <f t="shared" si="1003"/>
        <v>#DIV/0!</v>
      </c>
      <c r="BD111" s="162">
        <f t="shared" si="1003"/>
        <v>0</v>
      </c>
      <c r="BE111" s="162" t="e">
        <f t="shared" si="1003"/>
        <v>#DIV/0!</v>
      </c>
      <c r="BF111" s="162">
        <f t="shared" si="1003"/>
        <v>0</v>
      </c>
      <c r="BG111" s="162" t="e">
        <f t="shared" si="1003"/>
        <v>#DIV/0!</v>
      </c>
      <c r="BH111" s="162">
        <f t="shared" si="1003"/>
        <v>0</v>
      </c>
      <c r="BI111" s="162" t="e">
        <f t="shared" si="1003"/>
        <v>#DIV/0!</v>
      </c>
      <c r="BJ111" s="162">
        <f t="shared" si="1003"/>
        <v>0</v>
      </c>
      <c r="BK111" s="162" t="e">
        <f t="shared" si="1003"/>
        <v>#DIV/0!</v>
      </c>
      <c r="BL111" s="162">
        <f t="shared" si="1003"/>
        <v>0</v>
      </c>
      <c r="BM111" s="162" t="e">
        <f t="shared" si="1003"/>
        <v>#DIV/0!</v>
      </c>
      <c r="BN111" s="162">
        <f t="shared" si="1003"/>
        <v>0</v>
      </c>
      <c r="BO111" s="162" t="e">
        <f t="shared" si="1003"/>
        <v>#DIV/0!</v>
      </c>
      <c r="BP111" s="162">
        <f t="shared" si="1003"/>
        <v>0</v>
      </c>
      <c r="BQ111" s="162" t="e">
        <f t="shared" si="1003"/>
        <v>#DIV/0!</v>
      </c>
      <c r="BR111" s="162">
        <f t="shared" si="1003"/>
        <v>23.030999999999999</v>
      </c>
      <c r="BS111" s="162">
        <f t="shared" si="1003"/>
        <v>14.724574769230781</v>
      </c>
      <c r="BT111" s="162">
        <f t="shared" si="1003"/>
        <v>0</v>
      </c>
      <c r="BU111" s="162">
        <f t="shared" si="1003"/>
        <v>-10.419999999999991</v>
      </c>
      <c r="BV111" s="162">
        <f t="shared" si="1003"/>
        <v>41.135999999999996</v>
      </c>
      <c r="BW111" s="162">
        <f t="shared" si="1003"/>
        <v>32.058251206133072</v>
      </c>
      <c r="BX111" s="162">
        <f t="shared" si="1003"/>
        <v>1872.5754500000003</v>
      </c>
      <c r="BY111" s="162">
        <f t="shared" si="1003"/>
        <v>2285.5254133110502</v>
      </c>
      <c r="BZ111" s="162">
        <f t="shared" si="1003"/>
        <v>1586.4901000000002</v>
      </c>
      <c r="CA111" s="162">
        <f t="shared" si="1003"/>
        <v>1648.3905194809338</v>
      </c>
      <c r="CB111" s="162">
        <f t="shared" si="1003"/>
        <v>3277.0408500000003</v>
      </c>
      <c r="CC111" s="162">
        <f t="shared" si="1003"/>
        <v>3333.9247173727936</v>
      </c>
      <c r="CD111" s="162">
        <f t="shared" si="1003"/>
        <v>3160.4005000000002</v>
      </c>
      <c r="CE111" s="162">
        <f t="shared" ref="CE111:CF111" si="1004">+CE108+CE109</f>
        <v>5244.1710791437627</v>
      </c>
      <c r="CF111" s="162">
        <f t="shared" si="1004"/>
        <v>5690.2205500000009</v>
      </c>
      <c r="CG111" s="162">
        <f t="shared" ref="CG111:CH111" si="1005">+CG108+CG109</f>
        <v>6599.8908887179923</v>
      </c>
      <c r="CH111" s="162">
        <f t="shared" si="1005"/>
        <v>5136.1014000000005</v>
      </c>
      <c r="CI111" s="162">
        <f t="shared" ref="CI111:CJ111" si="1006">+CI108+CI109</f>
        <v>5377.7205599515246</v>
      </c>
      <c r="CJ111" s="162">
        <f t="shared" si="1006"/>
        <v>5028.2439999999997</v>
      </c>
      <c r="CK111" s="162">
        <f t="shared" ref="CK111:CL111" si="1007">+CK108+CK109</f>
        <v>4495.9292319088936</v>
      </c>
      <c r="CL111" s="162">
        <f t="shared" si="1007"/>
        <v>2915.1882999999998</v>
      </c>
      <c r="CM111" s="21">
        <f t="shared" ref="CM111:DB111" si="1008">+CM108+CM109</f>
        <v>2988.0025868122138</v>
      </c>
      <c r="CN111" s="21">
        <f t="shared" si="1008"/>
        <v>3194.8093214181677</v>
      </c>
      <c r="CO111" s="21">
        <f t="shared" si="1008"/>
        <v>3435.0323419559659</v>
      </c>
      <c r="CP111" s="21">
        <f t="shared" si="1008"/>
        <v>3709.3397170835847</v>
      </c>
      <c r="CQ111" s="21">
        <f t="shared" si="1008"/>
        <v>4058.7338539921866</v>
      </c>
      <c r="CR111" s="21">
        <f t="shared" si="1008"/>
        <v>4449.4785408153475</v>
      </c>
      <c r="CS111" s="21">
        <f t="shared" si="1008"/>
        <v>4888.1135027406353</v>
      </c>
      <c r="CT111" s="21">
        <f t="shared" si="1008"/>
        <v>5318.2382315261293</v>
      </c>
      <c r="CU111" s="21">
        <f t="shared" si="1008"/>
        <v>5774.0307274944071</v>
      </c>
      <c r="CV111" s="21">
        <f t="shared" si="1008"/>
        <v>6291.1689399848065</v>
      </c>
      <c r="CW111" s="21">
        <f t="shared" si="1008"/>
        <v>6861.9886862985677</v>
      </c>
      <c r="CX111" s="21">
        <f t="shared" si="1008"/>
        <v>7429.1813149936843</v>
      </c>
      <c r="CY111" s="21">
        <f t="shared" si="1008"/>
        <v>8028.7927093634989</v>
      </c>
      <c r="CZ111" s="21">
        <f t="shared" si="1008"/>
        <v>8711.2713237334283</v>
      </c>
      <c r="DA111" s="21">
        <f t="shared" si="1008"/>
        <v>9464.3721837401936</v>
      </c>
      <c r="DB111" s="21">
        <f t="shared" si="1008"/>
        <v>10214.385531409527</v>
      </c>
      <c r="DE111" s="22"/>
      <c r="DF111" s="162">
        <v>2915.1882999999998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0</v>
      </c>
      <c r="J112" s="162">
        <f t="shared" si="1009"/>
        <v>1.2583348000000001</v>
      </c>
      <c r="K112" s="162">
        <f t="shared" si="1009"/>
        <v>-4.0912204320000001</v>
      </c>
      <c r="L112" s="162">
        <f t="shared" si="1009"/>
        <v>-3.2689827889999989</v>
      </c>
      <c r="M112" s="162">
        <f t="shared" si="1009"/>
        <v>-4.9578328999999979</v>
      </c>
      <c r="N112" s="162">
        <f t="shared" si="1009"/>
        <v>1.3277118000000012</v>
      </c>
      <c r="O112" s="162">
        <f t="shared" si="1009"/>
        <v>1.2727128000000025</v>
      </c>
      <c r="P112" s="162">
        <f t="shared" si="1009"/>
        <v>6.1557266000000048</v>
      </c>
      <c r="Q112" s="162">
        <f t="shared" si="1009"/>
        <v>11.145335899999999</v>
      </c>
      <c r="R112" s="162">
        <f t="shared" si="1009"/>
        <v>18.522263900000006</v>
      </c>
      <c r="S112" s="162">
        <f t="shared" si="1009"/>
        <v>14.906502200000006</v>
      </c>
      <c r="T112" s="162">
        <f t="shared" si="1009"/>
        <v>32.213999999999992</v>
      </c>
      <c r="U112" s="162">
        <f t="shared" si="1009"/>
        <v>31.938000000000009</v>
      </c>
      <c r="V112" s="162">
        <f t="shared" si="1009"/>
        <v>39.926999999999978</v>
      </c>
      <c r="W112" s="162">
        <f t="shared" si="1009"/>
        <v>66.990000000000009</v>
      </c>
      <c r="X112" s="162">
        <f t="shared" si="1009"/>
        <v>87.309999999999974</v>
      </c>
      <c r="Y112" s="162">
        <f t="shared" si="1009"/>
        <v>109.55500000000004</v>
      </c>
      <c r="Z112" s="162">
        <f t="shared" si="1009"/>
        <v>123.93099999999998</v>
      </c>
      <c r="AA112" s="162">
        <f t="shared" ref="AA112" si="1010">+AA28</f>
        <v>155.67500000000007</v>
      </c>
      <c r="AB112" s="21">
        <f t="shared" si="1009"/>
        <v>210.92327221563369</v>
      </c>
      <c r="AC112" s="21">
        <f t="shared" si="1009"/>
        <v>281.42730947556686</v>
      </c>
      <c r="AD112" s="21">
        <f t="shared" si="1009"/>
        <v>376.13570230486857</v>
      </c>
      <c r="AE112" s="21">
        <f t="shared" si="1009"/>
        <v>502.89186506789611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0</v>
      </c>
      <c r="BA112" s="162">
        <f t="shared" si="1011"/>
        <v>0</v>
      </c>
      <c r="BB112" s="162">
        <f t="shared" si="1011"/>
        <v>0</v>
      </c>
      <c r="BC112" s="162">
        <f t="shared" si="1011"/>
        <v>0</v>
      </c>
      <c r="BD112" s="162">
        <f t="shared" si="1011"/>
        <v>0</v>
      </c>
      <c r="BE112" s="162">
        <f t="shared" si="1011"/>
        <v>0</v>
      </c>
      <c r="BF112" s="162">
        <f t="shared" si="1011"/>
        <v>0</v>
      </c>
      <c r="BG112" s="162">
        <f t="shared" si="1011"/>
        <v>0</v>
      </c>
      <c r="BH112" s="162">
        <f t="shared" si="1011"/>
        <v>0</v>
      </c>
      <c r="BI112" s="162">
        <f t="shared" si="1011"/>
        <v>0</v>
      </c>
      <c r="BJ112" s="162">
        <f t="shared" si="1011"/>
        <v>0</v>
      </c>
      <c r="BK112" s="162">
        <f t="shared" si="1011"/>
        <v>0</v>
      </c>
      <c r="BL112" s="162">
        <f t="shared" si="1011"/>
        <v>0</v>
      </c>
      <c r="BM112" s="162">
        <f t="shared" si="1011"/>
        <v>0</v>
      </c>
      <c r="BN112" s="162">
        <f t="shared" si="1011"/>
        <v>0</v>
      </c>
      <c r="BO112" s="162">
        <f t="shared" si="1011"/>
        <v>0</v>
      </c>
      <c r="BP112" s="162">
        <f t="shared" si="1011"/>
        <v>0</v>
      </c>
      <c r="BQ112" s="162">
        <f t="shared" si="1011"/>
        <v>0</v>
      </c>
      <c r="BR112" s="162">
        <f t="shared" ref="BR112:CW112" si="1012">+SUM(BO28:BR28)</f>
        <v>12.308</v>
      </c>
      <c r="BS112" s="162">
        <f t="shared" si="1012"/>
        <v>26.756999999999994</v>
      </c>
      <c r="BT112" s="162">
        <f t="shared" si="1012"/>
        <v>43.487999999999992</v>
      </c>
      <c r="BU112" s="162">
        <f t="shared" si="1012"/>
        <v>61.604999999999983</v>
      </c>
      <c r="BV112" s="162">
        <f t="shared" si="1012"/>
        <v>67.703999999999979</v>
      </c>
      <c r="BW112" s="162">
        <f t="shared" si="1012"/>
        <v>73.829999999999984</v>
      </c>
      <c r="BX112" s="162">
        <f t="shared" si="1012"/>
        <v>78.843999999999994</v>
      </c>
      <c r="BY112" s="162">
        <f t="shared" si="1012"/>
        <v>81.951999999999998</v>
      </c>
      <c r="BZ112" s="162">
        <f t="shared" si="1012"/>
        <v>87.308999999999997</v>
      </c>
      <c r="CA112" s="162">
        <f t="shared" si="1012"/>
        <v>90.506</v>
      </c>
      <c r="CB112" s="162">
        <f t="shared" si="1012"/>
        <v>97.018999999999977</v>
      </c>
      <c r="CC112" s="162">
        <f t="shared" si="1012"/>
        <v>100.42099999999999</v>
      </c>
      <c r="CD112" s="162">
        <f t="shared" si="1012"/>
        <v>109.55499999999998</v>
      </c>
      <c r="CE112" s="162">
        <f t="shared" si="1012"/>
        <v>112.65499999999997</v>
      </c>
      <c r="CF112" s="162">
        <f t="shared" si="1012"/>
        <v>116.771</v>
      </c>
      <c r="CG112" s="162">
        <f t="shared" si="1012"/>
        <v>122.047</v>
      </c>
      <c r="CH112" s="162">
        <f t="shared" si="1012"/>
        <v>123.93100000000001</v>
      </c>
      <c r="CI112" s="162">
        <f t="shared" si="1012"/>
        <v>131.73700000000005</v>
      </c>
      <c r="CJ112" s="162">
        <f t="shared" si="1012"/>
        <v>140.61500000000004</v>
      </c>
      <c r="CK112" s="162">
        <f t="shared" si="1012"/>
        <v>151.80200000000002</v>
      </c>
      <c r="CL112" s="162">
        <f t="shared" si="1012"/>
        <v>159.03299999999996</v>
      </c>
      <c r="CM112" s="21">
        <f t="shared" si="1012"/>
        <v>170.32652518265684</v>
      </c>
      <c r="CN112" s="21">
        <f t="shared" si="1012"/>
        <v>180.39915092282811</v>
      </c>
      <c r="CO112" s="21">
        <f t="shared" si="1012"/>
        <v>195.27978025966496</v>
      </c>
      <c r="CP112" s="21">
        <f t="shared" si="1012"/>
        <v>210.92327221563366</v>
      </c>
      <c r="CQ112" s="21">
        <f t="shared" si="1012"/>
        <v>225.82345136561202</v>
      </c>
      <c r="CR112" s="21">
        <f t="shared" si="1012"/>
        <v>242.44426889823887</v>
      </c>
      <c r="CS112" s="21">
        <f t="shared" si="1012"/>
        <v>261.7646655588735</v>
      </c>
      <c r="CT112" s="21">
        <f t="shared" si="1012"/>
        <v>281.42730947556674</v>
      </c>
      <c r="CU112" s="21">
        <f t="shared" si="1012"/>
        <v>301.72540878789346</v>
      </c>
      <c r="CV112" s="21">
        <f t="shared" si="1012"/>
        <v>324.54376326394902</v>
      </c>
      <c r="CW112" s="21">
        <f t="shared" si="1012"/>
        <v>350.05686100996877</v>
      </c>
      <c r="CX112" s="21">
        <f t="shared" ref="CX112:DB112" si="1013">+SUM(CU28:CX28)</f>
        <v>376.13570230486846</v>
      </c>
      <c r="CY112" s="21">
        <f t="shared" si="1013"/>
        <v>403.43764983234547</v>
      </c>
      <c r="CZ112" s="21">
        <f t="shared" si="1013"/>
        <v>434.0326275282448</v>
      </c>
      <c r="DA112" s="21">
        <f t="shared" si="1013"/>
        <v>468.04355625744176</v>
      </c>
      <c r="DB112" s="21">
        <f t="shared" si="1013"/>
        <v>502.89186506789576</v>
      </c>
      <c r="DE112" s="22"/>
      <c r="DF112" s="162">
        <v>159.0329999999999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>
        <f t="shared" ca="1" si="1014"/>
        <v>-3.0258543274810483</v>
      </c>
      <c r="K113" s="162">
        <f t="shared" ca="1" si="1014"/>
        <v>0.38954689107790413</v>
      </c>
      <c r="L113" s="162">
        <f t="shared" ca="1" si="1014"/>
        <v>1.4688935090627673</v>
      </c>
      <c r="M113" s="162">
        <f t="shared" ca="1" si="1014"/>
        <v>-0.18304380528839526</v>
      </c>
      <c r="N113" s="162">
        <f t="shared" ca="1" si="1014"/>
        <v>1.1273216069933238</v>
      </c>
      <c r="O113" s="162">
        <f t="shared" ca="1" si="1014"/>
        <v>-2.1324796921976383</v>
      </c>
      <c r="P113" s="162">
        <f t="shared" ca="1" si="1014"/>
        <v>-0.24703744964891694</v>
      </c>
      <c r="Q113" s="162">
        <f t="shared" ca="1" si="1014"/>
        <v>-0.31852711590325422</v>
      </c>
      <c r="R113" s="162">
        <f t="shared" ca="1" si="1014"/>
        <v>-0.27524824867655617</v>
      </c>
      <c r="S113" s="162">
        <f t="shared" ca="1" si="1014"/>
        <v>0.11598703550991321</v>
      </c>
      <c r="T113" s="162">
        <f t="shared" ca="1" si="1014"/>
        <v>0.78319985099646139</v>
      </c>
      <c r="U113" s="162">
        <f t="shared" ca="1" si="1014"/>
        <v>1.0073580061368901</v>
      </c>
      <c r="V113" s="162">
        <f t="shared" ca="1" si="1014"/>
        <v>0.70441054925238622</v>
      </c>
      <c r="W113" s="162">
        <f t="shared" ca="1" si="1014"/>
        <v>0.61406180026869672</v>
      </c>
      <c r="X113" s="162">
        <f t="shared" ref="X113:Y113" ca="1" si="1015">+X110/X112</f>
        <v>36.371809414729135</v>
      </c>
      <c r="Y113" s="162">
        <f t="shared" ca="1" si="1015"/>
        <v>62.940347587969491</v>
      </c>
      <c r="Z113" s="162">
        <f t="shared" ref="Z113:AA113" ca="1" si="1016">+Z110/Z112</f>
        <v>66.25295220727665</v>
      </c>
      <c r="AA113" s="162">
        <f t="shared" ca="1" si="1016"/>
        <v>66.25295220727665</v>
      </c>
      <c r="AB113" s="21">
        <f t="shared" ref="AA113:AD113" ca="1" si="1017">+AB110/AB112</f>
        <v>30.413344756837706</v>
      </c>
      <c r="AC113" s="21">
        <f t="shared" ca="1" si="1017"/>
        <v>32.926505243619758</v>
      </c>
      <c r="AD113" s="21">
        <f t="shared" ca="1" si="1017"/>
        <v>34.590915565642923</v>
      </c>
      <c r="AE113" s="21">
        <f t="shared" ref="AE113" ca="1" si="1018">+AE110/AE112</f>
        <v>35.702379646015906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 t="e">
        <f t="shared" si="1021"/>
        <v>#DIV/0!</v>
      </c>
      <c r="BA113" s="162" t="e">
        <f t="shared" si="1021"/>
        <v>#DIV/0!</v>
      </c>
      <c r="BB113" s="162" t="e">
        <f t="shared" si="1021"/>
        <v>#DIV/0!</v>
      </c>
      <c r="BC113" s="162" t="e">
        <f t="shared" si="1021"/>
        <v>#DIV/0!</v>
      </c>
      <c r="BD113" s="162" t="e">
        <f t="shared" si="1021"/>
        <v>#DIV/0!</v>
      </c>
      <c r="BE113" s="162" t="e">
        <f t="shared" si="1021"/>
        <v>#DIV/0!</v>
      </c>
      <c r="BF113" s="162" t="e">
        <f t="shared" si="1021"/>
        <v>#DIV/0!</v>
      </c>
      <c r="BG113" s="162" t="e">
        <f t="shared" si="1021"/>
        <v>#DIV/0!</v>
      </c>
      <c r="BH113" s="162" t="e">
        <f t="shared" si="1021"/>
        <v>#DIV/0!</v>
      </c>
      <c r="BI113" s="162" t="e">
        <f t="shared" si="1021"/>
        <v>#DIV/0!</v>
      </c>
      <c r="BJ113" s="162" t="e">
        <f t="shared" si="1021"/>
        <v>#DIV/0!</v>
      </c>
      <c r="BK113" s="162" t="e">
        <f t="shared" si="1021"/>
        <v>#DIV/0!</v>
      </c>
      <c r="BL113" s="162" t="e">
        <f t="shared" si="1021"/>
        <v>#DIV/0!</v>
      </c>
      <c r="BM113" s="162" t="e">
        <f t="shared" si="1021"/>
        <v>#DIV/0!</v>
      </c>
      <c r="BN113" s="162" t="e">
        <f t="shared" si="1021"/>
        <v>#DIV/0!</v>
      </c>
      <c r="BO113" s="162" t="e">
        <f t="shared" si="1021"/>
        <v>#DIV/0!</v>
      </c>
      <c r="BP113" s="162" t="e">
        <f t="shared" si="1021"/>
        <v>#DIV/0!</v>
      </c>
      <c r="BQ113" s="162" t="e">
        <f t="shared" si="1021"/>
        <v>#DIV/0!</v>
      </c>
      <c r="BR113" s="162">
        <f t="shared" si="1021"/>
        <v>1.8712219694507637</v>
      </c>
      <c r="BS113" s="162">
        <f t="shared" si="1021"/>
        <v>0.55030738757075848</v>
      </c>
      <c r="BT113" s="162">
        <f t="shared" si="1021"/>
        <v>0</v>
      </c>
      <c r="BU113" s="162">
        <f t="shared" si="1021"/>
        <v>-0.16914211508806093</v>
      </c>
      <c r="BV113" s="162">
        <f t="shared" si="1021"/>
        <v>0.60758596242467222</v>
      </c>
      <c r="BW113" s="162">
        <f t="shared" si="1021"/>
        <v>31.304473130246972</v>
      </c>
      <c r="BX113" s="162">
        <f t="shared" si="1021"/>
        <v>39.877229719445999</v>
      </c>
      <c r="BY113" s="162">
        <f t="shared" si="1021"/>
        <v>33.969084504478836</v>
      </c>
      <c r="BZ113" s="162">
        <f t="shared" si="1021"/>
        <v>28.434976921050527</v>
      </c>
      <c r="CA113" s="162">
        <f t="shared" si="1021"/>
        <v>38.868872444710121</v>
      </c>
      <c r="CB113" s="162">
        <f t="shared" si="1021"/>
        <v>44.613850379822523</v>
      </c>
      <c r="CC113" s="162">
        <f t="shared" si="1021"/>
        <v>39.548651849441789</v>
      </c>
      <c r="CD113" s="162">
        <f t="shared" si="1021"/>
        <v>62.659244671626141</v>
      </c>
      <c r="CE113" s="162">
        <f t="shared" ref="CE113:CF113" si="1022">+CE110/CE112</f>
        <v>64.001073446751278</v>
      </c>
      <c r="CF113" s="162">
        <f t="shared" si="1022"/>
        <v>63.315866525079009</v>
      </c>
      <c r="CG113" s="162">
        <f t="shared" ref="CG113:CH113" si="1023">+CG110/CG112</f>
        <v>66.961280397863064</v>
      </c>
      <c r="CH113" s="162">
        <f t="shared" si="1023"/>
        <v>63.749110392073</v>
      </c>
      <c r="CI113" s="162">
        <f t="shared" ref="CI113:CJ113" si="1024">+CI110/CI112</f>
        <v>54.643651061975923</v>
      </c>
      <c r="CJ113" s="162">
        <f t="shared" si="1024"/>
        <v>48.321944671621083</v>
      </c>
      <c r="CK113" s="162">
        <f t="shared" ref="CK113:CL113" si="1025">+CK110/CK112</f>
        <v>36.306357768072182</v>
      </c>
      <c r="CL113" s="162">
        <f t="shared" si="1025"/>
        <v>31.258989895178996</v>
      </c>
      <c r="CM113" s="21">
        <f t="shared" ref="CM113:DB113" si="1026">+CM110/CM112</f>
        <v>30.050558192792884</v>
      </c>
      <c r="CN113" s="21">
        <f t="shared" si="1026"/>
        <v>30.428718960911056</v>
      </c>
      <c r="CO113" s="21">
        <f t="shared" si="1026"/>
        <v>30.315453888997205</v>
      </c>
      <c r="CP113" s="21">
        <f t="shared" si="1026"/>
        <v>30.413344756837702</v>
      </c>
      <c r="CQ113" s="21">
        <f t="shared" si="1026"/>
        <v>31.156937133733376</v>
      </c>
      <c r="CR113" s="21">
        <f t="shared" si="1026"/>
        <v>31.861482826769947</v>
      </c>
      <c r="CS113" s="21">
        <f t="shared" si="1026"/>
        <v>32.464672081622531</v>
      </c>
      <c r="CT113" s="21">
        <f t="shared" si="1026"/>
        <v>32.926505243619772</v>
      </c>
      <c r="CU113" s="21">
        <f t="shared" si="1026"/>
        <v>33.399776721359245</v>
      </c>
      <c r="CV113" s="21">
        <f t="shared" si="1026"/>
        <v>33.860989647315741</v>
      </c>
      <c r="CW113" s="21">
        <f t="shared" si="1026"/>
        <v>34.271619118827125</v>
      </c>
      <c r="CX113" s="21">
        <f t="shared" si="1026"/>
        <v>34.590915565642938</v>
      </c>
      <c r="CY113" s="21">
        <f t="shared" si="1026"/>
        <v>34.897157843178164</v>
      </c>
      <c r="CZ113" s="21">
        <f t="shared" si="1026"/>
        <v>35.211205451888226</v>
      </c>
      <c r="DA113" s="21">
        <f t="shared" si="1026"/>
        <v>35.494493919626791</v>
      </c>
      <c r="DB113" s="21">
        <f t="shared" si="1026"/>
        <v>35.702379646015935</v>
      </c>
      <c r="DE113" s="22"/>
      <c r="DF113" s="162">
        <v>46.299848207604732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>
        <f t="shared" ca="1" si="1027"/>
        <v>-3.0258543274810483</v>
      </c>
      <c r="K114" s="162">
        <f t="shared" ca="1" si="1027"/>
        <v>0.38954689107790413</v>
      </c>
      <c r="L114" s="162">
        <f t="shared" ca="1" si="1027"/>
        <v>1.4688935090627673</v>
      </c>
      <c r="M114" s="162">
        <f t="shared" ca="1" si="1027"/>
        <v>-0.18304380528839526</v>
      </c>
      <c r="N114" s="162">
        <f t="shared" ca="1" si="1027"/>
        <v>1.1273216069933238</v>
      </c>
      <c r="O114" s="162">
        <f t="shared" ca="1" si="1027"/>
        <v>-2.1324796921976383</v>
      </c>
      <c r="P114" s="162">
        <f t="shared" ca="1" si="1027"/>
        <v>-0.24703744964891694</v>
      </c>
      <c r="Q114" s="162">
        <f t="shared" ca="1" si="1027"/>
        <v>-0.31852711590325422</v>
      </c>
      <c r="R114" s="162">
        <f t="shared" ca="1" si="1027"/>
        <v>-0.27524824867655617</v>
      </c>
      <c r="S114" s="162">
        <f t="shared" ca="1" si="1027"/>
        <v>0.11598703550991321</v>
      </c>
      <c r="T114" s="162">
        <f t="shared" ca="1" si="1027"/>
        <v>0.78319985099646139</v>
      </c>
      <c r="U114" s="162">
        <f t="shared" ca="1" si="1027"/>
        <v>1.0073580061368901</v>
      </c>
      <c r="V114" s="162">
        <f t="shared" ca="1" si="1027"/>
        <v>0.70441054925238622</v>
      </c>
      <c r="W114" s="162">
        <f t="shared" ca="1" si="1027"/>
        <v>0.61406180026869672</v>
      </c>
      <c r="X114" s="162">
        <f t="shared" ref="X114:Y114" ca="1" si="1028">+X111/X112</f>
        <v>18.254659947314174</v>
      </c>
      <c r="Y114" s="162">
        <f t="shared" ca="1" si="1028"/>
        <v>13.978303683081551</v>
      </c>
      <c r="Z114" s="162">
        <f t="shared" ref="Z114:AA114" ca="1" si="1029">+Z111/Z112</f>
        <v>41.629358594701891</v>
      </c>
      <c r="AA114" s="162">
        <f t="shared" ca="1" si="1029"/>
        <v>41.629358594701891</v>
      </c>
      <c r="AB114" s="21">
        <f t="shared" ref="AA114:AD114" ca="1" si="1030">+AB111/AB112</f>
        <v>13.606500205579051</v>
      </c>
      <c r="AC114" s="21">
        <f t="shared" ca="1" si="1030"/>
        <v>13.86199792766376</v>
      </c>
      <c r="AD114" s="21">
        <f t="shared" ca="1" si="1030"/>
        <v>14.791738516464015</v>
      </c>
      <c r="AE114" s="21">
        <f t="shared" ref="AE114" ca="1" si="1031">+AE111/AE112</f>
        <v>15.406516318939145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 t="e">
        <f t="shared" si="1034"/>
        <v>#DIV/0!</v>
      </c>
      <c r="BA114" s="162" t="e">
        <f t="shared" si="1034"/>
        <v>#DIV/0!</v>
      </c>
      <c r="BB114" s="162" t="e">
        <f t="shared" si="1034"/>
        <v>#DIV/0!</v>
      </c>
      <c r="BC114" s="162" t="e">
        <f t="shared" si="1034"/>
        <v>#DIV/0!</v>
      </c>
      <c r="BD114" s="162" t="e">
        <f t="shared" si="1034"/>
        <v>#DIV/0!</v>
      </c>
      <c r="BE114" s="162" t="e">
        <f t="shared" si="1034"/>
        <v>#DIV/0!</v>
      </c>
      <c r="BF114" s="162" t="e">
        <f t="shared" si="1034"/>
        <v>#DIV/0!</v>
      </c>
      <c r="BG114" s="162" t="e">
        <f t="shared" si="1034"/>
        <v>#DIV/0!</v>
      </c>
      <c r="BH114" s="162" t="e">
        <f t="shared" si="1034"/>
        <v>#DIV/0!</v>
      </c>
      <c r="BI114" s="162" t="e">
        <f t="shared" si="1034"/>
        <v>#DIV/0!</v>
      </c>
      <c r="BJ114" s="162" t="e">
        <f t="shared" si="1034"/>
        <v>#DIV/0!</v>
      </c>
      <c r="BK114" s="162" t="e">
        <f t="shared" si="1034"/>
        <v>#DIV/0!</v>
      </c>
      <c r="BL114" s="162" t="e">
        <f t="shared" si="1034"/>
        <v>#DIV/0!</v>
      </c>
      <c r="BM114" s="162" t="e">
        <f t="shared" si="1034"/>
        <v>#DIV/0!</v>
      </c>
      <c r="BN114" s="162" t="e">
        <f t="shared" si="1034"/>
        <v>#DIV/0!</v>
      </c>
      <c r="BO114" s="162" t="e">
        <f t="shared" si="1034"/>
        <v>#DIV/0!</v>
      </c>
      <c r="BP114" s="162" t="e">
        <f t="shared" si="1034"/>
        <v>#DIV/0!</v>
      </c>
      <c r="BQ114" s="162" t="e">
        <f t="shared" si="1034"/>
        <v>#DIV/0!</v>
      </c>
      <c r="BR114" s="162">
        <f t="shared" si="1034"/>
        <v>1.8712219694507637</v>
      </c>
      <c r="BS114" s="162">
        <f t="shared" si="1034"/>
        <v>0.55030738757075848</v>
      </c>
      <c r="BT114" s="162">
        <f t="shared" si="1034"/>
        <v>0</v>
      </c>
      <c r="BU114" s="162">
        <f t="shared" si="1034"/>
        <v>-0.16914211508806093</v>
      </c>
      <c r="BV114" s="162">
        <f t="shared" si="1034"/>
        <v>0.60758596242467222</v>
      </c>
      <c r="BW114" s="162">
        <f t="shared" si="1034"/>
        <v>0.43421713674838247</v>
      </c>
      <c r="BX114" s="162">
        <f t="shared" si="1034"/>
        <v>23.750386205671965</v>
      </c>
      <c r="BY114" s="162">
        <f t="shared" si="1034"/>
        <v>27.888586163986851</v>
      </c>
      <c r="BZ114" s="162">
        <f t="shared" si="1034"/>
        <v>18.170980082236657</v>
      </c>
      <c r="CA114" s="162">
        <f t="shared" si="1034"/>
        <v>18.213052388581239</v>
      </c>
      <c r="CB114" s="162">
        <f t="shared" si="1034"/>
        <v>33.777310114513661</v>
      </c>
      <c r="CC114" s="162">
        <f t="shared" si="1034"/>
        <v>33.19947737398347</v>
      </c>
      <c r="CD114" s="162">
        <f t="shared" si="1034"/>
        <v>28.847615353019037</v>
      </c>
      <c r="CE114" s="162">
        <f t="shared" ref="CE114:CF114" si="1035">+CE111/CE112</f>
        <v>46.55071749273236</v>
      </c>
      <c r="CF114" s="162">
        <f t="shared" si="1035"/>
        <v>48.729740689040952</v>
      </c>
      <c r="CG114" s="162">
        <f t="shared" ref="CG114:CH114" si="1036">+CG111/CG112</f>
        <v>54.076633499537003</v>
      </c>
      <c r="CH114" s="162">
        <f t="shared" si="1036"/>
        <v>41.443233734900872</v>
      </c>
      <c r="CI114" s="162">
        <f t="shared" ref="CI114:CJ114" si="1037">+CI111/CI112</f>
        <v>40.821641300101888</v>
      </c>
      <c r="CJ114" s="162">
        <f t="shared" si="1037"/>
        <v>35.758944636062999</v>
      </c>
      <c r="CK114" s="162">
        <f t="shared" ref="CK114:CL114" si="1038">+CK111/CK112</f>
        <v>29.617061908992589</v>
      </c>
      <c r="CL114" s="162">
        <f t="shared" si="1038"/>
        <v>18.330713122433711</v>
      </c>
      <c r="CM114" s="21">
        <f t="shared" ref="CM114:DB114" si="1039">+CM111/CM112</f>
        <v>17.542790728619064</v>
      </c>
      <c r="CN114" s="21">
        <f t="shared" si="1039"/>
        <v>17.709669391874556</v>
      </c>
      <c r="CO114" s="21">
        <f t="shared" si="1039"/>
        <v>17.590312409141276</v>
      </c>
      <c r="CP114" s="21">
        <f t="shared" si="1039"/>
        <v>17.586204111661075</v>
      </c>
      <c r="CQ114" s="21">
        <f t="shared" si="1039"/>
        <v>17.97303968851768</v>
      </c>
      <c r="CR114" s="21">
        <f t="shared" si="1039"/>
        <v>18.352582888576865</v>
      </c>
      <c r="CS114" s="21">
        <f t="shared" si="1039"/>
        <v>18.673694909526471</v>
      </c>
      <c r="CT114" s="21">
        <f t="shared" si="1039"/>
        <v>18.897377946143688</v>
      </c>
      <c r="CU114" s="21">
        <f t="shared" si="1039"/>
        <v>19.13670695050223</v>
      </c>
      <c r="CV114" s="21">
        <f t="shared" si="1039"/>
        <v>19.384655174742168</v>
      </c>
      <c r="CW114" s="21">
        <f t="shared" si="1039"/>
        <v>19.602497338577102</v>
      </c>
      <c r="CX114" s="21">
        <f t="shared" si="1039"/>
        <v>19.751332483115696</v>
      </c>
      <c r="CY114" s="21">
        <f t="shared" si="1039"/>
        <v>19.900950525316571</v>
      </c>
      <c r="CZ114" s="21">
        <f t="shared" si="1039"/>
        <v>20.070544865124315</v>
      </c>
      <c r="DA114" s="21">
        <f t="shared" si="1039"/>
        <v>20.221135527255136</v>
      </c>
      <c r="DB114" s="21">
        <f t="shared" si="1039"/>
        <v>20.3112960080006</v>
      </c>
      <c r="DE114" s="22"/>
      <c r="DF114" s="162">
        <v>18.330713122433718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5</v>
      </c>
      <c r="K117" s="23">
        <f>'Annual Raw'!L41</f>
        <v>29.877551</v>
      </c>
      <c r="L117" s="23">
        <f>'Annual Raw'!M41</f>
        <v>54.877550999999997</v>
      </c>
      <c r="M117" s="23">
        <f>'Annual Raw'!N41</f>
        <v>54.877550999999997</v>
      </c>
      <c r="N117" s="23">
        <f>'Annual Raw'!O41</f>
        <v>54.877550999999997</v>
      </c>
      <c r="O117" s="23">
        <f>'Annual Raw'!P41</f>
        <v>54.877550999999997</v>
      </c>
      <c r="P117" s="23">
        <f>'Annual Raw'!Q41</f>
        <v>55.664003000000001</v>
      </c>
      <c r="Q117" s="23">
        <f>'Annual Raw'!R41</f>
        <v>55.664003000000001</v>
      </c>
      <c r="R117" s="23">
        <f>'Annual Raw'!S41</f>
        <v>55.589846000000001</v>
      </c>
      <c r="S117" s="23">
        <f>'Annual Raw'!T41</f>
        <v>51.189846000000003</v>
      </c>
      <c r="T117" s="23">
        <f>'Annual Raw'!U41</f>
        <v>43.69</v>
      </c>
      <c r="U117" s="23">
        <f>'Annual Raw'!V41</f>
        <v>43.69</v>
      </c>
      <c r="V117" s="23">
        <f>'Annual Raw'!W41</f>
        <v>43.69</v>
      </c>
      <c r="W117" s="23">
        <f>'Annual Raw'!X41</f>
        <v>43.69</v>
      </c>
      <c r="X117" s="23">
        <f>'Annual Raw'!Y41</f>
        <v>37.487000000000002</v>
      </c>
      <c r="Y117" s="23">
        <f>'Annual Raw'!Z41</f>
        <v>40.42</v>
      </c>
      <c r="Z117" s="23">
        <f>'Annual Raw'!AA41</f>
        <v>40.661999999999999</v>
      </c>
      <c r="AA117" s="23">
        <f>'Annual Raw'!AB41</f>
        <v>41.021999999999998</v>
      </c>
      <c r="AB117" s="24">
        <f>+CP117</f>
        <v>41.021999999999998</v>
      </c>
      <c r="AC117" s="24">
        <f>+CT117</f>
        <v>41.021999999999998</v>
      </c>
      <c r="AD117" s="24">
        <f>+CX117</f>
        <v>41.021999999999998</v>
      </c>
      <c r="AE117" s="24">
        <f>+DB117</f>
        <v>41.021999999999998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0</v>
      </c>
      <c r="BC117" s="23">
        <f t="shared" si="1040"/>
        <v>0</v>
      </c>
      <c r="BD117" s="23">
        <f>+'QTR Raw'!X56</f>
        <v>0</v>
      </c>
      <c r="BE117" s="23">
        <f t="shared" si="1040"/>
        <v>0</v>
      </c>
      <c r="BF117" s="23">
        <f>+'QTR Raw'!Z56</f>
        <v>0</v>
      </c>
      <c r="BG117" s="23">
        <f t="shared" si="1040"/>
        <v>0</v>
      </c>
      <c r="BH117" s="23">
        <f>+'QTR Raw'!AB56</f>
        <v>0</v>
      </c>
      <c r="BI117" s="23">
        <f t="shared" si="1040"/>
        <v>0</v>
      </c>
      <c r="BJ117" s="23">
        <f>+'QTR Raw'!AD56</f>
        <v>0</v>
      </c>
      <c r="BK117" s="23">
        <f t="shared" si="1040"/>
        <v>0</v>
      </c>
      <c r="BL117" s="23">
        <f>+'QTR Raw'!AF56</f>
        <v>0</v>
      </c>
      <c r="BM117" s="23">
        <f t="shared" si="1040"/>
        <v>0</v>
      </c>
      <c r="BN117" s="23">
        <f>+'QTR Raw'!AH56</f>
        <v>0</v>
      </c>
      <c r="BO117" s="23">
        <f t="shared" si="1040"/>
        <v>0</v>
      </c>
      <c r="BP117" s="23">
        <f>+'QTR Raw'!AJ56</f>
        <v>0</v>
      </c>
      <c r="BQ117" s="23">
        <f t="shared" si="1040"/>
        <v>0</v>
      </c>
      <c r="BR117" s="23">
        <f>+'QTR Raw'!AL56</f>
        <v>35.090000000000003</v>
      </c>
      <c r="BS117" s="23">
        <f t="shared" si="1040"/>
        <v>35.090000000000003</v>
      </c>
      <c r="BT117" s="23">
        <f>+'QTR Raw'!AN56</f>
        <v>0</v>
      </c>
      <c r="BU117" s="23">
        <f t="shared" si="1040"/>
        <v>0</v>
      </c>
      <c r="BV117" s="23">
        <f>+'QTR Raw'!AP56</f>
        <v>35.090000000000003</v>
      </c>
      <c r="BW117" s="23">
        <f t="shared" si="1040"/>
        <v>35.090000000000003</v>
      </c>
      <c r="BX117" s="23">
        <f>+'QTR Raw'!AR56</f>
        <v>39.036000000000001</v>
      </c>
      <c r="BY117" s="23">
        <f t="shared" si="1040"/>
        <v>39.036000000000001</v>
      </c>
      <c r="BZ117" s="23">
        <f>+'QTR Raw'!AT56</f>
        <v>37.487000000000002</v>
      </c>
      <c r="CA117" s="23">
        <f t="shared" si="1040"/>
        <v>37.487000000000002</v>
      </c>
      <c r="CB117" s="23">
        <f>+'QTR Raw'!AV56</f>
        <v>37.865000000000002</v>
      </c>
      <c r="CC117" s="23">
        <f t="shared" si="1040"/>
        <v>37.865000000000002</v>
      </c>
      <c r="CD117" s="23">
        <f>+'QTR Raw'!AX56</f>
        <v>40.42</v>
      </c>
      <c r="CE117" s="23">
        <f t="shared" si="1040"/>
        <v>40.42</v>
      </c>
      <c r="CF117" s="23">
        <f>+'QTR Raw'!AZ56</f>
        <v>40.533999999999999</v>
      </c>
      <c r="CG117" s="23">
        <f t="shared" ref="CG117:CG118" si="1041">+CF117</f>
        <v>40.533999999999999</v>
      </c>
      <c r="CH117" s="23">
        <f>Z117</f>
        <v>40.661999999999999</v>
      </c>
      <c r="CI117" s="23">
        <f>CH117</f>
        <v>40.661999999999999</v>
      </c>
      <c r="CJ117" s="23">
        <f>+'QTR Raw'!BD56</f>
        <v>40.844999999999999</v>
      </c>
      <c r="CK117" s="24">
        <f t="shared" ref="CK117:DB117" si="1042">CJ117</f>
        <v>40.844999999999999</v>
      </c>
      <c r="CL117" s="23">
        <f>+'QTR Raw'!BF56</f>
        <v>41.021999999999998</v>
      </c>
      <c r="CM117" s="24">
        <f t="shared" si="1042"/>
        <v>41.021999999999998</v>
      </c>
      <c r="CN117" s="24">
        <f t="shared" si="1042"/>
        <v>41.021999999999998</v>
      </c>
      <c r="CO117" s="24">
        <f t="shared" si="1042"/>
        <v>41.021999999999998</v>
      </c>
      <c r="CP117" s="24">
        <f t="shared" si="1042"/>
        <v>41.021999999999998</v>
      </c>
      <c r="CQ117" s="24">
        <f t="shared" si="1042"/>
        <v>41.021999999999998</v>
      </c>
      <c r="CR117" s="24">
        <f t="shared" si="1042"/>
        <v>41.021999999999998</v>
      </c>
      <c r="CS117" s="24">
        <f t="shared" si="1042"/>
        <v>41.021999999999998</v>
      </c>
      <c r="CT117" s="24">
        <f t="shared" si="1042"/>
        <v>41.021999999999998</v>
      </c>
      <c r="CU117" s="24">
        <f t="shared" si="1042"/>
        <v>41.021999999999998</v>
      </c>
      <c r="CV117" s="24">
        <f t="shared" si="1042"/>
        <v>41.021999999999998</v>
      </c>
      <c r="CW117" s="24">
        <f t="shared" si="1042"/>
        <v>41.021999999999998</v>
      </c>
      <c r="CX117" s="24">
        <f t="shared" si="1042"/>
        <v>41.021999999999998</v>
      </c>
      <c r="CY117" s="24">
        <f t="shared" si="1042"/>
        <v>41.021999999999998</v>
      </c>
      <c r="CZ117" s="24">
        <f t="shared" si="1042"/>
        <v>41.021999999999998</v>
      </c>
      <c r="DA117" s="24">
        <f t="shared" si="1042"/>
        <v>41.021999999999998</v>
      </c>
      <c r="DB117" s="24">
        <f t="shared" si="1042"/>
        <v>41.021999999999998</v>
      </c>
      <c r="DE117" s="123"/>
      <c r="DF117" s="23">
        <v>41.021999999999998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11.7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0.52400000000000002</v>
      </c>
      <c r="X118" s="23">
        <f>'Annual Raw'!Y42</f>
        <v>2.7189999999999999</v>
      </c>
      <c r="Y118" s="23">
        <f>'Annual Raw'!Z42</f>
        <v>6.23</v>
      </c>
      <c r="Z118" s="23">
        <f>'Annual Raw'!AA42</f>
        <v>11.632</v>
      </c>
      <c r="AA118" s="23">
        <f>'Annual Raw'!AB42</f>
        <v>18.658999999999999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11.632</v>
      </c>
      <c r="CI118" s="23">
        <f>CH118</f>
        <v>11.632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0.70624030000000004</v>
      </c>
      <c r="K119" s="23">
        <f>'Annual Raw'!L43</f>
        <v>-2.0864611320000002</v>
      </c>
      <c r="L119" s="23">
        <f>'Annual Raw'!M43</f>
        <v>-2.0463216910000002</v>
      </c>
      <c r="M119" s="23">
        <f>'Annual Raw'!N43</f>
        <v>1.3873553999999999</v>
      </c>
      <c r="N119" s="23">
        <f>'Annual Raw'!O43</f>
        <v>2.5828245999999999</v>
      </c>
      <c r="O119" s="23">
        <f>'Annual Raw'!P43</f>
        <v>-4.8063773999999997</v>
      </c>
      <c r="P119" s="23">
        <f>'Annual Raw'!Q43</f>
        <v>-5.0450745000000001</v>
      </c>
      <c r="Q119" s="23">
        <f>'Annual Raw'!R43</f>
        <v>-1.2087737000000001</v>
      </c>
      <c r="R119" s="23">
        <f>'Annual Raw'!S43</f>
        <v>7.5180736000000001</v>
      </c>
      <c r="S119" s="23">
        <f>'Annual Raw'!T43</f>
        <v>15.148860000000001</v>
      </c>
      <c r="T119" s="23">
        <f>'Annual Raw'!U43</f>
        <v>31.952999999999999</v>
      </c>
      <c r="U119" s="23">
        <f>'Annual Raw'!V43</f>
        <v>48.45</v>
      </c>
      <c r="V119" s="23">
        <f>'Annual Raw'!W43</f>
        <v>63.667999999999999</v>
      </c>
      <c r="W119" s="23">
        <f>'Annual Raw'!X43</f>
        <v>108.592</v>
      </c>
      <c r="X119" s="23">
        <f>'Annual Raw'!Y43</f>
        <v>351.39</v>
      </c>
      <c r="Y119" s="23">
        <f>'Annual Raw'!Z43</f>
        <v>609.64300000000003</v>
      </c>
      <c r="Z119" s="23">
        <f>'Annual Raw'!AA43</f>
        <v>693.03200000000004</v>
      </c>
      <c r="AA119" s="23">
        <f>'Annual Raw'!AB43</f>
        <v>851.452</v>
      </c>
      <c r="AB119" s="24">
        <f t="shared" si="1043"/>
        <v>1012.327417093837</v>
      </c>
      <c r="AC119" s="24">
        <f t="shared" si="1044"/>
        <v>1219.8628574519898</v>
      </c>
      <c r="AD119" s="24">
        <f t="shared" si="1045"/>
        <v>1513.2638872808516</v>
      </c>
      <c r="AE119" s="24">
        <f t="shared" si="1046"/>
        <v>1920.1184443955331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72.268000000000001</v>
      </c>
      <c r="BS119" s="23">
        <f>+BR119+BS48</f>
        <v>81.792000000000002</v>
      </c>
      <c r="BT119" s="23">
        <f>+'QTR Raw'!AN58</f>
        <v>0</v>
      </c>
      <c r="BU119" s="23">
        <f>+BT119+BU48</f>
        <v>10.419999999999991</v>
      </c>
      <c r="BV119" s="23">
        <f>+'QTR Raw'!AP58</f>
        <v>117.71599999999999</v>
      </c>
      <c r="BW119" s="23">
        <f>+BV119+BW48</f>
        <v>131.602</v>
      </c>
      <c r="BX119" s="23">
        <f>+'QTR Raw'!AR58</f>
        <v>325.65100000000001</v>
      </c>
      <c r="BY119" s="23">
        <f>+BX119+BY48</f>
        <v>340.96800000000002</v>
      </c>
      <c r="BZ119" s="23">
        <f>+'QTR Raw'!AT58</f>
        <v>354.10899999999998</v>
      </c>
      <c r="CA119" s="23">
        <f>+BZ119+CA48</f>
        <v>369.68599999999998</v>
      </c>
      <c r="CB119" s="23">
        <f>+'QTR Raw'!AV58</f>
        <v>380.37200000000001</v>
      </c>
      <c r="CC119" s="23">
        <f>+CB119+CC48</f>
        <v>400.49900000000002</v>
      </c>
      <c r="CD119" s="23">
        <f>+'QTR Raw'!AX58</f>
        <v>615.87300000000005</v>
      </c>
      <c r="CE119" s="23">
        <f>+CD119+CE48</f>
        <v>633.72199999999998</v>
      </c>
      <c r="CF119" s="23">
        <f>+'QTR Raw'!AZ58</f>
        <v>649.10699999999997</v>
      </c>
      <c r="CG119" s="23">
        <f>+CF119+CG48</f>
        <v>670.07999999999993</v>
      </c>
      <c r="CH119" s="23">
        <f t="shared" si="1048"/>
        <v>693.03200000000004</v>
      </c>
      <c r="CI119" s="23">
        <f>CH119+CI48</f>
        <v>717.91600000000005</v>
      </c>
      <c r="CJ119" s="23">
        <f>+'QTR Raw'!BD58</f>
        <v>772.07399999999996</v>
      </c>
      <c r="CK119" s="24">
        <f t="shared" ref="CK119:DB119" si="1050">CJ119+CK48</f>
        <v>800.74099999999999</v>
      </c>
      <c r="CL119" s="23">
        <f>+'QTR Raw'!BF58</f>
        <v>870.11099999999999</v>
      </c>
      <c r="CM119" s="24">
        <f t="shared" si="1050"/>
        <v>899.01270822486936</v>
      </c>
      <c r="CN119" s="24">
        <f t="shared" si="1050"/>
        <v>933.02519746323662</v>
      </c>
      <c r="CO119" s="24">
        <f t="shared" si="1050"/>
        <v>971.76868250532482</v>
      </c>
      <c r="CP119" s="24">
        <f t="shared" si="1050"/>
        <v>1012.327417093837</v>
      </c>
      <c r="CQ119" s="24">
        <f t="shared" si="1050"/>
        <v>1055.5105068504731</v>
      </c>
      <c r="CR119" s="24">
        <f t="shared" si="1050"/>
        <v>1105.1832270645857</v>
      </c>
      <c r="CS119" s="24">
        <f t="shared" si="1050"/>
        <v>1161.5272698066951</v>
      </c>
      <c r="CT119" s="24">
        <f t="shared" si="1050"/>
        <v>1219.8628574519898</v>
      </c>
      <c r="CU119" s="24">
        <f t="shared" si="1050"/>
        <v>1281.7249173287794</v>
      </c>
      <c r="CV119" s="24">
        <f t="shared" si="1050"/>
        <v>1352.1435888947012</v>
      </c>
      <c r="CW119" s="24">
        <f t="shared" si="1050"/>
        <v>1431.4491462202948</v>
      </c>
      <c r="CX119" s="24">
        <f t="shared" si="1050"/>
        <v>1513.2638872808516</v>
      </c>
      <c r="CY119" s="24">
        <f t="shared" si="1050"/>
        <v>1599.7440415183737</v>
      </c>
      <c r="CZ119" s="24">
        <f t="shared" si="1050"/>
        <v>1697.5755975560717</v>
      </c>
      <c r="DA119" s="24">
        <f t="shared" si="1050"/>
        <v>1807.2140280142594</v>
      </c>
      <c r="DB119" s="24">
        <f t="shared" si="1050"/>
        <v>1920.1184443955331</v>
      </c>
      <c r="DE119" s="123"/>
      <c r="DF119" s="23">
        <v>870.11099999999999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0</v>
      </c>
      <c r="J120" s="22">
        <f t="shared" si="1051"/>
        <v>17.4062403</v>
      </c>
      <c r="K120" s="22">
        <f t="shared" si="1051"/>
        <v>27.791089868</v>
      </c>
      <c r="L120" s="22">
        <f t="shared" si="1051"/>
        <v>52.831229308999994</v>
      </c>
      <c r="M120" s="22">
        <f>M117+M118+M119</f>
        <v>56.264906399999994</v>
      </c>
      <c r="N120" s="22">
        <f t="shared" si="1051"/>
        <v>57.460375599999999</v>
      </c>
      <c r="O120" s="22">
        <f t="shared" si="1051"/>
        <v>50.071173599999995</v>
      </c>
      <c r="P120" s="22">
        <f t="shared" si="1051"/>
        <v>50.618928500000003</v>
      </c>
      <c r="Q120" s="22">
        <f t="shared" si="1051"/>
        <v>54.455229299999999</v>
      </c>
      <c r="R120" s="22">
        <f t="shared" si="1051"/>
        <v>63.107919600000002</v>
      </c>
      <c r="S120" s="22">
        <f t="shared" si="1051"/>
        <v>66.338706000000002</v>
      </c>
      <c r="T120" s="22">
        <f t="shared" si="1051"/>
        <v>75.643000000000001</v>
      </c>
      <c r="U120" s="22">
        <f t="shared" si="1051"/>
        <v>92.14</v>
      </c>
      <c r="V120" s="22">
        <f t="shared" si="1051"/>
        <v>107.358</v>
      </c>
      <c r="W120" s="22">
        <f t="shared" ref="W120" si="1052">W117+W118+W119</f>
        <v>152.80599999999998</v>
      </c>
      <c r="X120" s="22">
        <f t="shared" ref="X120:Y120" si="1053">X117+X118+X119</f>
        <v>391.596</v>
      </c>
      <c r="Y120" s="22">
        <f t="shared" si="1053"/>
        <v>656.29300000000001</v>
      </c>
      <c r="Z120" s="22">
        <f t="shared" ref="Z120:AA120" si="1054">Z117+Z118+Z119</f>
        <v>745.32600000000002</v>
      </c>
      <c r="AA120" s="22">
        <f t="shared" si="1054"/>
        <v>911.13300000000004</v>
      </c>
      <c r="AB120" s="21">
        <f t="shared" ref="AA120:AD120" si="1055">AB117+AB118+AB119</f>
        <v>1053.349417093837</v>
      </c>
      <c r="AC120" s="21">
        <f t="shared" si="1055"/>
        <v>1260.8848574519898</v>
      </c>
      <c r="AD120" s="21">
        <f t="shared" si="1055"/>
        <v>1554.2858872808515</v>
      </c>
      <c r="AE120" s="21">
        <f t="shared" ref="AE120" si="1056">AE117+AE118+AE119</f>
        <v>1961.140444395533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0</v>
      </c>
      <c r="BB120" s="22">
        <f t="shared" si="1061"/>
        <v>0</v>
      </c>
      <c r="BC120" s="22">
        <f t="shared" si="1061"/>
        <v>0</v>
      </c>
      <c r="BD120" s="22">
        <f t="shared" si="1061"/>
        <v>0</v>
      </c>
      <c r="BE120" s="22">
        <f t="shared" si="1061"/>
        <v>0</v>
      </c>
      <c r="BF120" s="22">
        <f t="shared" si="1061"/>
        <v>0</v>
      </c>
      <c r="BG120" s="22">
        <f t="shared" si="1061"/>
        <v>0</v>
      </c>
      <c r="BH120" s="22">
        <f t="shared" si="1061"/>
        <v>0</v>
      </c>
      <c r="BI120" s="22">
        <f t="shared" si="1061"/>
        <v>0</v>
      </c>
      <c r="BJ120" s="22">
        <f t="shared" si="1061"/>
        <v>0</v>
      </c>
      <c r="BK120" s="22">
        <f t="shared" si="1061"/>
        <v>0</v>
      </c>
      <c r="BL120" s="22">
        <f t="shared" si="1061"/>
        <v>0</v>
      </c>
      <c r="BM120" s="22">
        <f t="shared" si="1061"/>
        <v>0</v>
      </c>
      <c r="BN120" s="22">
        <f t="shared" si="1061"/>
        <v>0</v>
      </c>
      <c r="BO120" s="22">
        <f t="shared" si="1061"/>
        <v>0</v>
      </c>
      <c r="BP120" s="22">
        <f t="shared" si="1061"/>
        <v>0</v>
      </c>
      <c r="BQ120" s="22">
        <f t="shared" si="1061"/>
        <v>0</v>
      </c>
      <c r="BR120" s="22">
        <f t="shared" si="1061"/>
        <v>107.358</v>
      </c>
      <c r="BS120" s="22">
        <f t="shared" si="1061"/>
        <v>116.88200000000001</v>
      </c>
      <c r="BT120" s="22">
        <f t="shared" si="1061"/>
        <v>0</v>
      </c>
      <c r="BU120" s="22">
        <f t="shared" si="1061"/>
        <v>10.419999999999991</v>
      </c>
      <c r="BV120" s="22">
        <f t="shared" si="1061"/>
        <v>152.80599999999998</v>
      </c>
      <c r="BW120" s="22">
        <f t="shared" si="1061"/>
        <v>166.69200000000001</v>
      </c>
      <c r="BX120" s="22">
        <f t="shared" si="1061"/>
        <v>364.68700000000001</v>
      </c>
      <c r="BY120" s="22">
        <f t="shared" si="1061"/>
        <v>380.00400000000002</v>
      </c>
      <c r="BZ120" s="22">
        <f t="shared" si="1061"/>
        <v>391.596</v>
      </c>
      <c r="CA120" s="22">
        <f t="shared" si="1061"/>
        <v>407.173</v>
      </c>
      <c r="CB120" s="22">
        <f t="shared" si="1061"/>
        <v>418.23700000000002</v>
      </c>
      <c r="CC120" s="22">
        <f t="shared" si="1061"/>
        <v>438.36400000000003</v>
      </c>
      <c r="CD120" s="22">
        <f t="shared" si="1061"/>
        <v>656.29300000000001</v>
      </c>
      <c r="CE120" s="22">
        <f t="shared" si="1061"/>
        <v>674.14199999999994</v>
      </c>
      <c r="CF120" s="22">
        <f t="shared" ref="CF120:CG120" si="1062">CF117+CF118+CF119</f>
        <v>689.64099999999996</v>
      </c>
      <c r="CG120" s="22">
        <f t="shared" si="1062"/>
        <v>710.61399999999992</v>
      </c>
      <c r="CH120" s="22">
        <f t="shared" ref="CH120:CI120" si="1063">CH117+CH118+CH119</f>
        <v>745.32600000000002</v>
      </c>
      <c r="CI120" s="22">
        <f t="shared" si="1063"/>
        <v>770.21</v>
      </c>
      <c r="CJ120" s="22">
        <f t="shared" ref="CJ120:DB120" si="1064">CJ117+CJ118+CJ119</f>
        <v>812.91899999999998</v>
      </c>
      <c r="CK120" s="21">
        <f t="shared" si="1064"/>
        <v>841.58600000000001</v>
      </c>
      <c r="CL120" s="22">
        <f t="shared" ref="CL120" si="1065">CL117+CL118+CL119</f>
        <v>911.13300000000004</v>
      </c>
      <c r="CM120" s="21">
        <f t="shared" si="1064"/>
        <v>940.03470822486941</v>
      </c>
      <c r="CN120" s="21">
        <f t="shared" si="1064"/>
        <v>974.04719746323667</v>
      </c>
      <c r="CO120" s="21">
        <f t="shared" si="1064"/>
        <v>1012.7906825053249</v>
      </c>
      <c r="CP120" s="21">
        <f t="shared" si="1064"/>
        <v>1053.349417093837</v>
      </c>
      <c r="CQ120" s="21">
        <f t="shared" si="1064"/>
        <v>1096.5325068504731</v>
      </c>
      <c r="CR120" s="21">
        <f t="shared" si="1064"/>
        <v>1146.2052270645856</v>
      </c>
      <c r="CS120" s="21">
        <f t="shared" si="1064"/>
        <v>1202.5492698066951</v>
      </c>
      <c r="CT120" s="21">
        <f t="shared" si="1064"/>
        <v>1260.8848574519898</v>
      </c>
      <c r="CU120" s="21">
        <f t="shared" si="1064"/>
        <v>1322.7469173287793</v>
      </c>
      <c r="CV120" s="21">
        <f t="shared" si="1064"/>
        <v>1393.1655888947012</v>
      </c>
      <c r="CW120" s="21">
        <f t="shared" si="1064"/>
        <v>1472.4711462202947</v>
      </c>
      <c r="CX120" s="21">
        <f t="shared" si="1064"/>
        <v>1554.2858872808515</v>
      </c>
      <c r="CY120" s="21">
        <f t="shared" si="1064"/>
        <v>1640.7660415183736</v>
      </c>
      <c r="CZ120" s="21">
        <f t="shared" si="1064"/>
        <v>1738.5975975560716</v>
      </c>
      <c r="DA120" s="21">
        <f t="shared" si="1064"/>
        <v>1848.2360280142593</v>
      </c>
      <c r="DB120" s="21">
        <f t="shared" si="1064"/>
        <v>1961.140444395533</v>
      </c>
      <c r="DE120" s="126"/>
      <c r="DF120" s="22">
        <v>911.13300000000004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0.93700000000000006</v>
      </c>
      <c r="V122" s="23">
        <f>'Annual Raw'!W45</f>
        <v>9.2590000000000003</v>
      </c>
      <c r="W122" s="23">
        <f>'Annual Raw'!X45</f>
        <v>1.296</v>
      </c>
      <c r="X122" s="23">
        <f>'Annual Raw'!Y45</f>
        <v>0.81799999999999995</v>
      </c>
      <c r="Y122" s="23">
        <f>'Annual Raw'!Z45</f>
        <v>5.782</v>
      </c>
      <c r="Z122" s="23">
        <f>'Annual Raw'!AA45</f>
        <v>1.954</v>
      </c>
      <c r="AA122" s="23">
        <f>'Annual Raw'!AB45</f>
        <v>1.4570000000000001</v>
      </c>
      <c r="AB122" s="24">
        <f>+CP122</f>
        <v>1.4570000000000001</v>
      </c>
      <c r="AC122" s="24">
        <f>+CT122</f>
        <v>1.4570000000000001</v>
      </c>
      <c r="AD122" s="24">
        <f>+CX122</f>
        <v>1.4570000000000001</v>
      </c>
      <c r="AE122" s="24">
        <f>+DB122</f>
        <v>1.4570000000000001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9.2590000000000003</v>
      </c>
      <c r="BS122" s="23">
        <f t="shared" si="1066"/>
        <v>9.2590000000000003</v>
      </c>
      <c r="BT122" s="23">
        <f>+'QTR Raw'!AN60</f>
        <v>0</v>
      </c>
      <c r="BU122" s="23">
        <f t="shared" si="1066"/>
        <v>0</v>
      </c>
      <c r="BV122" s="23">
        <f>+'QTR Raw'!AP60</f>
        <v>1.296</v>
      </c>
      <c r="BW122" s="23">
        <f t="shared" si="1066"/>
        <v>1.296</v>
      </c>
      <c r="BX122" s="23">
        <f>+'QTR Raw'!AR60</f>
        <v>1.478</v>
      </c>
      <c r="BY122" s="23">
        <f t="shared" si="1066"/>
        <v>1.478</v>
      </c>
      <c r="BZ122" s="23">
        <f>+'QTR Raw'!AT60</f>
        <v>0.81799999999999995</v>
      </c>
      <c r="CA122" s="23">
        <f t="shared" si="1066"/>
        <v>0.81799999999999995</v>
      </c>
      <c r="CB122" s="23">
        <f>+'QTR Raw'!AV60</f>
        <v>5.97</v>
      </c>
      <c r="CC122" s="23">
        <f t="shared" si="1066"/>
        <v>5.97</v>
      </c>
      <c r="CD122" s="23">
        <f>+'QTR Raw'!AX60</f>
        <v>5.782</v>
      </c>
      <c r="CE122" s="23">
        <f t="shared" si="1066"/>
        <v>5.782</v>
      </c>
      <c r="CF122" s="23">
        <f>+'QTR Raw'!AZ60</f>
        <v>2.6640000000000001</v>
      </c>
      <c r="CG122" s="23">
        <f t="shared" ref="CG122:CI122" si="1067">+CF122</f>
        <v>2.6640000000000001</v>
      </c>
      <c r="CH122" s="23">
        <f t="shared" ref="CH122:CH127" si="1068">Z122</f>
        <v>1.954</v>
      </c>
      <c r="CI122" s="23">
        <f t="shared" si="1067"/>
        <v>1.954</v>
      </c>
      <c r="CJ122" s="23">
        <f>+'QTR Raw'!BD60</f>
        <v>3.2679999999999998</v>
      </c>
      <c r="CK122" s="24">
        <f t="shared" ref="CK122" si="1069">+CJ122</f>
        <v>3.2679999999999998</v>
      </c>
      <c r="CL122" s="23">
        <f>+'QTR Raw'!BF60</f>
        <v>1.4570000000000001</v>
      </c>
      <c r="CM122" s="24">
        <f t="shared" ref="CM122" si="1070">+CL122</f>
        <v>1.4570000000000001</v>
      </c>
      <c r="CN122" s="24">
        <f t="shared" ref="CN122" si="1071">+CM122</f>
        <v>1.4570000000000001</v>
      </c>
      <c r="CO122" s="24">
        <f t="shared" ref="CO122" si="1072">+CN122</f>
        <v>1.4570000000000001</v>
      </c>
      <c r="CP122" s="24">
        <f t="shared" ref="CP122" si="1073">+CO122</f>
        <v>1.4570000000000001</v>
      </c>
      <c r="CQ122" s="24">
        <f t="shared" ref="CQ122" si="1074">+CP122</f>
        <v>1.4570000000000001</v>
      </c>
      <c r="CR122" s="24">
        <f t="shared" ref="CR122" si="1075">+CQ122</f>
        <v>1.4570000000000001</v>
      </c>
      <c r="CS122" s="24">
        <f t="shared" ref="CS122" si="1076">+CR122</f>
        <v>1.4570000000000001</v>
      </c>
      <c r="CT122" s="24">
        <f t="shared" ref="CT122" si="1077">+CS122</f>
        <v>1.4570000000000001</v>
      </c>
      <c r="CU122" s="24">
        <f t="shared" ref="CU122" si="1078">+CT122</f>
        <v>1.4570000000000001</v>
      </c>
      <c r="CV122" s="24">
        <f t="shared" ref="CV122" si="1079">+CU122</f>
        <v>1.4570000000000001</v>
      </c>
      <c r="CW122" s="24">
        <f t="shared" ref="CW122" si="1080">+CV122</f>
        <v>1.4570000000000001</v>
      </c>
      <c r="CX122" s="24">
        <f t="shared" ref="CX122" si="1081">+CW122</f>
        <v>1.4570000000000001</v>
      </c>
      <c r="CY122" s="24">
        <f t="shared" ref="CY122" si="1082">+CX122</f>
        <v>1.4570000000000001</v>
      </c>
      <c r="CZ122" s="24">
        <f t="shared" ref="CZ122" si="1083">+CY122</f>
        <v>1.4570000000000001</v>
      </c>
      <c r="DA122" s="24">
        <f t="shared" ref="DA122" si="1084">+CZ122</f>
        <v>1.4570000000000001</v>
      </c>
      <c r="DB122" s="24">
        <f t="shared" ref="DB122" si="1085">+DA122</f>
        <v>1.4570000000000001</v>
      </c>
      <c r="DE122" s="123"/>
      <c r="DF122" s="23">
        <v>1.4570000000000001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0.19510189999999999</v>
      </c>
      <c r="N124" s="23">
        <f>'Annual Raw'!O47</f>
        <v>0.1240919</v>
      </c>
      <c r="O124" s="23">
        <f>'Annual Raw'!P47</f>
        <v>0.21843799999999999</v>
      </c>
      <c r="P124" s="23">
        <f>'Annual Raw'!Q47</f>
        <v>0.13839090000000001</v>
      </c>
      <c r="Q124" s="23">
        <f>'Annual Raw'!R47</f>
        <v>8.8702299999999998E-2</v>
      </c>
      <c r="R124" s="23">
        <f>'Annual Raw'!S47</f>
        <v>0</v>
      </c>
      <c r="S124" s="23">
        <f>'Annual Raw'!T47</f>
        <v>3.4125999999999999</v>
      </c>
      <c r="T124" s="23">
        <f>'Annual Raw'!U47</f>
        <v>18.577999999999999</v>
      </c>
      <c r="U124" s="23">
        <f>'Annual Raw'!V47</f>
        <v>26.940999999999999</v>
      </c>
      <c r="V124" s="23">
        <f>'Annual Raw'!W47</f>
        <v>22.091000000000001</v>
      </c>
      <c r="W124" s="23">
        <f>'Annual Raw'!X47</f>
        <v>19.768999999999998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12.988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5.9325000000000003E-2</v>
      </c>
      <c r="N125" s="23">
        <f>'Annual Raw'!O48</f>
        <v>2.2125905000000001</v>
      </c>
      <c r="O125" s="23">
        <f>'Annual Raw'!P48</f>
        <v>3.2608481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12.988</v>
      </c>
      <c r="AC125" s="24">
        <f t="shared" si="1087"/>
        <v>12.988</v>
      </c>
      <c r="AD125" s="24">
        <f t="shared" si="1088"/>
        <v>12.988</v>
      </c>
      <c r="AE125" s="24">
        <f t="shared" si="1089"/>
        <v>12.988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22.091000000000001</v>
      </c>
      <c r="BS125" s="23">
        <f t="shared" si="1090"/>
        <v>22.091000000000001</v>
      </c>
      <c r="BT125" s="23">
        <f>+'QTR Raw'!AN63</f>
        <v>0</v>
      </c>
      <c r="BU125" s="23">
        <f t="shared" si="1090"/>
        <v>0</v>
      </c>
      <c r="BV125" s="23">
        <f>+'QTR Raw'!AP63</f>
        <v>19.768999999999998</v>
      </c>
      <c r="BW125" s="23">
        <f t="shared" si="1090"/>
        <v>19.768999999999998</v>
      </c>
      <c r="BX125" s="23">
        <f>+'QTR Raw'!AR63</f>
        <v>0</v>
      </c>
      <c r="BY125" s="23">
        <f t="shared" si="1090"/>
        <v>0</v>
      </c>
      <c r="BZ125" s="23">
        <f>+'QTR Raw'!AT63</f>
        <v>0</v>
      </c>
      <c r="CA125" s="23">
        <f t="shared" si="1090"/>
        <v>0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12.988</v>
      </c>
      <c r="CM125" s="24">
        <f t="shared" si="1094"/>
        <v>12.988</v>
      </c>
      <c r="CN125" s="24">
        <f t="shared" si="1095"/>
        <v>12.988</v>
      </c>
      <c r="CO125" s="24">
        <f t="shared" si="1096"/>
        <v>12.988</v>
      </c>
      <c r="CP125" s="24">
        <f t="shared" si="1097"/>
        <v>12.988</v>
      </c>
      <c r="CQ125" s="24">
        <f t="shared" si="1098"/>
        <v>12.988</v>
      </c>
      <c r="CR125" s="24">
        <f t="shared" si="1099"/>
        <v>12.988</v>
      </c>
      <c r="CS125" s="24">
        <f t="shared" si="1100"/>
        <v>12.988</v>
      </c>
      <c r="CT125" s="24">
        <f t="shared" si="1101"/>
        <v>12.988</v>
      </c>
      <c r="CU125" s="24">
        <f t="shared" si="1102"/>
        <v>12.988</v>
      </c>
      <c r="CV125" s="24">
        <f t="shared" si="1103"/>
        <v>12.988</v>
      </c>
      <c r="CW125" s="24">
        <f t="shared" si="1104"/>
        <v>12.988</v>
      </c>
      <c r="CX125" s="24">
        <f t="shared" si="1105"/>
        <v>12.988</v>
      </c>
      <c r="CY125" s="24">
        <f t="shared" si="1106"/>
        <v>12.988</v>
      </c>
      <c r="CZ125" s="24">
        <f t="shared" si="1107"/>
        <v>12.988</v>
      </c>
      <c r="DA125" s="24">
        <f t="shared" si="1108"/>
        <v>12.988</v>
      </c>
      <c r="DB125" s="24">
        <f t="shared" si="1109"/>
        <v>12.988</v>
      </c>
      <c r="DE125" s="123"/>
      <c r="DF125" s="23">
        <v>12.988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4.2468100000000002E-2</v>
      </c>
      <c r="Q126" s="23">
        <f>'Annual Raw'!R87+'Annual Raw'!R88+'Annual Raw'!R89+'Annual Raw'!R90</f>
        <v>4.9423300000000003E-2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1.2869999999999999</v>
      </c>
      <c r="U126" s="23">
        <f>'Annual Raw'!V87+'Annual Raw'!V88+'Annual Raw'!V89+'Annual Raw'!V90</f>
        <v>2.016</v>
      </c>
      <c r="V126" s="23">
        <f>'Annual Raw'!W87+'Annual Raw'!W88+'Annual Raw'!W89+'Annual Raw'!W90</f>
        <v>5.0940000000000003</v>
      </c>
      <c r="W126" s="23">
        <f>'Annual Raw'!X87+'Annual Raw'!X88+'Annual Raw'!X89+'Annual Raw'!X90</f>
        <v>9.0340000000000007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2.5979999999999999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2.0147073999999998</v>
      </c>
      <c r="N127" s="23">
        <f>'Annual Raw'!O56</f>
        <v>0</v>
      </c>
      <c r="O127" s="23">
        <f>'Annual Raw'!P56</f>
        <v>0</v>
      </c>
      <c r="P127" s="23">
        <f>'Annual Raw'!Q56</f>
        <v>1.5641388000000001</v>
      </c>
      <c r="Q127" s="23">
        <f>'Annual Raw'!R56</f>
        <v>0</v>
      </c>
      <c r="R127" s="23">
        <f>'Annual Raw'!S56</f>
        <v>5.6726296999999999</v>
      </c>
      <c r="S127" s="23">
        <f>'Annual Raw'!T56</f>
        <v>4.8745400999999999</v>
      </c>
      <c r="T127" s="23">
        <f>'Annual Raw'!U56</f>
        <v>7.6959999999999997</v>
      </c>
      <c r="U127" s="23">
        <f>'Annual Raw'!V56</f>
        <v>12.502000000000001</v>
      </c>
      <c r="V127" s="23">
        <f>'Annual Raw'!W56</f>
        <v>8.7149999999999999</v>
      </c>
      <c r="W127" s="23">
        <f>'Annual Raw'!X56</f>
        <v>25.588000000000001</v>
      </c>
      <c r="X127" s="23">
        <f>'Annual Raw'!Y56</f>
        <v>15.65</v>
      </c>
      <c r="Y127" s="23">
        <f>'Annual Raw'!Z56</f>
        <v>7.4710000000000001</v>
      </c>
      <c r="Z127" s="23">
        <f>'Annual Raw'!AA56</f>
        <v>0</v>
      </c>
      <c r="AA127" s="23">
        <f>'Annual Raw'!AB56</f>
        <v>8.2870000000000008</v>
      </c>
      <c r="AB127" s="24">
        <f t="shared" si="1086"/>
        <v>10.885</v>
      </c>
      <c r="AC127" s="24">
        <f t="shared" si="1087"/>
        <v>10.885</v>
      </c>
      <c r="AD127" s="24">
        <f t="shared" si="1088"/>
        <v>10.885</v>
      </c>
      <c r="AE127" s="24">
        <f t="shared" si="1089"/>
        <v>10.885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8.7149999999999999</v>
      </c>
      <c r="BS127" s="23">
        <f t="shared" si="1090"/>
        <v>8.7149999999999999</v>
      </c>
      <c r="BT127" s="23">
        <f>+'QTR Raw'!AN88</f>
        <v>0</v>
      </c>
      <c r="BU127" s="23">
        <f t="shared" si="1090"/>
        <v>0</v>
      </c>
      <c r="BV127" s="23">
        <f>+'QTR Raw'!AP88</f>
        <v>34.622</v>
      </c>
      <c r="BW127" s="23">
        <f t="shared" si="1090"/>
        <v>34.622</v>
      </c>
      <c r="BX127" s="23">
        <f>+'QTR Raw'!AR88</f>
        <v>19.785</v>
      </c>
      <c r="BY127" s="23">
        <f t="shared" si="1090"/>
        <v>19.785</v>
      </c>
      <c r="BZ127" s="23">
        <f>+'QTR Raw'!AT88</f>
        <v>15.65</v>
      </c>
      <c r="CA127" s="23">
        <f t="shared" si="1090"/>
        <v>15.65</v>
      </c>
      <c r="CB127" s="23">
        <f>+'QTR Raw'!AV88</f>
        <v>17.437000000000001</v>
      </c>
      <c r="CC127" s="23">
        <f t="shared" si="1090"/>
        <v>17.437000000000001</v>
      </c>
      <c r="CD127" s="23">
        <f>+'QTR Raw'!AX88</f>
        <v>7.4710000000000001</v>
      </c>
      <c r="CE127" s="23">
        <f t="shared" si="1091"/>
        <v>7.4710000000000001</v>
      </c>
      <c r="CF127" s="23">
        <f>+'QTR Raw'!AZ88</f>
        <v>0</v>
      </c>
      <c r="CG127" s="23">
        <f t="shared" si="1092"/>
        <v>0</v>
      </c>
      <c r="CH127" s="23">
        <f t="shared" si="1068"/>
        <v>0</v>
      </c>
      <c r="CI127" s="23">
        <f t="shared" si="1092"/>
        <v>0</v>
      </c>
      <c r="CJ127" s="23">
        <f>+'QTR Raw'!BD88</f>
        <v>16.475000000000001</v>
      </c>
      <c r="CK127" s="24">
        <f t="shared" si="1093"/>
        <v>16.475000000000001</v>
      </c>
      <c r="CL127" s="23">
        <f>+'QTR Raw'!BF88</f>
        <v>10.885</v>
      </c>
      <c r="CM127" s="24">
        <f t="shared" si="1094"/>
        <v>10.885</v>
      </c>
      <c r="CN127" s="24">
        <f t="shared" si="1095"/>
        <v>10.885</v>
      </c>
      <c r="CO127" s="24">
        <f t="shared" si="1096"/>
        <v>10.885</v>
      </c>
      <c r="CP127" s="24">
        <f t="shared" si="1097"/>
        <v>10.885</v>
      </c>
      <c r="CQ127" s="24">
        <f t="shared" si="1098"/>
        <v>10.885</v>
      </c>
      <c r="CR127" s="24">
        <f t="shared" si="1099"/>
        <v>10.885</v>
      </c>
      <c r="CS127" s="24">
        <f t="shared" si="1100"/>
        <v>10.885</v>
      </c>
      <c r="CT127" s="24">
        <f t="shared" si="1101"/>
        <v>10.885</v>
      </c>
      <c r="CU127" s="24">
        <f t="shared" si="1102"/>
        <v>10.885</v>
      </c>
      <c r="CV127" s="24">
        <f t="shared" si="1103"/>
        <v>10.885</v>
      </c>
      <c r="CW127" s="24">
        <f t="shared" si="1104"/>
        <v>10.885</v>
      </c>
      <c r="CX127" s="24">
        <f t="shared" si="1105"/>
        <v>10.885</v>
      </c>
      <c r="CY127" s="24">
        <f t="shared" si="1106"/>
        <v>10.885</v>
      </c>
      <c r="CZ127" s="24">
        <f t="shared" si="1107"/>
        <v>10.885</v>
      </c>
      <c r="DA127" s="24">
        <f t="shared" si="1108"/>
        <v>10.885</v>
      </c>
      <c r="DB127" s="24">
        <f t="shared" si="1109"/>
        <v>10.885</v>
      </c>
      <c r="DE127" s="123"/>
      <c r="DF127" s="23">
        <v>10.885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2.2691342999999997</v>
      </c>
      <c r="N128" s="22">
        <f t="shared" si="1110"/>
        <v>2.3366823999999999</v>
      </c>
      <c r="O128" s="22">
        <f t="shared" si="1110"/>
        <v>3.4792860999999999</v>
      </c>
      <c r="P128" s="22">
        <f t="shared" si="1110"/>
        <v>1.7449978000000002</v>
      </c>
      <c r="Q128" s="22">
        <f t="shared" si="1110"/>
        <v>0.13812560000000002</v>
      </c>
      <c r="R128" s="22">
        <f t="shared" si="1110"/>
        <v>5.6726296999999999</v>
      </c>
      <c r="S128" s="22">
        <f t="shared" si="1110"/>
        <v>8.2871401000000002</v>
      </c>
      <c r="T128" s="22">
        <f t="shared" si="1110"/>
        <v>27.561</v>
      </c>
      <c r="U128" s="22">
        <f t="shared" si="1110"/>
        <v>41.459000000000003</v>
      </c>
      <c r="V128" s="22">
        <f t="shared" si="1110"/>
        <v>35.900000000000006</v>
      </c>
      <c r="W128" s="22">
        <f t="shared" ref="W128" si="1111">SUM(W124:W127)</f>
        <v>54.390999999999998</v>
      </c>
      <c r="X128" s="22">
        <f t="shared" ref="X128:Y128" si="1112">SUM(X124:X127)</f>
        <v>15.65</v>
      </c>
      <c r="Y128" s="22">
        <f t="shared" si="1112"/>
        <v>7.4710000000000001</v>
      </c>
      <c r="Z128" s="22">
        <f t="shared" ref="Z128:AA128" si="1113">SUM(Z124:Z127)</f>
        <v>0</v>
      </c>
      <c r="AA128" s="22">
        <f t="shared" si="1113"/>
        <v>23.872999999999998</v>
      </c>
      <c r="AB128" s="21">
        <f t="shared" ref="AA128:AD128" si="1114">SUM(AB124:AB127)</f>
        <v>23.872999999999998</v>
      </c>
      <c r="AC128" s="21">
        <f t="shared" si="1114"/>
        <v>23.872999999999998</v>
      </c>
      <c r="AD128" s="21">
        <f t="shared" si="1114"/>
        <v>23.872999999999998</v>
      </c>
      <c r="AE128" s="21">
        <f t="shared" ref="AE128" si="1115">SUM(AE124:AE127)</f>
        <v>23.872999999999998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30.806000000000001</v>
      </c>
      <c r="BS128" s="22">
        <f t="shared" si="1120"/>
        <v>30.806000000000001</v>
      </c>
      <c r="BT128" s="22">
        <f t="shared" si="1120"/>
        <v>0</v>
      </c>
      <c r="BU128" s="22">
        <f t="shared" si="1120"/>
        <v>0</v>
      </c>
      <c r="BV128" s="22">
        <f t="shared" si="1120"/>
        <v>54.390999999999998</v>
      </c>
      <c r="BW128" s="22">
        <f t="shared" si="1120"/>
        <v>54.390999999999998</v>
      </c>
      <c r="BX128" s="22">
        <f t="shared" si="1120"/>
        <v>19.785</v>
      </c>
      <c r="BY128" s="22">
        <f t="shared" si="1120"/>
        <v>19.785</v>
      </c>
      <c r="BZ128" s="22">
        <f t="shared" si="1120"/>
        <v>15.65</v>
      </c>
      <c r="CA128" s="22">
        <f t="shared" si="1120"/>
        <v>15.65</v>
      </c>
      <c r="CB128" s="22">
        <f t="shared" si="1120"/>
        <v>17.437000000000001</v>
      </c>
      <c r="CC128" s="22">
        <f t="shared" si="1120"/>
        <v>17.437000000000001</v>
      </c>
      <c r="CD128" s="22">
        <f t="shared" si="1120"/>
        <v>7.4710000000000001</v>
      </c>
      <c r="CE128" s="22">
        <f t="shared" si="1120"/>
        <v>7.4710000000000001</v>
      </c>
      <c r="CF128" s="22">
        <f t="shared" ref="CF128:CG128" si="1122">SUM(CF124:CF127)</f>
        <v>0</v>
      </c>
      <c r="CG128" s="22">
        <f t="shared" si="1122"/>
        <v>0</v>
      </c>
      <c r="CH128" s="22">
        <f t="shared" ref="CH128:CI128" si="1123">SUM(CH124:CH127)</f>
        <v>0</v>
      </c>
      <c r="CI128" s="22">
        <f t="shared" si="1123"/>
        <v>0</v>
      </c>
      <c r="CJ128" s="22">
        <f t="shared" ref="CJ128:DB128" si="1124">SUM(CJ124:CJ127)</f>
        <v>16.475000000000001</v>
      </c>
      <c r="CK128" s="21">
        <f t="shared" si="1124"/>
        <v>16.475000000000001</v>
      </c>
      <c r="CL128" s="22">
        <f t="shared" ref="CL128" si="1125">SUM(CL124:CL127)</f>
        <v>23.872999999999998</v>
      </c>
      <c r="CM128" s="21">
        <f t="shared" si="1124"/>
        <v>23.872999999999998</v>
      </c>
      <c r="CN128" s="21">
        <f t="shared" si="1124"/>
        <v>23.872999999999998</v>
      </c>
      <c r="CO128" s="21">
        <f t="shared" si="1124"/>
        <v>23.872999999999998</v>
      </c>
      <c r="CP128" s="21">
        <f t="shared" si="1124"/>
        <v>23.872999999999998</v>
      </c>
      <c r="CQ128" s="21">
        <f t="shared" si="1124"/>
        <v>23.872999999999998</v>
      </c>
      <c r="CR128" s="21">
        <f t="shared" si="1124"/>
        <v>23.872999999999998</v>
      </c>
      <c r="CS128" s="21">
        <f t="shared" si="1124"/>
        <v>23.872999999999998</v>
      </c>
      <c r="CT128" s="21">
        <f t="shared" si="1124"/>
        <v>23.872999999999998</v>
      </c>
      <c r="CU128" s="21">
        <f t="shared" si="1124"/>
        <v>23.872999999999998</v>
      </c>
      <c r="CV128" s="21">
        <f t="shared" si="1124"/>
        <v>23.872999999999998</v>
      </c>
      <c r="CW128" s="21">
        <f t="shared" si="1124"/>
        <v>23.872999999999998</v>
      </c>
      <c r="CX128" s="21">
        <f t="shared" si="1124"/>
        <v>23.872999999999998</v>
      </c>
      <c r="CY128" s="21">
        <f t="shared" si="1124"/>
        <v>23.872999999999998</v>
      </c>
      <c r="CZ128" s="21">
        <f t="shared" si="1124"/>
        <v>23.872999999999998</v>
      </c>
      <c r="DA128" s="21">
        <f t="shared" si="1124"/>
        <v>23.872999999999998</v>
      </c>
      <c r="DB128" s="21">
        <f t="shared" si="1124"/>
        <v>23.872999999999998</v>
      </c>
      <c r="DE128" s="126"/>
      <c r="DF128" s="22">
        <v>23.872999999999998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0</v>
      </c>
      <c r="J129" s="26">
        <f t="shared" si="1126"/>
        <v>17.4062403</v>
      </c>
      <c r="K129" s="26">
        <f t="shared" si="1126"/>
        <v>27.791089868</v>
      </c>
      <c r="L129" s="26">
        <f t="shared" si="1126"/>
        <v>52.831229308999994</v>
      </c>
      <c r="M129" s="26">
        <f t="shared" si="1126"/>
        <v>58.534040699999991</v>
      </c>
      <c r="N129" s="26">
        <f t="shared" si="1126"/>
        <v>59.797058</v>
      </c>
      <c r="O129" s="26">
        <f t="shared" si="1126"/>
        <v>53.550459699999998</v>
      </c>
      <c r="P129" s="26">
        <f t="shared" si="1126"/>
        <v>52.363926300000003</v>
      </c>
      <c r="Q129" s="26">
        <f t="shared" si="1126"/>
        <v>54.593354900000001</v>
      </c>
      <c r="R129" s="26">
        <f t="shared" si="1126"/>
        <v>68.780549300000004</v>
      </c>
      <c r="S129" s="26">
        <f t="shared" si="1126"/>
        <v>74.625846100000004</v>
      </c>
      <c r="T129" s="26">
        <f t="shared" si="1126"/>
        <v>103.20400000000001</v>
      </c>
      <c r="U129" s="26">
        <f t="shared" si="1126"/>
        <v>134.536</v>
      </c>
      <c r="V129" s="26">
        <f t="shared" si="1126"/>
        <v>152.517</v>
      </c>
      <c r="W129" s="26">
        <f t="shared" ref="W129" si="1127">W128+W120+W122</f>
        <v>208.49299999999997</v>
      </c>
      <c r="X129" s="26">
        <f t="shared" ref="X129:Y129" si="1128">X128+X120+X122</f>
        <v>408.06399999999996</v>
      </c>
      <c r="Y129" s="26">
        <f t="shared" si="1128"/>
        <v>669.54600000000005</v>
      </c>
      <c r="Z129" s="26">
        <f t="shared" ref="Z129:AA129" si="1129">Z128+Z120+Z122</f>
        <v>747.28</v>
      </c>
      <c r="AA129" s="26">
        <f t="shared" si="1129"/>
        <v>936.46300000000008</v>
      </c>
      <c r="AB129" s="27">
        <f t="shared" ref="AA129:AD129" si="1130">AB128+AB120+AB122</f>
        <v>1078.6794170938372</v>
      </c>
      <c r="AC129" s="27">
        <f t="shared" si="1130"/>
        <v>1286.2148574519899</v>
      </c>
      <c r="AD129" s="27">
        <f t="shared" si="1130"/>
        <v>1579.6158872808517</v>
      </c>
      <c r="AE129" s="27">
        <f t="shared" ref="AE129" si="1131">AE128+AE120+AE122</f>
        <v>1986.4704443955331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0</v>
      </c>
      <c r="BB129" s="26">
        <f t="shared" si="1136"/>
        <v>0</v>
      </c>
      <c r="BC129" s="26">
        <f t="shared" si="1136"/>
        <v>0</v>
      </c>
      <c r="BD129" s="26">
        <f t="shared" si="1136"/>
        <v>0</v>
      </c>
      <c r="BE129" s="26">
        <f t="shared" si="1136"/>
        <v>0</v>
      </c>
      <c r="BF129" s="26">
        <f t="shared" si="1136"/>
        <v>0</v>
      </c>
      <c r="BG129" s="26">
        <f t="shared" si="1136"/>
        <v>0</v>
      </c>
      <c r="BH129" s="26">
        <f t="shared" ref="BH129" si="1137">BH128+BH120+BH122</f>
        <v>0</v>
      </c>
      <c r="BI129" s="26">
        <f t="shared" si="1136"/>
        <v>0</v>
      </c>
      <c r="BJ129" s="26">
        <f t="shared" si="1136"/>
        <v>0</v>
      </c>
      <c r="BK129" s="26">
        <f t="shared" si="1136"/>
        <v>0</v>
      </c>
      <c r="BL129" s="26">
        <f t="shared" si="1136"/>
        <v>0</v>
      </c>
      <c r="BM129" s="26">
        <f t="shared" si="1136"/>
        <v>0</v>
      </c>
      <c r="BN129" s="26">
        <f t="shared" si="1136"/>
        <v>0</v>
      </c>
      <c r="BO129" s="26">
        <f t="shared" si="1136"/>
        <v>0</v>
      </c>
      <c r="BP129" s="26">
        <f t="shared" si="1136"/>
        <v>0</v>
      </c>
      <c r="BQ129" s="26">
        <f t="shared" si="1136"/>
        <v>0</v>
      </c>
      <c r="BR129" s="26">
        <f t="shared" si="1136"/>
        <v>147.423</v>
      </c>
      <c r="BS129" s="26">
        <f t="shared" si="1136"/>
        <v>156.947</v>
      </c>
      <c r="BT129" s="26">
        <f t="shared" si="1136"/>
        <v>0</v>
      </c>
      <c r="BU129" s="26">
        <f t="shared" si="1136"/>
        <v>10.419999999999991</v>
      </c>
      <c r="BV129" s="26">
        <f t="shared" si="1136"/>
        <v>208.49299999999997</v>
      </c>
      <c r="BW129" s="26">
        <f t="shared" si="1136"/>
        <v>222.37899999999999</v>
      </c>
      <c r="BX129" s="26">
        <f t="shared" si="1136"/>
        <v>385.95000000000005</v>
      </c>
      <c r="BY129" s="26">
        <f t="shared" si="1136"/>
        <v>401.26700000000005</v>
      </c>
      <c r="BZ129" s="26">
        <f t="shared" si="1136"/>
        <v>408.06399999999996</v>
      </c>
      <c r="CA129" s="26">
        <f t="shared" si="1136"/>
        <v>423.64099999999996</v>
      </c>
      <c r="CB129" s="26">
        <f t="shared" si="1136"/>
        <v>441.64400000000006</v>
      </c>
      <c r="CC129" s="26">
        <f t="shared" si="1136"/>
        <v>461.77100000000007</v>
      </c>
      <c r="CD129" s="26">
        <f t="shared" si="1136"/>
        <v>669.54600000000005</v>
      </c>
      <c r="CE129" s="26">
        <f t="shared" si="1136"/>
        <v>687.39499999999998</v>
      </c>
      <c r="CF129" s="26">
        <f t="shared" ref="CF129:CG129" si="1138">CF128+CF120+CF122</f>
        <v>692.30499999999995</v>
      </c>
      <c r="CG129" s="26">
        <f t="shared" si="1138"/>
        <v>713.27799999999991</v>
      </c>
      <c r="CH129" s="26">
        <f t="shared" ref="CH129:CI129" si="1139">CH128+CH120+CH122</f>
        <v>747.28</v>
      </c>
      <c r="CI129" s="26">
        <f t="shared" si="1139"/>
        <v>772.16399999999999</v>
      </c>
      <c r="CJ129" s="26">
        <f t="shared" ref="CJ129:DB129" si="1140">CJ128+CJ120+CJ122</f>
        <v>832.66200000000003</v>
      </c>
      <c r="CK129" s="27">
        <f t="shared" si="1140"/>
        <v>861.32900000000006</v>
      </c>
      <c r="CL129" s="26">
        <f t="shared" ref="CL129" si="1141">CL128+CL120+CL122</f>
        <v>936.46300000000008</v>
      </c>
      <c r="CM129" s="27">
        <f t="shared" si="1140"/>
        <v>965.36470822486945</v>
      </c>
      <c r="CN129" s="27">
        <f t="shared" si="1140"/>
        <v>999.37719746323671</v>
      </c>
      <c r="CO129" s="27">
        <f t="shared" si="1140"/>
        <v>1038.120682505325</v>
      </c>
      <c r="CP129" s="27">
        <f t="shared" si="1140"/>
        <v>1078.6794170938372</v>
      </c>
      <c r="CQ129" s="27">
        <f t="shared" si="1140"/>
        <v>1121.8625068504732</v>
      </c>
      <c r="CR129" s="27">
        <f t="shared" si="1140"/>
        <v>1171.5352270645858</v>
      </c>
      <c r="CS129" s="27">
        <f t="shared" si="1140"/>
        <v>1227.8792698066952</v>
      </c>
      <c r="CT129" s="27">
        <f t="shared" si="1140"/>
        <v>1286.2148574519899</v>
      </c>
      <c r="CU129" s="27">
        <f t="shared" si="1140"/>
        <v>1348.0769173287795</v>
      </c>
      <c r="CV129" s="27">
        <f t="shared" si="1140"/>
        <v>1418.4955888947013</v>
      </c>
      <c r="CW129" s="27">
        <f t="shared" si="1140"/>
        <v>1497.8011462202949</v>
      </c>
      <c r="CX129" s="27">
        <f t="shared" si="1140"/>
        <v>1579.6158872808517</v>
      </c>
      <c r="CY129" s="27">
        <f t="shared" si="1140"/>
        <v>1666.0960415183738</v>
      </c>
      <c r="CZ129" s="27">
        <f t="shared" si="1140"/>
        <v>1763.9275975560718</v>
      </c>
      <c r="DA129" s="27">
        <f t="shared" si="1140"/>
        <v>1873.5660280142595</v>
      </c>
      <c r="DB129" s="27">
        <f t="shared" si="1140"/>
        <v>1986.4704443955331</v>
      </c>
      <c r="DE129" s="121"/>
      <c r="DF129" s="26">
        <v>936.46300000000008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5.8046800000000003</v>
      </c>
      <c r="K131" s="23">
        <f>'Annual Raw'!L62-K135</f>
        <v>9.8561674999999997</v>
      </c>
      <c r="L131" s="23">
        <f>'Annual Raw'!M62-L135</f>
        <v>10.6077253</v>
      </c>
      <c r="M131" s="23">
        <f>'Annual Raw'!N62-M135</f>
        <v>11.9383465</v>
      </c>
      <c r="N131" s="23">
        <f>'Annual Raw'!O62-N135</f>
        <v>12.098907000000001</v>
      </c>
      <c r="O131" s="23">
        <f>'Annual Raw'!P62-O135</f>
        <v>12.271446600000001</v>
      </c>
      <c r="P131" s="23">
        <f>'Annual Raw'!Q62-P135</f>
        <v>43.184381999999999</v>
      </c>
      <c r="Q131" s="23">
        <f>'Annual Raw'!R62-Q135</f>
        <v>61.845527300000001</v>
      </c>
      <c r="R131" s="23">
        <f>'Annual Raw'!S62-R135</f>
        <v>87.221907200000004</v>
      </c>
      <c r="S131" s="23">
        <f>'Annual Raw'!T62-S135</f>
        <v>88.7298562</v>
      </c>
      <c r="T131" s="23">
        <f>'Annual Raw'!U62-T135</f>
        <v>102.47199999999999</v>
      </c>
      <c r="U131" s="23">
        <f>'Annual Raw'!V62-U135</f>
        <v>107.197</v>
      </c>
      <c r="V131" s="23">
        <f>'Annual Raw'!W62-V135</f>
        <v>175.86799999999999</v>
      </c>
      <c r="W131" s="23">
        <f>'Annual Raw'!X62-W135</f>
        <v>182.351</v>
      </c>
      <c r="X131" s="23">
        <f>'Annual Raw'!Y62-X135</f>
        <v>242.298</v>
      </c>
      <c r="Y131" s="23">
        <f>'Annual Raw'!Z62-Y135</f>
        <v>297.84200000000004</v>
      </c>
      <c r="Z131" s="23">
        <f>'Annual Raw'!AA62-Z135</f>
        <v>401.47100000000006</v>
      </c>
      <c r="AA131" s="23">
        <f>'Annual Raw'!AB62-AA135</f>
        <v>603.74399999999991</v>
      </c>
      <c r="AB131" s="24">
        <f t="shared" ref="AB131:AB137" si="1142">+CP131</f>
        <v>580.68299999999999</v>
      </c>
      <c r="AC131" s="24">
        <f t="shared" ref="AC131:AC137" si="1143">+CT131</f>
        <v>580.68299999999999</v>
      </c>
      <c r="AD131" s="24">
        <f t="shared" ref="AD131:AD137" si="1144">+CX131</f>
        <v>580.68299999999999</v>
      </c>
      <c r="AE131" s="24">
        <f t="shared" ref="AE131:AE137" si="1145">+DB131</f>
        <v>580.68299999999999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105.94</v>
      </c>
      <c r="BT131" s="23">
        <f>+'QTR Raw'!AN68</f>
        <v>0</v>
      </c>
      <c r="BV131" s="23">
        <f>+'QTR Raw'!AP68</f>
        <v>122.056</v>
      </c>
      <c r="BX131" s="23">
        <f>+'QTR Raw'!AR68</f>
        <v>156.21799999999999</v>
      </c>
      <c r="BZ131" s="23">
        <f>+'QTR Raw'!AT68</f>
        <v>160.26900000000001</v>
      </c>
      <c r="CB131" s="23">
        <f>+'QTR Raw'!AV68</f>
        <v>198.024</v>
      </c>
      <c r="CD131" s="23">
        <f>+'QTR Raw'!AX68</f>
        <v>221.6</v>
      </c>
      <c r="CF131" s="23">
        <f>+'QTR Raw'!AZ68</f>
        <v>269.68400000000003</v>
      </c>
      <c r="CH131" s="23">
        <f t="shared" ref="CH131:CH137" si="1146">Z131</f>
        <v>401.47100000000006</v>
      </c>
      <c r="CI131" s="23">
        <f>CH131</f>
        <v>401.47100000000006</v>
      </c>
      <c r="CJ131" s="23">
        <f>+CJ132+CJ134</f>
        <v>500.81299999999999</v>
      </c>
      <c r="CK131" s="24">
        <f>+CJ131</f>
        <v>500.81299999999999</v>
      </c>
      <c r="CL131" s="23">
        <f>+CL132+CL134</f>
        <v>580.68299999999999</v>
      </c>
      <c r="CM131" s="24">
        <f t="shared" ref="CM131:DB131" si="1147">+CL131</f>
        <v>580.68299999999999</v>
      </c>
      <c r="CN131" s="24">
        <f t="shared" si="1147"/>
        <v>580.68299999999999</v>
      </c>
      <c r="CO131" s="24">
        <f t="shared" si="1147"/>
        <v>580.68299999999999</v>
      </c>
      <c r="CP131" s="24">
        <f t="shared" si="1147"/>
        <v>580.68299999999999</v>
      </c>
      <c r="CQ131" s="24">
        <f t="shared" si="1147"/>
        <v>580.68299999999999</v>
      </c>
      <c r="CR131" s="24">
        <f t="shared" si="1147"/>
        <v>580.68299999999999</v>
      </c>
      <c r="CS131" s="24">
        <f t="shared" si="1147"/>
        <v>580.68299999999999</v>
      </c>
      <c r="CT131" s="24">
        <f t="shared" si="1147"/>
        <v>580.68299999999999</v>
      </c>
      <c r="CU131" s="24">
        <f t="shared" si="1147"/>
        <v>580.68299999999999</v>
      </c>
      <c r="CV131" s="24">
        <f t="shared" si="1147"/>
        <v>580.68299999999999</v>
      </c>
      <c r="CW131" s="24">
        <f t="shared" si="1147"/>
        <v>580.68299999999999</v>
      </c>
      <c r="CX131" s="24">
        <f t="shared" si="1147"/>
        <v>580.68299999999999</v>
      </c>
      <c r="CY131" s="24">
        <f t="shared" si="1147"/>
        <v>580.68299999999999</v>
      </c>
      <c r="CZ131" s="24">
        <f t="shared" si="1147"/>
        <v>580.68299999999999</v>
      </c>
      <c r="DA131" s="24">
        <f t="shared" si="1147"/>
        <v>580.68299999999999</v>
      </c>
      <c r="DB131" s="24">
        <f t="shared" si="1147"/>
        <v>580.68299999999999</v>
      </c>
      <c r="DE131" s="123"/>
      <c r="DF131" s="23">
        <v>580.68200000000002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0.2703372</v>
      </c>
      <c r="K132" s="23">
        <f>'Annual Raw'!L63</f>
        <v>1.6230251</v>
      </c>
      <c r="L132" s="23">
        <f>'Annual Raw'!M63</f>
        <v>3.2976356</v>
      </c>
      <c r="M132" s="23">
        <f>'Annual Raw'!N63</f>
        <v>5.1803464000000004</v>
      </c>
      <c r="N132" s="23">
        <f>'Annual Raw'!O63</f>
        <v>6.7969115999999996</v>
      </c>
      <c r="O132" s="23">
        <f>'Annual Raw'!P63</f>
        <v>8.1678323000000006</v>
      </c>
      <c r="P132" s="23">
        <f>'Annual Raw'!Q63</f>
        <v>17.242103400000001</v>
      </c>
      <c r="Q132" s="23">
        <f>'Annual Raw'!R63</f>
        <v>22.748681399999999</v>
      </c>
      <c r="R132" s="23">
        <f>'Annual Raw'!S63</f>
        <v>29.330005799999999</v>
      </c>
      <c r="S132" s="23">
        <f>'Annual Raw'!T63</f>
        <v>35.346571300000001</v>
      </c>
      <c r="T132" s="23">
        <f>'Annual Raw'!U63</f>
        <v>40.869999999999997</v>
      </c>
      <c r="U132" s="23">
        <f>'Annual Raw'!V63</f>
        <v>49.904000000000003</v>
      </c>
      <c r="V132" s="23">
        <f>'Annual Raw'!W63</f>
        <v>56.548999999999999</v>
      </c>
      <c r="W132" s="23">
        <f>'Annual Raw'!X63</f>
        <v>67.811000000000007</v>
      </c>
      <c r="X132" s="23">
        <f>'Annual Raw'!Y63</f>
        <v>84.174999999999997</v>
      </c>
      <c r="Y132" s="23">
        <f>'Annual Raw'!Z63</f>
        <v>96.316999999999993</v>
      </c>
      <c r="Z132" s="23">
        <f>'Annual Raw'!AA63</f>
        <v>107.869</v>
      </c>
      <c r="AA132" s="23">
        <f>'Annual Raw'!AB63</f>
        <v>170.92699999999999</v>
      </c>
      <c r="AB132" s="24">
        <f t="shared" si="1142"/>
        <v>184.23181797805069</v>
      </c>
      <c r="AC132" s="24">
        <f t="shared" si="1143"/>
        <v>222.30078046852731</v>
      </c>
      <c r="AD132" s="24">
        <f t="shared" si="1144"/>
        <v>256.71419601950436</v>
      </c>
      <c r="AE132" s="24">
        <f t="shared" si="1145"/>
        <v>287.82308610760407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107.869</v>
      </c>
      <c r="CI132" s="23">
        <f t="shared" ref="CI132:DB132" si="1148">CH132+CI32</f>
        <v>114.595</v>
      </c>
      <c r="CJ132" s="23">
        <f t="shared" si="1148"/>
        <v>123.995</v>
      </c>
      <c r="CK132" s="24">
        <f t="shared" si="1148"/>
        <v>132.95099999999999</v>
      </c>
      <c r="CL132" s="23">
        <f t="shared" si="1148"/>
        <v>142.119</v>
      </c>
      <c r="CM132" s="24">
        <f t="shared" si="1148"/>
        <v>153.04906277354007</v>
      </c>
      <c r="CN132" s="24">
        <f t="shared" si="1148"/>
        <v>163.70672226675271</v>
      </c>
      <c r="CO132" s="24">
        <f t="shared" si="1148"/>
        <v>174.09876742025705</v>
      </c>
      <c r="CP132" s="24">
        <f t="shared" si="1148"/>
        <v>184.23181797805069</v>
      </c>
      <c r="CQ132" s="24">
        <f t="shared" si="1148"/>
        <v>194.11232870429376</v>
      </c>
      <c r="CR132" s="24">
        <f t="shared" si="1148"/>
        <v>203.7465934950007</v>
      </c>
      <c r="CS132" s="24">
        <f t="shared" si="1148"/>
        <v>213.14074938725875</v>
      </c>
      <c r="CT132" s="24">
        <f t="shared" si="1148"/>
        <v>222.30078046852731</v>
      </c>
      <c r="CU132" s="24">
        <f t="shared" si="1148"/>
        <v>231.232521688508</v>
      </c>
      <c r="CV132" s="24">
        <f t="shared" si="1148"/>
        <v>239.94166257601407</v>
      </c>
      <c r="CW132" s="24">
        <f t="shared" si="1148"/>
        <v>248.43375086320628</v>
      </c>
      <c r="CX132" s="24">
        <f t="shared" si="1148"/>
        <v>256.71419601950436</v>
      </c>
      <c r="CY132" s="24">
        <f t="shared" si="1148"/>
        <v>264.78827269742482</v>
      </c>
      <c r="CZ132" s="24">
        <f t="shared" si="1148"/>
        <v>272.66112409254038</v>
      </c>
      <c r="DA132" s="24">
        <f t="shared" si="1148"/>
        <v>280.33776521970105</v>
      </c>
      <c r="DB132" s="24">
        <f t="shared" si="1148"/>
        <v>287.82308610760407</v>
      </c>
      <c r="DE132" s="123"/>
      <c r="DF132" s="23">
        <v>142.11799999999999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0</v>
      </c>
      <c r="J134" s="22">
        <f t="shared" si="1150"/>
        <v>5.5343428000000001</v>
      </c>
      <c r="K134" s="22">
        <f t="shared" si="1150"/>
        <v>8.2331424000000002</v>
      </c>
      <c r="L134" s="22">
        <f t="shared" si="1150"/>
        <v>7.3100897000000007</v>
      </c>
      <c r="M134" s="22">
        <f t="shared" si="1150"/>
        <v>6.7580000999999994</v>
      </c>
      <c r="N134" s="22">
        <f t="shared" si="1150"/>
        <v>5.3019954000000009</v>
      </c>
      <c r="O134" s="22">
        <f t="shared" si="1150"/>
        <v>4.1036143000000003</v>
      </c>
      <c r="P134" s="22">
        <f t="shared" si="1150"/>
        <v>25.942278599999998</v>
      </c>
      <c r="Q134" s="22">
        <f t="shared" si="1150"/>
        <v>39.096845900000005</v>
      </c>
      <c r="R134" s="22">
        <f t="shared" si="1150"/>
        <v>57.891901400000009</v>
      </c>
      <c r="S134" s="22">
        <f t="shared" si="1150"/>
        <v>53.3832849</v>
      </c>
      <c r="T134" s="22">
        <f t="shared" si="1150"/>
        <v>61.601999999999997</v>
      </c>
      <c r="U134" s="22">
        <f t="shared" si="1150"/>
        <v>57.292999999999999</v>
      </c>
      <c r="V134" s="22">
        <f t="shared" si="1150"/>
        <v>119.31899999999999</v>
      </c>
      <c r="W134" s="22">
        <f t="shared" si="1150"/>
        <v>114.53999999999999</v>
      </c>
      <c r="X134" s="22">
        <f t="shared" ref="X134:Y134" si="1151">+X131-X132-X133</f>
        <v>158.12299999999999</v>
      </c>
      <c r="Y134" s="22">
        <f t="shared" si="1151"/>
        <v>201.52500000000003</v>
      </c>
      <c r="Z134" s="22">
        <f t="shared" ref="Z134:AE134" si="1152">+Z131-Z132-Z133</f>
        <v>293.60200000000009</v>
      </c>
      <c r="AA134" s="22">
        <f t="shared" ref="AA134" si="1153">+AA131-AA132-AA133</f>
        <v>432.81699999999989</v>
      </c>
      <c r="AB134" s="21">
        <f t="shared" si="1152"/>
        <v>396.45118202194931</v>
      </c>
      <c r="AC134" s="21">
        <f t="shared" si="1152"/>
        <v>358.38221953147269</v>
      </c>
      <c r="AD134" s="21">
        <f t="shared" si="1152"/>
        <v>323.96880398049564</v>
      </c>
      <c r="AE134" s="21">
        <f t="shared" si="1152"/>
        <v>292.85991389239592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0</v>
      </c>
      <c r="BC134" s="22">
        <f t="shared" si="1155"/>
        <v>0</v>
      </c>
      <c r="BD134" s="22">
        <f t="shared" si="1157"/>
        <v>0</v>
      </c>
      <c r="BE134" s="22">
        <f t="shared" si="1155"/>
        <v>0</v>
      </c>
      <c r="BF134" s="22">
        <f t="shared" si="1157"/>
        <v>0</v>
      </c>
      <c r="BG134" s="22">
        <f t="shared" si="1155"/>
        <v>0</v>
      </c>
      <c r="BH134" s="22">
        <f t="shared" si="1157"/>
        <v>0</v>
      </c>
      <c r="BI134" s="22">
        <f t="shared" si="1155"/>
        <v>0</v>
      </c>
      <c r="BJ134" s="22">
        <f t="shared" si="1157"/>
        <v>0</v>
      </c>
      <c r="BK134" s="22">
        <f t="shared" si="1155"/>
        <v>0</v>
      </c>
      <c r="BL134" s="22">
        <f t="shared" si="1157"/>
        <v>0</v>
      </c>
      <c r="BM134" s="22">
        <f t="shared" si="1155"/>
        <v>0</v>
      </c>
      <c r="BN134" s="22">
        <f t="shared" si="1157"/>
        <v>0</v>
      </c>
      <c r="BO134" s="22">
        <f t="shared" si="1155"/>
        <v>0</v>
      </c>
      <c r="BP134" s="22">
        <f t="shared" si="1157"/>
        <v>0</v>
      </c>
      <c r="BQ134" s="22">
        <f t="shared" si="1155"/>
        <v>0</v>
      </c>
      <c r="BR134" s="22">
        <f t="shared" si="1157"/>
        <v>105.94</v>
      </c>
      <c r="BS134" s="22">
        <f t="shared" si="1155"/>
        <v>105.94</v>
      </c>
      <c r="BT134" s="22">
        <f t="shared" si="1157"/>
        <v>0</v>
      </c>
      <c r="BU134" s="22">
        <f t="shared" si="1155"/>
        <v>0</v>
      </c>
      <c r="BV134" s="22">
        <f t="shared" si="1157"/>
        <v>122.056</v>
      </c>
      <c r="BW134" s="22">
        <f t="shared" si="1155"/>
        <v>122.056</v>
      </c>
      <c r="BX134" s="22">
        <f t="shared" si="1157"/>
        <v>156.21799999999999</v>
      </c>
      <c r="BY134" s="22">
        <f t="shared" si="1155"/>
        <v>156.21799999999999</v>
      </c>
      <c r="BZ134" s="22">
        <f t="shared" si="1157"/>
        <v>160.26900000000001</v>
      </c>
      <c r="CA134" s="22">
        <f t="shared" si="1155"/>
        <v>160.26900000000001</v>
      </c>
      <c r="CB134" s="22">
        <f t="shared" si="1157"/>
        <v>198.024</v>
      </c>
      <c r="CC134" s="22">
        <f t="shared" si="1155"/>
        <v>198.024</v>
      </c>
      <c r="CD134" s="22">
        <f t="shared" si="1157"/>
        <v>221.6</v>
      </c>
      <c r="CE134" s="22">
        <f t="shared" si="1155"/>
        <v>221.6</v>
      </c>
      <c r="CF134" s="22">
        <f t="shared" ref="CF134:CI134" si="1158">+CF131-CF132-CF133</f>
        <v>269.68400000000003</v>
      </c>
      <c r="CG134" s="22">
        <f t="shared" ref="CG134:CI137" si="1159">+CF134</f>
        <v>269.68400000000003</v>
      </c>
      <c r="CH134" s="22">
        <f t="shared" si="1158"/>
        <v>293.60200000000009</v>
      </c>
      <c r="CI134" s="22">
        <f t="shared" si="1158"/>
        <v>286.87600000000009</v>
      </c>
      <c r="CJ134" s="23">
        <f>+'QTR Raw'!BD68</f>
        <v>376.81799999999998</v>
      </c>
      <c r="CK134" s="21">
        <f t="shared" ref="CK134:DB134" si="1160">+CK131-CK132-CK133</f>
        <v>367.86199999999997</v>
      </c>
      <c r="CL134" s="23">
        <f>+'QTR Raw'!BF68</f>
        <v>438.56400000000002</v>
      </c>
      <c r="CM134" s="21">
        <f t="shared" si="1160"/>
        <v>427.63393722645992</v>
      </c>
      <c r="CN134" s="21">
        <f t="shared" si="1160"/>
        <v>416.97627773324729</v>
      </c>
      <c r="CO134" s="21">
        <f t="shared" si="1160"/>
        <v>406.58423257974295</v>
      </c>
      <c r="CP134" s="21">
        <f t="shared" si="1160"/>
        <v>396.45118202194931</v>
      </c>
      <c r="CQ134" s="21">
        <f t="shared" si="1160"/>
        <v>386.57067129570623</v>
      </c>
      <c r="CR134" s="21">
        <f t="shared" si="1160"/>
        <v>376.9364065049993</v>
      </c>
      <c r="CS134" s="21">
        <f t="shared" si="1160"/>
        <v>367.54225061274121</v>
      </c>
      <c r="CT134" s="21">
        <f t="shared" si="1160"/>
        <v>358.38221953147269</v>
      </c>
      <c r="CU134" s="21">
        <f t="shared" si="1160"/>
        <v>349.45047831149202</v>
      </c>
      <c r="CV134" s="21">
        <f t="shared" si="1160"/>
        <v>340.7413374239859</v>
      </c>
      <c r="CW134" s="21">
        <f t="shared" si="1160"/>
        <v>332.24924913679371</v>
      </c>
      <c r="CX134" s="21">
        <f t="shared" si="1160"/>
        <v>323.96880398049564</v>
      </c>
      <c r="CY134" s="21">
        <f t="shared" si="1160"/>
        <v>315.89472730257518</v>
      </c>
      <c r="CZ134" s="21">
        <f t="shared" si="1160"/>
        <v>308.02187590745962</v>
      </c>
      <c r="DA134" s="21">
        <f t="shared" si="1160"/>
        <v>300.34523478029894</v>
      </c>
      <c r="DB134" s="21">
        <f t="shared" si="1160"/>
        <v>292.85991389239592</v>
      </c>
      <c r="DE134" s="126"/>
      <c r="DF134" s="22">
        <v>438.56400000000002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0.70451920000000001</v>
      </c>
      <c r="S135" s="23">
        <f>'Annual Raw'!T86</f>
        <v>0.26828940000000001</v>
      </c>
      <c r="T135" s="23">
        <f>'Annual Raw'!U86</f>
        <v>0</v>
      </c>
      <c r="U135" s="23">
        <f>'Annual Raw'!V86</f>
        <v>5.1859999999999999</v>
      </c>
      <c r="V135" s="23">
        <f>'Annual Raw'!W86</f>
        <v>5.2910000000000004</v>
      </c>
      <c r="W135" s="23">
        <f>'Annual Raw'!X86</f>
        <v>2.9279999999999999</v>
      </c>
      <c r="X135" s="23">
        <f>'Annual Raw'!Y86</f>
        <v>3.919</v>
      </c>
      <c r="Y135" s="23">
        <f>'Annual Raw'!Z86</f>
        <v>51.137999999999998</v>
      </c>
      <c r="Z135" s="23">
        <f>'Annual Raw'!AA86</f>
        <v>125.46</v>
      </c>
      <c r="AA135" s="23">
        <f>'Annual Raw'!AB86</f>
        <v>294.04599999999999</v>
      </c>
      <c r="AB135" s="24">
        <f t="shared" si="1142"/>
        <v>294.04599999999999</v>
      </c>
      <c r="AC135" s="24">
        <f t="shared" si="1143"/>
        <v>294.04599999999999</v>
      </c>
      <c r="AD135" s="24">
        <f t="shared" si="1144"/>
        <v>294.04599999999999</v>
      </c>
      <c r="AE135" s="24">
        <f t="shared" si="1145"/>
        <v>294.04599999999999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5.2910000000000004</v>
      </c>
      <c r="BS135" s="23">
        <f t="shared" si="1161"/>
        <v>5.2910000000000004</v>
      </c>
      <c r="BT135" s="23">
        <f>+'QTR Raw'!AN72</f>
        <v>0</v>
      </c>
      <c r="BU135" s="23">
        <f t="shared" si="1161"/>
        <v>0</v>
      </c>
      <c r="BV135" s="23">
        <f>+'QTR Raw'!AP72</f>
        <v>2.9279999999999999</v>
      </c>
      <c r="BW135" s="23">
        <f t="shared" si="1161"/>
        <v>2.9279999999999999</v>
      </c>
      <c r="BX135" s="23">
        <f>+'QTR Raw'!AR72</f>
        <v>3.919</v>
      </c>
      <c r="BY135" s="23">
        <f t="shared" si="1161"/>
        <v>3.919</v>
      </c>
      <c r="BZ135" s="23">
        <f>+'QTR Raw'!AT72</f>
        <v>3.919</v>
      </c>
      <c r="CA135" s="23">
        <f t="shared" si="1161"/>
        <v>3.919</v>
      </c>
      <c r="CB135" s="23">
        <f>+'QTR Raw'!AV72</f>
        <v>51.326000000000001</v>
      </c>
      <c r="CC135" s="23">
        <f t="shared" si="1161"/>
        <v>51.326000000000001</v>
      </c>
      <c r="CD135" s="23">
        <f>+'QTR Raw'!AX72</f>
        <v>51.137999999999998</v>
      </c>
      <c r="CE135" s="23">
        <f t="shared" si="1161"/>
        <v>51.137999999999998</v>
      </c>
      <c r="CF135" s="23">
        <f>+'QTR Raw'!AZ72</f>
        <v>125.467</v>
      </c>
      <c r="CG135" s="23">
        <f t="shared" si="1159"/>
        <v>125.467</v>
      </c>
      <c r="CH135" s="23">
        <f t="shared" si="1146"/>
        <v>125.46</v>
      </c>
      <c r="CI135" s="23">
        <f t="shared" si="1159"/>
        <v>125.46</v>
      </c>
      <c r="CJ135" s="23">
        <f>+'QTR Raw'!BD72</f>
        <v>277.55799999999999</v>
      </c>
      <c r="CK135" s="24">
        <f t="shared" ref="CK135:CK137" si="1162">+CJ135</f>
        <v>277.55799999999999</v>
      </c>
      <c r="CL135" s="23">
        <f>+'QTR Raw'!BF72</f>
        <v>294.04599999999999</v>
      </c>
      <c r="CM135" s="24">
        <f t="shared" ref="CM135:CM137" si="1163">+CL135</f>
        <v>294.04599999999999</v>
      </c>
      <c r="CN135" s="24">
        <f t="shared" ref="CN135:CN137" si="1164">+CM135</f>
        <v>294.04599999999999</v>
      </c>
      <c r="CO135" s="24">
        <f t="shared" ref="CO135:CO137" si="1165">+CN135</f>
        <v>294.04599999999999</v>
      </c>
      <c r="CP135" s="24">
        <f t="shared" ref="CP135:CP137" si="1166">+CO135</f>
        <v>294.04599999999999</v>
      </c>
      <c r="CQ135" s="24">
        <f t="shared" ref="CQ135:CQ137" si="1167">+CP135</f>
        <v>294.04599999999999</v>
      </c>
      <c r="CR135" s="24">
        <f t="shared" ref="CR135:CR137" si="1168">+CQ135</f>
        <v>294.04599999999999</v>
      </c>
      <c r="CS135" s="24">
        <f t="shared" ref="CS135:CS137" si="1169">+CR135</f>
        <v>294.04599999999999</v>
      </c>
      <c r="CT135" s="24">
        <f t="shared" ref="CT135:CT137" si="1170">+CS135</f>
        <v>294.04599999999999</v>
      </c>
      <c r="CU135" s="24">
        <f t="shared" ref="CU135:CU137" si="1171">+CT135</f>
        <v>294.04599999999999</v>
      </c>
      <c r="CV135" s="24">
        <f t="shared" ref="CV135:CV137" si="1172">+CU135</f>
        <v>294.04599999999999</v>
      </c>
      <c r="CW135" s="24">
        <f t="shared" ref="CW135:CW137" si="1173">+CV135</f>
        <v>294.04599999999999</v>
      </c>
      <c r="CX135" s="24">
        <f t="shared" ref="CX135:CX137" si="1174">+CW135</f>
        <v>294.04599999999999</v>
      </c>
      <c r="CY135" s="24">
        <f t="shared" ref="CY135:CY137" si="1175">+CX135</f>
        <v>294.04599999999999</v>
      </c>
      <c r="CZ135" s="24">
        <f t="shared" ref="CZ135:CZ137" si="1176">+CY135</f>
        <v>294.04599999999999</v>
      </c>
      <c r="DA135" s="24">
        <f t="shared" ref="DA135:DA137" si="1177">+CZ135</f>
        <v>294.04599999999999</v>
      </c>
      <c r="DB135" s="24">
        <f t="shared" ref="DB135:DB137" si="1178">+DA135</f>
        <v>294.04599999999999</v>
      </c>
      <c r="DE135" s="123"/>
      <c r="DF135" s="23">
        <v>294.04599999999999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5.3347924000000004</v>
      </c>
      <c r="N136" s="23">
        <f>'Annual Raw'!O68</f>
        <v>5.8823961999999996</v>
      </c>
      <c r="O136" s="23">
        <f>'Annual Raw'!P68</f>
        <v>10.3981133</v>
      </c>
      <c r="P136" s="23">
        <f>'Annual Raw'!Q68</f>
        <v>3.3779691000000001</v>
      </c>
      <c r="Q136" s="23">
        <f>'Annual Raw'!R68</f>
        <v>0.74760729999999997</v>
      </c>
      <c r="R136" s="23">
        <f>'Annual Raw'!S68</f>
        <v>0</v>
      </c>
      <c r="S136" s="23">
        <f>'Annual Raw'!T68</f>
        <v>2.6593838000000001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17.981000000000002</v>
      </c>
      <c r="X136" s="23">
        <f>'Annual Raw'!Y68</f>
        <v>10.624000000000001</v>
      </c>
      <c r="Y136" s="23">
        <f>'Annual Raw'!Z68</f>
        <v>20.260999999999999</v>
      </c>
      <c r="Z136" s="23">
        <f>'Annual Raw'!AA68</f>
        <v>0.24299999999999999</v>
      </c>
      <c r="AA136" s="23">
        <f>'Annual Raw'!AB68</f>
        <v>10.592000000000001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0.24299999999999999</v>
      </c>
      <c r="CI136" s="23">
        <f t="shared" si="1159"/>
        <v>0.24299999999999999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2.4406653999999999</v>
      </c>
      <c r="K137" s="23">
        <f>'Annual Raw'!L67+'Annual Raw'!L66+'Annual Raw'!L69+'Annual Raw'!L70</f>
        <v>4.2585199999999999</v>
      </c>
      <c r="L137" s="23">
        <f>'Annual Raw'!M67+'Annual Raw'!M66+'Annual Raw'!M69+'Annual Raw'!M70</f>
        <v>6.8682382999999998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0.20674629999999999</v>
      </c>
      <c r="Q137" s="23">
        <f>'Annual Raw'!R67+'Annual Raw'!R66+'Annual Raw'!R69+'Annual Raw'!R70</f>
        <v>7.5</v>
      </c>
      <c r="R137" s="23">
        <f>'Annual Raw'!S67+'Annual Raw'!S66+'Annual Raw'!S69+'Annual Raw'!S70</f>
        <v>0.6916137</v>
      </c>
      <c r="S137" s="23">
        <f>'Annual Raw'!T67+'Annual Raw'!T66+'Annual Raw'!T69+'Annual Raw'!T70</f>
        <v>3.7895287</v>
      </c>
      <c r="T137" s="23">
        <f>'Annual Raw'!U67+'Annual Raw'!U66+'Annual Raw'!U69+'Annual Raw'!U70</f>
        <v>21.765000000000001</v>
      </c>
      <c r="U137" s="23">
        <f>'Annual Raw'!V67+'Annual Raw'!V66+'Annual Raw'!V69+'Annual Raw'!V70</f>
        <v>40.469000000000001</v>
      </c>
      <c r="V137" s="23">
        <f>'Annual Raw'!W67+'Annual Raw'!W66+'Annual Raw'!W69+'Annual Raw'!W70</f>
        <v>4.4980000000000002</v>
      </c>
      <c r="W137" s="23">
        <f>'Annual Raw'!X67+'Annual Raw'!X66+'Annual Raw'!X69+'Annual Raw'!X70</f>
        <v>24.934999999999999</v>
      </c>
      <c r="X137" s="23">
        <f>'Annual Raw'!Y67+'Annual Raw'!Y66+'Annual Raw'!Y69+'Annual Raw'!Y70</f>
        <v>36.604999999999997</v>
      </c>
      <c r="Y137" s="23">
        <f>'Annual Raw'!Z67+'Annual Raw'!Z66+'Annual Raw'!Z69+'Annual Raw'!Z70</f>
        <v>30.334</v>
      </c>
      <c r="Z137" s="23">
        <f>'Annual Raw'!AA67+'Annual Raw'!AA66+'Annual Raw'!AA69+'Annual Raw'!AA70</f>
        <v>17.143000000000001</v>
      </c>
      <c r="AA137" s="23">
        <f>'Annual Raw'!AB67+'Annual Raw'!AB66+'Annual Raw'!AB69+'Annual Raw'!AB70</f>
        <v>18.584</v>
      </c>
      <c r="AB137" s="24">
        <f t="shared" si="1142"/>
        <v>18.584</v>
      </c>
      <c r="AC137" s="24">
        <f t="shared" si="1143"/>
        <v>18.584</v>
      </c>
      <c r="AD137" s="24">
        <f t="shared" si="1144"/>
        <v>18.584</v>
      </c>
      <c r="AE137" s="24">
        <f t="shared" si="1145"/>
        <v>18.584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4.4980000000000002</v>
      </c>
      <c r="BS137" s="23">
        <f t="shared" si="1161"/>
        <v>4.4980000000000002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24.934999999999999</v>
      </c>
      <c r="BW137" s="23">
        <f t="shared" si="1161"/>
        <v>24.934999999999999</v>
      </c>
      <c r="BX137" s="23">
        <f>+'QTR Raw'!AR74+'QTR Raw'!AR75</f>
        <v>13.784000000000001</v>
      </c>
      <c r="BY137" s="23">
        <f t="shared" si="1161"/>
        <v>13.784000000000001</v>
      </c>
      <c r="BZ137" s="23">
        <f>+'QTR Raw'!AT74+'QTR Raw'!AT75</f>
        <v>36.604999999999997</v>
      </c>
      <c r="CA137" s="23">
        <f t="shared" si="1161"/>
        <v>36.604999999999997</v>
      </c>
      <c r="CB137" s="23">
        <f>+'QTR Raw'!AV74+'QTR Raw'!AV75</f>
        <v>15.502000000000001</v>
      </c>
      <c r="CC137" s="23">
        <f t="shared" si="1161"/>
        <v>15.502000000000001</v>
      </c>
      <c r="CD137" s="23">
        <f>+'QTR Raw'!AX74+'QTR Raw'!AX75</f>
        <v>30.334</v>
      </c>
      <c r="CE137" s="23">
        <f t="shared" si="1161"/>
        <v>30.334</v>
      </c>
      <c r="CF137" s="23">
        <f>+'QTR Raw'!AZ74+'QTR Raw'!AZ75</f>
        <v>16.530999999999999</v>
      </c>
      <c r="CG137" s="23">
        <f t="shared" si="1159"/>
        <v>16.530999999999999</v>
      </c>
      <c r="CH137" s="23">
        <f t="shared" si="1146"/>
        <v>17.143000000000001</v>
      </c>
      <c r="CI137" s="23">
        <f t="shared" si="1159"/>
        <v>17.143000000000001</v>
      </c>
      <c r="CJ137" s="23">
        <f>+'QTR Raw'!BD74+'QTR Raw'!BD75</f>
        <v>19.613</v>
      </c>
      <c r="CK137" s="24">
        <f t="shared" si="1162"/>
        <v>19.613</v>
      </c>
      <c r="CL137" s="23">
        <f>+'QTR Raw'!BF74+'QTR Raw'!BF75</f>
        <v>18.584</v>
      </c>
      <c r="CM137" s="24">
        <f t="shared" si="1163"/>
        <v>18.584</v>
      </c>
      <c r="CN137" s="24">
        <f t="shared" si="1164"/>
        <v>18.584</v>
      </c>
      <c r="CO137" s="24">
        <f t="shared" si="1165"/>
        <v>18.584</v>
      </c>
      <c r="CP137" s="24">
        <f t="shared" si="1166"/>
        <v>18.584</v>
      </c>
      <c r="CQ137" s="24">
        <f t="shared" si="1167"/>
        <v>18.584</v>
      </c>
      <c r="CR137" s="24">
        <f t="shared" si="1168"/>
        <v>18.584</v>
      </c>
      <c r="CS137" s="24">
        <f t="shared" si="1169"/>
        <v>18.584</v>
      </c>
      <c r="CT137" s="24">
        <f t="shared" si="1170"/>
        <v>18.584</v>
      </c>
      <c r="CU137" s="24">
        <f t="shared" si="1171"/>
        <v>18.584</v>
      </c>
      <c r="CV137" s="24">
        <f t="shared" si="1172"/>
        <v>18.584</v>
      </c>
      <c r="CW137" s="24">
        <f t="shared" si="1173"/>
        <v>18.584</v>
      </c>
      <c r="CX137" s="24">
        <f t="shared" si="1174"/>
        <v>18.584</v>
      </c>
      <c r="CY137" s="24">
        <f t="shared" si="1175"/>
        <v>18.584</v>
      </c>
      <c r="CZ137" s="24">
        <f t="shared" si="1176"/>
        <v>18.584</v>
      </c>
      <c r="DA137" s="24">
        <f t="shared" si="1177"/>
        <v>18.584</v>
      </c>
      <c r="DB137" s="24">
        <f t="shared" si="1178"/>
        <v>18.584</v>
      </c>
      <c r="DE137" s="123"/>
      <c r="DF137" s="23">
        <v>18.584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0</v>
      </c>
      <c r="J138" s="22">
        <f t="shared" si="1180"/>
        <v>7.9750081999999995</v>
      </c>
      <c r="K138" s="22">
        <f t="shared" si="1180"/>
        <v>12.491662399999999</v>
      </c>
      <c r="L138" s="22">
        <f t="shared" si="1180"/>
        <v>14.178328</v>
      </c>
      <c r="M138" s="22">
        <f t="shared" si="1180"/>
        <v>12.0927925</v>
      </c>
      <c r="N138" s="22">
        <f t="shared" si="1180"/>
        <v>11.184391600000001</v>
      </c>
      <c r="O138" s="22">
        <f t="shared" si="1180"/>
        <v>14.501727600000001</v>
      </c>
      <c r="P138" s="22">
        <f t="shared" si="1180"/>
        <v>29.526993999999998</v>
      </c>
      <c r="Q138" s="22">
        <f t="shared" si="1180"/>
        <v>47.344453200000004</v>
      </c>
      <c r="R138" s="22">
        <f t="shared" si="1180"/>
        <v>59.288034300000007</v>
      </c>
      <c r="S138" s="22">
        <f t="shared" si="1180"/>
        <v>60.100486799999999</v>
      </c>
      <c r="T138" s="22">
        <f t="shared" si="1180"/>
        <v>83.36699999999999</v>
      </c>
      <c r="U138" s="22">
        <f t="shared" si="1180"/>
        <v>102.94800000000001</v>
      </c>
      <c r="V138" s="22">
        <f t="shared" si="1180"/>
        <v>129.108</v>
      </c>
      <c r="W138" s="22">
        <f t="shared" si="1180"/>
        <v>160.38399999999999</v>
      </c>
      <c r="X138" s="22">
        <f t="shared" si="1180"/>
        <v>209.27099999999999</v>
      </c>
      <c r="Y138" s="22">
        <f t="shared" si="1180"/>
        <v>303.25800000000004</v>
      </c>
      <c r="Z138" s="22">
        <f>Z134+Z137+Z136+Z135</f>
        <v>436.44800000000009</v>
      </c>
      <c r="AA138" s="22">
        <f>AA134+AA137+AA136+AA135</f>
        <v>756.03899999999987</v>
      </c>
      <c r="AB138" s="161">
        <f t="shared" ref="AB138:AE138" si="1181">AB134+AB137+AB136+AB135</f>
        <v>709.0811820219493</v>
      </c>
      <c r="AC138" s="161">
        <f t="shared" si="1181"/>
        <v>671.01221953147274</v>
      </c>
      <c r="AD138" s="161">
        <f t="shared" si="1181"/>
        <v>636.59880398049563</v>
      </c>
      <c r="AE138" s="161">
        <f t="shared" si="1181"/>
        <v>605.48991389239586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0</v>
      </c>
      <c r="BC138" s="22">
        <f t="shared" si="1186"/>
        <v>0</v>
      </c>
      <c r="BD138" s="22">
        <f t="shared" si="1186"/>
        <v>0</v>
      </c>
      <c r="BE138" s="22">
        <f t="shared" si="1186"/>
        <v>0</v>
      </c>
      <c r="BF138" s="22">
        <f t="shared" si="1186"/>
        <v>0</v>
      </c>
      <c r="BG138" s="22">
        <f t="shared" si="1186"/>
        <v>0</v>
      </c>
      <c r="BH138" s="22">
        <f t="shared" si="1186"/>
        <v>0</v>
      </c>
      <c r="BI138" s="22">
        <f t="shared" si="1186"/>
        <v>0</v>
      </c>
      <c r="BJ138" s="22">
        <f t="shared" si="1186"/>
        <v>0</v>
      </c>
      <c r="BK138" s="22">
        <f t="shared" si="1186"/>
        <v>0</v>
      </c>
      <c r="BL138" s="22">
        <f t="shared" si="1186"/>
        <v>0</v>
      </c>
      <c r="BM138" s="22">
        <f t="shared" si="1186"/>
        <v>0</v>
      </c>
      <c r="BN138" s="22">
        <f t="shared" si="1186"/>
        <v>0</v>
      </c>
      <c r="BO138" s="22">
        <f t="shared" si="1186"/>
        <v>0</v>
      </c>
      <c r="BP138" s="22">
        <f t="shared" si="1186"/>
        <v>0</v>
      </c>
      <c r="BQ138" s="22">
        <f t="shared" si="1186"/>
        <v>0</v>
      </c>
      <c r="BR138" s="22">
        <f t="shared" si="1186"/>
        <v>115.729</v>
      </c>
      <c r="BS138" s="22">
        <f t="shared" si="1186"/>
        <v>115.729</v>
      </c>
      <c r="BT138" s="22">
        <f t="shared" si="1186"/>
        <v>0</v>
      </c>
      <c r="BU138" s="22">
        <f t="shared" si="1186"/>
        <v>0</v>
      </c>
      <c r="BV138" s="22">
        <f t="shared" si="1186"/>
        <v>149.91899999999998</v>
      </c>
      <c r="BW138" s="22">
        <f t="shared" si="1186"/>
        <v>149.91899999999998</v>
      </c>
      <c r="BX138" s="22">
        <f t="shared" si="1186"/>
        <v>173.92099999999999</v>
      </c>
      <c r="BY138" s="22">
        <f t="shared" si="1186"/>
        <v>173.92099999999999</v>
      </c>
      <c r="BZ138" s="22">
        <f t="shared" si="1186"/>
        <v>200.79300000000001</v>
      </c>
      <c r="CA138" s="22">
        <f t="shared" si="1186"/>
        <v>200.79300000000001</v>
      </c>
      <c r="CB138" s="22">
        <f t="shared" si="1186"/>
        <v>264.85200000000003</v>
      </c>
      <c r="CC138" s="22">
        <f t="shared" si="1186"/>
        <v>264.85200000000003</v>
      </c>
      <c r="CD138" s="22">
        <f t="shared" si="1186"/>
        <v>303.072</v>
      </c>
      <c r="CE138" s="22">
        <f t="shared" si="1186"/>
        <v>303.072</v>
      </c>
      <c r="CF138" s="22">
        <f t="shared" ref="CF138:CG138" si="1187">CF134+CF137+CF135+CF136</f>
        <v>411.68200000000002</v>
      </c>
      <c r="CG138" s="22">
        <f t="shared" si="1187"/>
        <v>411.68200000000002</v>
      </c>
      <c r="CH138" s="22">
        <f t="shared" ref="CH138:CJ138" si="1188">CH134+CH137+CH135+CH136</f>
        <v>436.44800000000009</v>
      </c>
      <c r="CI138" s="22">
        <f t="shared" si="1188"/>
        <v>429.72200000000009</v>
      </c>
      <c r="CJ138" s="22">
        <f t="shared" si="1188"/>
        <v>673.98900000000003</v>
      </c>
      <c r="CK138" s="21">
        <f t="shared" ref="CK138:DB138" si="1189">CK134+CK137+CK135+CK136</f>
        <v>665.0329999999999</v>
      </c>
      <c r="CL138" s="22">
        <f t="shared" si="1189"/>
        <v>751.19399999999996</v>
      </c>
      <c r="CM138" s="21">
        <f t="shared" si="1189"/>
        <v>740.26393722645992</v>
      </c>
      <c r="CN138" s="21">
        <f t="shared" si="1189"/>
        <v>729.60627773324723</v>
      </c>
      <c r="CO138" s="21">
        <f t="shared" si="1189"/>
        <v>719.21423257974288</v>
      </c>
      <c r="CP138" s="21">
        <f t="shared" si="1189"/>
        <v>709.0811820219493</v>
      </c>
      <c r="CQ138" s="21">
        <f t="shared" si="1189"/>
        <v>699.20067129570623</v>
      </c>
      <c r="CR138" s="21">
        <f t="shared" si="1189"/>
        <v>689.56640650499935</v>
      </c>
      <c r="CS138" s="21">
        <f t="shared" si="1189"/>
        <v>680.17225061274121</v>
      </c>
      <c r="CT138" s="21">
        <f t="shared" si="1189"/>
        <v>671.01221953147274</v>
      </c>
      <c r="CU138" s="21">
        <f t="shared" si="1189"/>
        <v>662.08047831149202</v>
      </c>
      <c r="CV138" s="21">
        <f t="shared" si="1189"/>
        <v>653.37133742398589</v>
      </c>
      <c r="CW138" s="21">
        <f t="shared" si="1189"/>
        <v>644.87924913679376</v>
      </c>
      <c r="CX138" s="21">
        <f t="shared" si="1189"/>
        <v>636.59880398049563</v>
      </c>
      <c r="CY138" s="21">
        <f t="shared" si="1189"/>
        <v>628.52472730257523</v>
      </c>
      <c r="CZ138" s="21">
        <f t="shared" si="1189"/>
        <v>620.65187590745961</v>
      </c>
      <c r="DA138" s="21">
        <f t="shared" si="1189"/>
        <v>612.97523478029893</v>
      </c>
      <c r="DB138" s="21">
        <f t="shared" si="1189"/>
        <v>605.48991389239586</v>
      </c>
      <c r="DE138" s="126"/>
      <c r="DF138" s="22">
        <v>751.19399999999996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8.0359999999999996</v>
      </c>
      <c r="L140" s="23">
        <f>'Annual Raw'!M71</f>
        <v>0</v>
      </c>
      <c r="M140" s="23">
        <f>'Annual Raw'!N71</f>
        <v>25.587662300000002</v>
      </c>
      <c r="N140" s="23">
        <f>'Annual Raw'!O71</f>
        <v>31.344534400000001</v>
      </c>
      <c r="O140" s="23">
        <f>'Annual Raw'!P71</f>
        <v>25.968853500000002</v>
      </c>
      <c r="P140" s="23">
        <f>'Annual Raw'!Q71</f>
        <v>14.777790700000001</v>
      </c>
      <c r="Q140" s="23">
        <f>'Annual Raw'!R71</f>
        <v>1.5</v>
      </c>
      <c r="R140" s="23">
        <f>'Annual Raw'!S71</f>
        <v>0</v>
      </c>
      <c r="S140" s="23">
        <f>'Annual Raw'!T71</f>
        <v>0.15</v>
      </c>
      <c r="T140" s="23">
        <f>'Annual Raw'!U71</f>
        <v>0.15</v>
      </c>
      <c r="U140" s="23">
        <f>'Annual Raw'!V71</f>
        <v>0.05</v>
      </c>
      <c r="V140" s="23">
        <f>'Annual Raw'!W71</f>
        <v>13.787000000000001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1.643</v>
      </c>
      <c r="AA140" s="23">
        <f>'Annual Raw'!AB71</f>
        <v>1.7949999999999999</v>
      </c>
      <c r="AB140" s="24">
        <f>+CP140</f>
        <v>1.7949999999999999</v>
      </c>
      <c r="AC140" s="24">
        <f>+CT140</f>
        <v>1.7949999999999999</v>
      </c>
      <c r="AD140" s="24">
        <f>+CX140</f>
        <v>1.7949999999999999</v>
      </c>
      <c r="AE140" s="24">
        <f>+DB140</f>
        <v>1.7949999999999999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13.787000000000001</v>
      </c>
      <c r="BS140" s="23">
        <f t="shared" si="1190"/>
        <v>13.787000000000001</v>
      </c>
      <c r="BT140" s="23">
        <f>+'QTR Raw'!AN77</f>
        <v>0</v>
      </c>
      <c r="BU140" s="23">
        <f t="shared" si="1190"/>
        <v>0</v>
      </c>
      <c r="BV140" s="23">
        <f>+'QTR Raw'!AP77</f>
        <v>0</v>
      </c>
      <c r="BW140" s="23">
        <f t="shared" si="1190"/>
        <v>0</v>
      </c>
      <c r="BX140" s="23">
        <f>+'QTR Raw'!AR77</f>
        <v>0</v>
      </c>
      <c r="BY140" s="23">
        <f t="shared" si="1190"/>
        <v>0</v>
      </c>
      <c r="BZ140" s="23">
        <f>+'QTR Raw'!AT77</f>
        <v>0</v>
      </c>
      <c r="CA140" s="23">
        <f t="shared" si="1190"/>
        <v>0</v>
      </c>
      <c r="CB140" s="23">
        <f>+'QTR Raw'!AV77</f>
        <v>0</v>
      </c>
      <c r="CC140" s="23">
        <f t="shared" si="1190"/>
        <v>0</v>
      </c>
      <c r="CD140" s="23">
        <f>+'QTR Raw'!AX77</f>
        <v>0</v>
      </c>
      <c r="CE140" s="23">
        <f t="shared" si="1190"/>
        <v>0</v>
      </c>
      <c r="CF140" s="23">
        <f>+'QTR Raw'!AZ77</f>
        <v>0</v>
      </c>
      <c r="CG140" s="23">
        <f t="shared" ref="CG140:CI143" si="1191">+CF140</f>
        <v>0</v>
      </c>
      <c r="CH140" s="23">
        <f t="shared" ref="CH140:CH155" si="1192">Z140</f>
        <v>1.643</v>
      </c>
      <c r="CI140" s="23">
        <f t="shared" si="1191"/>
        <v>1.643</v>
      </c>
      <c r="CJ140" s="23">
        <f>+'QTR Raw'!BD77</f>
        <v>1.7729999999999999</v>
      </c>
      <c r="CK140" s="24">
        <f t="shared" ref="CK140" si="1193">+CJ140</f>
        <v>1.7729999999999999</v>
      </c>
      <c r="CL140" s="23">
        <f>+'QTR Raw'!BF77</f>
        <v>1.7949999999999999</v>
      </c>
      <c r="CM140" s="24">
        <f t="shared" ref="CM140" si="1194">+CL140</f>
        <v>1.7949999999999999</v>
      </c>
      <c r="CN140" s="24">
        <f t="shared" ref="CN140" si="1195">+CM140</f>
        <v>1.7949999999999999</v>
      </c>
      <c r="CO140" s="24">
        <f t="shared" ref="CO140" si="1196">+CN140</f>
        <v>1.7949999999999999</v>
      </c>
      <c r="CP140" s="24">
        <f t="shared" ref="CP140" si="1197">+CO140</f>
        <v>1.7949999999999999</v>
      </c>
      <c r="CQ140" s="24">
        <f t="shared" ref="CQ140" si="1198">+CP140</f>
        <v>1.7949999999999999</v>
      </c>
      <c r="CR140" s="24">
        <f t="shared" ref="CR140" si="1199">+CQ140</f>
        <v>1.7949999999999999</v>
      </c>
      <c r="CS140" s="24">
        <f t="shared" ref="CS140" si="1200">+CR140</f>
        <v>1.7949999999999999</v>
      </c>
      <c r="CT140" s="24">
        <f t="shared" ref="CT140" si="1201">+CS140</f>
        <v>1.7949999999999999</v>
      </c>
      <c r="CU140" s="24">
        <f t="shared" ref="CU140" si="1202">+CT140</f>
        <v>1.7949999999999999</v>
      </c>
      <c r="CV140" s="24">
        <f t="shared" ref="CV140" si="1203">+CU140</f>
        <v>1.7949999999999999</v>
      </c>
      <c r="CW140" s="24">
        <f t="shared" ref="CW140" si="1204">+CV140</f>
        <v>1.7949999999999999</v>
      </c>
      <c r="CX140" s="24">
        <f t="shared" ref="CX140" si="1205">+CW140</f>
        <v>1.7949999999999999</v>
      </c>
      <c r="CY140" s="24">
        <f t="shared" ref="CY140" si="1206">+CX140</f>
        <v>1.7949999999999999</v>
      </c>
      <c r="CZ140" s="24">
        <f t="shared" ref="CZ140" si="1207">+CY140</f>
        <v>1.7949999999999999</v>
      </c>
      <c r="DA140" s="24">
        <f t="shared" ref="DA140" si="1208">+CZ140</f>
        <v>1.7949999999999999</v>
      </c>
      <c r="DB140" s="24">
        <f t="shared" ref="DB140" si="1209">+DA140</f>
        <v>1.7949999999999999</v>
      </c>
      <c r="DE140" s="123"/>
      <c r="DF140" s="23">
        <v>1.7949999999999999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8.8097974000000008</v>
      </c>
      <c r="N142" s="23">
        <f>'Annual Raw'!O72+'Annual Raw'!O61</f>
        <v>8.5883248000000005</v>
      </c>
      <c r="O142" s="23">
        <f>'Annual Raw'!P72+'Annual Raw'!P61</f>
        <v>6.9413248000000003</v>
      </c>
      <c r="P142" s="23">
        <f>'Annual Raw'!Q72+'Annual Raw'!Q61</f>
        <v>2.5093409000000002</v>
      </c>
      <c r="Q142" s="23">
        <f>'Annual Raw'!R72+'Annual Raw'!R61</f>
        <v>2.4590013000000002</v>
      </c>
      <c r="R142" s="23">
        <f>'Annual Raw'!S72+'Annual Raw'!S61</f>
        <v>5.9863264999999997</v>
      </c>
      <c r="S142" s="23">
        <f>'Annual Raw'!T72+'Annual Raw'!T61</f>
        <v>5.2961368000000002</v>
      </c>
      <c r="T142" s="23">
        <f>'Annual Raw'!U72+'Annual Raw'!U61</f>
        <v>3.6999999999999998E-2</v>
      </c>
      <c r="U142" s="23">
        <f>'Annual Raw'!V72+'Annual Raw'!V61</f>
        <v>0.24199999999999999</v>
      </c>
      <c r="V142" s="23">
        <f>'Annual Raw'!W72+'Annual Raw'!W61</f>
        <v>0.11</v>
      </c>
      <c r="W142" s="23">
        <f>'Annual Raw'!X72+'Annual Raw'!X61</f>
        <v>1.819</v>
      </c>
      <c r="X142" s="23">
        <f>'Annual Raw'!Y72+'Annual Raw'!Y61</f>
        <v>0.85</v>
      </c>
      <c r="Y142" s="23">
        <f>'Annual Raw'!Z72+'Annual Raw'!Z61</f>
        <v>3.1230000000000002</v>
      </c>
      <c r="Z142" s="23">
        <f>'Annual Raw'!AA72+'Annual Raw'!AA61</f>
        <v>5.5E-2</v>
      </c>
      <c r="AA142" s="23">
        <f>'Annual Raw'!AB72+'Annual Raw'!AB61</f>
        <v>0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5.5E-2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0.79326220000000003</v>
      </c>
      <c r="Q143" s="23">
        <f>'Annual Raw'!R73+'Annual Raw'!R81</f>
        <v>2.2334244000000001</v>
      </c>
      <c r="R143" s="23">
        <f>'Annual Raw'!S73+'Annual Raw'!S81</f>
        <v>0</v>
      </c>
      <c r="S143" s="23">
        <f>'Annual Raw'!T73+'Annual Raw'!T81</f>
        <v>1.22743</v>
      </c>
      <c r="T143" s="23">
        <f>'Annual Raw'!U73+'Annual Raw'!U81</f>
        <v>0.96499999999999997</v>
      </c>
      <c r="U143" s="23">
        <f>'Annual Raw'!V73+'Annual Raw'!V81</f>
        <v>2.0209999999999999</v>
      </c>
      <c r="V143" s="23">
        <f>'Annual Raw'!W73+'Annual Raw'!W81</f>
        <v>3.637</v>
      </c>
      <c r="W143" s="23">
        <f>'Annual Raw'!X73+'Annual Raw'!X81</f>
        <v>6.0720000000000001</v>
      </c>
      <c r="X143" s="23">
        <f>'Annual Raw'!Y73+'Annual Raw'!Y81</f>
        <v>1.5069999999999999</v>
      </c>
      <c r="Y143" s="23">
        <f>'Annual Raw'!Z73+'Annual Raw'!Z81</f>
        <v>4.1150000000000002</v>
      </c>
      <c r="Z143" s="23">
        <f>'Annual Raw'!AA73+'Annual Raw'!AA81</f>
        <v>3.782</v>
      </c>
      <c r="AA143" s="23">
        <f>'Annual Raw'!AB73+'Annual Raw'!AB81</f>
        <v>20.035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0</v>
      </c>
      <c r="BC143" s="23">
        <f t="shared" si="1214"/>
        <v>0</v>
      </c>
      <c r="BD143" s="23">
        <f>+'QTR Raw'!X79+'QTR Raw'!X76</f>
        <v>0</v>
      </c>
      <c r="BE143" s="23">
        <f t="shared" si="1214"/>
        <v>0</v>
      </c>
      <c r="BF143" s="23">
        <f>+'QTR Raw'!Z79+'QTR Raw'!Z76</f>
        <v>0</v>
      </c>
      <c r="BG143" s="23">
        <f t="shared" si="1214"/>
        <v>0</v>
      </c>
      <c r="BH143" s="23">
        <f>+'QTR Raw'!AB79+'QTR Raw'!AB76</f>
        <v>0</v>
      </c>
      <c r="BI143" s="23">
        <f t="shared" si="1214"/>
        <v>0</v>
      </c>
      <c r="BJ143" s="23">
        <f>+'QTR Raw'!AD79+'QTR Raw'!AD76</f>
        <v>0</v>
      </c>
      <c r="BK143" s="23">
        <f t="shared" si="1214"/>
        <v>0</v>
      </c>
      <c r="BL143" s="23">
        <f>+'QTR Raw'!AF79+'QTR Raw'!AF76</f>
        <v>0</v>
      </c>
      <c r="BM143" s="23">
        <f t="shared" si="1214"/>
        <v>0</v>
      </c>
      <c r="BN143" s="23">
        <f>+'QTR Raw'!AH79+'QTR Raw'!AH76</f>
        <v>0</v>
      </c>
      <c r="BO143" s="23">
        <f t="shared" si="1214"/>
        <v>0</v>
      </c>
      <c r="BP143" s="23">
        <f>+'QTR Raw'!AJ79+'QTR Raw'!AJ76</f>
        <v>0</v>
      </c>
      <c r="BQ143" s="23">
        <f t="shared" si="1214"/>
        <v>0</v>
      </c>
      <c r="BR143" s="23">
        <f>+'QTR Raw'!AL79+'QTR Raw'!AL76</f>
        <v>17.126000000000001</v>
      </c>
      <c r="BS143" s="23">
        <f t="shared" si="1214"/>
        <v>17.126000000000001</v>
      </c>
      <c r="BT143" s="23">
        <f>+'QTR Raw'!AN79+'QTR Raw'!AN76</f>
        <v>0</v>
      </c>
      <c r="BU143" s="23">
        <f t="shared" si="1214"/>
        <v>0</v>
      </c>
      <c r="BV143" s="23">
        <f>+'QTR Raw'!AP79+'QTR Raw'!AP76</f>
        <v>18.356000000000002</v>
      </c>
      <c r="BW143" s="23">
        <f t="shared" si="1214"/>
        <v>18.356000000000002</v>
      </c>
      <c r="BX143" s="23">
        <f>+'QTR Raw'!AR79+'QTR Raw'!AR76</f>
        <v>15.395</v>
      </c>
      <c r="BY143" s="23">
        <f t="shared" si="1214"/>
        <v>15.395</v>
      </c>
      <c r="BZ143" s="23">
        <f>+'QTR Raw'!AT79+'QTR Raw'!AT76</f>
        <v>10.835000000000001</v>
      </c>
      <c r="CA143" s="23">
        <f t="shared" si="1214"/>
        <v>10.835000000000001</v>
      </c>
      <c r="CB143" s="23">
        <f>+'QTR Raw'!AV79+'QTR Raw'!AV76</f>
        <v>10.071999999999999</v>
      </c>
      <c r="CC143" s="23">
        <f t="shared" si="1214"/>
        <v>10.071999999999999</v>
      </c>
      <c r="CD143" s="23">
        <f>+'QTR Raw'!AX79+'QTR Raw'!AX76</f>
        <v>7.4240000000000004</v>
      </c>
      <c r="CE143" s="23">
        <f t="shared" si="1214"/>
        <v>7.4240000000000004</v>
      </c>
      <c r="CF143" s="23">
        <f>+'QTR Raw'!AZ79+'QTR Raw'!AZ76</f>
        <v>3.8</v>
      </c>
      <c r="CG143" s="23">
        <f t="shared" si="1191"/>
        <v>3.8</v>
      </c>
      <c r="CH143" s="23">
        <f t="shared" si="1192"/>
        <v>3.782</v>
      </c>
      <c r="CJ143" s="23">
        <f>+'QTR Raw'!BD79+'QTR Raw'!BD76</f>
        <v>3.6850000000000001</v>
      </c>
      <c r="CK143" s="24"/>
      <c r="CL143" s="23">
        <f>+'QTR Raw'!BF79+'QTR Raw'!BF76</f>
        <v>24.88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24.88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8.9902999999999997E-3</v>
      </c>
      <c r="K144" s="23">
        <f>'Annual Raw'!L76</f>
        <v>7.8539000000000005E-3</v>
      </c>
      <c r="L144" s="23">
        <f>'Annual Raw'!M76</f>
        <v>2.5163999999999999E-2</v>
      </c>
      <c r="M144" s="23">
        <f>'Annual Raw'!N76</f>
        <v>1.88708E-2</v>
      </c>
      <c r="N144" s="23">
        <f>'Annual Raw'!O76</f>
        <v>0.1917229</v>
      </c>
      <c r="O144" s="23">
        <f>'Annual Raw'!P76</f>
        <v>0.16038379999999999</v>
      </c>
      <c r="P144" s="23">
        <f>'Annual Raw'!Q76</f>
        <v>0.56845559999999995</v>
      </c>
      <c r="Q144" s="23">
        <f>'Annual Raw'!R76</f>
        <v>0.91945299999999996</v>
      </c>
      <c r="R144" s="23">
        <f>'Annual Raw'!S76</f>
        <v>0.47699780000000003</v>
      </c>
      <c r="S144" s="23">
        <f>'Annual Raw'!T76</f>
        <v>0.33767710000000001</v>
      </c>
      <c r="T144" s="23">
        <f>'Annual Raw'!U76</f>
        <v>0.28000000000000003</v>
      </c>
      <c r="U144" s="23">
        <f>'Annual Raw'!V76</f>
        <v>1.464</v>
      </c>
      <c r="V144" s="23">
        <f>'Annual Raw'!W76</f>
        <v>0.71399999999999997</v>
      </c>
      <c r="W144" s="23">
        <f>'Annual Raw'!X76</f>
        <v>2.1379999999999999</v>
      </c>
      <c r="X144" s="23">
        <f>'Annual Raw'!Y76</f>
        <v>1.034</v>
      </c>
      <c r="Y144" s="23">
        <f>'Annual Raw'!Z76</f>
        <v>2.9359999999999999</v>
      </c>
      <c r="Z144" s="23">
        <f>'Annual Raw'!AA76</f>
        <v>1.399</v>
      </c>
      <c r="AA144" s="23">
        <f>'Annual Raw'!AB76</f>
        <v>3.9</v>
      </c>
      <c r="AB144" s="24">
        <f t="shared" si="1210"/>
        <v>5.2118505921190001</v>
      </c>
      <c r="AC144" s="24">
        <f t="shared" si="1211"/>
        <v>6.9695803251238093</v>
      </c>
      <c r="AD144" s="24">
        <f t="shared" si="1212"/>
        <v>9.3192366334493784</v>
      </c>
      <c r="AE144" s="24">
        <f t="shared" si="1213"/>
        <v>12.460650223550553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0.71399999999999997</v>
      </c>
      <c r="BS144" s="23">
        <f>+BS179*BS10/90</f>
        <v>0.78569292307692296</v>
      </c>
      <c r="BT144" s="23">
        <f>+'QTR Raw'!AN81</f>
        <v>0</v>
      </c>
      <c r="BU144" s="23">
        <f>+BU179*BU10/90</f>
        <v>0</v>
      </c>
      <c r="BV144" s="23">
        <f>+'QTR Raw'!AP81</f>
        <v>2.1379999999999999</v>
      </c>
      <c r="BW144" s="23">
        <f>+BW179*BW10/90</f>
        <v>2.4593617518119535</v>
      </c>
      <c r="BX144" s="23">
        <f>+'QTR Raw'!AR81</f>
        <v>1.679</v>
      </c>
      <c r="BY144" s="23">
        <f>+BY179*BY10/90</f>
        <v>1.7580283130161227</v>
      </c>
      <c r="BZ144" s="23">
        <f>+'QTR Raw'!AT81</f>
        <v>1.034</v>
      </c>
      <c r="CA144" s="23">
        <f>+CA179*CA10/90</f>
        <v>1.0735502206715184</v>
      </c>
      <c r="CB144" s="23">
        <f>+'QTR Raw'!AV81</f>
        <v>2.8</v>
      </c>
      <c r="CC144" s="23">
        <f>+CC179*CC10/90</f>
        <v>2.8313437175493248</v>
      </c>
      <c r="CD144" s="23">
        <f>+'QTR Raw'!AX81</f>
        <v>2.9359999999999999</v>
      </c>
      <c r="CE144" s="23">
        <f>+CE179*CE10/90</f>
        <v>2.7224823656863135</v>
      </c>
      <c r="CF144" s="23">
        <f>+'QTR Raw'!AZ81</f>
        <v>1.597</v>
      </c>
      <c r="CG144" s="23">
        <f>+CG179*CG10/90</f>
        <v>1.5702431027645594</v>
      </c>
      <c r="CH144" s="23">
        <f t="shared" si="1192"/>
        <v>1.399</v>
      </c>
      <c r="CI144" s="23">
        <f>+CI179*CI10/90</f>
        <v>1.4030195401594532</v>
      </c>
      <c r="CJ144" s="23">
        <f>+'QTR Raw'!BD81</f>
        <v>4.34</v>
      </c>
      <c r="CK144" s="24">
        <f t="shared" ref="CK144:DB144" si="1215">+CK179*CK10/90</f>
        <v>4.7199618221258133</v>
      </c>
      <c r="CL144" s="23">
        <f>+'QTR Raw'!BF81</f>
        <v>3.9</v>
      </c>
      <c r="CM144" s="24">
        <f t="shared" si="1215"/>
        <v>4.0756904375809482</v>
      </c>
      <c r="CN144" s="24">
        <f t="shared" si="1215"/>
        <v>4.5904708283305844</v>
      </c>
      <c r="CO144" s="24">
        <f t="shared" si="1215"/>
        <v>5.0801083982844339</v>
      </c>
      <c r="CP144" s="24">
        <f t="shared" si="1215"/>
        <v>5.2118505921190001</v>
      </c>
      <c r="CQ144" s="24">
        <f t="shared" si="1215"/>
        <v>5.4666613684075456</v>
      </c>
      <c r="CR144" s="24">
        <f t="shared" si="1215"/>
        <v>6.1217697142828698</v>
      </c>
      <c r="CS144" s="24">
        <f t="shared" si="1215"/>
        <v>6.7961011488774101</v>
      </c>
      <c r="CT144" s="24">
        <f t="shared" si="1215"/>
        <v>6.9695803251238093</v>
      </c>
      <c r="CU144" s="24">
        <f t="shared" si="1215"/>
        <v>7.3115363450589985</v>
      </c>
      <c r="CV144" s="24">
        <f t="shared" si="1215"/>
        <v>8.1819021697152632</v>
      </c>
      <c r="CW144" s="24">
        <f t="shared" si="1215"/>
        <v>9.0881645695485069</v>
      </c>
      <c r="CX144" s="24">
        <f t="shared" si="1215"/>
        <v>9.3192366334493784</v>
      </c>
      <c r="CY144" s="24">
        <f t="shared" si="1215"/>
        <v>9.7762458514466122</v>
      </c>
      <c r="CZ144" s="24">
        <f t="shared" si="1215"/>
        <v>10.939236169683124</v>
      </c>
      <c r="DA144" s="24">
        <f t="shared" si="1215"/>
        <v>12.151999576382059</v>
      </c>
      <c r="DB144" s="24">
        <f t="shared" si="1215"/>
        <v>12.460650223550553</v>
      </c>
      <c r="DE144" s="123"/>
      <c r="DF144" s="23">
        <v>3.9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6.1325951999999999</v>
      </c>
      <c r="K145" s="23">
        <f>'Annual Raw'!L77</f>
        <v>0.79170739999999995</v>
      </c>
      <c r="L145" s="23">
        <f>'Annual Raw'!M77</f>
        <v>13.0049536</v>
      </c>
      <c r="M145" s="23">
        <f>'Annual Raw'!N77</f>
        <v>0.14377219999999999</v>
      </c>
      <c r="N145" s="23">
        <f>'Annual Raw'!O77</f>
        <v>0.54817890000000002</v>
      </c>
      <c r="O145" s="23">
        <f>'Annual Raw'!P77</f>
        <v>1.6208043000000001</v>
      </c>
      <c r="P145" s="23">
        <f>'Annual Raw'!Q77</f>
        <v>2.5699957000000002</v>
      </c>
      <c r="Q145" s="23">
        <f>'Annual Raw'!R77</f>
        <v>2.9623263</v>
      </c>
      <c r="R145" s="23">
        <f>'Annual Raw'!S77</f>
        <v>2.6297050999999998</v>
      </c>
      <c r="S145" s="23">
        <f>'Annual Raw'!T77</f>
        <v>5.4657632999999999</v>
      </c>
      <c r="T145" s="23">
        <f>'Annual Raw'!U77</f>
        <v>21.335999999999999</v>
      </c>
      <c r="U145" s="23">
        <f>'Annual Raw'!V77</f>
        <v>23.399000000000001</v>
      </c>
      <c r="V145" s="23">
        <f>'Annual Raw'!W77</f>
        <v>14.91</v>
      </c>
      <c r="W145" s="23">
        <f>'Annual Raw'!X77</f>
        <v>44.222999999999999</v>
      </c>
      <c r="X145" s="23">
        <f>'Annual Raw'!Y77</f>
        <v>67.224000000000004</v>
      </c>
      <c r="Y145" s="23">
        <f>'Annual Raw'!Z77</f>
        <v>103.288</v>
      </c>
      <c r="Z145" s="23">
        <f>'Annual Raw'!AA77</f>
        <v>145.46700000000001</v>
      </c>
      <c r="AA145" s="23">
        <f>'Annual Raw'!AB77</f>
        <v>189.21299999999999</v>
      </c>
      <c r="AB145" s="24">
        <f t="shared" si="1210"/>
        <v>252.85894515041343</v>
      </c>
      <c r="AC145" s="24">
        <f t="shared" si="1211"/>
        <v>338.1372312968337</v>
      </c>
      <c r="AD145" s="24">
        <f t="shared" si="1212"/>
        <v>452.13351823714288</v>
      </c>
      <c r="AE145" s="24">
        <f t="shared" si="1213"/>
        <v>604.54282326888995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14.91</v>
      </c>
      <c r="BS145" s="23">
        <f>+BS180*BS10/90</f>
        <v>16.407116923076924</v>
      </c>
      <c r="BT145" s="23">
        <f>+'QTR Raw'!AN82</f>
        <v>0</v>
      </c>
      <c r="BU145" s="23">
        <f>+BU180*BU10/90</f>
        <v>0</v>
      </c>
      <c r="BV145" s="23">
        <f>+'QTR Raw'!AP82</f>
        <v>44.222999999999999</v>
      </c>
      <c r="BW145" s="23">
        <f>+BW180*BW10/90</f>
        <v>50.870137862666049</v>
      </c>
      <c r="BX145" s="23">
        <f>+'QTR Raw'!AR82</f>
        <v>61.442</v>
      </c>
      <c r="BY145" s="23">
        <f>+BY180*BY10/90</f>
        <v>64.333993810802028</v>
      </c>
      <c r="BZ145" s="23">
        <f>+'QTR Raw'!AT82</f>
        <v>67.224000000000004</v>
      </c>
      <c r="CA145" s="23">
        <f>+CA180*CA10/90</f>
        <v>69.795299839866672</v>
      </c>
      <c r="CB145" s="23">
        <f>+'QTR Raw'!AV82</f>
        <v>104.092</v>
      </c>
      <c r="CC145" s="23">
        <f>+CC180*CC10/90</f>
        <v>105.25722508826583</v>
      </c>
      <c r="CD145" s="23">
        <f>+'QTR Raw'!AX82</f>
        <v>103.288</v>
      </c>
      <c r="CE145" s="23">
        <f>+CE180*CE10/90</f>
        <v>95.776484532359675</v>
      </c>
      <c r="CF145" s="23">
        <f>+'QTR Raw'!AZ82</f>
        <v>118.783</v>
      </c>
      <c r="CG145" s="23">
        <f>+CG180*CG10/90</f>
        <v>116.79285314695218</v>
      </c>
      <c r="CH145" s="23">
        <f t="shared" si="1192"/>
        <v>145.46700000000001</v>
      </c>
      <c r="CI145" s="23">
        <f>+CI180*CI10/90</f>
        <v>145.88494885516451</v>
      </c>
      <c r="CJ145" s="23">
        <f>+'QTR Raw'!BD82</f>
        <v>172.375</v>
      </c>
      <c r="CK145" s="24">
        <f t="shared" ref="CK145:DB145" si="1216">+CK180*CK10/90</f>
        <v>187.46622559652928</v>
      </c>
      <c r="CL145" s="23">
        <f>+'QTR Raw'!BF82</f>
        <v>189.21299999999999</v>
      </c>
      <c r="CM145" s="24">
        <f t="shared" si="1216"/>
        <v>197.73682429897539</v>
      </c>
      <c r="CN145" s="24">
        <f t="shared" si="1216"/>
        <v>222.71198893356794</v>
      </c>
      <c r="CO145" s="24">
        <f t="shared" si="1216"/>
        <v>246.46732060630578</v>
      </c>
      <c r="CP145" s="24">
        <f t="shared" si="1216"/>
        <v>252.85894515041343</v>
      </c>
      <c r="CQ145" s="24">
        <f t="shared" si="1216"/>
        <v>265.22138397448646</v>
      </c>
      <c r="CR145" s="24">
        <f t="shared" si="1216"/>
        <v>297.00472126887297</v>
      </c>
      <c r="CS145" s="24">
        <f t="shared" si="1216"/>
        <v>329.72068889295934</v>
      </c>
      <c r="CT145" s="24">
        <f t="shared" si="1216"/>
        <v>338.1372312968337</v>
      </c>
      <c r="CU145" s="24">
        <f t="shared" si="1216"/>
        <v>354.72762216862787</v>
      </c>
      <c r="CV145" s="24">
        <f t="shared" si="1216"/>
        <v>396.95442442008573</v>
      </c>
      <c r="CW145" s="24">
        <f t="shared" si="1216"/>
        <v>440.92279043537991</v>
      </c>
      <c r="CX145" s="24">
        <f t="shared" si="1216"/>
        <v>452.13351823714288</v>
      </c>
      <c r="CY145" s="24">
        <f t="shared" si="1216"/>
        <v>474.30584776660714</v>
      </c>
      <c r="CZ145" s="24">
        <f t="shared" si="1216"/>
        <v>530.72966496775723</v>
      </c>
      <c r="DA145" s="24">
        <f t="shared" si="1216"/>
        <v>589.56828098614835</v>
      </c>
      <c r="DB145" s="24">
        <f t="shared" si="1216"/>
        <v>604.54282326888995</v>
      </c>
      <c r="DE145" s="123"/>
      <c r="DF145" s="23">
        <v>189.21299999999999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1.90507E-2</v>
      </c>
      <c r="K146" s="23">
        <f>'Annual Raw'!L79</f>
        <v>0.21276906800000001</v>
      </c>
      <c r="L146" s="23">
        <f>'Annual Raw'!M79</f>
        <v>0.42277850900000002</v>
      </c>
      <c r="M146" s="23">
        <f>'Annual Raw'!N79</f>
        <v>0.2583164</v>
      </c>
      <c r="N146" s="23">
        <f>'Annual Raw'!O79</f>
        <v>0.16669629999999999</v>
      </c>
      <c r="O146" s="23">
        <f>'Annual Raw'!P79</f>
        <v>0.25624390000000002</v>
      </c>
      <c r="P146" s="23">
        <f>'Annual Raw'!Q79</f>
        <v>0.2043876</v>
      </c>
      <c r="Q146" s="23">
        <f>'Annual Raw'!R79</f>
        <v>0.25811519999999999</v>
      </c>
      <c r="R146" s="23">
        <f>'Annual Raw'!S79</f>
        <v>0.75490760000000001</v>
      </c>
      <c r="S146" s="23">
        <f>'Annual Raw'!T79</f>
        <v>1.3296616999999999</v>
      </c>
      <c r="T146" s="23">
        <f>'Annual Raw'!U79</f>
        <v>1.2649999999999999</v>
      </c>
      <c r="U146" s="23">
        <f>'Annual Raw'!V79</f>
        <v>1.5649999999999999</v>
      </c>
      <c r="V146" s="23">
        <f>'Annual Raw'!W79</f>
        <v>1.1259999999999999</v>
      </c>
      <c r="W146" s="23">
        <f>'Annual Raw'!X79</f>
        <v>2.0830000000000002</v>
      </c>
      <c r="X146" s="23">
        <f>'Annual Raw'!Y79</f>
        <v>2.2919999999999998</v>
      </c>
      <c r="Y146" s="23">
        <f>'Annual Raw'!Z79</f>
        <v>4.5469999999999997</v>
      </c>
      <c r="Z146" s="23">
        <f>'Annual Raw'!AA79</f>
        <v>5.0389999999999997</v>
      </c>
      <c r="AA146" s="23">
        <f>'Annual Raw'!AB79</f>
        <v>6.9390000000000001</v>
      </c>
      <c r="AB146" s="24">
        <f t="shared" si="1210"/>
        <v>210.99575754817764</v>
      </c>
      <c r="AC146" s="24">
        <f t="shared" si="1211"/>
        <v>282.15541763918543</v>
      </c>
      <c r="AD146" s="24">
        <f t="shared" si="1212"/>
        <v>377.27854213985194</v>
      </c>
      <c r="AE146" s="24">
        <f t="shared" si="1213"/>
        <v>504.45504662710937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0</v>
      </c>
      <c r="BK146" s="23">
        <f t="shared" si="1214"/>
        <v>0</v>
      </c>
      <c r="BL146" s="23">
        <f>+'QTR Raw'!AF84</f>
        <v>0</v>
      </c>
      <c r="BM146" s="23">
        <f t="shared" si="1214"/>
        <v>0</v>
      </c>
      <c r="BN146" s="23">
        <f>+'QTR Raw'!AH84</f>
        <v>0</v>
      </c>
      <c r="BO146" s="23">
        <f t="shared" si="1214"/>
        <v>0</v>
      </c>
      <c r="BP146" s="23">
        <f>+'QTR Raw'!AJ84</f>
        <v>0</v>
      </c>
      <c r="BQ146" s="23">
        <f t="shared" si="1214"/>
        <v>0</v>
      </c>
      <c r="BR146" s="23">
        <f>+'QTR Raw'!AL84</f>
        <v>18.812000000000001</v>
      </c>
      <c r="BS146" s="23">
        <f t="shared" si="1214"/>
        <v>18.812000000000001</v>
      </c>
      <c r="BT146" s="23">
        <f>+'QTR Raw'!AN84</f>
        <v>0</v>
      </c>
      <c r="BU146" s="23">
        <f t="shared" si="1214"/>
        <v>0</v>
      </c>
      <c r="BV146" s="23">
        <f>+'QTR Raw'!AP84</f>
        <v>28.186</v>
      </c>
      <c r="BW146" s="23">
        <f t="shared" si="1214"/>
        <v>28.186</v>
      </c>
      <c r="BX146" s="23">
        <f>+'QTR Raw'!AR84</f>
        <v>46.664000000000001</v>
      </c>
      <c r="BY146" s="23">
        <f t="shared" si="1214"/>
        <v>46.664000000000001</v>
      </c>
      <c r="BZ146" s="23">
        <f>+'QTR Raw'!AT84</f>
        <v>60.683999999999997</v>
      </c>
      <c r="CA146" s="23">
        <f t="shared" si="1214"/>
        <v>60.683999999999997</v>
      </c>
      <c r="CB146" s="23">
        <f>+'QTR Raw'!AV84</f>
        <v>64.897999999999996</v>
      </c>
      <c r="CC146" s="23">
        <f t="shared" si="1214"/>
        <v>64.897999999999996</v>
      </c>
      <c r="CD146" s="23">
        <f>+'QTR Raw'!AX84</f>
        <v>81.278999999999996</v>
      </c>
      <c r="CE146" s="23">
        <f t="shared" si="1214"/>
        <v>81.278999999999996</v>
      </c>
      <c r="CF146" s="23">
        <f>+'QTR Raw'!AZ84</f>
        <v>94.403000000000006</v>
      </c>
      <c r="CG146" s="23">
        <f t="shared" ref="CG146:CG147" si="1217">+CF146</f>
        <v>94.403000000000006</v>
      </c>
      <c r="CH146" s="23">
        <f t="shared" si="1192"/>
        <v>5.0389999999999997</v>
      </c>
      <c r="CI146" s="23">
        <f>CI10/90*CI181</f>
        <v>96.635854088795384</v>
      </c>
      <c r="CJ146" s="23">
        <f>+'QTR Raw'!BD84</f>
        <v>113.352</v>
      </c>
      <c r="CK146" s="24">
        <f t="shared" ref="CK146:DB146" si="1218">CK10/90*CK181</f>
        <v>135.35306186550977</v>
      </c>
      <c r="CL146" s="23">
        <f>+'QTR Raw'!BF84</f>
        <v>127.60899999999999</v>
      </c>
      <c r="CM146" s="24">
        <f t="shared" si="1218"/>
        <v>164.99962464572909</v>
      </c>
      <c r="CN146" s="24">
        <f t="shared" si="1218"/>
        <v>185.83991478785413</v>
      </c>
      <c r="CO146" s="24">
        <f t="shared" si="1218"/>
        <v>205.66232684100888</v>
      </c>
      <c r="CP146" s="24">
        <f t="shared" si="1218"/>
        <v>210.99575754817764</v>
      </c>
      <c r="CQ146" s="24">
        <f t="shared" si="1218"/>
        <v>221.31147781378525</v>
      </c>
      <c r="CR146" s="24">
        <f t="shared" si="1218"/>
        <v>247.83278330230249</v>
      </c>
      <c r="CS146" s="24">
        <f t="shared" si="1218"/>
        <v>275.13231335713027</v>
      </c>
      <c r="CT146" s="24">
        <f t="shared" si="1218"/>
        <v>282.15541763918543</v>
      </c>
      <c r="CU146" s="24">
        <f t="shared" si="1218"/>
        <v>295.99911254162322</v>
      </c>
      <c r="CV146" s="24">
        <f t="shared" si="1218"/>
        <v>331.23486868457286</v>
      </c>
      <c r="CW146" s="24">
        <f t="shared" si="1218"/>
        <v>367.92385625443728</v>
      </c>
      <c r="CX146" s="24">
        <f t="shared" si="1218"/>
        <v>377.27854213985194</v>
      </c>
      <c r="CY146" s="24">
        <f t="shared" si="1218"/>
        <v>395.78003301214142</v>
      </c>
      <c r="CZ146" s="24">
        <f t="shared" si="1218"/>
        <v>442.86235413404103</v>
      </c>
      <c r="DA146" s="24">
        <f t="shared" si="1218"/>
        <v>491.95968131185504</v>
      </c>
      <c r="DB146" s="24">
        <f t="shared" si="1218"/>
        <v>504.45504662710937</v>
      </c>
      <c r="DE146" s="123"/>
      <c r="DF146" s="23">
        <v>127.60899999999999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4.6274462999999999</v>
      </c>
      <c r="K147" s="23">
        <f>'Annual Raw'!L80</f>
        <v>9.7626950000000008</v>
      </c>
      <c r="L147" s="23">
        <f>'Annual Raw'!M80</f>
        <v>24.910010700000001</v>
      </c>
      <c r="M147" s="23">
        <f>'Annual Raw'!N80</f>
        <v>14.0275999</v>
      </c>
      <c r="N147" s="23">
        <f>'Annual Raw'!O80</f>
        <v>11.6838731</v>
      </c>
      <c r="O147" s="23">
        <f>'Annual Raw'!P80</f>
        <v>2.5697519</v>
      </c>
      <c r="P147" s="23">
        <f>'Annual Raw'!Q80</f>
        <v>3.0981255000000001</v>
      </c>
      <c r="Q147" s="23">
        <f>'Annual Raw'!R80</f>
        <v>0.28943590000000002</v>
      </c>
      <c r="R147" s="23">
        <f>'Annual Raw'!S80</f>
        <v>0.92327459999999995</v>
      </c>
      <c r="S147" s="23">
        <f>'Annual Raw'!T80</f>
        <v>4.3179277999999996</v>
      </c>
      <c r="T147" s="23">
        <f>'Annual Raw'!U80</f>
        <v>9.7840000000000007</v>
      </c>
      <c r="U147" s="23">
        <f>'Annual Raw'!V80</f>
        <v>17.736000000000001</v>
      </c>
      <c r="V147" s="23">
        <f>'Annual Raw'!W80</f>
        <v>20.747</v>
      </c>
      <c r="W147" s="23">
        <f>'Annual Raw'!X80</f>
        <v>29.167000000000002</v>
      </c>
      <c r="X147" s="23">
        <f>'Annual Raw'!Y80</f>
        <v>58.441000000000003</v>
      </c>
      <c r="Y147" s="23">
        <f>'Annual Raw'!Z80</f>
        <v>79.274000000000001</v>
      </c>
      <c r="Z147" s="23">
        <f>'Annual Raw'!AA80</f>
        <v>87.483000000000004</v>
      </c>
      <c r="AA147" s="23">
        <f>'Annual Raw'!AB80</f>
        <v>126.068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3.0609999999999999</v>
      </c>
      <c r="BS147" s="23">
        <f t="shared" si="1214"/>
        <v>3.0609999999999999</v>
      </c>
      <c r="BT147" s="23">
        <f>+'QTR Raw'!AN85</f>
        <v>0</v>
      </c>
      <c r="BU147" s="23">
        <f t="shared" si="1214"/>
        <v>0</v>
      </c>
      <c r="BV147" s="23">
        <f>+'QTR Raw'!AP85</f>
        <v>3.0640000000000001</v>
      </c>
      <c r="BW147" s="23">
        <f t="shared" si="1214"/>
        <v>3.0640000000000001</v>
      </c>
      <c r="BX147" s="23">
        <f>+'QTR Raw'!AR85</f>
        <v>1.429</v>
      </c>
      <c r="BY147" s="23">
        <f t="shared" si="1214"/>
        <v>1.429</v>
      </c>
      <c r="BZ147" s="23">
        <f>+'QTR Raw'!AT85</f>
        <v>4.9000000000000002E-2</v>
      </c>
      <c r="CA147" s="23">
        <f t="shared" si="1214"/>
        <v>4.9000000000000002E-2</v>
      </c>
      <c r="CB147" s="23">
        <f>+'QTR Raw'!AV85</f>
        <v>1.6830000000000001</v>
      </c>
      <c r="CC147" s="23">
        <f t="shared" si="1214"/>
        <v>1.6830000000000001</v>
      </c>
      <c r="CD147" s="23">
        <f>+'QTR Raw'!AX85</f>
        <v>2.5419999999999998</v>
      </c>
      <c r="CE147" s="23">
        <f t="shared" si="1214"/>
        <v>2.5419999999999998</v>
      </c>
      <c r="CF147" s="23">
        <f>+'QTR Raw'!AZ85</f>
        <v>4.9139999999999997</v>
      </c>
      <c r="CG147" s="23">
        <f t="shared" si="1217"/>
        <v>4.9139999999999997</v>
      </c>
      <c r="CH147" s="23">
        <f t="shared" si="1192"/>
        <v>87.483000000000004</v>
      </c>
      <c r="CJ147" s="23">
        <f>+'QTR Raw'!BD85</f>
        <v>7.42</v>
      </c>
      <c r="CK147" s="24"/>
      <c r="CL147" s="23">
        <f>+'QTR Raw'!BF85</f>
        <v>5.3979999999999997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5.3979999999999997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0</v>
      </c>
      <c r="J148" s="22">
        <f t="shared" si="1219"/>
        <v>10.7880825</v>
      </c>
      <c r="K148" s="22">
        <f t="shared" si="1219"/>
        <v>10.775025368000001</v>
      </c>
      <c r="L148" s="22">
        <f>SUM(L142:L147)</f>
        <v>38.362906809000002</v>
      </c>
      <c r="M148" s="22">
        <f>SUM(M142:M147)</f>
        <v>23.2583567</v>
      </c>
      <c r="N148" s="22">
        <f t="shared" si="1219"/>
        <v>21.178795999999998</v>
      </c>
      <c r="O148" s="22">
        <f t="shared" si="1219"/>
        <v>11.548508699999999</v>
      </c>
      <c r="P148" s="22">
        <f t="shared" si="1219"/>
        <v>9.743567500000001</v>
      </c>
      <c r="Q148" s="22">
        <f t="shared" si="1219"/>
        <v>9.1217561000000007</v>
      </c>
      <c r="R148" s="22">
        <f t="shared" si="1219"/>
        <v>10.771211599999997</v>
      </c>
      <c r="S148" s="22">
        <f t="shared" si="1219"/>
        <v>17.974596699999999</v>
      </c>
      <c r="T148" s="22">
        <f t="shared" si="1219"/>
        <v>33.667000000000002</v>
      </c>
      <c r="U148" s="22">
        <f t="shared" si="1219"/>
        <v>46.427000000000007</v>
      </c>
      <c r="V148" s="22">
        <f t="shared" si="1219"/>
        <v>41.244</v>
      </c>
      <c r="W148" s="22">
        <f t="shared" ref="W148" si="1220">SUM(W142:W147)</f>
        <v>85.501999999999995</v>
      </c>
      <c r="X148" s="22">
        <f t="shared" ref="X148:Y148" si="1221">SUM(X142:X147)</f>
        <v>131.34800000000001</v>
      </c>
      <c r="Y148" s="22">
        <f t="shared" si="1221"/>
        <v>197.28299999999999</v>
      </c>
      <c r="Z148" s="22">
        <f t="shared" ref="Z148:AA148" si="1222">SUM(Z142:Z147)</f>
        <v>243.22499999999999</v>
      </c>
      <c r="AA148" s="22">
        <f t="shared" si="1222"/>
        <v>346.15499999999997</v>
      </c>
      <c r="AB148" s="21">
        <f t="shared" ref="AA148:AD148" si="1223">SUM(AB142:AB147)</f>
        <v>469.06655329071009</v>
      </c>
      <c r="AC148" s="21">
        <f t="shared" si="1223"/>
        <v>627.26222926114292</v>
      </c>
      <c r="AD148" s="21">
        <f t="shared" si="1223"/>
        <v>838.73129701044422</v>
      </c>
      <c r="AE148" s="21">
        <f t="shared" ref="AE148" si="1224">SUM(AE142:AE147)</f>
        <v>1121.45852011955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 t="e">
        <f t="shared" si="1229"/>
        <v>#DIV/0!</v>
      </c>
      <c r="BB148" s="22">
        <f t="shared" si="1229"/>
        <v>0</v>
      </c>
      <c r="BC148" s="22" t="e">
        <f t="shared" si="1229"/>
        <v>#DIV/0!</v>
      </c>
      <c r="BD148" s="22">
        <f t="shared" si="1229"/>
        <v>0</v>
      </c>
      <c r="BE148" s="22" t="e">
        <f t="shared" si="1229"/>
        <v>#DIV/0!</v>
      </c>
      <c r="BF148" s="22">
        <f t="shared" si="1229"/>
        <v>0</v>
      </c>
      <c r="BG148" s="22" t="e">
        <f t="shared" si="1229"/>
        <v>#DIV/0!</v>
      </c>
      <c r="BH148" s="22">
        <f t="shared" si="1229"/>
        <v>0</v>
      </c>
      <c r="BI148" s="22" t="e">
        <f t="shared" si="1229"/>
        <v>#DIV/0!</v>
      </c>
      <c r="BJ148" s="22">
        <f t="shared" si="1229"/>
        <v>0</v>
      </c>
      <c r="BK148" s="22" t="e">
        <f t="shared" si="1229"/>
        <v>#DIV/0!</v>
      </c>
      <c r="BL148" s="22">
        <f t="shared" si="1229"/>
        <v>0</v>
      </c>
      <c r="BM148" s="22" t="e">
        <f t="shared" si="1229"/>
        <v>#DIV/0!</v>
      </c>
      <c r="BN148" s="22">
        <f t="shared" si="1229"/>
        <v>0</v>
      </c>
      <c r="BO148" s="22" t="e">
        <f t="shared" si="1229"/>
        <v>#DIV/0!</v>
      </c>
      <c r="BP148" s="22">
        <f t="shared" si="1229"/>
        <v>0</v>
      </c>
      <c r="BQ148" s="22" t="e">
        <f t="shared" si="1229"/>
        <v>#DIV/0!</v>
      </c>
      <c r="BR148" s="22">
        <f t="shared" si="1229"/>
        <v>54.622999999999998</v>
      </c>
      <c r="BS148" s="22">
        <f t="shared" si="1229"/>
        <v>56.191809846153852</v>
      </c>
      <c r="BT148" s="22">
        <f t="shared" si="1229"/>
        <v>0</v>
      </c>
      <c r="BU148" s="22">
        <f t="shared" si="1229"/>
        <v>0</v>
      </c>
      <c r="BV148" s="22">
        <f t="shared" si="1229"/>
        <v>95.966999999999985</v>
      </c>
      <c r="BW148" s="22">
        <f t="shared" si="1229"/>
        <v>102.935499614478</v>
      </c>
      <c r="BX148" s="22">
        <f t="shared" si="1229"/>
        <v>126.60899999999999</v>
      </c>
      <c r="BY148" s="22">
        <f t="shared" si="1229"/>
        <v>129.58002212381817</v>
      </c>
      <c r="BZ148" s="22">
        <f t="shared" si="1229"/>
        <v>139.82599999999999</v>
      </c>
      <c r="CA148" s="22">
        <f t="shared" si="1229"/>
        <v>142.43685006053821</v>
      </c>
      <c r="CB148" s="22">
        <f t="shared" si="1229"/>
        <v>183.54499999999999</v>
      </c>
      <c r="CC148" s="22">
        <f t="shared" si="1229"/>
        <v>184.74156880581512</v>
      </c>
      <c r="CD148" s="22">
        <f t="shared" si="1229"/>
        <v>197.46899999999999</v>
      </c>
      <c r="CE148" s="22">
        <f t="shared" si="1229"/>
        <v>189.74396689804598</v>
      </c>
      <c r="CF148" s="22">
        <f t="shared" ref="CF148:CG148" si="1230">SUM(CF142:CF147)</f>
        <v>223.49700000000001</v>
      </c>
      <c r="CG148" s="22">
        <f t="shared" si="1230"/>
        <v>221.48009624971672</v>
      </c>
      <c r="CH148" s="22">
        <f t="shared" ref="CH148:CI148" si="1231">SUM(CH142:CH147)</f>
        <v>243.22499999999999</v>
      </c>
      <c r="CI148" s="22">
        <f t="shared" si="1231"/>
        <v>243.92382248411934</v>
      </c>
      <c r="CJ148" s="22">
        <f t="shared" ref="CJ148:DB148" si="1232">SUM(CJ142:CJ147)</f>
        <v>301.17200000000003</v>
      </c>
      <c r="CK148" s="21">
        <f t="shared" si="1232"/>
        <v>327.53924928416484</v>
      </c>
      <c r="CL148" s="22">
        <f t="shared" ref="CL148" si="1233">SUM(CL142:CL147)</f>
        <v>351</v>
      </c>
      <c r="CM148" s="21">
        <f t="shared" si="1232"/>
        <v>366.81213938228541</v>
      </c>
      <c r="CN148" s="21">
        <f t="shared" si="1232"/>
        <v>413.14237454975262</v>
      </c>
      <c r="CO148" s="21">
        <f t="shared" si="1232"/>
        <v>457.20975584559909</v>
      </c>
      <c r="CP148" s="21">
        <f t="shared" si="1232"/>
        <v>469.06655329071009</v>
      </c>
      <c r="CQ148" s="21">
        <f t="shared" si="1232"/>
        <v>491.99952315667923</v>
      </c>
      <c r="CR148" s="21">
        <f t="shared" si="1232"/>
        <v>550.95927428545838</v>
      </c>
      <c r="CS148" s="21">
        <f t="shared" si="1232"/>
        <v>611.6491033989671</v>
      </c>
      <c r="CT148" s="21">
        <f t="shared" si="1232"/>
        <v>627.26222926114292</v>
      </c>
      <c r="CU148" s="21">
        <f t="shared" si="1232"/>
        <v>658.03827105531013</v>
      </c>
      <c r="CV148" s="21">
        <f t="shared" si="1232"/>
        <v>736.3711952743738</v>
      </c>
      <c r="CW148" s="21">
        <f t="shared" si="1232"/>
        <v>817.93481125936569</v>
      </c>
      <c r="CX148" s="21">
        <f t="shared" si="1232"/>
        <v>838.73129701044422</v>
      </c>
      <c r="CY148" s="21">
        <f t="shared" si="1232"/>
        <v>879.86212663019523</v>
      </c>
      <c r="CZ148" s="21">
        <f t="shared" si="1232"/>
        <v>984.53125527148131</v>
      </c>
      <c r="DA148" s="21">
        <f t="shared" si="1232"/>
        <v>1093.6799618743855</v>
      </c>
      <c r="DB148" s="21">
        <f t="shared" si="1232"/>
        <v>1121.45852011955</v>
      </c>
      <c r="DE148" s="126"/>
      <c r="DF148" s="22">
        <v>351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0.4886143</v>
      </c>
      <c r="Q149" s="23">
        <f>'Annual Raw'!R50+'Annual Raw'!R58</f>
        <v>0.67482560000000003</v>
      </c>
      <c r="R149" s="23">
        <f>'Annual Raw'!S50+'Annual Raw'!S58</f>
        <v>1.676267</v>
      </c>
      <c r="S149" s="23">
        <f>'Annual Raw'!T50+'Annual Raw'!T58</f>
        <v>1.1238798000000001</v>
      </c>
      <c r="T149" s="23">
        <f>'Annual Raw'!U50+'Annual Raw'!U58</f>
        <v>1.843</v>
      </c>
      <c r="U149" s="23">
        <f>'Annual Raw'!V50+'Annual Raw'!V58</f>
        <v>1.617</v>
      </c>
      <c r="V149" s="23">
        <f>'Annual Raw'!W50+'Annual Raw'!W58</f>
        <v>14.255000000000001</v>
      </c>
      <c r="W149" s="23">
        <f>'Annual Raw'!X50+'Annual Raw'!X58</f>
        <v>10.625</v>
      </c>
      <c r="X149" s="23">
        <f>'Annual Raw'!Y50+'Annual Raw'!Y58</f>
        <v>6.202</v>
      </c>
      <c r="Y149" s="23">
        <f>'Annual Raw'!Z50+'Annual Raw'!Z58</f>
        <v>2.911</v>
      </c>
      <c r="Z149" s="23">
        <f>'Annual Raw'!AA50+'Annual Raw'!AA58</f>
        <v>8.4930000000000003</v>
      </c>
      <c r="AA149" s="23">
        <f>'Annual Raw'!AB50+'Annual Raw'!AB58</f>
        <v>108.267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0</v>
      </c>
      <c r="BO149" s="23">
        <f t="shared" si="1238"/>
        <v>0</v>
      </c>
      <c r="BP149" s="23">
        <f>+'QTR Raw'!AJ64</f>
        <v>0</v>
      </c>
      <c r="BQ149" s="23">
        <f t="shared" si="1238"/>
        <v>0</v>
      </c>
      <c r="BR149" s="23">
        <f>+'QTR Raw'!AL64</f>
        <v>14.255000000000001</v>
      </c>
      <c r="BS149" s="23">
        <f t="shared" si="1238"/>
        <v>14.255000000000001</v>
      </c>
      <c r="BT149" s="23">
        <f>+'QTR Raw'!AN64</f>
        <v>0</v>
      </c>
      <c r="BU149" s="23">
        <f t="shared" si="1238"/>
        <v>0</v>
      </c>
      <c r="BV149" s="23">
        <f>+'QTR Raw'!AP64</f>
        <v>10.624000000000001</v>
      </c>
      <c r="BW149" s="23">
        <f t="shared" si="1238"/>
        <v>10.624000000000001</v>
      </c>
      <c r="BX149" s="23">
        <f>+'QTR Raw'!AR64</f>
        <v>10.016</v>
      </c>
      <c r="BY149" s="23">
        <f t="shared" si="1238"/>
        <v>10.016</v>
      </c>
      <c r="BZ149" s="23">
        <f>+'QTR Raw'!AT64</f>
        <v>6.202</v>
      </c>
      <c r="CA149" s="23">
        <f t="shared" si="1238"/>
        <v>6.202</v>
      </c>
      <c r="CB149" s="23">
        <f>+'QTR Raw'!AV64</f>
        <v>4.7759999999999998</v>
      </c>
      <c r="CC149" s="23">
        <f t="shared" si="1238"/>
        <v>4.7759999999999998</v>
      </c>
      <c r="CD149" s="23">
        <f>+'QTR Raw'!AX64</f>
        <v>2.911</v>
      </c>
      <c r="CE149" s="23">
        <f t="shared" si="1238"/>
        <v>2.911</v>
      </c>
      <c r="CF149" s="23">
        <f>+'QTR Raw'!AZ64</f>
        <v>7.85</v>
      </c>
      <c r="CG149" s="23">
        <f t="shared" ref="CG149:CG152" si="1239">+CF149</f>
        <v>7.85</v>
      </c>
      <c r="CH149" s="23">
        <f t="shared" si="1192"/>
        <v>8.4930000000000003</v>
      </c>
      <c r="CJ149" s="23">
        <f>+'QTR Raw'!BD64</f>
        <v>92.165000000000006</v>
      </c>
      <c r="CK149" s="24"/>
      <c r="CL149" s="23">
        <f>+'QTR Raw'!BF64</f>
        <v>108.267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108.267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0.27969339999999998</v>
      </c>
      <c r="N151" s="23">
        <f>'Annual Raw'!O52</f>
        <v>0.48047020000000001</v>
      </c>
      <c r="O151" s="23">
        <f>'Annual Raw'!P52</f>
        <v>0.37546659999999998</v>
      </c>
      <c r="P151" s="23">
        <f>'Annual Raw'!Q52</f>
        <v>0.37326219999999999</v>
      </c>
      <c r="Q151" s="23">
        <f>'Annual Raw'!R52</f>
        <v>0.57651830000000004</v>
      </c>
      <c r="R151" s="23">
        <f>'Annual Raw'!S52</f>
        <v>1.1209487</v>
      </c>
      <c r="S151" s="23">
        <f>'Annual Raw'!T52</f>
        <v>1.2311057999999999</v>
      </c>
      <c r="T151" s="23">
        <f>'Annual Raw'!U52</f>
        <v>1.8720000000000001</v>
      </c>
      <c r="U151" s="23">
        <f>'Annual Raw'!V52</f>
        <v>2.1680000000000001</v>
      </c>
      <c r="V151" s="23">
        <f>'Annual Raw'!W52</f>
        <v>3.2650000000000001</v>
      </c>
      <c r="W151" s="23">
        <f>'Annual Raw'!X52</f>
        <v>2.7490000000000001</v>
      </c>
      <c r="X151" s="23">
        <f>'Annual Raw'!Y52</f>
        <v>2.7610000000000001</v>
      </c>
      <c r="Y151" s="23">
        <f>'Annual Raw'!Z52</f>
        <v>2.5659999999999998</v>
      </c>
      <c r="Z151" s="23">
        <f>'Annual Raw'!AA52</f>
        <v>3.5249999999999999</v>
      </c>
      <c r="AA151" s="23">
        <f>'Annual Raw'!AB52</f>
        <v>5.12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0</v>
      </c>
      <c r="BO151" s="23">
        <f t="shared" si="1238"/>
        <v>0</v>
      </c>
      <c r="BP151" s="23">
        <f>+'QTR Raw'!AJ66</f>
        <v>0</v>
      </c>
      <c r="BQ151" s="23">
        <f t="shared" si="1238"/>
        <v>0</v>
      </c>
      <c r="BR151" s="23">
        <f>+'QTR Raw'!AL66</f>
        <v>3.2650000000000001</v>
      </c>
      <c r="BS151" s="23">
        <f t="shared" si="1238"/>
        <v>3.2650000000000001</v>
      </c>
      <c r="BT151" s="23">
        <f>+'QTR Raw'!AN66</f>
        <v>0</v>
      </c>
      <c r="BU151" s="23">
        <f t="shared" si="1238"/>
        <v>0</v>
      </c>
      <c r="BV151" s="23">
        <f>+'QTR Raw'!AP66</f>
        <v>2.7490000000000001</v>
      </c>
      <c r="BW151" s="23">
        <f t="shared" si="1238"/>
        <v>2.7490000000000001</v>
      </c>
      <c r="BX151" s="23">
        <f>+'QTR Raw'!AR66</f>
        <v>2.6869999999999998</v>
      </c>
      <c r="BY151" s="23">
        <f t="shared" si="1238"/>
        <v>2.6869999999999998</v>
      </c>
      <c r="BZ151" s="23">
        <f>+'QTR Raw'!AT66</f>
        <v>2.7610000000000001</v>
      </c>
      <c r="CA151" s="23">
        <f t="shared" si="1238"/>
        <v>2.7610000000000001</v>
      </c>
      <c r="CB151" s="23">
        <f>+'QTR Raw'!AV66</f>
        <v>2.7290000000000001</v>
      </c>
      <c r="CC151" s="23">
        <f t="shared" si="1238"/>
        <v>2.7290000000000001</v>
      </c>
      <c r="CD151" s="23">
        <f>+'QTR Raw'!AX66</f>
        <v>2.5659999999999998</v>
      </c>
      <c r="CE151" s="23">
        <f t="shared" si="1238"/>
        <v>2.5659999999999998</v>
      </c>
      <c r="CF151" s="23">
        <f>+'QTR Raw'!AZ66</f>
        <v>2.8780000000000001</v>
      </c>
      <c r="CG151" s="23">
        <f t="shared" si="1239"/>
        <v>2.8780000000000001</v>
      </c>
      <c r="CH151" s="23">
        <f t="shared" si="1192"/>
        <v>3.5249999999999999</v>
      </c>
      <c r="CJ151" s="23">
        <f>+'QTR Raw'!BD66</f>
        <v>3.3319999999999999</v>
      </c>
      <c r="CK151" s="24"/>
      <c r="CL151" s="23">
        <f>+'QTR Raw'!BF66</f>
        <v>5.12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5.12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267.55502744824236</v>
      </c>
      <c r="AC152" s="24">
        <f t="shared" si="1235"/>
        <v>357.78966074180465</v>
      </c>
      <c r="AD152" s="24">
        <f t="shared" si="1236"/>
        <v>478.41137599561557</v>
      </c>
      <c r="AE152" s="24">
        <f t="shared" si="1237"/>
        <v>639.67866186078379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78.168947861135493</v>
      </c>
      <c r="CJ152" s="23">
        <f>+'QTR Raw'!BD87</f>
        <v>0</v>
      </c>
      <c r="CK152" s="24">
        <f t="shared" ref="CK152:DB152" si="1240">CK10/90*CK184</f>
        <v>202.90398091106289</v>
      </c>
      <c r="CL152" s="23">
        <f>+'QTR Raw'!BF87</f>
        <v>0</v>
      </c>
      <c r="CM152" s="24">
        <f t="shared" si="1240"/>
        <v>209.2292262841236</v>
      </c>
      <c r="CN152" s="24">
        <f t="shared" si="1240"/>
        <v>235.65593962565808</v>
      </c>
      <c r="CO152" s="24">
        <f t="shared" si="1240"/>
        <v>260.79192369757101</v>
      </c>
      <c r="CP152" s="24">
        <f t="shared" si="1240"/>
        <v>267.55502744824236</v>
      </c>
      <c r="CQ152" s="24">
        <f t="shared" si="1240"/>
        <v>280.63596732535262</v>
      </c>
      <c r="CR152" s="24">
        <f t="shared" si="1240"/>
        <v>314.26654217860863</v>
      </c>
      <c r="CS152" s="24">
        <f t="shared" si="1240"/>
        <v>348.8839515427556</v>
      </c>
      <c r="CT152" s="24">
        <f t="shared" si="1240"/>
        <v>357.78966074180465</v>
      </c>
      <c r="CU152" s="24">
        <f t="shared" si="1240"/>
        <v>375.34427990878538</v>
      </c>
      <c r="CV152" s="24">
        <f t="shared" si="1240"/>
        <v>420.02529061504958</v>
      </c>
      <c r="CW152" s="24">
        <f t="shared" si="1240"/>
        <v>466.54908422289924</v>
      </c>
      <c r="CX152" s="24">
        <f t="shared" si="1240"/>
        <v>478.41137599561557</v>
      </c>
      <c r="CY152" s="24">
        <f t="shared" si="1240"/>
        <v>501.87235433798122</v>
      </c>
      <c r="CZ152" s="24">
        <f t="shared" si="1240"/>
        <v>561.57550603391257</v>
      </c>
      <c r="DA152" s="24">
        <f t="shared" si="1240"/>
        <v>623.8338038942187</v>
      </c>
      <c r="DB152" s="24">
        <f t="shared" si="1240"/>
        <v>639.67866186078379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3.1418461</v>
      </c>
      <c r="K153" s="23">
        <f>'Annual Raw'!L54</f>
        <v>1.3872910000000001</v>
      </c>
      <c r="L153" s="23">
        <f>'Annual Raw'!M54</f>
        <v>2.2833082</v>
      </c>
      <c r="M153" s="23">
        <f>'Annual Raw'!N54</f>
        <v>0.52671109999999999</v>
      </c>
      <c r="N153" s="23">
        <f>'Annual Raw'!O54</f>
        <v>0.42475639999999998</v>
      </c>
      <c r="O153" s="23">
        <f>'Annual Raw'!P54</f>
        <v>1.3415169</v>
      </c>
      <c r="P153" s="23">
        <f>'Annual Raw'!Q54</f>
        <v>1.0830675000000001</v>
      </c>
      <c r="Q153" s="23">
        <f>'Annual Raw'!R54</f>
        <v>1.8064366999999999</v>
      </c>
      <c r="R153" s="23">
        <f>'Annual Raw'!S54</f>
        <v>0.38135019999999997</v>
      </c>
      <c r="S153" s="23">
        <f>'Annual Raw'!T54</f>
        <v>1.3794198</v>
      </c>
      <c r="T153" s="23">
        <f>'Annual Raw'!U54</f>
        <v>4.625</v>
      </c>
      <c r="U153" s="23">
        <f>'Annual Raw'!V54</f>
        <v>7.7859999999999996</v>
      </c>
      <c r="V153" s="23">
        <f>'Annual Raw'!W54</f>
        <v>3.4980000000000002</v>
      </c>
      <c r="W153" s="23">
        <f>'Annual Raw'!X54</f>
        <v>14.372</v>
      </c>
      <c r="X153" s="23">
        <f>'Annual Raw'!Y54</f>
        <v>18.213999999999999</v>
      </c>
      <c r="Y153" s="23">
        <f>'Annual Raw'!Z54</f>
        <v>23.962</v>
      </c>
      <c r="Z153" s="23">
        <f>'Annual Raw'!AA54</f>
        <v>31.434000000000001</v>
      </c>
      <c r="AA153" s="23">
        <f>'Annual Raw'!AB54</f>
        <v>60.091999999999999</v>
      </c>
      <c r="AB153" s="24">
        <f t="shared" si="1234"/>
        <v>80.305263020926915</v>
      </c>
      <c r="AC153" s="24">
        <f t="shared" si="1235"/>
        <v>107.38872330701025</v>
      </c>
      <c r="AD153" s="24">
        <f t="shared" si="1236"/>
        <v>143.59270968647184</v>
      </c>
      <c r="AE153" s="24">
        <f t="shared" si="1237"/>
        <v>191.99625467528205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3.4980000000000002</v>
      </c>
      <c r="BS153" s="23">
        <f>+BS183*BS10/90</f>
        <v>3.849235076923077</v>
      </c>
      <c r="BT153" s="23">
        <f>+'QTR Raw'!AN89</f>
        <v>0</v>
      </c>
      <c r="BU153" s="23">
        <f>+BU183*BU10/90</f>
        <v>0</v>
      </c>
      <c r="BV153" s="23">
        <f>+'QTR Raw'!AP89</f>
        <v>14.372</v>
      </c>
      <c r="BW153" s="23">
        <f>+BW183*BW10/90</f>
        <v>16.532248408344898</v>
      </c>
      <c r="BX153" s="23">
        <f>+'QTR Raw'!AR89</f>
        <v>6.5640000000000001</v>
      </c>
      <c r="BY153" s="23">
        <f>+BY183*BY10/90</f>
        <v>6.8729588127682124</v>
      </c>
      <c r="BZ153" s="23">
        <f>+'QTR Raw'!AT89</f>
        <v>18.213999999999999</v>
      </c>
      <c r="CA153" s="23">
        <f>+CA183*CA10/90</f>
        <v>18.910680579604477</v>
      </c>
      <c r="CB153" s="23">
        <f>+'QTR Raw'!AV89</f>
        <v>14.061</v>
      </c>
      <c r="CC153" s="23">
        <f>+CC183*CC10/90</f>
        <v>14.218401433021805</v>
      </c>
      <c r="CD153" s="23">
        <f>+'QTR Raw'!AX89</f>
        <v>23.962</v>
      </c>
      <c r="CE153" s="23">
        <f>+CE183*CE10/90</f>
        <v>22.219387754283193</v>
      </c>
      <c r="CF153" s="23">
        <f>+'QTR Raw'!AZ89</f>
        <v>34.459000000000003</v>
      </c>
      <c r="CG153" s="23">
        <f>+CG183*CG10/90</f>
        <v>33.88165753172445</v>
      </c>
      <c r="CH153" s="23">
        <f t="shared" si="1192"/>
        <v>31.434000000000001</v>
      </c>
      <c r="CI153" s="23">
        <f>+CI183*CI10/90</f>
        <v>31.524314671459791</v>
      </c>
      <c r="CJ153" s="23">
        <f>+'QTR Raw'!BD89</f>
        <v>46.13</v>
      </c>
      <c r="CK153" s="24">
        <f t="shared" ref="CK153:DB153" si="1241">+CK183*CK10/90</f>
        <v>50.168626464208238</v>
      </c>
      <c r="CL153" s="23">
        <f>+'QTR Raw'!BF89</f>
        <v>60.091999999999999</v>
      </c>
      <c r="CM153" s="24">
        <f t="shared" si="1241"/>
        <v>62.799074301311379</v>
      </c>
      <c r="CN153" s="24">
        <f t="shared" si="1241"/>
        <v>70.730916157959356</v>
      </c>
      <c r="CO153" s="24">
        <f t="shared" si="1241"/>
        <v>78.27535227428416</v>
      </c>
      <c r="CP153" s="24">
        <f t="shared" si="1241"/>
        <v>80.305263020926915</v>
      </c>
      <c r="CQ153" s="24">
        <f t="shared" si="1241"/>
        <v>84.231439730858028</v>
      </c>
      <c r="CR153" s="24">
        <f t="shared" si="1241"/>
        <v>94.325483505304163</v>
      </c>
      <c r="CS153" s="24">
        <f t="shared" si="1241"/>
        <v>104.71572057393368</v>
      </c>
      <c r="CT153" s="24">
        <f t="shared" si="1241"/>
        <v>107.38872330701025</v>
      </c>
      <c r="CU153" s="24">
        <f t="shared" si="1241"/>
        <v>112.65765180699626</v>
      </c>
      <c r="CV153" s="24">
        <f t="shared" si="1241"/>
        <v>126.06842696987938</v>
      </c>
      <c r="CW153" s="24">
        <f t="shared" si="1241"/>
        <v>140.03230392648945</v>
      </c>
      <c r="CX153" s="24">
        <f t="shared" si="1241"/>
        <v>143.59270968647184</v>
      </c>
      <c r="CY153" s="24">
        <f t="shared" si="1241"/>
        <v>150.63440146285382</v>
      </c>
      <c r="CZ153" s="24">
        <f t="shared" si="1241"/>
        <v>168.55399484835857</v>
      </c>
      <c r="DA153" s="24">
        <f t="shared" si="1241"/>
        <v>187.24050219075662</v>
      </c>
      <c r="DB153" s="24">
        <f t="shared" si="1241"/>
        <v>191.99625467528205</v>
      </c>
      <c r="DE153" s="123"/>
      <c r="DF153" s="23">
        <v>60.091999999999999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1.3821205999999999</v>
      </c>
      <c r="K154" s="23">
        <f>'Annual Raw'!L55-Template!K126</f>
        <v>4.2846188999999999</v>
      </c>
      <c r="L154" s="23">
        <f>'Annual Raw'!M55-Template!L126</f>
        <v>1.7408926</v>
      </c>
      <c r="M154" s="23">
        <f>'Annual Raw'!N55-Template!M126</f>
        <v>1.5224723</v>
      </c>
      <c r="N154" s="23">
        <f>'Annual Raw'!O55-Template!N126</f>
        <v>2.2674158000000002</v>
      </c>
      <c r="O154" s="23">
        <f>'Annual Raw'!P55-Template!O126</f>
        <v>1.9644504</v>
      </c>
      <c r="P154" s="23">
        <f>'Annual Raw'!Q55-Template!P126</f>
        <v>1.9432720999999999</v>
      </c>
      <c r="Q154" s="23">
        <f>'Annual Raw'!R55-Template!Q126</f>
        <v>3.0805057000000002</v>
      </c>
      <c r="R154" s="23">
        <f>'Annual Raw'!S55-Template!R126</f>
        <v>7.6109752999999998</v>
      </c>
      <c r="S154" s="23">
        <f>'Annual Raw'!T55-Template!S126</f>
        <v>6.0275039000000001</v>
      </c>
      <c r="T154" s="23">
        <f>'Annual Raw'!U55-Template!T126</f>
        <v>4.4039999999999999</v>
      </c>
      <c r="U154" s="23">
        <f>'Annual Raw'!V55-Template!U126</f>
        <v>5.7450000000000001</v>
      </c>
      <c r="V154" s="23">
        <f>'Annual Raw'!W55-Template!V126</f>
        <v>7.7549999999999999</v>
      </c>
      <c r="W154" s="23">
        <f>'Annual Raw'!X55-Template!W126</f>
        <v>9.9610000000000003</v>
      </c>
      <c r="X154" s="23">
        <f>'Annual Raw'!Y55-Template!X126</f>
        <v>15.46</v>
      </c>
      <c r="Y154" s="23">
        <f>'Annual Raw'!Z55-Template!Y126</f>
        <v>21.584</v>
      </c>
      <c r="Z154" s="23">
        <f>'Annual Raw'!AA55-Template!Z126</f>
        <v>34.491999999999997</v>
      </c>
      <c r="AA154" s="23">
        <f>'Annual Raw'!AB55-Template!AA126</f>
        <v>51.734999999999999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0</v>
      </c>
      <c r="BC154" s="23">
        <f t="shared" si="1238"/>
        <v>0</v>
      </c>
      <c r="BD154" s="23">
        <f>+'QTR Raw'!X91</f>
        <v>0</v>
      </c>
      <c r="BE154" s="23">
        <f t="shared" si="1238"/>
        <v>0</v>
      </c>
      <c r="BF154" s="23">
        <f>+'QTR Raw'!Z91</f>
        <v>0</v>
      </c>
      <c r="BG154" s="23">
        <f t="shared" si="1238"/>
        <v>0</v>
      </c>
      <c r="BH154" s="23">
        <f>+'QTR Raw'!AB91</f>
        <v>0</v>
      </c>
      <c r="BI154" s="23">
        <f t="shared" si="1238"/>
        <v>0</v>
      </c>
      <c r="BJ154" s="23">
        <f>+'QTR Raw'!AD91</f>
        <v>0</v>
      </c>
      <c r="BK154" s="23">
        <f t="shared" si="1238"/>
        <v>0</v>
      </c>
      <c r="BL154" s="23">
        <f>+'QTR Raw'!AF91</f>
        <v>0</v>
      </c>
      <c r="BM154" s="23">
        <f t="shared" si="1238"/>
        <v>0</v>
      </c>
      <c r="BN154" s="23">
        <f>+'QTR Raw'!AH91</f>
        <v>0</v>
      </c>
      <c r="BO154" s="23">
        <f t="shared" si="1238"/>
        <v>0</v>
      </c>
      <c r="BP154" s="23">
        <f>+'QTR Raw'!AJ91</f>
        <v>0</v>
      </c>
      <c r="BQ154" s="23">
        <f t="shared" si="1238"/>
        <v>0</v>
      </c>
      <c r="BR154" s="23">
        <f>+'QTR Raw'!AL91</f>
        <v>12.849</v>
      </c>
      <c r="BS154" s="23">
        <f t="shared" si="1238"/>
        <v>12.849</v>
      </c>
      <c r="BT154" s="23">
        <f>+'QTR Raw'!AN91</f>
        <v>0</v>
      </c>
      <c r="BU154" s="23">
        <f t="shared" si="1238"/>
        <v>0</v>
      </c>
      <c r="BV154" s="23">
        <f>+'QTR Raw'!AP91</f>
        <v>16.707999999999998</v>
      </c>
      <c r="BW154" s="23">
        <f t="shared" si="1238"/>
        <v>16.707999999999998</v>
      </c>
      <c r="BX154" s="23">
        <f>+'QTR Raw'!AR91</f>
        <v>19.518999999999998</v>
      </c>
      <c r="BY154" s="23">
        <f t="shared" si="1238"/>
        <v>19.518999999999998</v>
      </c>
      <c r="BZ154" s="23">
        <f>+'QTR Raw'!AT91</f>
        <v>18.18</v>
      </c>
      <c r="CA154" s="23">
        <f t="shared" si="1238"/>
        <v>18.18</v>
      </c>
      <c r="CB154" s="23">
        <f>+'QTR Raw'!AV91</f>
        <v>25.63</v>
      </c>
      <c r="CC154" s="23">
        <f t="shared" si="1238"/>
        <v>25.63</v>
      </c>
      <c r="CD154" s="23">
        <f>+'QTR Raw'!AX91</f>
        <v>26.677</v>
      </c>
      <c r="CE154" s="23">
        <f t="shared" si="1238"/>
        <v>26.677</v>
      </c>
      <c r="CF154" s="23">
        <f>+'QTR Raw'!AZ91</f>
        <v>34.710999999999999</v>
      </c>
      <c r="CG154" s="23">
        <f t="shared" ref="CG154:CG155" si="1242">+CF154</f>
        <v>34.710999999999999</v>
      </c>
      <c r="CH154" s="23">
        <f t="shared" si="1192"/>
        <v>34.491999999999997</v>
      </c>
      <c r="CJ154" s="23">
        <f>+'QTR Raw'!BD91</f>
        <v>67.709999999999994</v>
      </c>
      <c r="CK154" s="24"/>
      <c r="CL154" s="23">
        <f>+'QTR Raw'!BF91</f>
        <v>66.259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66.259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0.3307215</v>
      </c>
      <c r="K155" s="23">
        <f>'Annual Raw'!L57</f>
        <v>0.40731020000000001</v>
      </c>
      <c r="L155" s="23">
        <f>'Annual Raw'!M57</f>
        <v>0.2391923</v>
      </c>
      <c r="M155" s="23">
        <f>'Annual Raw'!N57</f>
        <v>1.3184277</v>
      </c>
      <c r="N155" s="23">
        <f>'Annual Raw'!O57</f>
        <v>1.7135457999999999</v>
      </c>
      <c r="O155" s="23">
        <f>'Annual Raw'!P57</f>
        <v>1.3315165</v>
      </c>
      <c r="P155" s="23">
        <f>'Annual Raw'!Q57</f>
        <v>0.1375026</v>
      </c>
      <c r="Q155" s="23">
        <f>'Annual Raw'!R57</f>
        <v>0.1516854</v>
      </c>
      <c r="R155" s="23">
        <f>'Annual Raw'!S57</f>
        <v>0.16506580000000001</v>
      </c>
      <c r="S155" s="23">
        <f>'Annual Raw'!T57</f>
        <v>0.2116671</v>
      </c>
      <c r="T155" s="23">
        <f>'Annual Raw'!U57</f>
        <v>3.2570000000000001</v>
      </c>
      <c r="U155" s="23">
        <f>'Annual Raw'!V57</f>
        <v>6.101</v>
      </c>
      <c r="V155" s="23">
        <f>'Annual Raw'!W57</f>
        <v>9.26</v>
      </c>
      <c r="W155" s="23">
        <f>'Annual Raw'!X57</f>
        <v>11.148999999999999</v>
      </c>
      <c r="X155" s="23">
        <f>'Annual Raw'!Y57</f>
        <v>6.6790000000000003</v>
      </c>
      <c r="Y155" s="23">
        <f>'Annual Raw'!Z57</f>
        <v>22.709</v>
      </c>
      <c r="Z155" s="23">
        <f>'Annual Raw'!AA57</f>
        <v>31.434999999999999</v>
      </c>
      <c r="AA155" s="23">
        <f>'Annual Raw'!AB57</f>
        <v>35.088000000000001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0</v>
      </c>
      <c r="BC155" s="23">
        <f t="shared" si="1238"/>
        <v>0</v>
      </c>
      <c r="BD155" s="23">
        <f>+'QTR Raw'!X92</f>
        <v>0</v>
      </c>
      <c r="BE155" s="23">
        <f t="shared" si="1238"/>
        <v>0</v>
      </c>
      <c r="BF155" s="23">
        <f>+'QTR Raw'!Z92</f>
        <v>0</v>
      </c>
      <c r="BG155" s="23">
        <f t="shared" si="1238"/>
        <v>0</v>
      </c>
      <c r="BH155" s="23">
        <f>+'QTR Raw'!AB92</f>
        <v>0</v>
      </c>
      <c r="BI155" s="23">
        <f t="shared" si="1238"/>
        <v>0</v>
      </c>
      <c r="BJ155" s="23">
        <f>+'QTR Raw'!AD92</f>
        <v>0</v>
      </c>
      <c r="BK155" s="23">
        <f t="shared" si="1238"/>
        <v>0</v>
      </c>
      <c r="BL155" s="23">
        <f>+'QTR Raw'!AF92</f>
        <v>0</v>
      </c>
      <c r="BM155" s="23">
        <f t="shared" si="1238"/>
        <v>0</v>
      </c>
      <c r="BN155" s="23">
        <f>+'QTR Raw'!AH92</f>
        <v>0</v>
      </c>
      <c r="BO155" s="23">
        <f t="shared" si="1238"/>
        <v>0</v>
      </c>
      <c r="BP155" s="23">
        <f>+'QTR Raw'!AJ92</f>
        <v>0</v>
      </c>
      <c r="BQ155" s="23">
        <f t="shared" si="1238"/>
        <v>0</v>
      </c>
      <c r="BR155" s="23">
        <f>+'QTR Raw'!AL92</f>
        <v>9.26</v>
      </c>
      <c r="BS155" s="23">
        <f t="shared" si="1238"/>
        <v>9.26</v>
      </c>
      <c r="BT155" s="23">
        <f>+'QTR Raw'!AN92</f>
        <v>0</v>
      </c>
      <c r="BU155" s="23">
        <f t="shared" si="1238"/>
        <v>0</v>
      </c>
      <c r="BV155" s="23">
        <f>+'QTR Raw'!AP92</f>
        <v>4.4020000000000001</v>
      </c>
      <c r="BW155" s="23">
        <f t="shared" si="1238"/>
        <v>4.4020000000000001</v>
      </c>
      <c r="BX155" s="23">
        <f>+'QTR Raw'!AR92</f>
        <v>14.705</v>
      </c>
      <c r="BY155" s="23">
        <f t="shared" si="1238"/>
        <v>14.705</v>
      </c>
      <c r="BZ155" s="23">
        <f>+'QTR Raw'!AT92</f>
        <v>3.9590000000000001</v>
      </c>
      <c r="CA155" s="23">
        <f t="shared" si="1238"/>
        <v>3.9590000000000001</v>
      </c>
      <c r="CB155" s="23">
        <f>+'QTR Raw'!AV92</f>
        <v>17.276</v>
      </c>
      <c r="CC155" s="23">
        <f t="shared" si="1238"/>
        <v>17.276</v>
      </c>
      <c r="CD155" s="23">
        <f>+'QTR Raw'!AX92</f>
        <v>17.616</v>
      </c>
      <c r="CE155" s="23">
        <f t="shared" si="1238"/>
        <v>17.616</v>
      </c>
      <c r="CF155" s="23">
        <f>+'QTR Raw'!AZ92</f>
        <v>21.789000000000001</v>
      </c>
      <c r="CG155" s="23">
        <f t="shared" si="1242"/>
        <v>21.789000000000001</v>
      </c>
      <c r="CH155" s="23">
        <f t="shared" si="1192"/>
        <v>31.434999999999999</v>
      </c>
      <c r="CJ155" s="23">
        <f>+'QTR Raw'!BD92</f>
        <v>23.363</v>
      </c>
      <c r="CK155" s="24"/>
      <c r="CL155" s="23">
        <f>+'QTR Raw'!BF92</f>
        <v>20.564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20.564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0</v>
      </c>
      <c r="J156" s="22">
        <f t="shared" si="1243"/>
        <v>4.8546882</v>
      </c>
      <c r="K156" s="22">
        <f t="shared" si="1243"/>
        <v>6.0792201000000006</v>
      </c>
      <c r="L156" s="22">
        <f t="shared" si="1243"/>
        <v>4.2633931</v>
      </c>
      <c r="M156" s="22">
        <f t="shared" si="1243"/>
        <v>3.6473044999999997</v>
      </c>
      <c r="N156" s="22">
        <f t="shared" si="1243"/>
        <v>4.8861881999999994</v>
      </c>
      <c r="O156" s="22">
        <f t="shared" si="1243"/>
        <v>5.0129504000000003</v>
      </c>
      <c r="P156" s="22">
        <f t="shared" si="1243"/>
        <v>4.0257187000000005</v>
      </c>
      <c r="Q156" s="22">
        <f t="shared" si="1243"/>
        <v>6.2899717000000006</v>
      </c>
      <c r="R156" s="22">
        <f t="shared" si="1243"/>
        <v>10.954606999999999</v>
      </c>
      <c r="S156" s="22">
        <f t="shared" si="1243"/>
        <v>9.9735763999999989</v>
      </c>
      <c r="T156" s="22">
        <f t="shared" si="1243"/>
        <v>16.001000000000001</v>
      </c>
      <c r="U156" s="22">
        <f t="shared" si="1243"/>
        <v>23.416999999999998</v>
      </c>
      <c r="V156" s="22">
        <f t="shared" si="1243"/>
        <v>38.033000000000001</v>
      </c>
      <c r="W156" s="22">
        <f t="shared" ref="W156" si="1244">SUM(W149:W155)</f>
        <v>48.856000000000002</v>
      </c>
      <c r="X156" s="22">
        <f t="shared" ref="X156:Y156" si="1245">SUM(X149:X155)</f>
        <v>49.316000000000003</v>
      </c>
      <c r="Y156" s="22">
        <f t="shared" si="1245"/>
        <v>73.731999999999999</v>
      </c>
      <c r="Z156" s="22">
        <f t="shared" ref="Z156:AA156" si="1246">SUM(Z149:Z155)</f>
        <v>109.37899999999999</v>
      </c>
      <c r="AA156" s="22">
        <f t="shared" si="1246"/>
        <v>260.30200000000002</v>
      </c>
      <c r="AB156" s="21">
        <f t="shared" ref="AA156:AD156" si="1247">SUM(AB149:AB155)</f>
        <v>347.86029046916929</v>
      </c>
      <c r="AC156" s="21">
        <f t="shared" si="1247"/>
        <v>465.17838404881491</v>
      </c>
      <c r="AD156" s="21">
        <f t="shared" si="1247"/>
        <v>622.00408568208741</v>
      </c>
      <c r="AE156" s="21">
        <f t="shared" ref="AE156" si="1248">SUM(AE149:AE155)</f>
        <v>831.67491653606589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 t="e">
        <f t="shared" si="1253"/>
        <v>#DIV/0!</v>
      </c>
      <c r="BB156" s="22">
        <f t="shared" si="1253"/>
        <v>0</v>
      </c>
      <c r="BC156" s="22" t="e">
        <f t="shared" si="1253"/>
        <v>#DIV/0!</v>
      </c>
      <c r="BD156" s="22">
        <f t="shared" si="1253"/>
        <v>0</v>
      </c>
      <c r="BE156" s="22" t="e">
        <f t="shared" si="1253"/>
        <v>#DIV/0!</v>
      </c>
      <c r="BF156" s="22">
        <f t="shared" si="1253"/>
        <v>0</v>
      </c>
      <c r="BG156" s="22" t="e">
        <f t="shared" si="1253"/>
        <v>#DIV/0!</v>
      </c>
      <c r="BH156" s="22">
        <f t="shared" ref="BH156" si="1254">SUM(BH149:BH155)</f>
        <v>0</v>
      </c>
      <c r="BI156" s="22" t="e">
        <f t="shared" si="1253"/>
        <v>#DIV/0!</v>
      </c>
      <c r="BJ156" s="22">
        <f t="shared" si="1253"/>
        <v>0</v>
      </c>
      <c r="BK156" s="22" t="e">
        <f t="shared" si="1253"/>
        <v>#DIV/0!</v>
      </c>
      <c r="BL156" s="22">
        <f t="shared" si="1253"/>
        <v>0</v>
      </c>
      <c r="BM156" s="22" t="e">
        <f t="shared" si="1253"/>
        <v>#DIV/0!</v>
      </c>
      <c r="BN156" s="22">
        <f t="shared" si="1253"/>
        <v>0</v>
      </c>
      <c r="BO156" s="22" t="e">
        <f t="shared" si="1253"/>
        <v>#DIV/0!</v>
      </c>
      <c r="BP156" s="22">
        <f t="shared" si="1253"/>
        <v>0</v>
      </c>
      <c r="BQ156" s="22" t="e">
        <f t="shared" si="1253"/>
        <v>#DIV/0!</v>
      </c>
      <c r="BR156" s="22">
        <f t="shared" si="1253"/>
        <v>43.127000000000002</v>
      </c>
      <c r="BS156" s="22">
        <f t="shared" si="1253"/>
        <v>43.478235076923077</v>
      </c>
      <c r="BT156" s="22">
        <f t="shared" si="1253"/>
        <v>0</v>
      </c>
      <c r="BU156" s="22">
        <f t="shared" si="1253"/>
        <v>0</v>
      </c>
      <c r="BV156" s="22">
        <f t="shared" si="1253"/>
        <v>48.855000000000004</v>
      </c>
      <c r="BW156" s="22">
        <f t="shared" si="1253"/>
        <v>51.015248408344902</v>
      </c>
      <c r="BX156" s="22">
        <f t="shared" si="1253"/>
        <v>53.491</v>
      </c>
      <c r="BY156" s="22">
        <f t="shared" si="1253"/>
        <v>53.79995881276821</v>
      </c>
      <c r="BZ156" s="22">
        <f t="shared" si="1253"/>
        <v>49.316000000000003</v>
      </c>
      <c r="CA156" s="22">
        <f t="shared" si="1253"/>
        <v>50.012680579604478</v>
      </c>
      <c r="CB156" s="22">
        <f t="shared" si="1253"/>
        <v>64.471999999999994</v>
      </c>
      <c r="CC156" s="22">
        <f t="shared" si="1253"/>
        <v>64.629401433021798</v>
      </c>
      <c r="CD156" s="22">
        <f t="shared" si="1253"/>
        <v>73.731999999999999</v>
      </c>
      <c r="CE156" s="22">
        <f t="shared" si="1253"/>
        <v>71.9893877542832</v>
      </c>
      <c r="CF156" s="22">
        <f t="shared" ref="CF156:CG156" si="1255">SUM(CF149:CF155)</f>
        <v>101.687</v>
      </c>
      <c r="CG156" s="22">
        <f t="shared" si="1255"/>
        <v>101.10965753172445</v>
      </c>
      <c r="CH156" s="22">
        <f t="shared" ref="CH156:CI156" si="1256">SUM(CH149:CH155)</f>
        <v>109.37899999999999</v>
      </c>
      <c r="CI156" s="22">
        <f t="shared" si="1256"/>
        <v>109.69326253259528</v>
      </c>
      <c r="CJ156" s="22">
        <f t="shared" ref="CJ156:DB156" si="1257">SUM(CJ149:CJ155)</f>
        <v>232.7</v>
      </c>
      <c r="CK156" s="21">
        <f t="shared" si="1257"/>
        <v>253.07260737527113</v>
      </c>
      <c r="CL156" s="22">
        <f t="shared" ref="CL156" si="1258">SUM(CL149:CL155)</f>
        <v>260.30200000000002</v>
      </c>
      <c r="CM156" s="21">
        <f t="shared" si="1257"/>
        <v>272.02830058543498</v>
      </c>
      <c r="CN156" s="21">
        <f t="shared" si="1257"/>
        <v>306.38685578361742</v>
      </c>
      <c r="CO156" s="21">
        <f t="shared" si="1257"/>
        <v>339.06727597185517</v>
      </c>
      <c r="CP156" s="21">
        <f t="shared" si="1257"/>
        <v>347.86029046916929</v>
      </c>
      <c r="CQ156" s="21">
        <f t="shared" si="1257"/>
        <v>364.86740705621065</v>
      </c>
      <c r="CR156" s="21">
        <f t="shared" si="1257"/>
        <v>408.59202568391277</v>
      </c>
      <c r="CS156" s="21">
        <f t="shared" si="1257"/>
        <v>453.59967211668925</v>
      </c>
      <c r="CT156" s="21">
        <f t="shared" si="1257"/>
        <v>465.17838404881491</v>
      </c>
      <c r="CU156" s="21">
        <f t="shared" si="1257"/>
        <v>488.00193171578167</v>
      </c>
      <c r="CV156" s="21">
        <f t="shared" si="1257"/>
        <v>546.09371758492898</v>
      </c>
      <c r="CW156" s="21">
        <f t="shared" si="1257"/>
        <v>606.58138814938866</v>
      </c>
      <c r="CX156" s="21">
        <f t="shared" si="1257"/>
        <v>622.00408568208741</v>
      </c>
      <c r="CY156" s="21">
        <f t="shared" si="1257"/>
        <v>652.50675580083498</v>
      </c>
      <c r="CZ156" s="21">
        <f t="shared" si="1257"/>
        <v>730.12950088227115</v>
      </c>
      <c r="DA156" s="21">
        <f t="shared" si="1257"/>
        <v>811.07430608497532</v>
      </c>
      <c r="DB156" s="21">
        <f t="shared" si="1257"/>
        <v>831.67491653606589</v>
      </c>
      <c r="DE156" s="126"/>
      <c r="DF156" s="22">
        <v>260.30200000000002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0</v>
      </c>
      <c r="J157" s="22">
        <f t="shared" si="1259"/>
        <v>5.9333942999999998</v>
      </c>
      <c r="K157" s="22">
        <f t="shared" si="1259"/>
        <v>4.6958052680000009</v>
      </c>
      <c r="L157" s="22">
        <f t="shared" si="1259"/>
        <v>34.099513709</v>
      </c>
      <c r="M157" s="22">
        <f t="shared" si="1259"/>
        <v>19.6110522</v>
      </c>
      <c r="N157" s="22">
        <f t="shared" si="1259"/>
        <v>16.292607799999999</v>
      </c>
      <c r="O157" s="22">
        <f t="shared" si="1259"/>
        <v>6.535558299999999</v>
      </c>
      <c r="P157" s="22">
        <f t="shared" si="1259"/>
        <v>5.7178488000000005</v>
      </c>
      <c r="Q157" s="22">
        <f t="shared" si="1259"/>
        <v>2.8317844000000001</v>
      </c>
      <c r="R157" s="22">
        <f t="shared" si="1259"/>
        <v>-0.18339540000000198</v>
      </c>
      <c r="S157" s="22">
        <f t="shared" si="1259"/>
        <v>8.0010203000000004</v>
      </c>
      <c r="T157" s="22">
        <f t="shared" si="1259"/>
        <v>17.666</v>
      </c>
      <c r="U157" s="22">
        <f t="shared" si="1259"/>
        <v>23.010000000000009</v>
      </c>
      <c r="V157" s="22">
        <f t="shared" si="1259"/>
        <v>3.2109999999999985</v>
      </c>
      <c r="W157" s="22">
        <f t="shared" ref="W157" si="1260">W148-W156</f>
        <v>36.645999999999994</v>
      </c>
      <c r="X157" s="22">
        <f t="shared" ref="X157:Y157" si="1261">X148-X156</f>
        <v>82.032000000000011</v>
      </c>
      <c r="Y157" s="22">
        <f t="shared" si="1261"/>
        <v>123.55099999999999</v>
      </c>
      <c r="Z157" s="22">
        <f t="shared" ref="Z157:AA157" si="1262">Z148-Z156</f>
        <v>133.846</v>
      </c>
      <c r="AA157" s="22">
        <f t="shared" si="1262"/>
        <v>85.852999999999952</v>
      </c>
      <c r="AB157" s="21">
        <f t="shared" ref="AA157:AD157" si="1263">AB148-AB156</f>
        <v>121.2062628215408</v>
      </c>
      <c r="AC157" s="21">
        <f t="shared" si="1263"/>
        <v>162.08384521232801</v>
      </c>
      <c r="AD157" s="21">
        <f t="shared" si="1263"/>
        <v>216.72721132835682</v>
      </c>
      <c r="AE157" s="21">
        <f t="shared" ref="AE157" si="1264">AE148-AE156</f>
        <v>289.78360358348414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 t="e">
        <f t="shared" si="1269"/>
        <v>#DIV/0!</v>
      </c>
      <c r="BB157" s="22">
        <f t="shared" si="1269"/>
        <v>0</v>
      </c>
      <c r="BC157" s="22" t="e">
        <f t="shared" si="1269"/>
        <v>#DIV/0!</v>
      </c>
      <c r="BD157" s="22">
        <f t="shared" si="1269"/>
        <v>0</v>
      </c>
      <c r="BE157" s="22" t="e">
        <f t="shared" si="1269"/>
        <v>#DIV/0!</v>
      </c>
      <c r="BF157" s="22">
        <f t="shared" si="1269"/>
        <v>0</v>
      </c>
      <c r="BG157" s="22" t="e">
        <f t="shared" si="1269"/>
        <v>#DIV/0!</v>
      </c>
      <c r="BH157" s="22">
        <f t="shared" ref="BH157" si="1270">BH148-BH156</f>
        <v>0</v>
      </c>
      <c r="BI157" s="22" t="e">
        <f t="shared" si="1269"/>
        <v>#DIV/0!</v>
      </c>
      <c r="BJ157" s="22">
        <f t="shared" si="1269"/>
        <v>0</v>
      </c>
      <c r="BK157" s="22" t="e">
        <f t="shared" si="1269"/>
        <v>#DIV/0!</v>
      </c>
      <c r="BL157" s="22">
        <f t="shared" si="1269"/>
        <v>0</v>
      </c>
      <c r="BM157" s="22" t="e">
        <f t="shared" si="1269"/>
        <v>#DIV/0!</v>
      </c>
      <c r="BN157" s="22">
        <f t="shared" si="1269"/>
        <v>0</v>
      </c>
      <c r="BO157" s="22" t="e">
        <f t="shared" si="1269"/>
        <v>#DIV/0!</v>
      </c>
      <c r="BP157" s="22">
        <f t="shared" si="1269"/>
        <v>0</v>
      </c>
      <c r="BQ157" s="22" t="e">
        <f t="shared" si="1269"/>
        <v>#DIV/0!</v>
      </c>
      <c r="BR157" s="22">
        <f t="shared" si="1269"/>
        <v>11.495999999999995</v>
      </c>
      <c r="BS157" s="22">
        <f t="shared" si="1269"/>
        <v>12.713574769230775</v>
      </c>
      <c r="BT157" s="22">
        <f t="shared" si="1269"/>
        <v>0</v>
      </c>
      <c r="BU157" s="22">
        <f t="shared" si="1269"/>
        <v>0</v>
      </c>
      <c r="BV157" s="22">
        <f t="shared" si="1269"/>
        <v>47.111999999999981</v>
      </c>
      <c r="BW157" s="22">
        <f t="shared" si="1269"/>
        <v>51.920251206133102</v>
      </c>
      <c r="BX157" s="22">
        <f t="shared" si="1269"/>
        <v>73.117999999999995</v>
      </c>
      <c r="BY157" s="22">
        <f t="shared" si="1269"/>
        <v>75.780063311049958</v>
      </c>
      <c r="BZ157" s="22">
        <f t="shared" si="1269"/>
        <v>90.509999999999991</v>
      </c>
      <c r="CA157" s="22">
        <f t="shared" si="1269"/>
        <v>92.424169480933728</v>
      </c>
      <c r="CB157" s="22">
        <f t="shared" si="1269"/>
        <v>119.07299999999999</v>
      </c>
      <c r="CC157" s="22">
        <f t="shared" si="1269"/>
        <v>120.11216737279332</v>
      </c>
      <c r="CD157" s="22">
        <f t="shared" si="1269"/>
        <v>123.73699999999999</v>
      </c>
      <c r="CE157" s="22">
        <f t="shared" si="1269"/>
        <v>117.75457914376278</v>
      </c>
      <c r="CF157" s="22">
        <f t="shared" ref="CF157:CG157" si="1271">CF148-CF156</f>
        <v>121.81000000000002</v>
      </c>
      <c r="CG157" s="22">
        <f t="shared" si="1271"/>
        <v>120.37043871799227</v>
      </c>
      <c r="CH157" s="22">
        <f t="shared" ref="CH157:CI157" si="1272">CH148-CH156</f>
        <v>133.846</v>
      </c>
      <c r="CI157" s="22">
        <f t="shared" si="1272"/>
        <v>134.23055995152407</v>
      </c>
      <c r="CJ157" s="22">
        <f t="shared" ref="CJ157:DB157" si="1273">CJ148-CJ156</f>
        <v>68.472000000000037</v>
      </c>
      <c r="CK157" s="21">
        <f t="shared" si="1273"/>
        <v>74.466641908893706</v>
      </c>
      <c r="CL157" s="22">
        <f t="shared" ref="CL157" si="1274">CL148-CL156</f>
        <v>90.697999999999979</v>
      </c>
      <c r="CM157" s="21">
        <f t="shared" si="1273"/>
        <v>94.783838796850432</v>
      </c>
      <c r="CN157" s="21">
        <f t="shared" si="1273"/>
        <v>106.7555187661352</v>
      </c>
      <c r="CO157" s="21">
        <f t="shared" si="1273"/>
        <v>118.14247987374392</v>
      </c>
      <c r="CP157" s="21">
        <f t="shared" si="1273"/>
        <v>121.2062628215408</v>
      </c>
      <c r="CQ157" s="21">
        <f t="shared" si="1273"/>
        <v>127.13211610046858</v>
      </c>
      <c r="CR157" s="21">
        <f t="shared" si="1273"/>
        <v>142.36724860154561</v>
      </c>
      <c r="CS157" s="21">
        <f t="shared" si="1273"/>
        <v>158.04943128227785</v>
      </c>
      <c r="CT157" s="21">
        <f t="shared" si="1273"/>
        <v>162.08384521232801</v>
      </c>
      <c r="CU157" s="21">
        <f t="shared" si="1273"/>
        <v>170.03633933952847</v>
      </c>
      <c r="CV157" s="21">
        <f t="shared" si="1273"/>
        <v>190.27747768944482</v>
      </c>
      <c r="CW157" s="21">
        <f t="shared" si="1273"/>
        <v>211.35342310997703</v>
      </c>
      <c r="CX157" s="21">
        <f t="shared" si="1273"/>
        <v>216.72721132835682</v>
      </c>
      <c r="CY157" s="21">
        <f t="shared" si="1273"/>
        <v>227.35537082936025</v>
      </c>
      <c r="CZ157" s="21">
        <f t="shared" si="1273"/>
        <v>254.40175438921017</v>
      </c>
      <c r="DA157" s="21">
        <f t="shared" si="1273"/>
        <v>282.60565578941021</v>
      </c>
      <c r="DB157" s="21">
        <f t="shared" si="1273"/>
        <v>289.78360358348414</v>
      </c>
      <c r="DE157" s="126"/>
      <c r="DF157" s="22">
        <v>90.697999999999979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0.1</v>
      </c>
      <c r="V159" s="23">
        <f>'Annual Raw'!W75</f>
        <v>6.2E-2</v>
      </c>
      <c r="W159" s="23">
        <f>'Annual Raw'!X75</f>
        <v>0</v>
      </c>
      <c r="X159" s="23">
        <f>'Annual Raw'!Y75</f>
        <v>20.946000000000002</v>
      </c>
      <c r="Y159" s="23">
        <f>'Annual Raw'!Z75</f>
        <v>4.0229999999999997</v>
      </c>
      <c r="Z159" s="23">
        <f>'Annual Raw'!AA75</f>
        <v>79.506</v>
      </c>
      <c r="AA159" s="23">
        <f>'Annual Raw'!AB75</f>
        <v>44.24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6.2E-2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20.946000000000002</v>
      </c>
      <c r="CB159" s="23">
        <f>+'QTR Raw'!AV80</f>
        <v>15.568</v>
      </c>
      <c r="CD159" s="23">
        <f>+'QTR Raw'!AX80</f>
        <v>4.0229999999999997</v>
      </c>
      <c r="CF159" s="23">
        <f>+'QTR Raw'!AZ80</f>
        <v>47.228999999999999</v>
      </c>
      <c r="CH159" s="23">
        <f t="shared" ref="CH159:CH160" si="1279">Z159</f>
        <v>79.506</v>
      </c>
      <c r="CJ159" s="23">
        <f>+'QTR Raw'!BD80</f>
        <v>46.478999999999999</v>
      </c>
      <c r="CK159" s="24"/>
      <c r="CL159" s="23">
        <f>+'QTR Raw'!BF80</f>
        <v>44.24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44.24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3.8075378</v>
      </c>
      <c r="K160" s="23">
        <f>'Annual Raw'!L78</f>
        <v>1.5937222</v>
      </c>
      <c r="L160" s="23">
        <f>'Annual Raw'!M78</f>
        <v>4.8017875999999999</v>
      </c>
      <c r="M160" s="23">
        <f>'Annual Raw'!N78</f>
        <v>1.3616337000000001</v>
      </c>
      <c r="N160" s="23">
        <f>'Annual Raw'!O78</f>
        <v>0.83992420000000001</v>
      </c>
      <c r="O160" s="23">
        <f>'Annual Raw'!P78</f>
        <v>6.1933202999999999</v>
      </c>
      <c r="P160" s="23">
        <f>'Annual Raw'!Q78</f>
        <v>3.2656928000000001</v>
      </c>
      <c r="Q160" s="23">
        <f>'Annual Raw'!R78</f>
        <v>3.6882172999999998</v>
      </c>
      <c r="R160" s="23">
        <f>'Annual Raw'!S78</f>
        <v>10.7708504</v>
      </c>
      <c r="S160" s="23">
        <f>'Annual Raw'!T78</f>
        <v>6.5581791000000003</v>
      </c>
      <c r="T160" s="23">
        <f>'Annual Raw'!U78</f>
        <v>2.331</v>
      </c>
      <c r="U160" s="23">
        <f>'Annual Raw'!V78</f>
        <v>9.1859999999999999</v>
      </c>
      <c r="V160" s="23">
        <f>'Annual Raw'!W78</f>
        <v>7.7130000000000001</v>
      </c>
      <c r="W160" s="23">
        <f>'Annual Raw'!X78</f>
        <v>13.255000000000001</v>
      </c>
      <c r="X160" s="23">
        <f>'Annual Raw'!Y78</f>
        <v>98.38</v>
      </c>
      <c r="Y160" s="23">
        <f>'Annual Raw'!Z78</f>
        <v>245.43600000000001</v>
      </c>
      <c r="Z160" s="23">
        <f>'Annual Raw'!AA78</f>
        <v>107.313</v>
      </c>
      <c r="AA160" s="23">
        <f>'Annual Raw'!AB78</f>
        <v>65.203999999999994</v>
      </c>
      <c r="AB160" s="24">
        <f t="shared" si="1275"/>
        <v>263.26497225034694</v>
      </c>
      <c r="AC160" s="24">
        <f t="shared" si="1276"/>
        <v>467.991792708189</v>
      </c>
      <c r="AD160" s="24">
        <f t="shared" si="1277"/>
        <v>741.16287197199927</v>
      </c>
      <c r="AE160" s="24">
        <f t="shared" si="1278"/>
        <v>1106.0699269196534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 t="e">
        <f t="shared" ref="BA160" si="1287">+BA210</f>
        <v>#DIV/0!</v>
      </c>
      <c r="BB160" s="23">
        <f>+'QTR Raw'!V83</f>
        <v>0</v>
      </c>
      <c r="BC160" s="23" t="e">
        <f t="shared" ref="BC160" si="1288">+BC210</f>
        <v>#DIV/0!</v>
      </c>
      <c r="BD160" s="23">
        <f>+'QTR Raw'!X83</f>
        <v>0</v>
      </c>
      <c r="BE160" s="23" t="e">
        <f t="shared" ref="BE160" si="1289">+BE210</f>
        <v>#DIV/0!</v>
      </c>
      <c r="BF160" s="23">
        <f>+'QTR Raw'!Z83</f>
        <v>0</v>
      </c>
      <c r="BG160" s="23" t="e">
        <f t="shared" ref="BG160" si="1290">+BG210</f>
        <v>#DIV/0!</v>
      </c>
      <c r="BH160" s="23">
        <f>+'QTR Raw'!AB83</f>
        <v>0</v>
      </c>
      <c r="BI160" s="23" t="e">
        <f t="shared" ref="BI160" si="1291">+BI210</f>
        <v>#DIV/0!</v>
      </c>
      <c r="BJ160" s="23">
        <f>+'QTR Raw'!AD83</f>
        <v>0</v>
      </c>
      <c r="BK160" s="23" t="e">
        <f t="shared" ref="BK160" si="1292">+BK210</f>
        <v>#DIV/0!</v>
      </c>
      <c r="BL160" s="23">
        <f>+'QTR Raw'!AF83</f>
        <v>0</v>
      </c>
      <c r="BM160" s="23" t="e">
        <f t="shared" ref="BM160" si="1293">+BM210</f>
        <v>#DIV/0!</v>
      </c>
      <c r="BN160" s="23">
        <f>+'QTR Raw'!AH83</f>
        <v>0</v>
      </c>
      <c r="BO160" s="23" t="e">
        <f t="shared" ref="BO160" si="1294">+BO210</f>
        <v>#DIV/0!</v>
      </c>
      <c r="BP160" s="23">
        <f>+'QTR Raw'!AJ83</f>
        <v>0</v>
      </c>
      <c r="BQ160" s="23" t="e">
        <f t="shared" ref="BQ160" si="1295">+BQ210</f>
        <v>#DIV/0!</v>
      </c>
      <c r="BR160" s="23">
        <f>+'QTR Raw'!AL83</f>
        <v>7.7130000000000001</v>
      </c>
      <c r="BS160" s="23">
        <f t="shared" ref="BS160" si="1296">+BS210</f>
        <v>16.08142523076922</v>
      </c>
      <c r="BT160" s="23">
        <f>+'QTR Raw'!AN83</f>
        <v>0</v>
      </c>
      <c r="BU160" s="23">
        <f t="shared" ref="BU160" si="1297">+BU210</f>
        <v>10.419999999999991</v>
      </c>
      <c r="BV160" s="23">
        <f>+'QTR Raw'!AP83</f>
        <v>13.255000000000001</v>
      </c>
      <c r="BW160" s="23">
        <f t="shared" ref="BW160" si="1298">+BW210</f>
        <v>22.332748793866926</v>
      </c>
      <c r="BX160" s="23">
        <f>+'QTR Raw'!AR83</f>
        <v>140.85400000000001</v>
      </c>
      <c r="BY160" s="23">
        <f t="shared" ref="BY160" si="1299">+BY210</f>
        <v>153.50893668895006</v>
      </c>
      <c r="BZ160" s="23">
        <f>+'QTR Raw'!AT83</f>
        <v>98.38</v>
      </c>
      <c r="CA160" s="23">
        <f t="shared" ref="CA160" si="1300">+CA210</f>
        <v>132.98883051906625</v>
      </c>
      <c r="CB160" s="23">
        <f>+'QTR Raw'!AV83</f>
        <v>46.752000000000002</v>
      </c>
      <c r="CC160" s="23">
        <f t="shared" ref="CC160" si="1301">+CC210</f>
        <v>81.407832627206687</v>
      </c>
      <c r="CD160" s="23">
        <f>+'QTR Raw'!AX83</f>
        <v>245.43600000000001</v>
      </c>
      <c r="CE160" s="23">
        <f t="shared" ref="CE160" si="1302">+CE210</f>
        <v>273.29042085623723</v>
      </c>
      <c r="CF160" s="23">
        <f>+'QTR Raw'!AZ83</f>
        <v>119.315</v>
      </c>
      <c r="CG160" s="23">
        <f t="shared" ref="CG160:CI160" si="1303">+CG210</f>
        <v>188.95656128200773</v>
      </c>
      <c r="CH160" s="23">
        <f t="shared" si="1279"/>
        <v>107.313</v>
      </c>
      <c r="CI160" s="23">
        <f t="shared" si="1303"/>
        <v>218.04444004847599</v>
      </c>
      <c r="CJ160" s="23">
        <f>+'QTR Raw'!BD83</f>
        <v>55.545999999999999</v>
      </c>
      <c r="CK160" s="24">
        <f t="shared" ref="CK160:DB160" si="1304">+CK210</f>
        <v>133.65335809110644</v>
      </c>
      <c r="CL160" s="23">
        <f>+'QTR Raw'!BF83</f>
        <v>65.203999999999994</v>
      </c>
      <c r="CM160" s="24">
        <f t="shared" si="1304"/>
        <v>145.18993220155897</v>
      </c>
      <c r="CN160" s="24">
        <f t="shared" si="1304"/>
        <v>177.88840096385417</v>
      </c>
      <c r="CO160" s="24">
        <f t="shared" si="1304"/>
        <v>215.63697005183801</v>
      </c>
      <c r="CP160" s="24">
        <f t="shared" si="1304"/>
        <v>263.26497225034694</v>
      </c>
      <c r="CQ160" s="24">
        <f t="shared" si="1304"/>
        <v>310.40271945429834</v>
      </c>
      <c r="CR160" s="24">
        <f t="shared" si="1304"/>
        <v>354.47457195804071</v>
      </c>
      <c r="CS160" s="24">
        <f t="shared" si="1304"/>
        <v>404.53058791167592</v>
      </c>
      <c r="CT160" s="24">
        <f t="shared" si="1304"/>
        <v>467.991792708189</v>
      </c>
      <c r="CU160" s="24">
        <f t="shared" si="1304"/>
        <v>530.83309967775892</v>
      </c>
      <c r="CV160" s="24">
        <f t="shared" si="1304"/>
        <v>589.71977378127053</v>
      </c>
      <c r="CW160" s="24">
        <f t="shared" si="1304"/>
        <v>656.44147397352413</v>
      </c>
      <c r="CX160" s="24">
        <f t="shared" si="1304"/>
        <v>741.16287197199927</v>
      </c>
      <c r="CY160" s="24">
        <f t="shared" si="1304"/>
        <v>825.08894338643847</v>
      </c>
      <c r="CZ160" s="24">
        <f t="shared" si="1304"/>
        <v>903.74696725940225</v>
      </c>
      <c r="DA160" s="24">
        <f t="shared" si="1304"/>
        <v>992.85813744455049</v>
      </c>
      <c r="DB160" s="24">
        <f t="shared" si="1304"/>
        <v>1106.0699269196534</v>
      </c>
      <c r="DE160" s="123"/>
      <c r="DF160" s="23">
        <v>65.203999999999994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0</v>
      </c>
      <c r="J161" s="22">
        <f t="shared" si="1305"/>
        <v>3.8075378</v>
      </c>
      <c r="K161" s="22">
        <f t="shared" si="1305"/>
        <v>1.5937222</v>
      </c>
      <c r="L161" s="22">
        <f t="shared" si="1305"/>
        <v>4.8017875999999999</v>
      </c>
      <c r="M161" s="22">
        <f t="shared" si="1305"/>
        <v>1.3616337000000001</v>
      </c>
      <c r="N161" s="22">
        <f t="shared" si="1305"/>
        <v>0.83992420000000001</v>
      </c>
      <c r="O161" s="22">
        <f t="shared" si="1305"/>
        <v>6.1933202999999999</v>
      </c>
      <c r="P161" s="22">
        <f t="shared" si="1305"/>
        <v>3.2656928000000001</v>
      </c>
      <c r="Q161" s="22">
        <f t="shared" si="1305"/>
        <v>3.6882172999999998</v>
      </c>
      <c r="R161" s="22">
        <f t="shared" si="1305"/>
        <v>10.7708504</v>
      </c>
      <c r="S161" s="22">
        <f t="shared" si="1305"/>
        <v>6.5581791000000003</v>
      </c>
      <c r="T161" s="22">
        <f t="shared" si="1305"/>
        <v>2.331</v>
      </c>
      <c r="U161" s="22">
        <f t="shared" si="1305"/>
        <v>9.2859999999999996</v>
      </c>
      <c r="V161" s="22">
        <f t="shared" si="1305"/>
        <v>7.7750000000000004</v>
      </c>
      <c r="W161" s="22">
        <f t="shared" ref="W161" si="1306">W159+W160</f>
        <v>13.255000000000001</v>
      </c>
      <c r="X161" s="22">
        <f t="shared" ref="X161:Y161" si="1307">X159+X160</f>
        <v>119.32599999999999</v>
      </c>
      <c r="Y161" s="22">
        <f t="shared" si="1307"/>
        <v>249.459</v>
      </c>
      <c r="Z161" s="22">
        <f t="shared" ref="Z161:AA161" si="1308">Z159+Z160</f>
        <v>186.81900000000002</v>
      </c>
      <c r="AA161" s="22">
        <f t="shared" si="1308"/>
        <v>109.44399999999999</v>
      </c>
      <c r="AB161" s="21">
        <f t="shared" ref="AA161:AD161" si="1309">AB159+AB160</f>
        <v>263.26497225034694</v>
      </c>
      <c r="AC161" s="21">
        <f t="shared" si="1309"/>
        <v>467.991792708189</v>
      </c>
      <c r="AD161" s="21">
        <f t="shared" si="1309"/>
        <v>741.16287197199927</v>
      </c>
      <c r="AE161" s="21">
        <f t="shared" ref="AE161" si="1310">AE159+AE160</f>
        <v>1106.0699269196534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 t="e">
        <f t="shared" si="1315"/>
        <v>#DIV/0!</v>
      </c>
      <c r="BB161" s="22">
        <f t="shared" si="1315"/>
        <v>0</v>
      </c>
      <c r="BC161" s="22" t="e">
        <f t="shared" si="1315"/>
        <v>#DIV/0!</v>
      </c>
      <c r="BD161" s="22">
        <f t="shared" si="1315"/>
        <v>0</v>
      </c>
      <c r="BE161" s="22" t="e">
        <f t="shared" si="1315"/>
        <v>#DIV/0!</v>
      </c>
      <c r="BF161" s="22">
        <f t="shared" si="1315"/>
        <v>0</v>
      </c>
      <c r="BG161" s="22" t="e">
        <f t="shared" si="1315"/>
        <v>#DIV/0!</v>
      </c>
      <c r="BH161" s="22">
        <f t="shared" si="1315"/>
        <v>0</v>
      </c>
      <c r="BI161" s="22" t="e">
        <f t="shared" si="1315"/>
        <v>#DIV/0!</v>
      </c>
      <c r="BJ161" s="22">
        <f t="shared" si="1315"/>
        <v>0</v>
      </c>
      <c r="BK161" s="22" t="e">
        <f t="shared" si="1315"/>
        <v>#DIV/0!</v>
      </c>
      <c r="BL161" s="22">
        <f t="shared" si="1315"/>
        <v>0</v>
      </c>
      <c r="BM161" s="22" t="e">
        <f t="shared" si="1315"/>
        <v>#DIV/0!</v>
      </c>
      <c r="BN161" s="22">
        <f t="shared" si="1315"/>
        <v>0</v>
      </c>
      <c r="BO161" s="22" t="e">
        <f t="shared" si="1315"/>
        <v>#DIV/0!</v>
      </c>
      <c r="BP161" s="22">
        <f t="shared" si="1315"/>
        <v>0</v>
      </c>
      <c r="BQ161" s="22" t="e">
        <f t="shared" si="1315"/>
        <v>#DIV/0!</v>
      </c>
      <c r="BR161" s="22">
        <f t="shared" si="1315"/>
        <v>7.7750000000000004</v>
      </c>
      <c r="BS161" s="22">
        <f t="shared" si="1315"/>
        <v>16.08142523076922</v>
      </c>
      <c r="BT161" s="22">
        <f t="shared" si="1315"/>
        <v>0</v>
      </c>
      <c r="BU161" s="22">
        <f t="shared" si="1315"/>
        <v>10.419999999999991</v>
      </c>
      <c r="BV161" s="22">
        <f t="shared" si="1315"/>
        <v>13.255000000000001</v>
      </c>
      <c r="BW161" s="22">
        <f t="shared" si="1315"/>
        <v>22.332748793866926</v>
      </c>
      <c r="BX161" s="22">
        <f t="shared" si="1315"/>
        <v>140.85400000000001</v>
      </c>
      <c r="BY161" s="22">
        <f t="shared" si="1315"/>
        <v>153.50893668895006</v>
      </c>
      <c r="BZ161" s="22">
        <f t="shared" si="1315"/>
        <v>119.32599999999999</v>
      </c>
      <c r="CA161" s="22">
        <f t="shared" si="1315"/>
        <v>132.98883051906625</v>
      </c>
      <c r="CB161" s="22">
        <f t="shared" si="1315"/>
        <v>62.32</v>
      </c>
      <c r="CC161" s="22">
        <f t="shared" si="1315"/>
        <v>81.407832627206687</v>
      </c>
      <c r="CD161" s="22">
        <f t="shared" si="1315"/>
        <v>249.459</v>
      </c>
      <c r="CE161" s="22">
        <f t="shared" si="1315"/>
        <v>273.29042085623723</v>
      </c>
      <c r="CF161" s="22">
        <f t="shared" ref="CF161:CG161" si="1316">CF159+CF160</f>
        <v>166.54399999999998</v>
      </c>
      <c r="CG161" s="22">
        <f t="shared" si="1316"/>
        <v>188.95656128200773</v>
      </c>
      <c r="CH161" s="22">
        <f t="shared" ref="CH161:CI161" si="1317">CH159+CH160</f>
        <v>186.81900000000002</v>
      </c>
      <c r="CI161" s="22">
        <f t="shared" si="1317"/>
        <v>218.04444004847599</v>
      </c>
      <c r="CJ161" s="22">
        <f t="shared" ref="CJ161:DB161" si="1318">CJ159+CJ160</f>
        <v>102.02500000000001</v>
      </c>
      <c r="CK161" s="21">
        <f t="shared" si="1318"/>
        <v>133.65335809110644</v>
      </c>
      <c r="CL161" s="22">
        <f t="shared" ref="CL161" si="1319">CL159+CL160</f>
        <v>109.44399999999999</v>
      </c>
      <c r="CM161" s="21">
        <f t="shared" si="1318"/>
        <v>145.18993220155897</v>
      </c>
      <c r="CN161" s="21">
        <f t="shared" si="1318"/>
        <v>177.88840096385417</v>
      </c>
      <c r="CO161" s="21">
        <f t="shared" si="1318"/>
        <v>215.63697005183801</v>
      </c>
      <c r="CP161" s="21">
        <f t="shared" si="1318"/>
        <v>263.26497225034694</v>
      </c>
      <c r="CQ161" s="21">
        <f t="shared" si="1318"/>
        <v>310.40271945429834</v>
      </c>
      <c r="CR161" s="21">
        <f t="shared" si="1318"/>
        <v>354.47457195804071</v>
      </c>
      <c r="CS161" s="21">
        <f t="shared" si="1318"/>
        <v>404.53058791167592</v>
      </c>
      <c r="CT161" s="21">
        <f t="shared" si="1318"/>
        <v>467.991792708189</v>
      </c>
      <c r="CU161" s="21">
        <f t="shared" si="1318"/>
        <v>530.83309967775892</v>
      </c>
      <c r="CV161" s="21">
        <f t="shared" si="1318"/>
        <v>589.71977378127053</v>
      </c>
      <c r="CW161" s="21">
        <f t="shared" si="1318"/>
        <v>656.44147397352413</v>
      </c>
      <c r="CX161" s="21">
        <f t="shared" si="1318"/>
        <v>741.16287197199927</v>
      </c>
      <c r="CY161" s="21">
        <f t="shared" si="1318"/>
        <v>825.08894338643847</v>
      </c>
      <c r="CZ161" s="21">
        <f t="shared" si="1318"/>
        <v>903.74696725940225</v>
      </c>
      <c r="DA161" s="21">
        <f t="shared" si="1318"/>
        <v>992.85813744455049</v>
      </c>
      <c r="DB161" s="21">
        <f t="shared" si="1318"/>
        <v>1106.0699269196534</v>
      </c>
      <c r="DE161" s="126"/>
      <c r="DF161" s="22">
        <v>109.44399999999999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-0.30969999999999998</v>
      </c>
      <c r="K163" s="23">
        <f>-'Annual Raw'!L49</f>
        <v>0.97389999999999999</v>
      </c>
      <c r="L163" s="23">
        <f>-'Annual Raw'!M49</f>
        <v>-0.24840000000000001</v>
      </c>
      <c r="M163" s="23">
        <f>-'Annual Raw'!N49</f>
        <v>-0.1191</v>
      </c>
      <c r="N163" s="23">
        <f>-'Annual Raw'!O49</f>
        <v>0.1356</v>
      </c>
      <c r="O163" s="23">
        <f>-'Annual Raw'!P49</f>
        <v>0.35099999999999998</v>
      </c>
      <c r="P163" s="23">
        <f>-'Annual Raw'!Q49</f>
        <v>-0.9244</v>
      </c>
      <c r="Q163" s="23">
        <f>-'Annual Raw'!R49</f>
        <v>-0.77110000000000001</v>
      </c>
      <c r="R163" s="23">
        <f>-'Annual Raw'!S49</f>
        <v>-1.09494</v>
      </c>
      <c r="S163" s="23">
        <f>-'Annual Raw'!T49</f>
        <v>-0.18384010000000001</v>
      </c>
      <c r="T163" s="23">
        <f>-'Annual Raw'!U49</f>
        <v>-0.31</v>
      </c>
      <c r="U163" s="23">
        <f>-'Annual Raw'!V49</f>
        <v>-0.75800000000000001</v>
      </c>
      <c r="V163" s="23">
        <f>-'Annual Raw'!W49</f>
        <v>-1.3640000000000001</v>
      </c>
      <c r="W163" s="23">
        <f>-'Annual Raw'!X49</f>
        <v>-1.792</v>
      </c>
      <c r="X163" s="23">
        <f>-'Annual Raw'!Y49</f>
        <v>-2.5649999999999999</v>
      </c>
      <c r="Y163" s="23">
        <f>-'Annual Raw'!Z49</f>
        <v>-6.7220000000000004</v>
      </c>
      <c r="Z163" s="23">
        <f>-'Annual Raw'!AA49</f>
        <v>-11.476000000000001</v>
      </c>
      <c r="AA163" s="23">
        <f>-'Annual Raw'!AB49</f>
        <v>-16.667999999999999</v>
      </c>
      <c r="AB163" s="24">
        <f t="shared" ref="AB163:AB164" si="1320">+CP163</f>
        <v>-16.667999999999999</v>
      </c>
      <c r="AC163" s="24">
        <f t="shared" ref="AC163:AC164" si="1321">+CT163</f>
        <v>-16.667999999999999</v>
      </c>
      <c r="AD163" s="24">
        <f t="shared" ref="AD163:AD164" si="1322">+CX163</f>
        <v>-16.667999999999999</v>
      </c>
      <c r="AE163" s="24">
        <f t="shared" ref="AE163:AE164" si="1323">+DB163</f>
        <v>-16.667999999999999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0</v>
      </c>
      <c r="BO163" s="23">
        <f t="shared" si="1324"/>
        <v>0</v>
      </c>
      <c r="BP163" s="23">
        <f>+'QTR Raw'!AJ96</f>
        <v>0</v>
      </c>
      <c r="BQ163" s="23">
        <f t="shared" si="1324"/>
        <v>0</v>
      </c>
      <c r="BR163" s="23">
        <f>+'QTR Raw'!AL96</f>
        <v>-1.3640000000000001</v>
      </c>
      <c r="BS163" s="23">
        <f t="shared" si="1324"/>
        <v>-1.3640000000000001</v>
      </c>
      <c r="BT163" s="23">
        <f>+'QTR Raw'!AN96</f>
        <v>0</v>
      </c>
      <c r="BU163" s="23">
        <f t="shared" si="1324"/>
        <v>0</v>
      </c>
      <c r="BV163" s="23">
        <f>+'QTR Raw'!AP96</f>
        <v>-1.792</v>
      </c>
      <c r="BW163" s="23">
        <f t="shared" si="1324"/>
        <v>-1.792</v>
      </c>
      <c r="BX163" s="23">
        <f>+'QTR Raw'!AR96</f>
        <v>-1.9430000000000001</v>
      </c>
      <c r="BY163" s="23">
        <f t="shared" si="1324"/>
        <v>-1.9430000000000001</v>
      </c>
      <c r="BZ163" s="23">
        <f>+'QTR Raw'!AT96</f>
        <v>-2.5649999999999999</v>
      </c>
      <c r="CA163" s="23">
        <f t="shared" si="1324"/>
        <v>-2.5649999999999999</v>
      </c>
      <c r="CB163" s="23">
        <f>+'QTR Raw'!AV96</f>
        <v>-4.601</v>
      </c>
      <c r="CC163" s="23">
        <f t="shared" si="1324"/>
        <v>-4.601</v>
      </c>
      <c r="CD163" s="23">
        <f>+'QTR Raw'!AX96</f>
        <v>-6.7220000000000004</v>
      </c>
      <c r="CE163" s="23">
        <f t="shared" si="1324"/>
        <v>-6.7220000000000004</v>
      </c>
      <c r="CF163" s="23">
        <f>+'QTR Raw'!AZ96</f>
        <v>-7.7320000000000002</v>
      </c>
      <c r="CG163" s="23">
        <f t="shared" ref="CG163:CI164" si="1325">+CF163</f>
        <v>-7.7320000000000002</v>
      </c>
      <c r="CH163" s="23">
        <f t="shared" ref="CH163:CH164" si="1326">Z163</f>
        <v>-11.476000000000001</v>
      </c>
      <c r="CI163" s="23">
        <f t="shared" si="1325"/>
        <v>-11.476000000000001</v>
      </c>
      <c r="CJ163" s="23">
        <f>+'QTR Raw'!BD96</f>
        <v>-13.597</v>
      </c>
      <c r="CK163" s="24">
        <f t="shared" ref="CK163:CK164" si="1327">+CJ163</f>
        <v>-13.597</v>
      </c>
      <c r="CL163" s="23">
        <f>+'QTR Raw'!BF96</f>
        <v>-16.667999999999999</v>
      </c>
      <c r="CM163" s="24">
        <f t="shared" ref="CM163:CM164" si="1328">+CL163</f>
        <v>-16.667999999999999</v>
      </c>
      <c r="CN163" s="24">
        <f t="shared" ref="CN163:CN164" si="1329">+CM163</f>
        <v>-16.667999999999999</v>
      </c>
      <c r="CO163" s="24">
        <f t="shared" ref="CO163:CO164" si="1330">+CN163</f>
        <v>-16.667999999999999</v>
      </c>
      <c r="CP163" s="24">
        <f t="shared" ref="CP163:CP164" si="1331">+CO163</f>
        <v>-16.667999999999999</v>
      </c>
      <c r="CQ163" s="24">
        <f t="shared" ref="CQ163:CQ164" si="1332">+CP163</f>
        <v>-16.667999999999999</v>
      </c>
      <c r="CR163" s="24">
        <f t="shared" ref="CR163:CR164" si="1333">+CQ163</f>
        <v>-16.667999999999999</v>
      </c>
      <c r="CS163" s="24">
        <f t="shared" ref="CS163:CS164" si="1334">+CR163</f>
        <v>-16.667999999999999</v>
      </c>
      <c r="CT163" s="24">
        <f t="shared" ref="CT163:CT164" si="1335">+CS163</f>
        <v>-16.667999999999999</v>
      </c>
      <c r="CU163" s="24">
        <f t="shared" ref="CU163:CU164" si="1336">+CT163</f>
        <v>-16.667999999999999</v>
      </c>
      <c r="CV163" s="24">
        <f t="shared" ref="CV163:CV164" si="1337">+CU163</f>
        <v>-16.667999999999999</v>
      </c>
      <c r="CW163" s="24">
        <f t="shared" ref="CW163:CW164" si="1338">+CV163</f>
        <v>-16.667999999999999</v>
      </c>
      <c r="CX163" s="24">
        <f t="shared" ref="CX163:CX164" si="1339">+CW163</f>
        <v>-16.667999999999999</v>
      </c>
      <c r="CY163" s="24">
        <f t="shared" ref="CY163:CY164" si="1340">+CX163</f>
        <v>-16.667999999999999</v>
      </c>
      <c r="CZ163" s="24">
        <f t="shared" ref="CZ163:CZ164" si="1341">+CY163</f>
        <v>-16.667999999999999</v>
      </c>
      <c r="DA163" s="24">
        <f t="shared" ref="DA163:DA164" si="1342">+CZ163</f>
        <v>-16.667999999999999</v>
      </c>
      <c r="DB163" s="24">
        <f t="shared" ref="DB163:DB164" si="1343">+DA163</f>
        <v>-16.667999999999999</v>
      </c>
      <c r="DE163" s="123"/>
      <c r="DF163" s="23">
        <v>-16.667999999999999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0</v>
      </c>
      <c r="J165" s="26">
        <f t="shared" si="1345"/>
        <v>17.4062403</v>
      </c>
      <c r="K165" s="26">
        <f t="shared" si="1345"/>
        <v>27.791089868</v>
      </c>
      <c r="L165" s="26">
        <f t="shared" si="1345"/>
        <v>52.831229309000001</v>
      </c>
      <c r="M165" s="26">
        <f t="shared" si="1345"/>
        <v>58.534040700000006</v>
      </c>
      <c r="N165" s="26">
        <f t="shared" si="1345"/>
        <v>59.797057999999993</v>
      </c>
      <c r="O165" s="26">
        <f t="shared" si="1345"/>
        <v>53.550459700000005</v>
      </c>
      <c r="P165" s="26">
        <f t="shared" si="1345"/>
        <v>52.363926300000003</v>
      </c>
      <c r="Q165" s="26">
        <f t="shared" si="1345"/>
        <v>54.593354900000001</v>
      </c>
      <c r="R165" s="26">
        <f t="shared" si="1345"/>
        <v>68.780549300000004</v>
      </c>
      <c r="S165" s="26">
        <f t="shared" si="1345"/>
        <v>74.625846100000004</v>
      </c>
      <c r="T165" s="26">
        <f t="shared" si="1345"/>
        <v>103.20399999999999</v>
      </c>
      <c r="U165" s="26">
        <f t="shared" si="1345"/>
        <v>134.536</v>
      </c>
      <c r="V165" s="26">
        <f t="shared" si="1345"/>
        <v>152.517</v>
      </c>
      <c r="W165" s="26">
        <f t="shared" si="1345"/>
        <v>208.49299999999999</v>
      </c>
      <c r="X165" s="26">
        <f t="shared" ref="X165:Y165" si="1346">X163+X161+X157+X140+X138+X164</f>
        <v>408.06399999999996</v>
      </c>
      <c r="Y165" s="26">
        <f t="shared" si="1346"/>
        <v>669.54600000000005</v>
      </c>
      <c r="Z165" s="26">
        <f t="shared" ref="Z165:AA165" si="1347">Z163+Z161+Z157+Z140+Z138+Z164</f>
        <v>747.28000000000009</v>
      </c>
      <c r="AA165" s="26">
        <f t="shared" si="1347"/>
        <v>936.46299999999974</v>
      </c>
      <c r="AB165" s="27">
        <f t="shared" ref="AA165:AD165" si="1348">AB163+AB161+AB157+AB140+AB138+AB164</f>
        <v>1078.6794170938369</v>
      </c>
      <c r="AC165" s="27">
        <f t="shared" si="1348"/>
        <v>1286.2148574519897</v>
      </c>
      <c r="AD165" s="27">
        <f t="shared" si="1348"/>
        <v>1579.6158872808517</v>
      </c>
      <c r="AE165" s="27">
        <f t="shared" ref="AE165" si="1349">AE163+AE161+AE157+AE140+AE138+AE164</f>
        <v>1986.4704443955336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 t="e">
        <f t="shared" si="1353"/>
        <v>#DIV/0!</v>
      </c>
      <c r="BB165" s="26">
        <f t="shared" si="1353"/>
        <v>0</v>
      </c>
      <c r="BC165" s="26" t="e">
        <f t="shared" si="1353"/>
        <v>#DIV/0!</v>
      </c>
      <c r="BD165" s="26">
        <f t="shared" si="1353"/>
        <v>0</v>
      </c>
      <c r="BE165" s="26" t="e">
        <f t="shared" si="1353"/>
        <v>#DIV/0!</v>
      </c>
      <c r="BF165" s="26">
        <f t="shared" si="1353"/>
        <v>0</v>
      </c>
      <c r="BG165" s="26" t="e">
        <f t="shared" si="1353"/>
        <v>#DIV/0!</v>
      </c>
      <c r="BH165" s="26">
        <f t="shared" ref="BH165" si="1354">BH163+BH161+BH157+BH140+BH138+BH164</f>
        <v>0</v>
      </c>
      <c r="BI165" s="26" t="e">
        <f t="shared" si="1353"/>
        <v>#DIV/0!</v>
      </c>
      <c r="BJ165" s="26">
        <f t="shared" si="1353"/>
        <v>0</v>
      </c>
      <c r="BK165" s="26" t="e">
        <f t="shared" si="1353"/>
        <v>#DIV/0!</v>
      </c>
      <c r="BL165" s="26">
        <f t="shared" si="1353"/>
        <v>0</v>
      </c>
      <c r="BM165" s="26" t="e">
        <f t="shared" si="1353"/>
        <v>#DIV/0!</v>
      </c>
      <c r="BN165" s="26">
        <f t="shared" si="1353"/>
        <v>0</v>
      </c>
      <c r="BO165" s="26" t="e">
        <f t="shared" si="1353"/>
        <v>#DIV/0!</v>
      </c>
      <c r="BP165" s="26">
        <f t="shared" si="1353"/>
        <v>0</v>
      </c>
      <c r="BQ165" s="26" t="e">
        <f t="shared" si="1353"/>
        <v>#DIV/0!</v>
      </c>
      <c r="BR165" s="26">
        <f t="shared" si="1353"/>
        <v>147.423</v>
      </c>
      <c r="BS165" s="26">
        <f t="shared" si="1353"/>
        <v>156.947</v>
      </c>
      <c r="BT165" s="26">
        <f t="shared" si="1353"/>
        <v>0</v>
      </c>
      <c r="BU165" s="26">
        <f t="shared" si="1353"/>
        <v>10.419999999999991</v>
      </c>
      <c r="BV165" s="26">
        <f t="shared" si="1353"/>
        <v>208.49399999999997</v>
      </c>
      <c r="BW165" s="26">
        <f t="shared" si="1353"/>
        <v>222.38</v>
      </c>
      <c r="BX165" s="26">
        <f t="shared" si="1353"/>
        <v>385.95</v>
      </c>
      <c r="BY165" s="26">
        <f t="shared" si="1353"/>
        <v>401.267</v>
      </c>
      <c r="BZ165" s="26">
        <f t="shared" si="1353"/>
        <v>408.06399999999996</v>
      </c>
      <c r="CA165" s="26">
        <f t="shared" si="1353"/>
        <v>423.64099999999996</v>
      </c>
      <c r="CB165" s="26">
        <f t="shared" si="1353"/>
        <v>441.64400000000001</v>
      </c>
      <c r="CC165" s="26">
        <f t="shared" si="1353"/>
        <v>461.77100000000007</v>
      </c>
      <c r="CD165" s="26">
        <f t="shared" si="1353"/>
        <v>669.54600000000005</v>
      </c>
      <c r="CE165" s="26">
        <f t="shared" si="1353"/>
        <v>687.39499999999998</v>
      </c>
      <c r="CF165" s="26">
        <f t="shared" ref="CF165:CG165" si="1355">CF163+CF161+CF157+CF140+CF138+CF164</f>
        <v>692.30400000000009</v>
      </c>
      <c r="CG165" s="26">
        <f t="shared" si="1355"/>
        <v>713.27700000000004</v>
      </c>
      <c r="CH165" s="26">
        <f t="shared" ref="CH165:CI165" si="1356">CH163+CH161+CH157+CH140+CH138+CH164</f>
        <v>747.28000000000009</v>
      </c>
      <c r="CI165" s="26">
        <f t="shared" si="1356"/>
        <v>772.16400000000021</v>
      </c>
      <c r="CJ165" s="26">
        <f t="shared" ref="CJ165:DB165" si="1357">CJ163+CJ161+CJ157+CJ140+CJ138+CJ164</f>
        <v>832.66200000000003</v>
      </c>
      <c r="CK165" s="27">
        <f t="shared" si="1357"/>
        <v>861.32900000000006</v>
      </c>
      <c r="CL165" s="26">
        <f t="shared" ref="CL165" si="1358">CL163+CL161+CL157+CL140+CL138+CL164</f>
        <v>936.46299999999997</v>
      </c>
      <c r="CM165" s="27">
        <f t="shared" si="1357"/>
        <v>965.36470822486933</v>
      </c>
      <c r="CN165" s="27">
        <f t="shared" si="1357"/>
        <v>999.3771974632366</v>
      </c>
      <c r="CO165" s="27">
        <f t="shared" si="1357"/>
        <v>1038.1206825053248</v>
      </c>
      <c r="CP165" s="27">
        <f t="shared" si="1357"/>
        <v>1078.6794170938369</v>
      </c>
      <c r="CQ165" s="27">
        <f t="shared" si="1357"/>
        <v>1121.8625068504732</v>
      </c>
      <c r="CR165" s="27">
        <f t="shared" si="1357"/>
        <v>1171.5352270645858</v>
      </c>
      <c r="CS165" s="27">
        <f t="shared" si="1357"/>
        <v>1227.879269806695</v>
      </c>
      <c r="CT165" s="27">
        <f t="shared" si="1357"/>
        <v>1286.2148574519897</v>
      </c>
      <c r="CU165" s="27">
        <f t="shared" si="1357"/>
        <v>1348.0769173287795</v>
      </c>
      <c r="CV165" s="27">
        <f t="shared" si="1357"/>
        <v>1418.4955888947011</v>
      </c>
      <c r="CW165" s="27">
        <f t="shared" si="1357"/>
        <v>1497.8011462202949</v>
      </c>
      <c r="CX165" s="27">
        <f t="shared" si="1357"/>
        <v>1579.6158872808517</v>
      </c>
      <c r="CY165" s="27">
        <f t="shared" si="1357"/>
        <v>1666.096041518374</v>
      </c>
      <c r="CZ165" s="27">
        <f t="shared" si="1357"/>
        <v>1763.9275975560722</v>
      </c>
      <c r="DA165" s="27">
        <f t="shared" si="1357"/>
        <v>1873.5660280142597</v>
      </c>
      <c r="DB165" s="27">
        <f t="shared" si="1357"/>
        <v>1986.4704443955336</v>
      </c>
      <c r="DE165" s="121"/>
      <c r="DF165" s="26">
        <v>936.46299999999997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 t="e">
        <f t="shared" si="1368"/>
        <v>#DIV/0!</v>
      </c>
      <c r="BB166" s="23">
        <f t="shared" si="1368"/>
        <v>0</v>
      </c>
      <c r="BC166" s="23" t="e">
        <f t="shared" si="1368"/>
        <v>#DIV/0!</v>
      </c>
      <c r="BD166" s="23">
        <f t="shared" si="1368"/>
        <v>0</v>
      </c>
      <c r="BE166" s="23" t="e">
        <f t="shared" si="1368"/>
        <v>#DIV/0!</v>
      </c>
      <c r="BF166" s="23">
        <f t="shared" si="1368"/>
        <v>0</v>
      </c>
      <c r="BG166" s="23" t="e">
        <f t="shared" si="1368"/>
        <v>#DIV/0!</v>
      </c>
      <c r="BH166" s="23">
        <f t="shared" ref="BH166" si="1369">BH165-BH129</f>
        <v>0</v>
      </c>
      <c r="BI166" s="23" t="e">
        <f t="shared" si="1368"/>
        <v>#DIV/0!</v>
      </c>
      <c r="BJ166" s="23">
        <f t="shared" si="1368"/>
        <v>0</v>
      </c>
      <c r="BK166" s="23" t="e">
        <f t="shared" si="1368"/>
        <v>#DIV/0!</v>
      </c>
      <c r="BL166" s="23">
        <f t="shared" si="1368"/>
        <v>0</v>
      </c>
      <c r="BM166" s="23" t="e">
        <f t="shared" si="1368"/>
        <v>#DIV/0!</v>
      </c>
      <c r="BN166" s="23">
        <f t="shared" si="1368"/>
        <v>0</v>
      </c>
      <c r="BO166" s="23" t="e">
        <f t="shared" si="1368"/>
        <v>#DIV/0!</v>
      </c>
      <c r="BP166" s="23">
        <f t="shared" si="1368"/>
        <v>0</v>
      </c>
      <c r="BQ166" s="23" t="e">
        <f t="shared" si="1368"/>
        <v>#DIV/0!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1.0000000000047748E-3</v>
      </c>
      <c r="BW166" s="23">
        <f t="shared" si="1368"/>
        <v>1.0000000000047748E-3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-9.999999998626663E-4</v>
      </c>
      <c r="CG166" s="23">
        <f t="shared" si="1370"/>
        <v>-9.999999998626663E-4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0</v>
      </c>
      <c r="J168" s="22">
        <f t="shared" si="1374"/>
        <v>-3.8075378</v>
      </c>
      <c r="K168" s="22">
        <f t="shared" si="1374"/>
        <v>-1.5937222</v>
      </c>
      <c r="L168" s="22">
        <f t="shared" si="1374"/>
        <v>-4.8017875999999999</v>
      </c>
      <c r="M168" s="22">
        <f t="shared" si="1374"/>
        <v>0.90750059999999966</v>
      </c>
      <c r="N168" s="22">
        <f t="shared" si="1374"/>
        <v>1.4967581999999999</v>
      </c>
      <c r="O168" s="22">
        <f t="shared" si="1374"/>
        <v>-2.7140342</v>
      </c>
      <c r="P168" s="22">
        <f t="shared" si="1374"/>
        <v>-1.5206949999999999</v>
      </c>
      <c r="Q168" s="22">
        <f t="shared" si="1374"/>
        <v>-3.5500916999999999</v>
      </c>
      <c r="R168" s="22">
        <f t="shared" si="1374"/>
        <v>-5.0982207000000006</v>
      </c>
      <c r="S168" s="22">
        <f t="shared" si="1374"/>
        <v>1.728961</v>
      </c>
      <c r="T168" s="22">
        <f t="shared" si="1374"/>
        <v>25.23</v>
      </c>
      <c r="U168" s="22">
        <f t="shared" si="1374"/>
        <v>32.173000000000002</v>
      </c>
      <c r="V168" s="22">
        <f t="shared" si="1374"/>
        <v>28.125000000000007</v>
      </c>
      <c r="W168" s="22">
        <f t="shared" si="1374"/>
        <v>41.135999999999996</v>
      </c>
      <c r="X168" s="22">
        <f t="shared" ref="X168:Y168" si="1375">X128-X161</f>
        <v>-103.67599999999999</v>
      </c>
      <c r="Y168" s="22">
        <f t="shared" si="1375"/>
        <v>-241.988</v>
      </c>
      <c r="Z168" s="22">
        <f t="shared" ref="Z168:AA168" si="1376">Z128-Z161</f>
        <v>-186.81900000000002</v>
      </c>
      <c r="AA168" s="22">
        <f t="shared" si="1376"/>
        <v>-85.570999999999998</v>
      </c>
      <c r="AB168" s="21">
        <f t="shared" ref="AA168:AD168" si="1377">AB128-AB161</f>
        <v>-239.39197225034695</v>
      </c>
      <c r="AC168" s="21">
        <f t="shared" si="1377"/>
        <v>-444.11879270818901</v>
      </c>
      <c r="AD168" s="21">
        <f t="shared" si="1377"/>
        <v>-717.28987197199922</v>
      </c>
      <c r="AE168" s="21">
        <f t="shared" ref="AE168" si="1378">AE128-AE161</f>
        <v>-1082.1969269196534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 t="e">
        <f t="shared" si="1381"/>
        <v>#DIV/0!</v>
      </c>
      <c r="BB168" s="22">
        <f t="shared" si="1381"/>
        <v>0</v>
      </c>
      <c r="BC168" s="22" t="e">
        <f t="shared" si="1381"/>
        <v>#DIV/0!</v>
      </c>
      <c r="BD168" s="22">
        <f t="shared" si="1381"/>
        <v>0</v>
      </c>
      <c r="BE168" s="22" t="e">
        <f t="shared" si="1381"/>
        <v>#DIV/0!</v>
      </c>
      <c r="BF168" s="22">
        <f t="shared" si="1381"/>
        <v>0</v>
      </c>
      <c r="BG168" s="22" t="e">
        <f t="shared" si="1381"/>
        <v>#DIV/0!</v>
      </c>
      <c r="BH168" s="22">
        <f t="shared" si="1381"/>
        <v>0</v>
      </c>
      <c r="BI168" s="22" t="e">
        <f t="shared" si="1381"/>
        <v>#DIV/0!</v>
      </c>
      <c r="BJ168" s="22">
        <f t="shared" si="1381"/>
        <v>0</v>
      </c>
      <c r="BK168" s="22" t="e">
        <f t="shared" si="1381"/>
        <v>#DIV/0!</v>
      </c>
      <c r="BL168" s="22">
        <f t="shared" si="1381"/>
        <v>0</v>
      </c>
      <c r="BM168" s="22" t="e">
        <f t="shared" si="1381"/>
        <v>#DIV/0!</v>
      </c>
      <c r="BN168" s="22">
        <f t="shared" si="1381"/>
        <v>0</v>
      </c>
      <c r="BO168" s="22" t="e">
        <f t="shared" si="1381"/>
        <v>#DIV/0!</v>
      </c>
      <c r="BP168" s="22">
        <f t="shared" si="1381"/>
        <v>0</v>
      </c>
      <c r="BQ168" s="22" t="e">
        <f t="shared" si="1381"/>
        <v>#DIV/0!</v>
      </c>
      <c r="BR168" s="22">
        <f t="shared" si="1381"/>
        <v>23.030999999999999</v>
      </c>
      <c r="BS168" s="22">
        <f t="shared" si="1381"/>
        <v>14.724574769230781</v>
      </c>
      <c r="BT168" s="22">
        <f t="shared" si="1381"/>
        <v>0</v>
      </c>
      <c r="BU168" s="22">
        <f t="shared" si="1381"/>
        <v>-10.419999999999991</v>
      </c>
      <c r="BV168" s="22">
        <f t="shared" si="1381"/>
        <v>41.135999999999996</v>
      </c>
      <c r="BW168" s="22">
        <f t="shared" si="1381"/>
        <v>32.058251206133072</v>
      </c>
      <c r="BX168" s="22">
        <f t="shared" si="1381"/>
        <v>-121.06900000000002</v>
      </c>
      <c r="BY168" s="22">
        <f t="shared" si="1381"/>
        <v>-133.72393668895006</v>
      </c>
      <c r="BZ168" s="22">
        <f t="shared" si="1381"/>
        <v>-103.67599999999999</v>
      </c>
      <c r="CA168" s="22">
        <f t="shared" si="1381"/>
        <v>-117.33883051906625</v>
      </c>
      <c r="CB168" s="22">
        <f t="shared" si="1381"/>
        <v>-44.882999999999996</v>
      </c>
      <c r="CC168" s="22">
        <f t="shared" si="1381"/>
        <v>-63.97083262720669</v>
      </c>
      <c r="CD168" s="22">
        <f t="shared" si="1381"/>
        <v>-241.988</v>
      </c>
      <c r="CE168" s="22">
        <f t="shared" si="1381"/>
        <v>-265.81942085623723</v>
      </c>
      <c r="CF168" s="22">
        <f t="shared" ref="CF168:CG168" si="1382">CF128-CF161</f>
        <v>-166.54399999999998</v>
      </c>
      <c r="CG168" s="22">
        <f t="shared" si="1382"/>
        <v>-188.95656128200773</v>
      </c>
      <c r="CH168" s="22">
        <f t="shared" ref="CH168:CI168" si="1383">CH128-CH161</f>
        <v>-186.81900000000002</v>
      </c>
      <c r="CI168" s="22">
        <f t="shared" si="1383"/>
        <v>-218.04444004847599</v>
      </c>
      <c r="CJ168" s="22">
        <f t="shared" ref="CJ168:DB168" si="1384">CJ128-CJ161</f>
        <v>-85.550000000000011</v>
      </c>
      <c r="CK168" s="21">
        <f t="shared" si="1384"/>
        <v>-117.17835809110645</v>
      </c>
      <c r="CL168" s="22">
        <f t="shared" ref="CL168" si="1385">CL128-CL161</f>
        <v>-85.570999999999998</v>
      </c>
      <c r="CM168" s="21">
        <f t="shared" si="1384"/>
        <v>-121.31693220155898</v>
      </c>
      <c r="CN168" s="21">
        <f t="shared" si="1384"/>
        <v>-154.01540096385418</v>
      </c>
      <c r="CO168" s="21">
        <f t="shared" si="1384"/>
        <v>-191.76397005183802</v>
      </c>
      <c r="CP168" s="21">
        <f t="shared" si="1384"/>
        <v>-239.39197225034695</v>
      </c>
      <c r="CQ168" s="21">
        <f t="shared" si="1384"/>
        <v>-286.52971945429834</v>
      </c>
      <c r="CR168" s="21">
        <f t="shared" si="1384"/>
        <v>-330.60157195804072</v>
      </c>
      <c r="CS168" s="21">
        <f t="shared" si="1384"/>
        <v>-380.65758791167593</v>
      </c>
      <c r="CT168" s="21">
        <f t="shared" si="1384"/>
        <v>-444.11879270818901</v>
      </c>
      <c r="CU168" s="21">
        <f t="shared" si="1384"/>
        <v>-506.96009967775893</v>
      </c>
      <c r="CV168" s="21">
        <f t="shared" si="1384"/>
        <v>-565.84677378127049</v>
      </c>
      <c r="CW168" s="21">
        <f t="shared" si="1384"/>
        <v>-632.56847397352408</v>
      </c>
      <c r="CX168" s="21">
        <f t="shared" si="1384"/>
        <v>-717.28987197199922</v>
      </c>
      <c r="CY168" s="21">
        <f t="shared" si="1384"/>
        <v>-801.21594338643843</v>
      </c>
      <c r="CZ168" s="21">
        <f t="shared" si="1384"/>
        <v>-879.87396725940221</v>
      </c>
      <c r="DA168" s="21">
        <f t="shared" si="1384"/>
        <v>-968.98513744455045</v>
      </c>
      <c r="DB168" s="21">
        <f t="shared" si="1384"/>
        <v>-1082.1969269196534</v>
      </c>
      <c r="DE168" s="126"/>
      <c r="DF168" s="22">
        <v>-85.570999999999998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0.62709409999999999</v>
      </c>
      <c r="Q170" s="49">
        <f>'Annual Raw'!R85</f>
        <v>1.08</v>
      </c>
      <c r="R170" s="49">
        <f>'Annual Raw'!S85</f>
        <v>1.1973716000000001</v>
      </c>
      <c r="S170" s="49">
        <f>'Annual Raw'!T85</f>
        <v>1.7104299999999999</v>
      </c>
      <c r="T170" s="49">
        <f>'Annual Raw'!U85</f>
        <v>2.528</v>
      </c>
      <c r="U170" s="49">
        <f>'Annual Raw'!V85</f>
        <v>4.3029999999999999</v>
      </c>
      <c r="V170" s="49">
        <f>'Annual Raw'!W85</f>
        <v>5.8049999999999997</v>
      </c>
      <c r="W170" s="49">
        <f>'Annual Raw'!X85</f>
        <v>3.2290000000000001</v>
      </c>
      <c r="X170" s="49">
        <f>'Annual Raw'!Y85</f>
        <v>3.2290000000000001</v>
      </c>
      <c r="Y170" s="49">
        <f>'Annual Raw'!Z85</f>
        <v>3.2290000000000001</v>
      </c>
      <c r="Z170" s="49">
        <f>'Annual Raw'!AA85</f>
        <v>21.058</v>
      </c>
      <c r="AA170" s="49">
        <f>'Annual Raw'!AB85</f>
        <v>3.3769999999999998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0.62709409999999999</v>
      </c>
      <c r="Q171" s="29">
        <f>'Annual Raw'!R95</f>
        <v>1.08</v>
      </c>
      <c r="R171" s="29">
        <f>'Annual Raw'!S95</f>
        <v>1.1973716000000001</v>
      </c>
      <c r="S171" s="29">
        <f>'Annual Raw'!T95</f>
        <v>1.22743</v>
      </c>
      <c r="T171" s="29">
        <f>'Annual Raw'!U95</f>
        <v>1.0129999999999999</v>
      </c>
      <c r="U171" s="29">
        <f>'Annual Raw'!V95</f>
        <v>1.0740000000000001</v>
      </c>
      <c r="V171" s="29">
        <f>'Annual Raw'!W95</f>
        <v>2.5760000000000001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1.5149999999999999</v>
      </c>
      <c r="U172" s="29">
        <f>'Annual Raw'!V93</f>
        <v>3.2290000000000001</v>
      </c>
      <c r="V172" s="29">
        <f>'Annual Raw'!W93</f>
        <v>3.2290000000000001</v>
      </c>
      <c r="W172" s="29">
        <f>'Annual Raw'!X93</f>
        <v>3.2290000000000001</v>
      </c>
      <c r="X172" s="29">
        <f>'Annual Raw'!Y93</f>
        <v>3.2290000000000001</v>
      </c>
      <c r="Y172" s="29">
        <f>'Annual Raw'!Z93</f>
        <v>3.2290000000000001</v>
      </c>
      <c r="Z172" s="29">
        <f>'Annual Raw'!AA93</f>
        <v>3.3079999999999998</v>
      </c>
      <c r="AA172" s="29">
        <f>'Annual Raw'!AB93</f>
        <v>3.3769999999999998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0.48299999999999987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17.75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 t="e">
        <f t="shared" si="1392"/>
        <v>#DIV/0!</v>
      </c>
      <c r="J175" s="95">
        <f t="shared" si="1392"/>
        <v>0</v>
      </c>
      <c r="K175" s="95">
        <f t="shared" si="1392"/>
        <v>0</v>
      </c>
      <c r="L175" s="95">
        <f t="shared" si="1392"/>
        <v>0</v>
      </c>
      <c r="M175" s="95">
        <f t="shared" si="1392"/>
        <v>0</v>
      </c>
      <c r="N175" s="95">
        <f t="shared" si="1392"/>
        <v>0</v>
      </c>
      <c r="O175" s="95">
        <f t="shared" si="1392"/>
        <v>0</v>
      </c>
      <c r="P175" s="95">
        <f t="shared" si="1392"/>
        <v>1.2388529717692463E-2</v>
      </c>
      <c r="Q175" s="95">
        <f t="shared" si="1392"/>
        <v>1.983280602952121E-2</v>
      </c>
      <c r="R175" s="95">
        <f t="shared" si="1392"/>
        <v>1.8973396803275387E-2</v>
      </c>
      <c r="S175" s="95">
        <f t="shared" si="1392"/>
        <v>2.5783288567612396E-2</v>
      </c>
      <c r="T175" s="95">
        <f t="shared" si="1392"/>
        <v>3.342014462673347E-2</v>
      </c>
      <c r="U175" s="95">
        <f t="shared" si="1392"/>
        <v>4.6700672889081828E-2</v>
      </c>
      <c r="V175" s="95">
        <f t="shared" si="1392"/>
        <v>5.4071424579444471E-2</v>
      </c>
      <c r="W175" s="95">
        <f t="shared" si="1392"/>
        <v>2.1131369187073808E-2</v>
      </c>
      <c r="X175" s="95">
        <f t="shared" ref="X175:Y175" si="1393">X170/X120</f>
        <v>8.2457430617268821E-3</v>
      </c>
      <c r="Y175" s="95">
        <f t="shared" si="1393"/>
        <v>4.920058571400274E-3</v>
      </c>
      <c r="Z175" s="95">
        <f t="shared" ref="Z175:AA175" si="1394">Z170/Z120</f>
        <v>2.8253408575576323E-2</v>
      </c>
      <c r="AA175" s="95">
        <f t="shared" si="1394"/>
        <v>3.7063743712498608E-3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 t="e">
        <f t="shared" si="1397"/>
        <v>#DIV/0!</v>
      </c>
      <c r="J179" s="67">
        <f t="shared" si="1397"/>
        <v>0.51850574013400885</v>
      </c>
      <c r="K179" s="67">
        <f t="shared" si="1397"/>
        <v>0.67423721138913772</v>
      </c>
      <c r="L179" s="67">
        <f t="shared" si="1397"/>
        <v>0.77495488529471956</v>
      </c>
      <c r="M179" s="67">
        <f t="shared" si="1397"/>
        <v>0.66177094813468362</v>
      </c>
      <c r="N179" s="67">
        <f t="shared" si="1397"/>
        <v>4.0188777370199809</v>
      </c>
      <c r="O179" s="67">
        <f t="shared" si="1397"/>
        <v>3.6089379067497083</v>
      </c>
      <c r="P179" s="67">
        <f t="shared" si="1397"/>
        <v>5.8765602908780767</v>
      </c>
      <c r="Q179" s="67">
        <f t="shared" si="1397"/>
        <v>7.1017489507409479</v>
      </c>
      <c r="R179" s="67">
        <f t="shared" si="1397"/>
        <v>2.5490655769598369</v>
      </c>
      <c r="S179" s="67">
        <f t="shared" si="1397"/>
        <v>1.616346143604513</v>
      </c>
      <c r="T179" s="67">
        <f t="shared" si="1397"/>
        <v>1.0060639470782802</v>
      </c>
      <c r="U179" s="67">
        <f t="shared" si="1397"/>
        <v>4.5887505367110348</v>
      </c>
      <c r="V179" s="67">
        <f t="shared" si="1397"/>
        <v>1.9804244906643973</v>
      </c>
      <c r="W179" s="67">
        <f t="shared" si="1397"/>
        <v>4.2727924790705059</v>
      </c>
      <c r="X179" s="67">
        <f t="shared" si="1397"/>
        <v>1.5171834360440106</v>
      </c>
      <c r="Y179" s="67">
        <f t="shared" si="1397"/>
        <v>2.8721131864096976</v>
      </c>
      <c r="Z179" s="67">
        <f t="shared" si="1397"/>
        <v>0.98315315228587663</v>
      </c>
      <c r="AA179" s="67">
        <f t="shared" ref="AA179" si="1398">AA144/AA8*365</f>
        <v>2.0289917044385528</v>
      </c>
      <c r="AB179" s="18">
        <f t="shared" si="1397"/>
        <v>2.023516116248727</v>
      </c>
      <c r="AC179" s="18">
        <f t="shared" si="1397"/>
        <v>2.0233368812040249</v>
      </c>
      <c r="AD179" s="18">
        <f t="shared" si="1397"/>
        <v>2.0233912512253251</v>
      </c>
      <c r="AE179" s="18">
        <f t="shared" si="1397"/>
        <v>2.023405235101333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 t="e">
        <f>AZ144/AZ8*90</f>
        <v>#DIV/0!</v>
      </c>
      <c r="BA179" s="67" t="e">
        <f t="shared" ref="BA179:BA180" si="1407">+AZ179</f>
        <v>#DIV/0!</v>
      </c>
      <c r="BB179" s="67" t="e">
        <f>BB144/BB8*90</f>
        <v>#DIV/0!</v>
      </c>
      <c r="BC179" s="67" t="e">
        <f t="shared" ref="BC179:BC180" si="1408">+BB179</f>
        <v>#DIV/0!</v>
      </c>
      <c r="BD179" s="67" t="e">
        <f>BD144/BD8*90</f>
        <v>#DIV/0!</v>
      </c>
      <c r="BE179" s="67" t="e">
        <f t="shared" ref="BE179:BE180" si="1409">+BD179</f>
        <v>#DIV/0!</v>
      </c>
      <c r="BF179" s="67" t="e">
        <f>BF144/BF8*90</f>
        <v>#DIV/0!</v>
      </c>
      <c r="BG179" s="67" t="e">
        <f t="shared" ref="BG179:BG180" si="1410">+BF179</f>
        <v>#DIV/0!</v>
      </c>
      <c r="BH179" s="67" t="e">
        <f>BH144/BH8*90</f>
        <v>#DIV/0!</v>
      </c>
      <c r="BI179" s="67" t="e">
        <f t="shared" ref="BI179:BI180" si="1411">+BH179</f>
        <v>#DIV/0!</v>
      </c>
      <c r="BJ179" s="67" t="e">
        <f>BJ144/BJ8*90</f>
        <v>#DIV/0!</v>
      </c>
      <c r="BK179" s="67" t="e">
        <f t="shared" ref="BK179:BK180" si="1412">+BJ179</f>
        <v>#DIV/0!</v>
      </c>
      <c r="BL179" s="67" t="e">
        <f>BL144/BL8*90</f>
        <v>#DIV/0!</v>
      </c>
      <c r="BM179" s="67" t="e">
        <f t="shared" ref="BM179:BM180" si="1413">+BL179</f>
        <v>#DIV/0!</v>
      </c>
      <c r="BN179" s="67" t="e">
        <f>BN144/BN8*90</f>
        <v>#DIV/0!</v>
      </c>
      <c r="BO179" s="67" t="e">
        <f t="shared" ref="BO179:BO180" si="1414">+BN179</f>
        <v>#DIV/0!</v>
      </c>
      <c r="BP179" s="67" t="e">
        <f>BP144/BP8*90</f>
        <v>#DIV/0!</v>
      </c>
      <c r="BQ179" s="67" t="e">
        <f t="shared" ref="BQ179:BQ180" si="1415">+BP179</f>
        <v>#DIV/0!</v>
      </c>
      <c r="BR179" s="67">
        <f>BR144/BR8*90</f>
        <v>1.6476923076923076</v>
      </c>
      <c r="BS179" s="67">
        <f t="shared" ref="BS179:BS180" si="1416">+BR179</f>
        <v>1.6476923076923076</v>
      </c>
      <c r="BT179" s="67">
        <f>BT144/BT8*90</f>
        <v>0</v>
      </c>
      <c r="BU179" s="67">
        <f t="shared" ref="BU179:BU180" si="1417">+BT179</f>
        <v>0</v>
      </c>
      <c r="BV179" s="67">
        <f>BV144/BV8*90</f>
        <v>4.2389795783490847</v>
      </c>
      <c r="BW179" s="67">
        <f t="shared" ref="BW179:BW180" si="1418">+BV179</f>
        <v>4.2389795783490847</v>
      </c>
      <c r="BX179" s="67">
        <f>BX144/BX8*90</f>
        <v>2.5835627211954386</v>
      </c>
      <c r="BY179" s="67">
        <f t="shared" ref="BY179:BY180" si="1419">+BX179</f>
        <v>2.5835627211954386</v>
      </c>
      <c r="BZ179" s="67">
        <f>BZ144/BZ8*90</f>
        <v>1.2115452213875617</v>
      </c>
      <c r="CA179" s="67">
        <f t="shared" ref="CA179:CA180" si="1420">+BZ179</f>
        <v>1.2115452213875617</v>
      </c>
      <c r="CB179" s="67">
        <f>CB144/CB8*90</f>
        <v>2.6168224299065419</v>
      </c>
      <c r="CC179" s="67">
        <f t="shared" ref="CC179:CC180" si="1421">+CB179</f>
        <v>2.6168224299065419</v>
      </c>
      <c r="CD179" s="67">
        <f>CD144/CD8*90</f>
        <v>2.650563736307828</v>
      </c>
      <c r="CE179" s="67">
        <f t="shared" si="1399"/>
        <v>2.650563736307828</v>
      </c>
      <c r="CF179" s="67">
        <f>CF144/CF8*90</f>
        <v>1.0178025152957173</v>
      </c>
      <c r="CG179" s="67">
        <f t="shared" ref="CG179:CI180" si="1422">+CF179</f>
        <v>1.0178025152957173</v>
      </c>
      <c r="CH179" s="67">
        <f>CH144/CH8*90</f>
        <v>0.8572479013051737</v>
      </c>
      <c r="CI179" s="67">
        <f t="shared" si="1422"/>
        <v>0.8572479013051737</v>
      </c>
      <c r="CJ179" s="67">
        <f>CJ144/CJ8*90</f>
        <v>2.2594360086767895</v>
      </c>
      <c r="CK179" s="30">
        <f t="shared" ref="CK179:CK180" si="1423">+CJ179</f>
        <v>2.2594360086767895</v>
      </c>
      <c r="CL179" s="67">
        <f>CL144/CL8*90</f>
        <v>1.8149289540631657</v>
      </c>
      <c r="CM179" s="30">
        <f t="shared" ref="CM179:CM180" si="1424">+CL179</f>
        <v>1.8149289540631657</v>
      </c>
      <c r="CN179" s="30">
        <f t="shared" ref="CN179:CN180" si="1425">+CM179</f>
        <v>1.8149289540631657</v>
      </c>
      <c r="CO179" s="30">
        <f t="shared" ref="CO179:CO180" si="1426">+CN179</f>
        <v>1.8149289540631657</v>
      </c>
      <c r="CP179" s="30">
        <f t="shared" ref="CP179:CP180" si="1427">+CO179</f>
        <v>1.8149289540631657</v>
      </c>
      <c r="CQ179" s="30">
        <f t="shared" ref="CQ179:CQ180" si="1428">+CP179</f>
        <v>1.8149289540631657</v>
      </c>
      <c r="CR179" s="30">
        <f t="shared" ref="CR179:CR180" si="1429">+CQ179</f>
        <v>1.8149289540631657</v>
      </c>
      <c r="CS179" s="30">
        <f t="shared" ref="CS179:CS180" si="1430">+CR179</f>
        <v>1.8149289540631657</v>
      </c>
      <c r="CT179" s="30">
        <f t="shared" ref="CT179:CT180" si="1431">+CS179</f>
        <v>1.8149289540631657</v>
      </c>
      <c r="CU179" s="30">
        <f t="shared" ref="CU179:CU180" si="1432">+CT179</f>
        <v>1.8149289540631657</v>
      </c>
      <c r="CV179" s="30">
        <f t="shared" ref="CV179:CV180" si="1433">+CU179</f>
        <v>1.8149289540631657</v>
      </c>
      <c r="CW179" s="30">
        <f t="shared" ref="CW179:CW180" si="1434">+CV179</f>
        <v>1.8149289540631657</v>
      </c>
      <c r="CX179" s="30">
        <f t="shared" ref="CX179:CX180" si="1435">+CW179</f>
        <v>1.8149289540631657</v>
      </c>
      <c r="CY179" s="30">
        <f t="shared" ref="CY179:CY180" si="1436">+CX179</f>
        <v>1.8149289540631657</v>
      </c>
      <c r="CZ179" s="30">
        <f t="shared" ref="CZ179:CZ180" si="1437">+CY179</f>
        <v>1.8149289540631657</v>
      </c>
      <c r="DA179" s="30">
        <f t="shared" ref="DA179:DA180" si="1438">+CZ179</f>
        <v>1.8149289540631657</v>
      </c>
      <c r="DB179" s="30">
        <f t="shared" ref="DB179:DB180" si="1439">+DA179</f>
        <v>1.8149289540631657</v>
      </c>
      <c r="DE179" s="139"/>
      <c r="DF179" s="62">
        <v>2.0289917044385533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 t="e">
        <f t="shared" si="1440"/>
        <v>#DIV/0!</v>
      </c>
      <c r="J180" s="67">
        <f t="shared" si="1440"/>
        <v>353.69073480509775</v>
      </c>
      <c r="K180" s="67">
        <f t="shared" si="1440"/>
        <v>67.966053758278633</v>
      </c>
      <c r="L180" s="67">
        <f t="shared" si="1440"/>
        <v>400.50279468093908</v>
      </c>
      <c r="M180" s="67">
        <f t="shared" si="1440"/>
        <v>5.0418776686419946</v>
      </c>
      <c r="N180" s="67">
        <f t="shared" si="1440"/>
        <v>11.490875514161857</v>
      </c>
      <c r="O180" s="67">
        <f t="shared" si="1440"/>
        <v>36.47115280778312</v>
      </c>
      <c r="P180" s="67">
        <f t="shared" si="1440"/>
        <v>26.568011078345272</v>
      </c>
      <c r="Q180" s="67">
        <f t="shared" si="1440"/>
        <v>22.880666758145676</v>
      </c>
      <c r="R180" s="67">
        <f t="shared" si="1440"/>
        <v>14.053085251055089</v>
      </c>
      <c r="S180" s="67">
        <f t="shared" si="1440"/>
        <v>26.162761501476044</v>
      </c>
      <c r="T180" s="67">
        <f t="shared" si="1440"/>
        <v>76.662072767364933</v>
      </c>
      <c r="U180" s="67">
        <f t="shared" si="1440"/>
        <v>73.34164877629884</v>
      </c>
      <c r="V180" s="67">
        <f t="shared" si="1440"/>
        <v>41.35592318740359</v>
      </c>
      <c r="W180" s="67">
        <f t="shared" si="1440"/>
        <v>88.379654724946207</v>
      </c>
      <c r="X180" s="67">
        <f t="shared" si="1440"/>
        <v>98.637465478358394</v>
      </c>
      <c r="Y180" s="67">
        <f t="shared" si="1440"/>
        <v>101.04047234260382</v>
      </c>
      <c r="Z180" s="67">
        <f t="shared" si="1440"/>
        <v>102.22754796538216</v>
      </c>
      <c r="AA180" s="67">
        <f t="shared" ref="AA180" si="1441">AA145/AA8*365</f>
        <v>98.438873685110735</v>
      </c>
      <c r="AB180" s="18">
        <f t="shared" si="1440"/>
        <v>98.17321920609497</v>
      </c>
      <c r="AC180" s="18">
        <f t="shared" si="1440"/>
        <v>98.164523411091579</v>
      </c>
      <c r="AD180" s="18">
        <f t="shared" si="1440"/>
        <v>98.167161235409608</v>
      </c>
      <c r="AE180" s="18">
        <f t="shared" si="1440"/>
        <v>98.167839679289358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 t="e">
        <f>AZ145/AZ8*90</f>
        <v>#DIV/0!</v>
      </c>
      <c r="BA180" s="67" t="e">
        <f t="shared" si="1407"/>
        <v>#DIV/0!</v>
      </c>
      <c r="BB180" s="67" t="e">
        <f>BB145/BB8*90</f>
        <v>#DIV/0!</v>
      </c>
      <c r="BC180" s="67" t="e">
        <f t="shared" si="1408"/>
        <v>#DIV/0!</v>
      </c>
      <c r="BD180" s="67" t="e">
        <f>BD145/BD8*90</f>
        <v>#DIV/0!</v>
      </c>
      <c r="BE180" s="67" t="e">
        <f t="shared" si="1409"/>
        <v>#DIV/0!</v>
      </c>
      <c r="BF180" s="67" t="e">
        <f>BF145/BF8*90</f>
        <v>#DIV/0!</v>
      </c>
      <c r="BG180" s="67" t="e">
        <f t="shared" si="1410"/>
        <v>#DIV/0!</v>
      </c>
      <c r="BH180" s="67" t="e">
        <f>BH145/BH8*90</f>
        <v>#DIV/0!</v>
      </c>
      <c r="BI180" s="67" t="e">
        <f t="shared" si="1411"/>
        <v>#DIV/0!</v>
      </c>
      <c r="BJ180" s="67" t="e">
        <f>BJ145/BJ8*90</f>
        <v>#DIV/0!</v>
      </c>
      <c r="BK180" s="67" t="e">
        <f t="shared" si="1412"/>
        <v>#DIV/0!</v>
      </c>
      <c r="BL180" s="67" t="e">
        <f>BL145/BL8*90</f>
        <v>#DIV/0!</v>
      </c>
      <c r="BM180" s="67" t="e">
        <f t="shared" si="1413"/>
        <v>#DIV/0!</v>
      </c>
      <c r="BN180" s="67" t="e">
        <f>BN145/BN8*90</f>
        <v>#DIV/0!</v>
      </c>
      <c r="BO180" s="67" t="e">
        <f t="shared" si="1414"/>
        <v>#DIV/0!</v>
      </c>
      <c r="BP180" s="67" t="e">
        <f>BP145/BP8*90</f>
        <v>#DIV/0!</v>
      </c>
      <c r="BQ180" s="67" t="e">
        <f t="shared" si="1415"/>
        <v>#DIV/0!</v>
      </c>
      <c r="BR180" s="67">
        <f>BR145/BR8*90</f>
        <v>34.407692307692308</v>
      </c>
      <c r="BS180" s="67">
        <f t="shared" si="1416"/>
        <v>34.407692307692308</v>
      </c>
      <c r="BT180" s="67">
        <f>BT145/BT8*90</f>
        <v>0</v>
      </c>
      <c r="BU180" s="67">
        <f t="shared" si="1417"/>
        <v>0</v>
      </c>
      <c r="BV180" s="67">
        <f>BV145/BV8*90</f>
        <v>87.68025907078183</v>
      </c>
      <c r="BW180" s="67">
        <f t="shared" si="1418"/>
        <v>87.68025907078183</v>
      </c>
      <c r="BX180" s="67">
        <f>BX145/BX8*90</f>
        <v>94.543931337516455</v>
      </c>
      <c r="BY180" s="67">
        <f t="shared" si="1419"/>
        <v>94.543931337516455</v>
      </c>
      <c r="BZ180" s="67">
        <f>BZ145/BZ8*90</f>
        <v>78.766843290674501</v>
      </c>
      <c r="CA180" s="67">
        <f t="shared" si="1420"/>
        <v>78.766843290674501</v>
      </c>
      <c r="CB180" s="67">
        <f>CB145/CB8*90</f>
        <v>97.282242990654197</v>
      </c>
      <c r="CC180" s="67">
        <f t="shared" si="1421"/>
        <v>97.282242990654197</v>
      </c>
      <c r="CD180" s="67">
        <f>CD145/CD8*90</f>
        <v>93.246398908638611</v>
      </c>
      <c r="CE180" s="114">
        <f t="shared" ref="CE180" si="1442">+CD180</f>
        <v>93.246398908638611</v>
      </c>
      <c r="CF180" s="67">
        <f>CF145/CF8*90</f>
        <v>75.70296566961251</v>
      </c>
      <c r="CG180" s="67">
        <f t="shared" si="1422"/>
        <v>75.70296566961251</v>
      </c>
      <c r="CH180" s="67">
        <f>CH145/CH8*90</f>
        <v>89.136011764946176</v>
      </c>
      <c r="CI180" s="67">
        <f t="shared" si="1422"/>
        <v>89.136011764946176</v>
      </c>
      <c r="CJ180" s="67">
        <f>CJ145/CJ8*90</f>
        <v>89.73969631236443</v>
      </c>
      <c r="CK180" s="30">
        <f t="shared" si="1423"/>
        <v>89.73969631236443</v>
      </c>
      <c r="CL180" s="67">
        <f>CL145/CL8*90</f>
        <v>88.053372355167639</v>
      </c>
      <c r="CM180" s="30">
        <f t="shared" si="1424"/>
        <v>88.053372355167639</v>
      </c>
      <c r="CN180" s="30">
        <f t="shared" si="1425"/>
        <v>88.053372355167639</v>
      </c>
      <c r="CO180" s="30">
        <f t="shared" si="1426"/>
        <v>88.053372355167639</v>
      </c>
      <c r="CP180" s="30">
        <f t="shared" si="1427"/>
        <v>88.053372355167639</v>
      </c>
      <c r="CQ180" s="30">
        <f t="shared" si="1428"/>
        <v>88.053372355167639</v>
      </c>
      <c r="CR180" s="30">
        <f t="shared" si="1429"/>
        <v>88.053372355167639</v>
      </c>
      <c r="CS180" s="30">
        <f t="shared" si="1430"/>
        <v>88.053372355167639</v>
      </c>
      <c r="CT180" s="30">
        <f t="shared" si="1431"/>
        <v>88.053372355167639</v>
      </c>
      <c r="CU180" s="30">
        <f t="shared" si="1432"/>
        <v>88.053372355167639</v>
      </c>
      <c r="CV180" s="30">
        <f t="shared" si="1433"/>
        <v>88.053372355167639</v>
      </c>
      <c r="CW180" s="30">
        <f t="shared" si="1434"/>
        <v>88.053372355167639</v>
      </c>
      <c r="CX180" s="30">
        <f t="shared" si="1435"/>
        <v>88.053372355167639</v>
      </c>
      <c r="CY180" s="30">
        <f t="shared" si="1436"/>
        <v>88.053372355167639</v>
      </c>
      <c r="CZ180" s="30">
        <f t="shared" si="1437"/>
        <v>88.053372355167639</v>
      </c>
      <c r="DA180" s="30">
        <f t="shared" si="1438"/>
        <v>88.053372355167639</v>
      </c>
      <c r="DB180" s="30">
        <f t="shared" si="1439"/>
        <v>88.053372355167639</v>
      </c>
      <c r="DE180" s="139"/>
      <c r="DF180" s="62">
        <v>98.438873685110764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 t="e">
        <f t="shared" si="1443"/>
        <v>#DIV/0!</v>
      </c>
      <c r="J181" s="67">
        <f t="shared" si="1443"/>
        <v>267.98164310595325</v>
      </c>
      <c r="K181" s="67">
        <f t="shared" si="1443"/>
        <v>856.36805606397627</v>
      </c>
      <c r="L181" s="67">
        <f t="shared" si="1443"/>
        <v>780.15294689460768</v>
      </c>
      <c r="M181" s="67">
        <f t="shared" si="1443"/>
        <v>809.9324010161838</v>
      </c>
      <c r="N181" s="67">
        <f t="shared" si="1443"/>
        <v>428.43821405625926</v>
      </c>
      <c r="O181" s="67">
        <f t="shared" si="1443"/>
        <v>219.78312997146409</v>
      </c>
      <c r="P181" s="67">
        <f t="shared" si="1443"/>
        <v>68.282137738735457</v>
      </c>
      <c r="Q181" s="67">
        <f t="shared" si="1443"/>
        <v>40.472976586412692</v>
      </c>
      <c r="R181" s="67">
        <f t="shared" si="1443"/>
        <v>40.958963105236933</v>
      </c>
      <c r="S181" s="67">
        <f t="shared" si="1443"/>
        <v>58.259211384819316</v>
      </c>
      <c r="T181" s="67">
        <f t="shared" si="1443"/>
        <v>43.300273665144125</v>
      </c>
      <c r="U181" s="67">
        <f t="shared" si="1443"/>
        <v>67.590038643194532</v>
      </c>
      <c r="V181" s="67">
        <f>V182-V180-V179</f>
        <v>71.062290547369543</v>
      </c>
      <c r="W181" s="67">
        <f t="shared" ref="W181" si="1444">W182-W180-W179</f>
        <v>78.223278963189273</v>
      </c>
      <c r="X181" s="67">
        <f t="shared" ref="X181:Y181" si="1445">X182-X180-X179</f>
        <v>92.571666324967765</v>
      </c>
      <c r="Y181" s="67">
        <f t="shared" si="1445"/>
        <v>89.077573106703198</v>
      </c>
      <c r="Z181" s="67">
        <f t="shared" ref="Z181:AA181" si="1446">Z182-Z180-Z179</f>
        <v>67.716693782069143</v>
      </c>
      <c r="AA181" s="67">
        <f t="shared" si="1446"/>
        <v>79.620756007867939</v>
      </c>
      <c r="AB181" s="18">
        <f t="shared" ref="AA181:AD181" si="1447">AB182-AB180-AB179</f>
        <v>81.919715140041745</v>
      </c>
      <c r="AC181" s="18">
        <f t="shared" si="1447"/>
        <v>81.912459016066649</v>
      </c>
      <c r="AD181" s="18">
        <f t="shared" si="1447"/>
        <v>81.914660123644367</v>
      </c>
      <c r="AE181" s="18">
        <f t="shared" ref="AE181" si="1448">AE182-AE180-AE179</f>
        <v>81.915226244729325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 t="e">
        <f t="shared" ref="AZ181:BC181" si="1452">AZ182-AZ180-AZ179</f>
        <v>#DIV/0!</v>
      </c>
      <c r="BA181" s="67" t="e">
        <f t="shared" si="1452"/>
        <v>#DIV/0!</v>
      </c>
      <c r="BB181" s="67" t="e">
        <f t="shared" si="1452"/>
        <v>#DIV/0!</v>
      </c>
      <c r="BC181" s="67" t="e">
        <f t="shared" si="1452"/>
        <v>#DIV/0!</v>
      </c>
      <c r="BD181" s="67" t="e">
        <f t="shared" ref="BD181:CE181" si="1453">BD182-BD180-BD179</f>
        <v>#DIV/0!</v>
      </c>
      <c r="BE181" s="67" t="e">
        <f t="shared" si="1453"/>
        <v>#DIV/0!</v>
      </c>
      <c r="BF181" s="67" t="e">
        <f t="shared" si="1453"/>
        <v>#DIV/0!</v>
      </c>
      <c r="BG181" s="67" t="e">
        <f t="shared" si="1453"/>
        <v>#DIV/0!</v>
      </c>
      <c r="BH181" s="67" t="e">
        <f t="shared" si="1453"/>
        <v>#DIV/0!</v>
      </c>
      <c r="BI181" s="67" t="e">
        <f t="shared" si="1453"/>
        <v>#DIV/0!</v>
      </c>
      <c r="BJ181" s="67" t="e">
        <f t="shared" si="1453"/>
        <v>#DIV/0!</v>
      </c>
      <c r="BK181" s="67" t="e">
        <f t="shared" si="1453"/>
        <v>#DIV/0!</v>
      </c>
      <c r="BL181" s="67" t="e">
        <f t="shared" si="1453"/>
        <v>#DIV/0!</v>
      </c>
      <c r="BM181" s="67" t="e">
        <f t="shared" si="1453"/>
        <v>#DIV/0!</v>
      </c>
      <c r="BN181" s="67" t="e">
        <f t="shared" si="1453"/>
        <v>#DIV/0!</v>
      </c>
      <c r="BO181" s="67" t="e">
        <f t="shared" si="1453"/>
        <v>#DIV/0!</v>
      </c>
      <c r="BP181" s="67" t="e">
        <f t="shared" si="1453"/>
        <v>#DIV/0!</v>
      </c>
      <c r="BQ181" s="67" t="e">
        <f t="shared" si="1453"/>
        <v>#DIV/0!</v>
      </c>
      <c r="BR181" s="67">
        <f t="shared" si="1453"/>
        <v>89.997692307692276</v>
      </c>
      <c r="BS181" s="67">
        <f t="shared" si="1453"/>
        <v>81.785581135240975</v>
      </c>
      <c r="BT181" s="67">
        <f t="shared" si="1453"/>
        <v>0</v>
      </c>
      <c r="BU181" s="67">
        <f t="shared" si="1453"/>
        <v>0</v>
      </c>
      <c r="BV181" s="67">
        <f t="shared" si="1453"/>
        <v>98.353050029740231</v>
      </c>
      <c r="BW181" s="67">
        <f t="shared" si="1453"/>
        <v>85.501378887697271</v>
      </c>
      <c r="BX181" s="67">
        <f t="shared" si="1453"/>
        <v>97.692215630289482</v>
      </c>
      <c r="BY181" s="67">
        <f t="shared" si="1453"/>
        <v>93.300676006662158</v>
      </c>
      <c r="BZ181" s="67">
        <f t="shared" si="1453"/>
        <v>83.856739269115096</v>
      </c>
      <c r="CA181" s="67">
        <f t="shared" si="1453"/>
        <v>80.767407741789881</v>
      </c>
      <c r="CB181" s="67">
        <f t="shared" si="1453"/>
        <v>71.638317757009347</v>
      </c>
      <c r="CC181" s="67">
        <f t="shared" si="1453"/>
        <v>70.845262790363293</v>
      </c>
      <c r="CD181" s="67">
        <f t="shared" si="1453"/>
        <v>82.37421257473018</v>
      </c>
      <c r="CE181" s="114">
        <f t="shared" si="1453"/>
        <v>88.834620626987729</v>
      </c>
      <c r="CF181" s="67">
        <f t="shared" ref="CF181:CG181" si="1454">CF182-CF180-CF179</f>
        <v>65.718686267844987</v>
      </c>
      <c r="CG181" s="67">
        <f t="shared" si="1454"/>
        <v>66.838530788620801</v>
      </c>
      <c r="CH181" s="67">
        <f t="shared" ref="CH181" si="1455">CH182-CH180-CH179</f>
        <v>59.044710880532691</v>
      </c>
      <c r="CI181" s="67">
        <f>CH181</f>
        <v>59.044710880532691</v>
      </c>
      <c r="CJ181" s="67">
        <f t="shared" ref="CJ181:CL181" si="1456">CJ182-CJ180-CJ179</f>
        <v>64.793232104121486</v>
      </c>
      <c r="CK181" s="30">
        <f t="shared" ref="CK181:DB181" si="1457">CJ181</f>
        <v>64.793232104121486</v>
      </c>
      <c r="CL181" s="67">
        <f t="shared" si="1456"/>
        <v>73.475304556454134</v>
      </c>
      <c r="CM181" s="30">
        <f t="shared" si="1457"/>
        <v>73.475304556454134</v>
      </c>
      <c r="CN181" s="30">
        <f t="shared" si="1457"/>
        <v>73.475304556454134</v>
      </c>
      <c r="CO181" s="30">
        <f t="shared" si="1457"/>
        <v>73.475304556454134</v>
      </c>
      <c r="CP181" s="30">
        <f t="shared" si="1457"/>
        <v>73.475304556454134</v>
      </c>
      <c r="CQ181" s="30">
        <f t="shared" si="1457"/>
        <v>73.475304556454134</v>
      </c>
      <c r="CR181" s="30">
        <f t="shared" si="1457"/>
        <v>73.475304556454134</v>
      </c>
      <c r="CS181" s="30">
        <f t="shared" si="1457"/>
        <v>73.475304556454134</v>
      </c>
      <c r="CT181" s="30">
        <f t="shared" si="1457"/>
        <v>73.475304556454134</v>
      </c>
      <c r="CU181" s="30">
        <f t="shared" si="1457"/>
        <v>73.475304556454134</v>
      </c>
      <c r="CV181" s="30">
        <f t="shared" si="1457"/>
        <v>73.475304556454134</v>
      </c>
      <c r="CW181" s="30">
        <f t="shared" si="1457"/>
        <v>73.475304556454134</v>
      </c>
      <c r="CX181" s="30">
        <f t="shared" si="1457"/>
        <v>73.475304556454134</v>
      </c>
      <c r="CY181" s="30">
        <f t="shared" si="1457"/>
        <v>73.475304556454134</v>
      </c>
      <c r="CZ181" s="30">
        <f t="shared" si="1457"/>
        <v>73.475304556454134</v>
      </c>
      <c r="DA181" s="30">
        <f t="shared" si="1457"/>
        <v>73.475304556454134</v>
      </c>
      <c r="DB181" s="30">
        <f t="shared" si="1457"/>
        <v>73.475304556454134</v>
      </c>
      <c r="DE181" s="139"/>
      <c r="DF181" s="62">
        <v>82.141388009920476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 t="e">
        <f t="shared" si="1458"/>
        <v>#DIV/0!</v>
      </c>
      <c r="J182" s="70">
        <f t="shared" si="1458"/>
        <v>622.190883651185</v>
      </c>
      <c r="K182" s="70">
        <f t="shared" si="1458"/>
        <v>925.0083470336441</v>
      </c>
      <c r="L182" s="70">
        <f t="shared" si="1458"/>
        <v>1181.4306964608415</v>
      </c>
      <c r="M182" s="70">
        <f t="shared" si="1458"/>
        <v>815.63604963296041</v>
      </c>
      <c r="N182" s="70">
        <f t="shared" si="1458"/>
        <v>443.9479673074411</v>
      </c>
      <c r="O182" s="70">
        <f t="shared" si="1458"/>
        <v>259.86322068599691</v>
      </c>
      <c r="P182" s="70">
        <f t="shared" si="1458"/>
        <v>100.72670910795881</v>
      </c>
      <c r="Q182" s="70">
        <f t="shared" si="1458"/>
        <v>70.455392295299319</v>
      </c>
      <c r="R182" s="70">
        <f t="shared" si="1458"/>
        <v>57.561113933251853</v>
      </c>
      <c r="S182" s="70">
        <f t="shared" si="1458"/>
        <v>86.038319029899867</v>
      </c>
      <c r="T182" s="70">
        <f t="shared" si="1458"/>
        <v>120.96841037958734</v>
      </c>
      <c r="U182" s="70">
        <f t="shared" si="1458"/>
        <v>145.5204379562044</v>
      </c>
      <c r="V182" s="70">
        <f t="shared" si="1458"/>
        <v>114.39863822543754</v>
      </c>
      <c r="W182" s="70">
        <f t="shared" si="1458"/>
        <v>170.87572616720598</v>
      </c>
      <c r="X182" s="70">
        <f t="shared" si="1458"/>
        <v>192.72631523937017</v>
      </c>
      <c r="Y182" s="70">
        <f t="shared" si="1458"/>
        <v>192.99015863571671</v>
      </c>
      <c r="Z182" s="70">
        <f t="shared" si="1458"/>
        <v>170.92739489973718</v>
      </c>
      <c r="AA182" s="70">
        <f t="shared" ref="AA182" si="1459">AA148/AA8*365</f>
        <v>180.08862139741723</v>
      </c>
      <c r="AB182" s="71">
        <f t="shared" si="1458"/>
        <v>182.11645046238544</v>
      </c>
      <c r="AC182" s="71">
        <f t="shared" si="1458"/>
        <v>182.10031930836226</v>
      </c>
      <c r="AD182" s="71">
        <f t="shared" si="1458"/>
        <v>182.1052126102793</v>
      </c>
      <c r="AE182" s="71">
        <f t="shared" si="1458"/>
        <v>182.10647115912002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 t="e">
        <f t="shared" si="1460"/>
        <v>#DIV/0!</v>
      </c>
      <c r="BA182" s="70" t="e">
        <f t="shared" si="1460"/>
        <v>#DIV/0!</v>
      </c>
      <c r="BB182" s="70" t="e">
        <f t="shared" si="1460"/>
        <v>#DIV/0!</v>
      </c>
      <c r="BC182" s="70" t="e">
        <f t="shared" si="1460"/>
        <v>#DIV/0!</v>
      </c>
      <c r="BD182" s="70" t="e">
        <f t="shared" si="1460"/>
        <v>#DIV/0!</v>
      </c>
      <c r="BE182" s="70" t="e">
        <f t="shared" si="1460"/>
        <v>#DIV/0!</v>
      </c>
      <c r="BF182" s="70" t="e">
        <f t="shared" si="1460"/>
        <v>#DIV/0!</v>
      </c>
      <c r="BG182" s="70" t="e">
        <f t="shared" si="1460"/>
        <v>#DIV/0!</v>
      </c>
      <c r="BH182" s="70" t="e">
        <f t="shared" si="1460"/>
        <v>#DIV/0!</v>
      </c>
      <c r="BI182" s="70" t="e">
        <f t="shared" si="1460"/>
        <v>#DIV/0!</v>
      </c>
      <c r="BJ182" s="70" t="e">
        <f t="shared" si="1460"/>
        <v>#DIV/0!</v>
      </c>
      <c r="BK182" s="70" t="e">
        <f t="shared" si="1460"/>
        <v>#DIV/0!</v>
      </c>
      <c r="BL182" s="70" t="e">
        <f t="shared" si="1460"/>
        <v>#DIV/0!</v>
      </c>
      <c r="BM182" s="70" t="e">
        <f t="shared" si="1460"/>
        <v>#DIV/0!</v>
      </c>
      <c r="BN182" s="70" t="e">
        <f t="shared" si="1460"/>
        <v>#DIV/0!</v>
      </c>
      <c r="BO182" s="70" t="e">
        <f t="shared" si="1460"/>
        <v>#DIV/0!</v>
      </c>
      <c r="BP182" s="70" t="e">
        <f t="shared" si="1460"/>
        <v>#DIV/0!</v>
      </c>
      <c r="BQ182" s="70" t="e">
        <f t="shared" si="1460"/>
        <v>#DIV/0!</v>
      </c>
      <c r="BR182" s="70">
        <f t="shared" si="1460"/>
        <v>126.0530769230769</v>
      </c>
      <c r="BS182" s="70">
        <f t="shared" si="1460"/>
        <v>117.84096575062559</v>
      </c>
      <c r="BT182" s="70">
        <f t="shared" si="1460"/>
        <v>0</v>
      </c>
      <c r="BU182" s="70">
        <f t="shared" si="1460"/>
        <v>0</v>
      </c>
      <c r="BV182" s="70">
        <f t="shared" si="1460"/>
        <v>190.27228867887115</v>
      </c>
      <c r="BW182" s="70">
        <f t="shared" si="1460"/>
        <v>177.42061753682819</v>
      </c>
      <c r="BX182" s="70">
        <f t="shared" si="1460"/>
        <v>194.81970968900137</v>
      </c>
      <c r="BY182" s="70">
        <f t="shared" si="1460"/>
        <v>190.42817006537405</v>
      </c>
      <c r="BZ182" s="70">
        <f t="shared" si="1460"/>
        <v>163.83512778117716</v>
      </c>
      <c r="CA182" s="70">
        <f t="shared" si="1460"/>
        <v>160.74579625385195</v>
      </c>
      <c r="CB182" s="70">
        <f t="shared" si="1460"/>
        <v>171.53738317757009</v>
      </c>
      <c r="CC182" s="70">
        <f t="shared" si="1460"/>
        <v>170.74432821092404</v>
      </c>
      <c r="CD182" s="70">
        <f t="shared" si="1460"/>
        <v>178.27117521967662</v>
      </c>
      <c r="CE182" s="115">
        <f>CE148/CE10*90</f>
        <v>184.73158327193417</v>
      </c>
      <c r="CF182" s="70">
        <f>CF148/CF8*90</f>
        <v>142.43945445275321</v>
      </c>
      <c r="CG182" s="70">
        <f>CG148/CG10*90</f>
        <v>143.55929897352902</v>
      </c>
      <c r="CH182" s="70">
        <f>CH148/CH8*90</f>
        <v>149.03797054678404</v>
      </c>
      <c r="CI182" s="70">
        <f>CI179+CI180+CI181</f>
        <v>149.03797054678404</v>
      </c>
      <c r="CJ182" s="70">
        <f>CJ148/CJ8*90</f>
        <v>156.7923644251627</v>
      </c>
      <c r="CK182" s="50">
        <f t="shared" ref="CK182:DB182" si="1461">CK179+CK180+CK181</f>
        <v>156.7923644251627</v>
      </c>
      <c r="CL182" s="70">
        <f>CL148/CL8*90</f>
        <v>163.34360586568494</v>
      </c>
      <c r="CM182" s="50">
        <f t="shared" si="1461"/>
        <v>163.34360586568494</v>
      </c>
      <c r="CN182" s="50">
        <f t="shared" si="1461"/>
        <v>163.34360586568494</v>
      </c>
      <c r="CO182" s="50">
        <f t="shared" si="1461"/>
        <v>163.34360586568494</v>
      </c>
      <c r="CP182" s="50">
        <f t="shared" si="1461"/>
        <v>163.34360586568494</v>
      </c>
      <c r="CQ182" s="50">
        <f t="shared" si="1461"/>
        <v>163.34360586568494</v>
      </c>
      <c r="CR182" s="50">
        <f t="shared" si="1461"/>
        <v>163.34360586568494</v>
      </c>
      <c r="CS182" s="50">
        <f t="shared" si="1461"/>
        <v>163.34360586568494</v>
      </c>
      <c r="CT182" s="50">
        <f t="shared" si="1461"/>
        <v>163.34360586568494</v>
      </c>
      <c r="CU182" s="50">
        <f t="shared" si="1461"/>
        <v>163.34360586568494</v>
      </c>
      <c r="CV182" s="50">
        <f t="shared" si="1461"/>
        <v>163.34360586568494</v>
      </c>
      <c r="CW182" s="50">
        <f t="shared" si="1461"/>
        <v>163.34360586568494</v>
      </c>
      <c r="CX182" s="50">
        <f t="shared" si="1461"/>
        <v>163.34360586568494</v>
      </c>
      <c r="CY182" s="50">
        <f t="shared" si="1461"/>
        <v>163.34360586568494</v>
      </c>
      <c r="CZ182" s="50">
        <f t="shared" si="1461"/>
        <v>163.34360586568494</v>
      </c>
      <c r="DA182" s="50">
        <f t="shared" si="1461"/>
        <v>163.34360586568494</v>
      </c>
      <c r="DB182" s="50">
        <f t="shared" si="1461"/>
        <v>163.34360586568494</v>
      </c>
      <c r="DE182" s="138"/>
      <c r="DF182" s="7">
        <v>182.60925339946979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 t="e">
        <f t="shared" si="1462"/>
        <v>#DIV/0!</v>
      </c>
      <c r="J183" s="67">
        <f t="shared" si="1462"/>
        <v>181.2025446834532</v>
      </c>
      <c r="K183" s="67">
        <f t="shared" si="1462"/>
        <v>119.09538130422442</v>
      </c>
      <c r="L183" s="67">
        <f t="shared" si="1462"/>
        <v>70.317153243661295</v>
      </c>
      <c r="M183" s="67">
        <f t="shared" si="1462"/>
        <v>18.470976537299009</v>
      </c>
      <c r="N183" s="67">
        <f t="shared" si="1462"/>
        <v>8.9037044589704912</v>
      </c>
      <c r="O183" s="67">
        <f t="shared" si="1462"/>
        <v>30.186659706001212</v>
      </c>
      <c r="P183" s="67">
        <f t="shared" si="1462"/>
        <v>11.196497075304725</v>
      </c>
      <c r="Q183" s="67">
        <f t="shared" si="1462"/>
        <v>13.952708772286282</v>
      </c>
      <c r="R183" s="67">
        <f t="shared" si="1462"/>
        <v>2.0379269413543399</v>
      </c>
      <c r="S183" s="67">
        <f t="shared" si="1462"/>
        <v>6.602816341829838</v>
      </c>
      <c r="T183" s="67">
        <f t="shared" si="1462"/>
        <v>16.618020554418017</v>
      </c>
      <c r="U183" s="67">
        <f t="shared" si="1462"/>
        <v>24.404379562043793</v>
      </c>
      <c r="V183" s="67">
        <f t="shared" si="1462"/>
        <v>9.7024157819944854</v>
      </c>
      <c r="W183" s="67">
        <f t="shared" si="1462"/>
        <v>28.722438498223251</v>
      </c>
      <c r="X183" s="67">
        <f t="shared" si="1462"/>
        <v>26.725318282500591</v>
      </c>
      <c r="Y183" s="67">
        <f t="shared" si="1462"/>
        <v>23.440591339492226</v>
      </c>
      <c r="Z183" s="67">
        <f t="shared" si="1462"/>
        <v>22.090376117908683</v>
      </c>
      <c r="AA183" s="67">
        <f t="shared" ref="AA183" si="1463">AA153/AA8*365</f>
        <v>31.263120385415771</v>
      </c>
      <c r="AB183" s="18">
        <f t="shared" si="1462"/>
        <v>31.178751399389359</v>
      </c>
      <c r="AC183" s="18">
        <f t="shared" si="1462"/>
        <v>31.175989709054431</v>
      </c>
      <c r="AD183" s="18">
        <f t="shared" si="1462"/>
        <v>31.176827453495456</v>
      </c>
      <c r="AE183" s="18">
        <f t="shared" si="1462"/>
        <v>31.177042919925466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 t="e">
        <f>AZ153/AZ8*90</f>
        <v>#DIV/0!</v>
      </c>
      <c r="BA183" s="67" t="e">
        <f t="shared" ref="BA183" si="1472">+AZ183</f>
        <v>#DIV/0!</v>
      </c>
      <c r="BB183" s="67" t="e">
        <f>BB153/BB8*90</f>
        <v>#DIV/0!</v>
      </c>
      <c r="BC183" s="67" t="e">
        <f t="shared" ref="BC183" si="1473">+BB183</f>
        <v>#DIV/0!</v>
      </c>
      <c r="BD183" s="67" t="e">
        <f>BD153/BD8*90</f>
        <v>#DIV/0!</v>
      </c>
      <c r="BE183" s="67" t="e">
        <f t="shared" ref="BE183" si="1474">+BD183</f>
        <v>#DIV/0!</v>
      </c>
      <c r="BF183" s="67" t="e">
        <f>BF153/BF8*90</f>
        <v>#DIV/0!</v>
      </c>
      <c r="BG183" s="67" t="e">
        <f t="shared" ref="BG183" si="1475">+BF183</f>
        <v>#DIV/0!</v>
      </c>
      <c r="BH183" s="67" t="e">
        <f>BH153/BH8*90</f>
        <v>#DIV/0!</v>
      </c>
      <c r="BI183" s="67" t="e">
        <f t="shared" ref="BI183" si="1476">+BH183</f>
        <v>#DIV/0!</v>
      </c>
      <c r="BJ183" s="67" t="e">
        <f>BJ153/BJ8*90</f>
        <v>#DIV/0!</v>
      </c>
      <c r="BK183" s="67" t="e">
        <f t="shared" ref="BK183" si="1477">+BJ183</f>
        <v>#DIV/0!</v>
      </c>
      <c r="BL183" s="67" t="e">
        <f>BL153/BL8*90</f>
        <v>#DIV/0!</v>
      </c>
      <c r="BM183" s="67" t="e">
        <f t="shared" ref="BM183" si="1478">+BL183</f>
        <v>#DIV/0!</v>
      </c>
      <c r="BN183" s="67" t="e">
        <f>BN153/BN8*90</f>
        <v>#DIV/0!</v>
      </c>
      <c r="BO183" s="67" t="e">
        <f t="shared" ref="BO183" si="1479">+BN183</f>
        <v>#DIV/0!</v>
      </c>
      <c r="BP183" s="67" t="e">
        <f>BP153/BP8*90</f>
        <v>#DIV/0!</v>
      </c>
      <c r="BQ183" s="67" t="e">
        <f t="shared" ref="BQ183" si="1480">+BP183</f>
        <v>#DIV/0!</v>
      </c>
      <c r="BR183" s="67">
        <f>BR153/BR8*90</f>
        <v>8.0723076923076924</v>
      </c>
      <c r="BS183" s="67">
        <f t="shared" ref="BS183" si="1481">+BR183</f>
        <v>8.0723076923076924</v>
      </c>
      <c r="BT183" s="67">
        <f>BT153/BT8*90</f>
        <v>0</v>
      </c>
      <c r="BU183" s="67">
        <f t="shared" ref="BU183" si="1482">+BT183</f>
        <v>0</v>
      </c>
      <c r="BV183" s="67">
        <f>BV153/BV8*90</f>
        <v>28.495142422840527</v>
      </c>
      <c r="BW183" s="67">
        <f t="shared" ref="BW183" si="1483">+BV183</f>
        <v>28.495142422840527</v>
      </c>
      <c r="BX183" s="67">
        <f>BX153/BX8*90</f>
        <v>10.100360751594318</v>
      </c>
      <c r="BY183" s="67">
        <f t="shared" ref="BY183" si="1484">+BX183</f>
        <v>10.100360751594318</v>
      </c>
      <c r="BZ183" s="67">
        <f>BZ153/BZ8*90</f>
        <v>21.341474528387856</v>
      </c>
      <c r="CA183" s="67">
        <f t="shared" ref="CA183" si="1485">+BZ183</f>
        <v>21.341474528387856</v>
      </c>
      <c r="CB183" s="67">
        <f>CB153/CB8*90</f>
        <v>13.141121495327102</v>
      </c>
      <c r="CC183" s="67">
        <f t="shared" ref="CC183" si="1486">+CB183</f>
        <v>13.141121495327102</v>
      </c>
      <c r="CD183" s="67">
        <f>CD153/CD8*90</f>
        <v>21.632427877863822</v>
      </c>
      <c r="CE183" s="114">
        <f t="shared" si="1464"/>
        <v>21.632427877863822</v>
      </c>
      <c r="CF183" s="67">
        <f>CF153/CF8*90</f>
        <v>21.961463290278722</v>
      </c>
      <c r="CG183" s="67">
        <f t="shared" ref="CG183:CI183" si="1487">+CF183</f>
        <v>21.961463290278722</v>
      </c>
      <c r="CH183" s="67">
        <f>CH153/CH8*90</f>
        <v>19.261422823178577</v>
      </c>
      <c r="CI183" s="67">
        <f t="shared" si="1487"/>
        <v>19.261422823178577</v>
      </c>
      <c r="CJ183" s="67">
        <f>CJ153/CJ8*90</f>
        <v>24.015618221258134</v>
      </c>
      <c r="CK183" s="30">
        <f t="shared" ref="CK183" si="1488">+CJ183</f>
        <v>24.015618221258134</v>
      </c>
      <c r="CL183" s="67">
        <f>CL153/CL8*90</f>
        <v>27.964797617324042</v>
      </c>
      <c r="CM183" s="30">
        <f t="shared" ref="CM183" si="1489">+CL183</f>
        <v>27.964797617324042</v>
      </c>
      <c r="CN183" s="30">
        <f t="shared" ref="CN183" si="1490">+CM183</f>
        <v>27.964797617324042</v>
      </c>
      <c r="CO183" s="30">
        <f t="shared" ref="CO183" si="1491">+CN183</f>
        <v>27.964797617324042</v>
      </c>
      <c r="CP183" s="30">
        <f t="shared" ref="CP183" si="1492">+CO183</f>
        <v>27.964797617324042</v>
      </c>
      <c r="CQ183" s="30">
        <f t="shared" ref="CQ183" si="1493">+CP183</f>
        <v>27.964797617324042</v>
      </c>
      <c r="CR183" s="30">
        <f t="shared" ref="CR183" si="1494">+CQ183</f>
        <v>27.964797617324042</v>
      </c>
      <c r="CS183" s="30">
        <f t="shared" ref="CS183" si="1495">+CR183</f>
        <v>27.964797617324042</v>
      </c>
      <c r="CT183" s="30">
        <f t="shared" ref="CT183" si="1496">+CS183</f>
        <v>27.964797617324042</v>
      </c>
      <c r="CU183" s="30">
        <f t="shared" ref="CU183" si="1497">+CT183</f>
        <v>27.964797617324042</v>
      </c>
      <c r="CV183" s="30">
        <f t="shared" ref="CV183" si="1498">+CU183</f>
        <v>27.964797617324042</v>
      </c>
      <c r="CW183" s="30">
        <f t="shared" ref="CW183" si="1499">+CV183</f>
        <v>27.964797617324042</v>
      </c>
      <c r="CX183" s="30">
        <f t="shared" ref="CX183" si="1500">+CW183</f>
        <v>27.964797617324042</v>
      </c>
      <c r="CY183" s="30">
        <f t="shared" ref="CY183" si="1501">+CX183</f>
        <v>27.964797617324042</v>
      </c>
      <c r="CZ183" s="30">
        <f t="shared" ref="CZ183" si="1502">+CY183</f>
        <v>27.964797617324042</v>
      </c>
      <c r="DA183" s="30">
        <f t="shared" ref="DA183" si="1503">+CZ183</f>
        <v>27.964797617324042</v>
      </c>
      <c r="DB183" s="30">
        <f t="shared" ref="DB183" si="1504">+DA183</f>
        <v>27.964797617324042</v>
      </c>
      <c r="DE183" s="139"/>
      <c r="DF183" s="62">
        <v>31.263120385415778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 t="e">
        <f t="shared" si="1505"/>
        <v>#DIV/0!</v>
      </c>
      <c r="J184" s="67">
        <f t="shared" si="1505"/>
        <v>98.786298654459813</v>
      </c>
      <c r="K184" s="67">
        <f t="shared" si="1505"/>
        <v>402.79010331421927</v>
      </c>
      <c r="L184" s="67">
        <f t="shared" si="1505"/>
        <v>60.979036184760218</v>
      </c>
      <c r="M184" s="67">
        <f t="shared" si="1505"/>
        <v>109.43457898238738</v>
      </c>
      <c r="N184" s="67">
        <f t="shared" si="1505"/>
        <v>93.520121676925257</v>
      </c>
      <c r="O184" s="67">
        <f t="shared" si="1505"/>
        <v>82.614176308709219</v>
      </c>
      <c r="P184" s="67">
        <f t="shared" si="1505"/>
        <v>30.42043598800808</v>
      </c>
      <c r="Q184" s="67">
        <f t="shared" si="1505"/>
        <v>34.630307347803878</v>
      </c>
      <c r="R184" s="67">
        <f t="shared" si="1505"/>
        <v>56.503247908557469</v>
      </c>
      <c r="S184" s="67">
        <f t="shared" si="1505"/>
        <v>41.137322838721573</v>
      </c>
      <c r="T184" s="67">
        <f t="shared" si="1505"/>
        <v>40.874940935580405</v>
      </c>
      <c r="U184" s="67">
        <f t="shared" si="1505"/>
        <v>48.993688278230998</v>
      </c>
      <c r="V184" s="67">
        <f t="shared" si="1505"/>
        <v>95.789859642990137</v>
      </c>
      <c r="W184" s="67">
        <f t="shared" ref="W184" si="1506">W185-W183</f>
        <v>68.916265597879956</v>
      </c>
      <c r="X184" s="67">
        <f t="shared" ref="X184:Y184" si="1507">X185-X183</f>
        <v>45.635821303521112</v>
      </c>
      <c r="Y184" s="67">
        <f t="shared" si="1507"/>
        <v>48.687014062537671</v>
      </c>
      <c r="Z184" s="67">
        <f t="shared" ref="Z184:AA184" si="1508">Z185-Z183</f>
        <v>54.776177594655216</v>
      </c>
      <c r="AA184" s="67">
        <f t="shared" si="1508"/>
        <v>104.1601100373443</v>
      </c>
      <c r="AB184" s="18">
        <f t="shared" ref="AA184:AD184" si="1509">AB185-AB183</f>
        <v>103.8790158036302</v>
      </c>
      <c r="AC184" s="18">
        <f t="shared" si="1509"/>
        <v>103.86981461175843</v>
      </c>
      <c r="AD184" s="18">
        <f t="shared" si="1509"/>
        <v>103.87260574559551</v>
      </c>
      <c r="AE184" s="18">
        <f t="shared" ref="AE184" si="1510">AE185-AE183</f>
        <v>103.87332362042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 t="e">
        <f t="shared" ref="AZ184:BC184" si="1514">AZ185-AZ183</f>
        <v>#DIV/0!</v>
      </c>
      <c r="BA184" s="67" t="e">
        <f t="shared" si="1514"/>
        <v>#DIV/0!</v>
      </c>
      <c r="BB184" s="67" t="e">
        <f t="shared" si="1514"/>
        <v>#DIV/0!</v>
      </c>
      <c r="BC184" s="67" t="e">
        <f t="shared" si="1514"/>
        <v>#DIV/0!</v>
      </c>
      <c r="BD184" s="67" t="e">
        <f t="shared" ref="BD184:CE184" si="1515">BD185-BD183</f>
        <v>#DIV/0!</v>
      </c>
      <c r="BE184" s="67" t="e">
        <f t="shared" si="1515"/>
        <v>#DIV/0!</v>
      </c>
      <c r="BF184" s="67" t="e">
        <f t="shared" si="1515"/>
        <v>#DIV/0!</v>
      </c>
      <c r="BG184" s="67" t="e">
        <f t="shared" si="1515"/>
        <v>#DIV/0!</v>
      </c>
      <c r="BH184" s="67" t="e">
        <f t="shared" si="1515"/>
        <v>#DIV/0!</v>
      </c>
      <c r="BI184" s="67" t="e">
        <f t="shared" si="1515"/>
        <v>#DIV/0!</v>
      </c>
      <c r="BJ184" s="67" t="e">
        <f t="shared" si="1515"/>
        <v>#DIV/0!</v>
      </c>
      <c r="BK184" s="67" t="e">
        <f t="shared" si="1515"/>
        <v>#DIV/0!</v>
      </c>
      <c r="BL184" s="67" t="e">
        <f t="shared" si="1515"/>
        <v>#DIV/0!</v>
      </c>
      <c r="BM184" s="67" t="e">
        <f t="shared" si="1515"/>
        <v>#DIV/0!</v>
      </c>
      <c r="BN184" s="67" t="e">
        <f t="shared" si="1515"/>
        <v>#DIV/0!</v>
      </c>
      <c r="BO184" s="67" t="e">
        <f t="shared" si="1515"/>
        <v>#DIV/0!</v>
      </c>
      <c r="BP184" s="67" t="e">
        <f t="shared" si="1515"/>
        <v>#DIV/0!</v>
      </c>
      <c r="BQ184" s="67" t="e">
        <f t="shared" si="1515"/>
        <v>#DIV/0!</v>
      </c>
      <c r="BR184" s="67">
        <f t="shared" si="1515"/>
        <v>91.451538461538476</v>
      </c>
      <c r="BS184" s="67">
        <f t="shared" si="1515"/>
        <v>83.106766707055655</v>
      </c>
      <c r="BT184" s="67">
        <f t="shared" si="1515"/>
        <v>0</v>
      </c>
      <c r="BU184" s="67">
        <f t="shared" si="1515"/>
        <v>0</v>
      </c>
      <c r="BV184" s="67">
        <f t="shared" si="1515"/>
        <v>68.368911506179359</v>
      </c>
      <c r="BW184" s="67">
        <f t="shared" si="1515"/>
        <v>59.435230580664935</v>
      </c>
      <c r="BX184" s="67">
        <f t="shared" si="1515"/>
        <v>72.208962368992459</v>
      </c>
      <c r="BY184" s="67">
        <f t="shared" si="1515"/>
        <v>68.962966591554803</v>
      </c>
      <c r="BZ184" s="67">
        <f t="shared" si="1515"/>
        <v>36.442436630170157</v>
      </c>
      <c r="CA184" s="67">
        <f t="shared" si="1515"/>
        <v>35.099875860512363</v>
      </c>
      <c r="CB184" s="67">
        <f t="shared" si="1515"/>
        <v>47.113084112149537</v>
      </c>
      <c r="CC184" s="67">
        <f t="shared" si="1515"/>
        <v>46.591529914354368</v>
      </c>
      <c r="CD184" s="67">
        <f t="shared" si="1515"/>
        <v>44.931388677125554</v>
      </c>
      <c r="CE184" s="114">
        <f t="shared" si="1515"/>
        <v>48.455247614720605</v>
      </c>
      <c r="CF184" s="67">
        <f t="shared" ref="CF184:CG184" si="1516">CF185-CF183</f>
        <v>42.845853161114881</v>
      </c>
      <c r="CG184" s="67">
        <f t="shared" si="1516"/>
        <v>43.575945264674111</v>
      </c>
      <c r="CH184" s="67">
        <f t="shared" ref="CH184" si="1517">CH185-CH183</f>
        <v>47.761392185297893</v>
      </c>
      <c r="CI184" s="67">
        <f>CH184</f>
        <v>47.761392185297893</v>
      </c>
      <c r="CJ184" s="67">
        <f t="shared" ref="CJ184:CL184" si="1518">CJ185-CJ183</f>
        <v>97.129718004338386</v>
      </c>
      <c r="CK184" s="30">
        <f t="shared" ref="CK184:DB184" si="1519">CJ184</f>
        <v>97.129718004338386</v>
      </c>
      <c r="CL184" s="67">
        <f t="shared" si="1518"/>
        <v>93.171006639227315</v>
      </c>
      <c r="CM184" s="30">
        <f t="shared" si="1519"/>
        <v>93.171006639227315</v>
      </c>
      <c r="CN184" s="30">
        <f t="shared" si="1519"/>
        <v>93.171006639227315</v>
      </c>
      <c r="CO184" s="30">
        <f t="shared" si="1519"/>
        <v>93.171006639227315</v>
      </c>
      <c r="CP184" s="30">
        <f t="shared" si="1519"/>
        <v>93.171006639227315</v>
      </c>
      <c r="CQ184" s="30">
        <f t="shared" si="1519"/>
        <v>93.171006639227315</v>
      </c>
      <c r="CR184" s="30">
        <f t="shared" si="1519"/>
        <v>93.171006639227315</v>
      </c>
      <c r="CS184" s="30">
        <f t="shared" si="1519"/>
        <v>93.171006639227315</v>
      </c>
      <c r="CT184" s="30">
        <f t="shared" si="1519"/>
        <v>93.171006639227315</v>
      </c>
      <c r="CU184" s="30">
        <f t="shared" si="1519"/>
        <v>93.171006639227315</v>
      </c>
      <c r="CV184" s="30">
        <f t="shared" si="1519"/>
        <v>93.171006639227315</v>
      </c>
      <c r="CW184" s="30">
        <f t="shared" si="1519"/>
        <v>93.171006639227315</v>
      </c>
      <c r="CX184" s="30">
        <f t="shared" si="1519"/>
        <v>93.171006639227315</v>
      </c>
      <c r="CY184" s="30">
        <f t="shared" si="1519"/>
        <v>93.171006639227315</v>
      </c>
      <c r="CZ184" s="30">
        <f t="shared" si="1519"/>
        <v>93.171006639227315</v>
      </c>
      <c r="DA184" s="30">
        <f t="shared" si="1519"/>
        <v>93.171006639227315</v>
      </c>
      <c r="DB184" s="30">
        <f t="shared" si="1519"/>
        <v>93.171006639227315</v>
      </c>
      <c r="DE184" s="139"/>
      <c r="DF184" s="62">
        <v>104.1601100373443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 t="e">
        <f t="shared" si="1520"/>
        <v>#DIV/0!</v>
      </c>
      <c r="J185" s="70">
        <f t="shared" si="1520"/>
        <v>279.98884333791301</v>
      </c>
      <c r="K185" s="70">
        <f t="shared" si="1520"/>
        <v>521.88548461844368</v>
      </c>
      <c r="L185" s="70">
        <f t="shared" si="1520"/>
        <v>131.29618942842151</v>
      </c>
      <c r="M185" s="70">
        <f t="shared" si="1520"/>
        <v>127.90555551968639</v>
      </c>
      <c r="N185" s="70">
        <f t="shared" si="1520"/>
        <v>102.42382613589575</v>
      </c>
      <c r="O185" s="70">
        <f t="shared" si="1520"/>
        <v>112.80083601471043</v>
      </c>
      <c r="P185" s="70">
        <f t="shared" si="1520"/>
        <v>41.616933063312807</v>
      </c>
      <c r="Q185" s="70">
        <f t="shared" si="1520"/>
        <v>48.583016120090164</v>
      </c>
      <c r="R185" s="70">
        <f t="shared" si="1520"/>
        <v>58.541174849911812</v>
      </c>
      <c r="S185" s="70">
        <f t="shared" si="1520"/>
        <v>47.740139180551409</v>
      </c>
      <c r="T185" s="70">
        <f t="shared" si="1520"/>
        <v>57.492961489998422</v>
      </c>
      <c r="U185" s="70">
        <f t="shared" si="1520"/>
        <v>73.398067840274791</v>
      </c>
      <c r="V185" s="70">
        <f t="shared" si="1520"/>
        <v>105.49227542498463</v>
      </c>
      <c r="W185" s="70">
        <f t="shared" si="1520"/>
        <v>97.638704096103211</v>
      </c>
      <c r="X185" s="70">
        <f t="shared" si="1520"/>
        <v>72.361139586021707</v>
      </c>
      <c r="Y185" s="70">
        <f t="shared" si="1520"/>
        <v>72.1276054020299</v>
      </c>
      <c r="Z185" s="70">
        <f t="shared" si="1520"/>
        <v>76.866553712563899</v>
      </c>
      <c r="AA185" s="70">
        <f t="shared" ref="AA185" si="1521">AA156/AA8*365</f>
        <v>135.42323042276007</v>
      </c>
      <c r="AB185" s="71">
        <f t="shared" si="1520"/>
        <v>135.05776720301955</v>
      </c>
      <c r="AC185" s="71">
        <f t="shared" si="1520"/>
        <v>135.04580432081286</v>
      </c>
      <c r="AD185" s="71">
        <f t="shared" si="1520"/>
        <v>135.04943319909097</v>
      </c>
      <c r="AE185" s="71">
        <f t="shared" si="1520"/>
        <v>135.05036654034546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 t="e">
        <f t="shared" si="1522"/>
        <v>#DIV/0!</v>
      </c>
      <c r="BA185" s="70" t="e">
        <f t="shared" si="1522"/>
        <v>#DIV/0!</v>
      </c>
      <c r="BB185" s="70" t="e">
        <f t="shared" si="1522"/>
        <v>#DIV/0!</v>
      </c>
      <c r="BC185" s="70" t="e">
        <f t="shared" si="1522"/>
        <v>#DIV/0!</v>
      </c>
      <c r="BD185" s="70" t="e">
        <f t="shared" si="1522"/>
        <v>#DIV/0!</v>
      </c>
      <c r="BE185" s="70" t="e">
        <f t="shared" si="1522"/>
        <v>#DIV/0!</v>
      </c>
      <c r="BF185" s="70" t="e">
        <f t="shared" si="1522"/>
        <v>#DIV/0!</v>
      </c>
      <c r="BG185" s="70" t="e">
        <f t="shared" si="1522"/>
        <v>#DIV/0!</v>
      </c>
      <c r="BH185" s="70" t="e">
        <f t="shared" si="1522"/>
        <v>#DIV/0!</v>
      </c>
      <c r="BI185" s="70" t="e">
        <f t="shared" si="1522"/>
        <v>#DIV/0!</v>
      </c>
      <c r="BJ185" s="70" t="e">
        <f t="shared" si="1522"/>
        <v>#DIV/0!</v>
      </c>
      <c r="BK185" s="70" t="e">
        <f t="shared" si="1522"/>
        <v>#DIV/0!</v>
      </c>
      <c r="BL185" s="70" t="e">
        <f t="shared" si="1522"/>
        <v>#DIV/0!</v>
      </c>
      <c r="BM185" s="70" t="e">
        <f t="shared" si="1522"/>
        <v>#DIV/0!</v>
      </c>
      <c r="BN185" s="70" t="e">
        <f t="shared" si="1522"/>
        <v>#DIV/0!</v>
      </c>
      <c r="BO185" s="70" t="e">
        <f t="shared" si="1522"/>
        <v>#DIV/0!</v>
      </c>
      <c r="BP185" s="70" t="e">
        <f t="shared" si="1522"/>
        <v>#DIV/0!</v>
      </c>
      <c r="BQ185" s="70" t="e">
        <f t="shared" si="1522"/>
        <v>#DIV/0!</v>
      </c>
      <c r="BR185" s="70">
        <f t="shared" si="1522"/>
        <v>99.523846153846165</v>
      </c>
      <c r="BS185" s="70">
        <f t="shared" si="1522"/>
        <v>91.179074399363344</v>
      </c>
      <c r="BT185" s="70">
        <f t="shared" si="1522"/>
        <v>0</v>
      </c>
      <c r="BU185" s="70">
        <f t="shared" si="1522"/>
        <v>0</v>
      </c>
      <c r="BV185" s="70">
        <f t="shared" si="1522"/>
        <v>96.864053929019889</v>
      </c>
      <c r="BW185" s="70">
        <f t="shared" si="1522"/>
        <v>87.930373003505466</v>
      </c>
      <c r="BX185" s="70">
        <f t="shared" si="1522"/>
        <v>82.309323120586782</v>
      </c>
      <c r="BY185" s="70">
        <f t="shared" si="1522"/>
        <v>79.063327343149126</v>
      </c>
      <c r="BZ185" s="70">
        <f t="shared" si="1522"/>
        <v>57.783911158558013</v>
      </c>
      <c r="CA185" s="70">
        <f t="shared" si="1522"/>
        <v>56.441350388900219</v>
      </c>
      <c r="CB185" s="70">
        <f t="shared" si="1522"/>
        <v>60.254205607476635</v>
      </c>
      <c r="CC185" s="70">
        <f t="shared" si="1522"/>
        <v>59.732651409681466</v>
      </c>
      <c r="CD185" s="70">
        <f t="shared" si="1522"/>
        <v>66.563816554989373</v>
      </c>
      <c r="CE185" s="115">
        <f>CE156/CE10*90</f>
        <v>70.087675492584424</v>
      </c>
      <c r="CF185" s="70">
        <f>CF156/CF8*90</f>
        <v>64.807316451393604</v>
      </c>
      <c r="CG185" s="70">
        <f>CG156/CG10*90</f>
        <v>65.537408554952833</v>
      </c>
      <c r="CH185" s="70">
        <f>CH156/CH8*90</f>
        <v>67.022815008476471</v>
      </c>
      <c r="CI185" s="70">
        <f>CI183+CI184</f>
        <v>67.022815008476471</v>
      </c>
      <c r="CJ185" s="70">
        <f>CJ156/CJ8*90</f>
        <v>121.14533622559652</v>
      </c>
      <c r="CK185" s="50">
        <f t="shared" ref="CK185:DB185" si="1523">CK183+CK184</f>
        <v>121.14533622559652</v>
      </c>
      <c r="CL185" s="70">
        <f>CL156/CL8*90</f>
        <v>121.13580425655135</v>
      </c>
      <c r="CM185" s="50">
        <f t="shared" si="1523"/>
        <v>121.13580425655135</v>
      </c>
      <c r="CN185" s="50">
        <f t="shared" si="1523"/>
        <v>121.13580425655135</v>
      </c>
      <c r="CO185" s="50">
        <f t="shared" si="1523"/>
        <v>121.13580425655135</v>
      </c>
      <c r="CP185" s="50">
        <f t="shared" si="1523"/>
        <v>121.13580425655135</v>
      </c>
      <c r="CQ185" s="50">
        <f t="shared" si="1523"/>
        <v>121.13580425655135</v>
      </c>
      <c r="CR185" s="50">
        <f t="shared" si="1523"/>
        <v>121.13580425655135</v>
      </c>
      <c r="CS185" s="50">
        <f t="shared" si="1523"/>
        <v>121.13580425655135</v>
      </c>
      <c r="CT185" s="50">
        <f t="shared" si="1523"/>
        <v>121.13580425655135</v>
      </c>
      <c r="CU185" s="50">
        <f t="shared" si="1523"/>
        <v>121.13580425655135</v>
      </c>
      <c r="CV185" s="50">
        <f t="shared" si="1523"/>
        <v>121.13580425655135</v>
      </c>
      <c r="CW185" s="50">
        <f t="shared" si="1523"/>
        <v>121.13580425655135</v>
      </c>
      <c r="CX185" s="50">
        <f t="shared" si="1523"/>
        <v>121.13580425655135</v>
      </c>
      <c r="CY185" s="50">
        <f t="shared" si="1523"/>
        <v>121.13580425655135</v>
      </c>
      <c r="CZ185" s="50">
        <f t="shared" si="1523"/>
        <v>121.13580425655135</v>
      </c>
      <c r="DA185" s="50">
        <f t="shared" si="1523"/>
        <v>121.13580425655135</v>
      </c>
      <c r="DB185" s="50">
        <f t="shared" si="1523"/>
        <v>121.13580425655135</v>
      </c>
      <c r="DE185" s="138"/>
      <c r="DF185" s="7">
        <v>135.42323042276007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 t="e">
        <f t="shared" si="1524"/>
        <v>#DIV/0!</v>
      </c>
      <c r="J186" s="70">
        <f t="shared" si="1524"/>
        <v>342.20204031327199</v>
      </c>
      <c r="K186" s="70">
        <f t="shared" si="1524"/>
        <v>403.12286241520042</v>
      </c>
      <c r="L186" s="70">
        <f t="shared" si="1524"/>
        <v>1050.1345070324201</v>
      </c>
      <c r="M186" s="70">
        <f t="shared" si="1524"/>
        <v>687.73049411327406</v>
      </c>
      <c r="N186" s="70">
        <f t="shared" si="1524"/>
        <v>341.52414117154535</v>
      </c>
      <c r="O186" s="70">
        <f t="shared" si="1524"/>
        <v>147.06238467128648</v>
      </c>
      <c r="P186" s="70">
        <f t="shared" si="1524"/>
        <v>59.109776044646004</v>
      </c>
      <c r="Q186" s="70">
        <f t="shared" si="1524"/>
        <v>21.872376175209155</v>
      </c>
      <c r="R186" s="70">
        <f t="shared" si="1524"/>
        <v>-0.98006091665995854</v>
      </c>
      <c r="S186" s="70">
        <f t="shared" si="1524"/>
        <v>38.298179849348458</v>
      </c>
      <c r="T186" s="70">
        <f t="shared" si="1524"/>
        <v>63.475448889588918</v>
      </c>
      <c r="U186" s="70">
        <f t="shared" si="1524"/>
        <v>72.122370115929613</v>
      </c>
      <c r="V186" s="70">
        <f t="shared" si="1524"/>
        <v>8.9063628004529107</v>
      </c>
      <c r="W186" s="70">
        <f t="shared" ref="W186" si="1525">W182-W185</f>
        <v>73.237022071102771</v>
      </c>
      <c r="X186" s="70">
        <f t="shared" ref="X186:Y186" si="1526">X182-X185</f>
        <v>120.36517565334846</v>
      </c>
      <c r="Y186" s="70">
        <f t="shared" si="1526"/>
        <v>120.86255323368681</v>
      </c>
      <c r="Z186" s="70">
        <f t="shared" ref="Z186:AA186" si="1527">Z182-Z185</f>
        <v>94.060841187173281</v>
      </c>
      <c r="AA186" s="70">
        <f t="shared" si="1527"/>
        <v>44.665390974657157</v>
      </c>
      <c r="AB186" s="71">
        <f t="shared" ref="AA186:AD186" si="1528">AB182-AB185</f>
        <v>47.058683259365893</v>
      </c>
      <c r="AC186" s="71">
        <f t="shared" si="1528"/>
        <v>47.054514987549396</v>
      </c>
      <c r="AD186" s="71">
        <f t="shared" si="1528"/>
        <v>47.055779411188325</v>
      </c>
      <c r="AE186" s="71">
        <f t="shared" ref="AE186" si="1529">AE182-AE185</f>
        <v>47.056104618774555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 t="e">
        <f t="shared" ref="AZ186:BC186" si="1533">AZ182-AZ185</f>
        <v>#DIV/0!</v>
      </c>
      <c r="BA186" s="70" t="e">
        <f t="shared" si="1533"/>
        <v>#DIV/0!</v>
      </c>
      <c r="BB186" s="70" t="e">
        <f t="shared" si="1533"/>
        <v>#DIV/0!</v>
      </c>
      <c r="BC186" s="70" t="e">
        <f t="shared" si="1533"/>
        <v>#DIV/0!</v>
      </c>
      <c r="BD186" s="70" t="e">
        <f t="shared" ref="BD186:CE186" si="1534">BD182-BD185</f>
        <v>#DIV/0!</v>
      </c>
      <c r="BE186" s="70" t="e">
        <f t="shared" si="1534"/>
        <v>#DIV/0!</v>
      </c>
      <c r="BF186" s="70" t="e">
        <f t="shared" si="1534"/>
        <v>#DIV/0!</v>
      </c>
      <c r="BG186" s="70" t="e">
        <f t="shared" si="1534"/>
        <v>#DIV/0!</v>
      </c>
      <c r="BH186" s="70" t="e">
        <f t="shared" si="1534"/>
        <v>#DIV/0!</v>
      </c>
      <c r="BI186" s="70" t="e">
        <f t="shared" si="1534"/>
        <v>#DIV/0!</v>
      </c>
      <c r="BJ186" s="70" t="e">
        <f t="shared" si="1534"/>
        <v>#DIV/0!</v>
      </c>
      <c r="BK186" s="70" t="e">
        <f t="shared" si="1534"/>
        <v>#DIV/0!</v>
      </c>
      <c r="BL186" s="70" t="e">
        <f t="shared" si="1534"/>
        <v>#DIV/0!</v>
      </c>
      <c r="BM186" s="70" t="e">
        <f t="shared" si="1534"/>
        <v>#DIV/0!</v>
      </c>
      <c r="BN186" s="70" t="e">
        <f t="shared" si="1534"/>
        <v>#DIV/0!</v>
      </c>
      <c r="BO186" s="70" t="e">
        <f t="shared" si="1534"/>
        <v>#DIV/0!</v>
      </c>
      <c r="BP186" s="70" t="e">
        <f t="shared" si="1534"/>
        <v>#DIV/0!</v>
      </c>
      <c r="BQ186" s="70" t="e">
        <f t="shared" si="1534"/>
        <v>#DIV/0!</v>
      </c>
      <c r="BR186" s="70">
        <f t="shared" si="1534"/>
        <v>26.529230769230736</v>
      </c>
      <c r="BS186" s="70">
        <f t="shared" si="1534"/>
        <v>26.661891351262241</v>
      </c>
      <c r="BT186" s="70">
        <f t="shared" si="1534"/>
        <v>0</v>
      </c>
      <c r="BU186" s="70">
        <f t="shared" si="1534"/>
        <v>0</v>
      </c>
      <c r="BV186" s="70">
        <f t="shared" si="1534"/>
        <v>93.40823474985126</v>
      </c>
      <c r="BW186" s="70">
        <f t="shared" si="1534"/>
        <v>89.490244533322723</v>
      </c>
      <c r="BX186" s="70">
        <f t="shared" si="1534"/>
        <v>112.51038656841459</v>
      </c>
      <c r="BY186" s="70">
        <f t="shared" si="1534"/>
        <v>111.36484272222492</v>
      </c>
      <c r="BZ186" s="70">
        <f t="shared" si="1534"/>
        <v>106.05121662261915</v>
      </c>
      <c r="CA186" s="70">
        <f t="shared" si="1534"/>
        <v>104.30444586495173</v>
      </c>
      <c r="CB186" s="70">
        <f t="shared" si="1534"/>
        <v>111.28317757009346</v>
      </c>
      <c r="CC186" s="70">
        <f t="shared" si="1534"/>
        <v>111.01167680124257</v>
      </c>
      <c r="CD186" s="70">
        <f t="shared" si="1534"/>
        <v>111.70735866468725</v>
      </c>
      <c r="CE186" s="115">
        <f t="shared" si="1534"/>
        <v>114.64390777934975</v>
      </c>
      <c r="CF186" s="70">
        <f t="shared" ref="CF186:CG186" si="1535">CF182-CF185</f>
        <v>77.632138001359607</v>
      </c>
      <c r="CG186" s="70">
        <f t="shared" si="1535"/>
        <v>78.021890418576191</v>
      </c>
      <c r="CH186" s="70">
        <f t="shared" ref="CH186:CI186" si="1536">CH182-CH185</f>
        <v>82.015155538307567</v>
      </c>
      <c r="CI186" s="70">
        <f t="shared" si="1536"/>
        <v>82.015155538307567</v>
      </c>
      <c r="CJ186" s="70">
        <f t="shared" ref="CJ186:DB186" si="1537">CJ182-CJ185</f>
        <v>35.647028199566179</v>
      </c>
      <c r="CK186" s="50">
        <f t="shared" si="1537"/>
        <v>35.647028199566179</v>
      </c>
      <c r="CL186" s="70">
        <f t="shared" ref="CL186" si="1538">CL182-CL185</f>
        <v>42.207801609133583</v>
      </c>
      <c r="CM186" s="50">
        <f t="shared" si="1537"/>
        <v>42.207801609133583</v>
      </c>
      <c r="CN186" s="50">
        <f t="shared" si="1537"/>
        <v>42.207801609133583</v>
      </c>
      <c r="CO186" s="50">
        <f t="shared" si="1537"/>
        <v>42.207801609133583</v>
      </c>
      <c r="CP186" s="50">
        <f t="shared" si="1537"/>
        <v>42.207801609133583</v>
      </c>
      <c r="CQ186" s="50">
        <f t="shared" si="1537"/>
        <v>42.207801609133583</v>
      </c>
      <c r="CR186" s="50">
        <f t="shared" si="1537"/>
        <v>42.207801609133583</v>
      </c>
      <c r="CS186" s="50">
        <f t="shared" si="1537"/>
        <v>42.207801609133583</v>
      </c>
      <c r="CT186" s="50">
        <f t="shared" si="1537"/>
        <v>42.207801609133583</v>
      </c>
      <c r="CU186" s="50">
        <f t="shared" si="1537"/>
        <v>42.207801609133583</v>
      </c>
      <c r="CV186" s="50">
        <f t="shared" si="1537"/>
        <v>42.207801609133583</v>
      </c>
      <c r="CW186" s="50">
        <f t="shared" si="1537"/>
        <v>42.207801609133583</v>
      </c>
      <c r="CX186" s="50">
        <f t="shared" si="1537"/>
        <v>42.207801609133583</v>
      </c>
      <c r="CY186" s="50">
        <f t="shared" si="1537"/>
        <v>42.207801609133583</v>
      </c>
      <c r="CZ186" s="50">
        <f t="shared" si="1537"/>
        <v>42.207801609133583</v>
      </c>
      <c r="DA186" s="50">
        <f t="shared" si="1537"/>
        <v>42.207801609133583</v>
      </c>
      <c r="DB186" s="50">
        <f t="shared" si="1537"/>
        <v>42.207801609133583</v>
      </c>
      <c r="DE186" s="138"/>
      <c r="DF186" s="7">
        <v>47.186022976709722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 t="e">
        <f t="shared" si="1539"/>
        <v>#DIV/0!</v>
      </c>
      <c r="K188" s="86">
        <f t="shared" si="1539"/>
        <v>-0.32818138365237015</v>
      </c>
      <c r="L188" s="86">
        <f t="shared" si="1539"/>
        <v>1.7876009671737263</v>
      </c>
      <c r="M188" s="86">
        <f t="shared" si="1539"/>
        <v>-0.12182846039167572</v>
      </c>
      <c r="N188" s="86">
        <f t="shared" si="1539"/>
        <v>0.67296394407007942</v>
      </c>
      <c r="O188" s="86">
        <f t="shared" si="1539"/>
        <v>-6.8437722743600382E-2</v>
      </c>
      <c r="P188" s="86">
        <f t="shared" si="1539"/>
        <v>1.1766683571439347</v>
      </c>
      <c r="Q188" s="86">
        <f t="shared" si="1539"/>
        <v>0.33841521612485126</v>
      </c>
      <c r="R188" s="86">
        <f t="shared" si="1539"/>
        <v>0.44534375197488107</v>
      </c>
      <c r="S188" s="86">
        <f t="shared" si="1539"/>
        <v>0.11643095674593273</v>
      </c>
      <c r="T188" s="86">
        <f t="shared" si="1539"/>
        <v>0.33218704887104011</v>
      </c>
      <c r="U188" s="86">
        <f t="shared" si="1539"/>
        <v>0.14634194361316744</v>
      </c>
      <c r="V188" s="86">
        <f t="shared" si="1539"/>
        <v>0.13003864319450398</v>
      </c>
      <c r="W188" s="86">
        <f t="shared" si="1539"/>
        <v>0.38789297303048054</v>
      </c>
      <c r="X188" s="86">
        <f t="shared" si="1539"/>
        <v>0.36202959969776116</v>
      </c>
      <c r="Y188" s="86">
        <f t="shared" si="1539"/>
        <v>0.49993367020827573</v>
      </c>
      <c r="Z188" s="86">
        <f>Z10/Y10-1</f>
        <v>0.39200898372905146</v>
      </c>
      <c r="AA188" s="86">
        <f>AA10/Z10-1</f>
        <v>0.35078987648853954</v>
      </c>
      <c r="AB188" s="87">
        <f t="shared" ref="AA188:AE188" si="1540">AB10/AA10-1</f>
        <v>0.33998813852772214</v>
      </c>
      <c r="AC188" s="87">
        <f t="shared" si="1540"/>
        <v>0.33737481426968774</v>
      </c>
      <c r="AD188" s="87">
        <f t="shared" si="1540"/>
        <v>0.33709431327837214</v>
      </c>
      <c r="AE188" s="87">
        <f t="shared" si="1540"/>
        <v>0.33707991301759899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 t="e">
        <f t="shared" si="1541"/>
        <v>#DIV/0!</v>
      </c>
      <c r="BE188" s="86" t="e">
        <f t="shared" si="1541"/>
        <v>#DIV/0!</v>
      </c>
      <c r="BF188" s="86" t="e">
        <f t="shared" si="1541"/>
        <v>#DIV/0!</v>
      </c>
      <c r="BG188" s="86" t="e">
        <f t="shared" si="1541"/>
        <v>#DIV/0!</v>
      </c>
      <c r="BH188" s="86" t="e">
        <f t="shared" si="1541"/>
        <v>#DIV/0!</v>
      </c>
      <c r="BI188" s="86" t="e">
        <f t="shared" si="1541"/>
        <v>#DIV/0!</v>
      </c>
      <c r="BJ188" s="86" t="e">
        <f t="shared" si="1541"/>
        <v>#DIV/0!</v>
      </c>
      <c r="BK188" s="86" t="e">
        <f t="shared" si="1541"/>
        <v>#DIV/0!</v>
      </c>
      <c r="BL188" s="86" t="e">
        <f t="shared" si="1541"/>
        <v>#DIV/0!</v>
      </c>
      <c r="BM188" s="86" t="e">
        <f t="shared" si="1541"/>
        <v>#DIV/0!</v>
      </c>
      <c r="BN188" s="86" t="e">
        <f t="shared" si="1541"/>
        <v>#DIV/0!</v>
      </c>
      <c r="BO188" s="86" t="e">
        <f t="shared" si="1541"/>
        <v>#DIV/0!</v>
      </c>
      <c r="BP188" s="86" t="e">
        <f t="shared" si="1541"/>
        <v>#DIV/0!</v>
      </c>
      <c r="BQ188" s="86" t="e">
        <f t="shared" si="1541"/>
        <v>#DIV/0!</v>
      </c>
      <c r="BR188" s="86" t="e">
        <f t="shared" si="1541"/>
        <v>#DIV/0!</v>
      </c>
      <c r="BS188" s="86" t="e">
        <f t="shared" si="1541"/>
        <v>#DIV/0!</v>
      </c>
      <c r="BT188" s="86" t="e">
        <f t="shared" si="1541"/>
        <v>#DIV/0!</v>
      </c>
      <c r="BU188" s="86" t="e">
        <f t="shared" si="1541"/>
        <v>#DIV/0!</v>
      </c>
      <c r="BV188" s="86">
        <f t="shared" si="1541"/>
        <v>1.3253846153846154</v>
      </c>
      <c r="BW188" s="86">
        <f t="shared" si="1541"/>
        <v>0.19157429561990358</v>
      </c>
      <c r="BX188" s="86">
        <f t="shared" si="1541"/>
        <v>0.20400883117448099</v>
      </c>
      <c r="BY188" s="86">
        <f t="shared" si="1541"/>
        <v>0.26930497837333545</v>
      </c>
      <c r="BZ188" s="86">
        <f t="shared" si="1541"/>
        <v>0.52225162641967149</v>
      </c>
      <c r="CA188" s="86">
        <f t="shared" si="1541"/>
        <v>0.60395045538833503</v>
      </c>
      <c r="CB188" s="86">
        <f t="shared" si="1541"/>
        <v>0.59025337608960737</v>
      </c>
      <c r="CC188" s="86">
        <f t="shared" si="1541"/>
        <v>0.61760947457216608</v>
      </c>
      <c r="CD188" s="86">
        <f t="shared" si="1541"/>
        <v>0.42749523733638517</v>
      </c>
      <c r="CE188" s="86">
        <f t="shared" si="1541"/>
        <v>0.22722278998467038</v>
      </c>
      <c r="CF188" s="86">
        <f t="shared" si="1541"/>
        <v>0.32723275906139793</v>
      </c>
      <c r="CG188" s="86">
        <f t="shared" si="1541"/>
        <v>0.44603930234719491</v>
      </c>
      <c r="CH188" s="86">
        <f t="shared" si="1541"/>
        <v>0.44987567869285017</v>
      </c>
      <c r="CI188" s="86">
        <f t="shared" si="1541"/>
        <v>0.5310980877928948</v>
      </c>
      <c r="CJ188" s="86">
        <f>+(CJ10+CI10)/(CF10+CE10)-1</f>
        <v>0.37026765614701818</v>
      </c>
      <c r="CK188" s="87"/>
      <c r="CL188" s="86">
        <f>+(CL10+CK10)/(CH10+CG10)-1</f>
        <v>0.33486159865885967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0.35078987648853932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 t="e">
        <f t="shared" ref="J189" si="1548">J186/I186-1</f>
        <v>#DIV/0!</v>
      </c>
      <c r="K189" s="86">
        <f>K186/J186-1</f>
        <v>0.17802588799925889</v>
      </c>
      <c r="L189" s="86">
        <f t="shared" ref="L189" si="1549">L186/K186-1</f>
        <v>1.6049986367452003</v>
      </c>
      <c r="M189" s="86">
        <f t="shared" ref="M189" si="1550">M186/L186-1</f>
        <v>-0.34510247067612809</v>
      </c>
      <c r="N189" s="86">
        <f t="shared" ref="N189" si="1551">N186/M186-1</f>
        <v>-0.50340410364980281</v>
      </c>
      <c r="O189" s="86">
        <f t="shared" ref="O189" si="1552">O186/N186-1</f>
        <v>-0.56939388188837281</v>
      </c>
      <c r="P189" s="86">
        <f t="shared" ref="P189" si="1553">P186/O186-1</f>
        <v>-0.59806325610204103</v>
      </c>
      <c r="Q189" s="86">
        <f t="shared" ref="Q189" si="1554">Q186/P186-1</f>
        <v>-0.62997024115454603</v>
      </c>
      <c r="R189" s="86">
        <f t="shared" ref="R189" si="1555">R186/Q186-1</f>
        <v>-1.0448081593334515</v>
      </c>
      <c r="S189" s="86">
        <f t="shared" ref="S189" si="1556">S186/R186-1</f>
        <v>-40.077346314215255</v>
      </c>
      <c r="T189" s="86">
        <f t="shared" ref="T189" si="1557">T186/S186-1</f>
        <v>0.65740119084716198</v>
      </c>
      <c r="U189" s="86">
        <f t="shared" ref="U189" si="1558">U186/T186-1</f>
        <v>0.13622465658149818</v>
      </c>
      <c r="V189" s="86">
        <f t="shared" ref="V189" si="1559">V186/U186-1</f>
        <v>-0.87651039772907058</v>
      </c>
      <c r="W189" s="86">
        <f t="shared" ref="W189:AA189" si="1560">W186/V186-1</f>
        <v>7.2230000856666745</v>
      </c>
      <c r="X189" s="86">
        <f t="shared" si="1560"/>
        <v>0.64350177341305503</v>
      </c>
      <c r="Y189" s="86">
        <f t="shared" si="1560"/>
        <v>4.1322382295256865E-3</v>
      </c>
      <c r="Z189" s="86">
        <f t="shared" si="1560"/>
        <v>-0.22175364767193551</v>
      </c>
      <c r="AA189" s="86">
        <f t="shared" si="1560"/>
        <v>-0.52514361544166155</v>
      </c>
      <c r="AB189" s="87">
        <f t="shared" ref="AB189" si="1561">AB186/AA186-1</f>
        <v>5.3582700889524881E-2</v>
      </c>
      <c r="AC189" s="87">
        <f t="shared" ref="AC189" si="1562">AC186/AB186-1</f>
        <v>-8.8576040122578803E-5</v>
      </c>
      <c r="AD189" s="87">
        <f t="shared" ref="AD189" si="1563">AD186/AC186-1</f>
        <v>2.6871462584621142E-5</v>
      </c>
      <c r="AE189" s="87">
        <f t="shared" ref="AE189" si="1564">AE186/AD186-1</f>
        <v>6.9111082696693416E-6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 t="e">
        <f t="shared" si="1565"/>
        <v>#DIV/0!</v>
      </c>
      <c r="BG189" s="86" t="e">
        <f t="shared" si="1565"/>
        <v>#DIV/0!</v>
      </c>
      <c r="BH189" s="86" t="e">
        <f t="shared" si="1565"/>
        <v>#DIV/0!</v>
      </c>
      <c r="BI189" s="86" t="e">
        <f t="shared" si="1565"/>
        <v>#DIV/0!</v>
      </c>
      <c r="BJ189" s="86" t="e">
        <f t="shared" si="1565"/>
        <v>#DIV/0!</v>
      </c>
      <c r="BK189" s="86" t="e">
        <f t="shared" si="1565"/>
        <v>#DIV/0!</v>
      </c>
      <c r="BL189" s="86" t="e">
        <f t="shared" si="1565"/>
        <v>#DIV/0!</v>
      </c>
      <c r="BM189" s="86" t="e">
        <f t="shared" si="1565"/>
        <v>#DIV/0!</v>
      </c>
      <c r="BN189" s="86" t="e">
        <f t="shared" si="1565"/>
        <v>#DIV/0!</v>
      </c>
      <c r="BO189" s="86" t="e">
        <f t="shared" si="1565"/>
        <v>#DIV/0!</v>
      </c>
      <c r="BP189" s="86" t="e">
        <f t="shared" si="1565"/>
        <v>#DIV/0!</v>
      </c>
      <c r="BQ189" s="86" t="e">
        <f t="shared" si="1565"/>
        <v>#DIV/0!</v>
      </c>
      <c r="BR189" s="86" t="e">
        <f t="shared" si="1565"/>
        <v>#DIV/0!</v>
      </c>
      <c r="BS189" s="86" t="e">
        <f t="shared" si="1565"/>
        <v>#DIV/0!</v>
      </c>
      <c r="BT189" s="86" t="e">
        <f t="shared" si="1565"/>
        <v>#DIV/0!</v>
      </c>
      <c r="BU189" s="86" t="e">
        <f t="shared" si="1565"/>
        <v>#DIV/0!</v>
      </c>
      <c r="BV189" s="86">
        <f t="shared" si="1565"/>
        <v>2.5209552648691367</v>
      </c>
      <c r="BW189" s="86">
        <f t="shared" si="1565"/>
        <v>2.356485230335545</v>
      </c>
      <c r="BX189" s="86" t="e">
        <f t="shared" si="1565"/>
        <v>#DIV/0!</v>
      </c>
      <c r="BY189" s="86" t="e">
        <f t="shared" si="1565"/>
        <v>#DIV/0!</v>
      </c>
      <c r="BZ189" s="86">
        <f t="shared" si="1565"/>
        <v>0.13535189811290183</v>
      </c>
      <c r="CA189" s="86">
        <f t="shared" si="1565"/>
        <v>0.16553984636965402</v>
      </c>
      <c r="CB189" s="86">
        <f t="shared" si="1565"/>
        <v>-1.0907517392404475E-2</v>
      </c>
      <c r="CC189" s="86">
        <f t="shared" si="1565"/>
        <v>-3.1712514681427884E-3</v>
      </c>
      <c r="CD189" s="86">
        <f t="shared" si="1565"/>
        <v>5.3334060864151711E-2</v>
      </c>
      <c r="CE189" s="86">
        <f t="shared" si="1565"/>
        <v>9.9127720095316452E-2</v>
      </c>
      <c r="CF189" s="86">
        <f t="shared" si="1565"/>
        <v>-0.30239107386683139</v>
      </c>
      <c r="CG189" s="86">
        <f t="shared" si="1565"/>
        <v>-0.29717402108727653</v>
      </c>
      <c r="CH189" s="86">
        <f t="shared" si="1565"/>
        <v>-0.26580346613965666</v>
      </c>
      <c r="CI189" s="86">
        <f t="shared" si="1565"/>
        <v>-0.28460956079621214</v>
      </c>
      <c r="CJ189" s="86">
        <f>+CJ186/CF186-1</f>
        <v>-0.54082124855376423</v>
      </c>
      <c r="CK189" s="87"/>
      <c r="CL189" s="86">
        <f>+CL186/CH186-1</f>
        <v>-0.48536582864347311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-0.49834572622188833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e">
        <f t="shared" si="1566"/>
        <v>#DIV/0!</v>
      </c>
      <c r="K190" s="103" t="str">
        <f t="shared" si="1566"/>
        <v>RF</v>
      </c>
      <c r="L190" s="103">
        <f t="shared" si="1566"/>
        <v>0</v>
      </c>
      <c r="M190" s="103">
        <f t="shared" si="1566"/>
        <v>0</v>
      </c>
      <c r="N190" s="103">
        <f t="shared" si="1566"/>
        <v>0</v>
      </c>
      <c r="O190" s="103">
        <f t="shared" si="1566"/>
        <v>0</v>
      </c>
      <c r="P190" s="103">
        <f t="shared" si="1566"/>
        <v>0</v>
      </c>
      <c r="Q190" s="103">
        <f t="shared" si="1566"/>
        <v>0</v>
      </c>
      <c r="R190" s="103">
        <f t="shared" si="1566"/>
        <v>0</v>
      </c>
      <c r="S190" s="103">
        <f t="shared" si="1566"/>
        <v>0</v>
      </c>
      <c r="T190" s="103" t="str">
        <f t="shared" si="1566"/>
        <v>RF</v>
      </c>
      <c r="U190" s="103">
        <f t="shared" si="1566"/>
        <v>0</v>
      </c>
      <c r="V190" s="103">
        <f>IF(V189&gt;V188,"RF",0)</f>
        <v>0</v>
      </c>
      <c r="W190" s="103" t="str">
        <f t="shared" ref="W190" si="1567">IF(W189&gt;W188,"RF",0)</f>
        <v>RF</v>
      </c>
      <c r="X190" s="103" t="str">
        <f t="shared" ref="X190:Y190" si="1568">IF(X189&gt;X188,"RF",0)</f>
        <v>RF</v>
      </c>
      <c r="Y190" s="103">
        <f t="shared" si="1568"/>
        <v>0</v>
      </c>
      <c r="Z190" s="103">
        <f t="shared" ref="Z190:AA190" si="1569">IF(Z189&gt;Z188,"RF",0)</f>
        <v>0</v>
      </c>
      <c r="AA190" s="103">
        <f t="shared" si="1569"/>
        <v>0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0</v>
      </c>
      <c r="J193" s="23">
        <f t="shared" si="1572"/>
        <v>0.70624029999999993</v>
      </c>
      <c r="K193" s="23">
        <f t="shared" si="1572"/>
        <v>-2.7927014320000003</v>
      </c>
      <c r="L193" s="23">
        <f t="shared" si="1572"/>
        <v>4.013960900000102E-2</v>
      </c>
      <c r="M193" s="23">
        <f t="shared" si="1572"/>
        <v>3.433677000000003</v>
      </c>
      <c r="N193" s="23">
        <f t="shared" si="1572"/>
        <v>1.1954692000000016</v>
      </c>
      <c r="O193" s="23">
        <f t="shared" si="1572"/>
        <v>-7.3892019999999983</v>
      </c>
      <c r="P193" s="23">
        <f t="shared" si="1572"/>
        <v>-9.087132899999995</v>
      </c>
      <c r="Q193" s="23">
        <f t="shared" si="1572"/>
        <v>5.3167213999999987</v>
      </c>
      <c r="R193" s="23">
        <f t="shared" si="1572"/>
        <v>9.5409215000000049</v>
      </c>
      <c r="S193" s="23">
        <f t="shared" si="1572"/>
        <v>7.6706083000000049</v>
      </c>
      <c r="T193" s="23">
        <f t="shared" si="1572"/>
        <v>17.435999999999993</v>
      </c>
      <c r="U193" s="23">
        <f t="shared" si="1572"/>
        <v>16.646000000000011</v>
      </c>
      <c r="V193" s="23">
        <f t="shared" si="1572"/>
        <v>17.45999999999998</v>
      </c>
      <c r="W193" s="23">
        <f t="shared" si="1572"/>
        <v>41.404000000000011</v>
      </c>
      <c r="X193" s="23">
        <f t="shared" si="1572"/>
        <v>61.676999999999978</v>
      </c>
      <c r="Y193" s="23">
        <f t="shared" si="1572"/>
        <v>75.06400000000005</v>
      </c>
      <c r="Z193" s="23">
        <f t="shared" si="1572"/>
        <v>84.637999999999977</v>
      </c>
      <c r="AA193" s="23">
        <f t="shared" ref="AA193" si="1573">AA48</f>
        <v>107.79200000000009</v>
      </c>
      <c r="AB193" s="24">
        <f t="shared" si="1572"/>
        <v>142.21641709383712</v>
      </c>
      <c r="AC193" s="24">
        <f t="shared" si="1572"/>
        <v>207.53544035815281</v>
      </c>
      <c r="AD193" s="24">
        <f t="shared" si="1572"/>
        <v>293.40102982886214</v>
      </c>
      <c r="AE193" s="24">
        <f t="shared" si="1572"/>
        <v>406.85455711468217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0</v>
      </c>
      <c r="BA193" s="23">
        <f t="shared" si="1574"/>
        <v>0</v>
      </c>
      <c r="BB193" s="23">
        <f t="shared" si="1574"/>
        <v>0</v>
      </c>
      <c r="BC193" s="23">
        <f t="shared" si="1574"/>
        <v>0</v>
      </c>
      <c r="BD193" s="23">
        <f t="shared" si="1574"/>
        <v>0</v>
      </c>
      <c r="BE193" s="23">
        <f t="shared" si="1574"/>
        <v>0</v>
      </c>
      <c r="BF193" s="23">
        <f t="shared" si="1574"/>
        <v>0</v>
      </c>
      <c r="BG193" s="23">
        <f t="shared" si="1574"/>
        <v>0</v>
      </c>
      <c r="BH193" s="23">
        <f t="shared" si="1574"/>
        <v>0</v>
      </c>
      <c r="BI193" s="23">
        <f t="shared" si="1574"/>
        <v>0</v>
      </c>
      <c r="BJ193" s="23">
        <f t="shared" si="1574"/>
        <v>0</v>
      </c>
      <c r="BK193" s="23">
        <f t="shared" si="1574"/>
        <v>0</v>
      </c>
      <c r="BL193" s="23">
        <f t="shared" si="1574"/>
        <v>0</v>
      </c>
      <c r="BM193" s="23">
        <f t="shared" si="1574"/>
        <v>0</v>
      </c>
      <c r="BN193" s="23">
        <f t="shared" si="1574"/>
        <v>0</v>
      </c>
      <c r="BO193" s="23">
        <f t="shared" ref="BO193:CT193" si="1575">BO48</f>
        <v>0</v>
      </c>
      <c r="BP193" s="23">
        <f t="shared" si="1575"/>
        <v>0</v>
      </c>
      <c r="BQ193" s="23">
        <f t="shared" si="1575"/>
        <v>0</v>
      </c>
      <c r="BR193" s="23">
        <f t="shared" si="1575"/>
        <v>7.4399999999999995</v>
      </c>
      <c r="BS193" s="23">
        <f t="shared" si="1575"/>
        <v>9.5239999999999956</v>
      </c>
      <c r="BT193" s="23">
        <f t="shared" si="1575"/>
        <v>10.678000000000001</v>
      </c>
      <c r="BU193" s="23">
        <f t="shared" si="1575"/>
        <v>10.419999999999991</v>
      </c>
      <c r="BV193" s="23">
        <f t="shared" si="1575"/>
        <v>10.786</v>
      </c>
      <c r="BW193" s="23">
        <f t="shared" si="1575"/>
        <v>13.886000000000005</v>
      </c>
      <c r="BX193" s="23">
        <f t="shared" si="1575"/>
        <v>16.643999999999998</v>
      </c>
      <c r="BY193" s="23">
        <f t="shared" si="1575"/>
        <v>15.316999999999993</v>
      </c>
      <c r="BZ193" s="23">
        <f t="shared" si="1575"/>
        <v>15.827000000000012</v>
      </c>
      <c r="CA193" s="23">
        <f t="shared" si="1575"/>
        <v>15.576999999999995</v>
      </c>
      <c r="CB193" s="23">
        <f t="shared" si="1575"/>
        <v>18.364999999999991</v>
      </c>
      <c r="CC193" s="23">
        <f t="shared" si="1575"/>
        <v>20.127000000000006</v>
      </c>
      <c r="CD193" s="23">
        <f t="shared" si="1575"/>
        <v>20.995999999999995</v>
      </c>
      <c r="CE193" s="23">
        <f t="shared" si="1575"/>
        <v>17.848999999999986</v>
      </c>
      <c r="CF193" s="23">
        <f t="shared" si="1575"/>
        <v>21.926000000000009</v>
      </c>
      <c r="CG193" s="23">
        <f t="shared" si="1575"/>
        <v>20.973000000000006</v>
      </c>
      <c r="CH193" s="23">
        <f t="shared" si="1575"/>
        <v>23.889000000000014</v>
      </c>
      <c r="CI193" s="23">
        <f t="shared" si="1575"/>
        <v>24.884000000000029</v>
      </c>
      <c r="CJ193" s="23">
        <f t="shared" si="1575"/>
        <v>25.276999999999997</v>
      </c>
      <c r="CK193" s="24">
        <f t="shared" si="1575"/>
        <v>28.666999999999973</v>
      </c>
      <c r="CL193" s="23">
        <f t="shared" ref="CL193" si="1576">CL48</f>
        <v>28.963999999999977</v>
      </c>
      <c r="CM193" s="24">
        <f t="shared" si="1575"/>
        <v>28.901708224869346</v>
      </c>
      <c r="CN193" s="24">
        <f t="shared" si="1575"/>
        <v>34.012489238367316</v>
      </c>
      <c r="CO193" s="24">
        <f t="shared" si="1575"/>
        <v>38.743485042088238</v>
      </c>
      <c r="CP193" s="24">
        <f t="shared" si="1575"/>
        <v>40.558734588512188</v>
      </c>
      <c r="CQ193" s="24">
        <f t="shared" si="1575"/>
        <v>43.183089756636114</v>
      </c>
      <c r="CR193" s="24">
        <f t="shared" si="1575"/>
        <v>49.672720214112488</v>
      </c>
      <c r="CS193" s="24">
        <f t="shared" si="1575"/>
        <v>56.344042742109416</v>
      </c>
      <c r="CT193" s="24">
        <f t="shared" si="1575"/>
        <v>58.335587645294659</v>
      </c>
      <c r="CU193" s="24">
        <f t="shared" ref="CU193:DB193" si="1577">CU48</f>
        <v>61.862059876789637</v>
      </c>
      <c r="CV193" s="24">
        <f t="shared" si="1577"/>
        <v>70.418671565921912</v>
      </c>
      <c r="CW193" s="24">
        <f t="shared" si="1577"/>
        <v>79.305557325593639</v>
      </c>
      <c r="CX193" s="24">
        <f t="shared" si="1577"/>
        <v>81.814741060556884</v>
      </c>
      <c r="CY193" s="24">
        <f t="shared" si="1577"/>
        <v>86.480154237522157</v>
      </c>
      <c r="CZ193" s="24">
        <f t="shared" si="1577"/>
        <v>97.83155603769805</v>
      </c>
      <c r="DA193" s="24">
        <f t="shared" si="1577"/>
        <v>109.63843045818783</v>
      </c>
      <c r="DB193" s="24">
        <f t="shared" si="1577"/>
        <v>112.90441638127373</v>
      </c>
      <c r="DE193" s="123"/>
      <c r="DF193" s="23">
        <v>107.79199999999992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0</v>
      </c>
      <c r="J194" s="23">
        <f t="shared" si="1578"/>
        <v>0.27027430000000002</v>
      </c>
      <c r="K194" s="23">
        <f t="shared" si="1578"/>
        <v>1.2679019</v>
      </c>
      <c r="L194" s="23">
        <f t="shared" si="1578"/>
        <v>1.6611598000000001</v>
      </c>
      <c r="M194" s="23">
        <f t="shared" si="1578"/>
        <v>1.8827107999999999</v>
      </c>
      <c r="N194" s="23">
        <f t="shared" si="1578"/>
        <v>1.6165653</v>
      </c>
      <c r="O194" s="23">
        <f t="shared" si="1578"/>
        <v>1.3709207000000001</v>
      </c>
      <c r="P194" s="23">
        <f t="shared" si="1578"/>
        <v>2.5611896999999999</v>
      </c>
      <c r="Q194" s="23">
        <f t="shared" si="1578"/>
        <v>4.6256708</v>
      </c>
      <c r="R194" s="23">
        <f t="shared" si="1578"/>
        <v>5.4512242999999998</v>
      </c>
      <c r="S194" s="23">
        <f t="shared" si="1578"/>
        <v>6.0891719000000002</v>
      </c>
      <c r="T194" s="23">
        <f t="shared" si="1578"/>
        <v>8.5</v>
      </c>
      <c r="U194" s="23">
        <f t="shared" si="1578"/>
        <v>8.6010000000000009</v>
      </c>
      <c r="V194" s="23">
        <f t="shared" si="1578"/>
        <v>8.7669999999999995</v>
      </c>
      <c r="W194" s="23">
        <f t="shared" si="1578"/>
        <v>13.07</v>
      </c>
      <c r="X194" s="23">
        <f t="shared" si="1578"/>
        <v>15.845000000000001</v>
      </c>
      <c r="Y194" s="23">
        <f t="shared" si="1578"/>
        <v>20.809000000000001</v>
      </c>
      <c r="Z194" s="23">
        <f t="shared" si="1578"/>
        <v>23.826000000000001</v>
      </c>
      <c r="AA194" s="23">
        <f t="shared" ref="AA194" si="1579">AA32</f>
        <v>34.250999999999998</v>
      </c>
      <c r="AB194" s="24">
        <f t="shared" si="1578"/>
        <v>42.112817978050678</v>
      </c>
      <c r="AC194" s="24">
        <f t="shared" si="1578"/>
        <v>38.068962490476622</v>
      </c>
      <c r="AD194" s="24">
        <f t="shared" si="1578"/>
        <v>34.413415550977078</v>
      </c>
      <c r="AE194" s="24">
        <f t="shared" si="1578"/>
        <v>31.108890088099791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0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0</v>
      </c>
      <c r="BM194" s="23">
        <f t="shared" si="1580"/>
        <v>0</v>
      </c>
      <c r="BN194" s="23">
        <f t="shared" si="1580"/>
        <v>0</v>
      </c>
      <c r="BO194" s="23">
        <f t="shared" ref="BO194:CT194" si="1581">BO32</f>
        <v>0</v>
      </c>
      <c r="BP194" s="23">
        <f t="shared" si="1581"/>
        <v>0</v>
      </c>
      <c r="BQ194" s="23">
        <f t="shared" si="1581"/>
        <v>0</v>
      </c>
      <c r="BR194" s="23">
        <f t="shared" si="1581"/>
        <v>2.4910000000000001</v>
      </c>
      <c r="BS194" s="23">
        <f t="shared" si="1581"/>
        <v>3.0230000000000001</v>
      </c>
      <c r="BT194" s="23">
        <f t="shared" si="1581"/>
        <v>3.4820000000000002</v>
      </c>
      <c r="BU194" s="23">
        <f t="shared" si="1581"/>
        <v>3.613</v>
      </c>
      <c r="BV194" s="23">
        <f t="shared" si="1581"/>
        <v>2.952</v>
      </c>
      <c r="BW194" s="23">
        <f t="shared" si="1581"/>
        <v>3.944</v>
      </c>
      <c r="BX194" s="23">
        <f t="shared" si="1581"/>
        <v>3.97</v>
      </c>
      <c r="BY194" s="23">
        <f t="shared" si="1581"/>
        <v>3.9870000000000001</v>
      </c>
      <c r="BZ194" s="23">
        <f t="shared" si="1581"/>
        <v>3.944</v>
      </c>
      <c r="CA194" s="23">
        <f t="shared" si="1581"/>
        <v>4.7119999999999997</v>
      </c>
      <c r="CB194" s="23">
        <f t="shared" si="1581"/>
        <v>5.2329999999999997</v>
      </c>
      <c r="CC194" s="23">
        <f t="shared" si="1581"/>
        <v>5.2789999999999999</v>
      </c>
      <c r="CD194" s="23">
        <f t="shared" si="1581"/>
        <v>5.585</v>
      </c>
      <c r="CE194" s="23">
        <f t="shared" si="1581"/>
        <v>5.5270000000000001</v>
      </c>
      <c r="CF194" s="23">
        <f t="shared" si="1581"/>
        <v>6.0119999999999996</v>
      </c>
      <c r="CG194" s="23">
        <f t="shared" si="1581"/>
        <v>6.226</v>
      </c>
      <c r="CH194" s="23">
        <f t="shared" si="1581"/>
        <v>6.0609999999999999</v>
      </c>
      <c r="CI194" s="23">
        <f t="shared" si="1581"/>
        <v>6.726</v>
      </c>
      <c r="CJ194" s="23">
        <f t="shared" si="1581"/>
        <v>9.4</v>
      </c>
      <c r="CK194" s="24">
        <f t="shared" si="1581"/>
        <v>8.9559999999999995</v>
      </c>
      <c r="CL194" s="23">
        <f t="shared" ref="CL194" si="1582">CL32</f>
        <v>9.1679999999999993</v>
      </c>
      <c r="CM194" s="24">
        <f t="shared" si="1581"/>
        <v>10.930062773540078</v>
      </c>
      <c r="CN194" s="24">
        <f t="shared" si="1581"/>
        <v>10.657659493212631</v>
      </c>
      <c r="CO194" s="24">
        <f t="shared" si="1581"/>
        <v>10.392045153504334</v>
      </c>
      <c r="CP194" s="24">
        <f t="shared" si="1581"/>
        <v>10.133050557793638</v>
      </c>
      <c r="CQ194" s="24">
        <f t="shared" si="1581"/>
        <v>9.8805107262430791</v>
      </c>
      <c r="CR194" s="24">
        <f t="shared" si="1581"/>
        <v>9.6342647907069363</v>
      </c>
      <c r="CS194" s="24">
        <f t="shared" si="1581"/>
        <v>9.3941558922580572</v>
      </c>
      <c r="CT194" s="24">
        <f t="shared" si="1581"/>
        <v>9.160031081268551</v>
      </c>
      <c r="CU194" s="24">
        <f t="shared" ref="CU194:DB194" si="1583">CU32</f>
        <v>8.9317412199807045</v>
      </c>
      <c r="CV194" s="24">
        <f t="shared" si="1583"/>
        <v>8.7091408875060736</v>
      </c>
      <c r="CW194" s="24">
        <f t="shared" si="1583"/>
        <v>8.4920882871922156</v>
      </c>
      <c r="CX194" s="24">
        <f t="shared" si="1583"/>
        <v>8.2804451562980823</v>
      </c>
      <c r="CY194" s="24">
        <f t="shared" si="1583"/>
        <v>8.0740766779204822</v>
      </c>
      <c r="CZ194" s="24">
        <f t="shared" si="1583"/>
        <v>7.8728513951155854</v>
      </c>
      <c r="DA194" s="24">
        <f t="shared" si="1583"/>
        <v>7.6766411271607016</v>
      </c>
      <c r="DB194" s="24">
        <f t="shared" si="1583"/>
        <v>7.4853208879030202</v>
      </c>
      <c r="DE194" s="123"/>
      <c r="DF194" s="23">
        <v>34.25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0</v>
      </c>
      <c r="J195" s="22">
        <f t="shared" si="1584"/>
        <v>0.97651460000000001</v>
      </c>
      <c r="K195" s="22">
        <f t="shared" si="1584"/>
        <v>-1.5247995320000003</v>
      </c>
      <c r="L195" s="22">
        <f t="shared" si="1584"/>
        <v>1.7012994090000011</v>
      </c>
      <c r="M195" s="22">
        <f t="shared" si="1584"/>
        <v>5.3163878000000029</v>
      </c>
      <c r="N195" s="22">
        <f t="shared" si="1584"/>
        <v>2.8120345000000015</v>
      </c>
      <c r="O195" s="22">
        <f t="shared" si="1584"/>
        <v>-6.0182812999999982</v>
      </c>
      <c r="P195" s="22">
        <f t="shared" si="1584"/>
        <v>-6.5259431999999951</v>
      </c>
      <c r="Q195" s="22">
        <f t="shared" si="1584"/>
        <v>9.9423921999999987</v>
      </c>
      <c r="R195" s="22">
        <f t="shared" si="1584"/>
        <v>14.992145800000005</v>
      </c>
      <c r="S195" s="22">
        <f t="shared" si="1584"/>
        <v>13.759780200000005</v>
      </c>
      <c r="T195" s="22">
        <f t="shared" si="1584"/>
        <v>25.935999999999993</v>
      </c>
      <c r="U195" s="22">
        <f t="shared" si="1584"/>
        <v>25.247000000000014</v>
      </c>
      <c r="V195" s="22">
        <f t="shared" si="1584"/>
        <v>26.226999999999979</v>
      </c>
      <c r="W195" s="22">
        <f t="shared" si="1584"/>
        <v>54.474000000000011</v>
      </c>
      <c r="X195" s="22">
        <f t="shared" ref="X195:Y195" si="1585">X193+X194</f>
        <v>77.521999999999977</v>
      </c>
      <c r="Y195" s="22">
        <f t="shared" si="1585"/>
        <v>95.873000000000047</v>
      </c>
      <c r="Z195" s="22">
        <f t="shared" ref="Z195:AA195" si="1586">Z193+Z194</f>
        <v>108.46399999999997</v>
      </c>
      <c r="AA195" s="22">
        <f t="shared" si="1586"/>
        <v>142.04300000000009</v>
      </c>
      <c r="AB195" s="21">
        <f t="shared" ref="AA195:AD195" si="1587">AB193+AB194</f>
        <v>184.32923507188781</v>
      </c>
      <c r="AC195" s="21">
        <f t="shared" si="1587"/>
        <v>245.60440284862943</v>
      </c>
      <c r="AD195" s="21">
        <f t="shared" si="1587"/>
        <v>327.81444537983919</v>
      </c>
      <c r="AE195" s="21">
        <f t="shared" ref="AE195" si="1588">AE193+AE194</f>
        <v>437.96344720278194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0</v>
      </c>
      <c r="BA195" s="22">
        <f t="shared" si="1592"/>
        <v>0</v>
      </c>
      <c r="BB195" s="22">
        <f t="shared" si="1592"/>
        <v>0</v>
      </c>
      <c r="BC195" s="22">
        <f t="shared" si="1592"/>
        <v>0</v>
      </c>
      <c r="BD195" s="22">
        <f t="shared" si="1592"/>
        <v>0</v>
      </c>
      <c r="BE195" s="22">
        <f t="shared" si="1592"/>
        <v>0</v>
      </c>
      <c r="BF195" s="22">
        <f t="shared" si="1592"/>
        <v>0</v>
      </c>
      <c r="BG195" s="22">
        <f t="shared" si="1592"/>
        <v>0</v>
      </c>
      <c r="BH195" s="22">
        <f t="shared" si="1592"/>
        <v>0</v>
      </c>
      <c r="BI195" s="22">
        <f t="shared" si="1592"/>
        <v>0</v>
      </c>
      <c r="BJ195" s="22">
        <f t="shared" si="1592"/>
        <v>0</v>
      </c>
      <c r="BK195" s="22">
        <f t="shared" si="1592"/>
        <v>0</v>
      </c>
      <c r="BL195" s="22">
        <f t="shared" si="1592"/>
        <v>0</v>
      </c>
      <c r="BM195" s="22">
        <f t="shared" si="1592"/>
        <v>0</v>
      </c>
      <c r="BN195" s="22">
        <f t="shared" si="1592"/>
        <v>0</v>
      </c>
      <c r="BO195" s="22">
        <f t="shared" si="1592"/>
        <v>0</v>
      </c>
      <c r="BP195" s="22">
        <f t="shared" si="1592"/>
        <v>0</v>
      </c>
      <c r="BQ195" s="22">
        <f t="shared" si="1592"/>
        <v>0</v>
      </c>
      <c r="BR195" s="22">
        <f t="shared" si="1592"/>
        <v>9.9309999999999992</v>
      </c>
      <c r="BS195" s="22">
        <f t="shared" si="1592"/>
        <v>12.546999999999995</v>
      </c>
      <c r="BT195" s="22">
        <f t="shared" si="1592"/>
        <v>14.16</v>
      </c>
      <c r="BU195" s="22">
        <f t="shared" si="1592"/>
        <v>14.032999999999991</v>
      </c>
      <c r="BV195" s="22">
        <f t="shared" si="1592"/>
        <v>13.738</v>
      </c>
      <c r="BW195" s="22">
        <f t="shared" si="1592"/>
        <v>17.830000000000005</v>
      </c>
      <c r="BX195" s="22">
        <f t="shared" si="1592"/>
        <v>20.613999999999997</v>
      </c>
      <c r="BY195" s="22">
        <f t="shared" si="1592"/>
        <v>19.303999999999995</v>
      </c>
      <c r="BZ195" s="22">
        <f t="shared" si="1592"/>
        <v>19.771000000000011</v>
      </c>
      <c r="CA195" s="22">
        <f t="shared" si="1592"/>
        <v>20.288999999999994</v>
      </c>
      <c r="CB195" s="22">
        <f t="shared" si="1592"/>
        <v>23.597999999999992</v>
      </c>
      <c r="CC195" s="22">
        <f t="shared" si="1592"/>
        <v>25.406000000000006</v>
      </c>
      <c r="CD195" s="22">
        <f t="shared" si="1592"/>
        <v>26.580999999999996</v>
      </c>
      <c r="CE195" s="22">
        <f t="shared" ref="CE195:CF195" si="1593">CE193+CE194</f>
        <v>23.375999999999987</v>
      </c>
      <c r="CF195" s="22">
        <f t="shared" si="1593"/>
        <v>27.938000000000009</v>
      </c>
      <c r="CG195" s="22">
        <f t="shared" ref="CG195:CH195" si="1594">CG193+CG194</f>
        <v>27.199000000000005</v>
      </c>
      <c r="CH195" s="22">
        <f t="shared" si="1594"/>
        <v>29.950000000000014</v>
      </c>
      <c r="CI195" s="22">
        <f t="shared" ref="CI195:CJ195" si="1595">CI193+CI194</f>
        <v>31.610000000000028</v>
      </c>
      <c r="CJ195" s="22">
        <f t="shared" si="1595"/>
        <v>34.677</v>
      </c>
      <c r="CK195" s="21">
        <f t="shared" ref="CK195:DB195" si="1596">CK193+CK194</f>
        <v>37.622999999999976</v>
      </c>
      <c r="CL195" s="22">
        <f t="shared" si="1596"/>
        <v>38.131999999999977</v>
      </c>
      <c r="CM195" s="21">
        <f t="shared" si="1596"/>
        <v>39.831770998409425</v>
      </c>
      <c r="CN195" s="21">
        <f t="shared" si="1596"/>
        <v>44.670148731579943</v>
      </c>
      <c r="CO195" s="21">
        <f t="shared" si="1596"/>
        <v>49.135530195592573</v>
      </c>
      <c r="CP195" s="21">
        <f t="shared" si="1596"/>
        <v>50.691785146305826</v>
      </c>
      <c r="CQ195" s="21">
        <f t="shared" si="1596"/>
        <v>53.063600482879195</v>
      </c>
      <c r="CR195" s="21">
        <f t="shared" si="1596"/>
        <v>59.306985004819424</v>
      </c>
      <c r="CS195" s="21">
        <f t="shared" si="1596"/>
        <v>65.738198634367478</v>
      </c>
      <c r="CT195" s="21">
        <f t="shared" si="1596"/>
        <v>67.495618726563208</v>
      </c>
      <c r="CU195" s="21">
        <f t="shared" si="1596"/>
        <v>70.793801096770338</v>
      </c>
      <c r="CV195" s="21">
        <f t="shared" si="1596"/>
        <v>79.127812453427993</v>
      </c>
      <c r="CW195" s="21">
        <f t="shared" si="1596"/>
        <v>87.797645612785857</v>
      </c>
      <c r="CX195" s="21">
        <f t="shared" si="1596"/>
        <v>90.09518621685497</v>
      </c>
      <c r="CY195" s="21">
        <f t="shared" si="1596"/>
        <v>94.554230915442645</v>
      </c>
      <c r="CZ195" s="21">
        <f t="shared" si="1596"/>
        <v>105.70440743281364</v>
      </c>
      <c r="DA195" s="21">
        <f t="shared" si="1596"/>
        <v>117.31507158534853</v>
      </c>
      <c r="DB195" s="21">
        <f t="shared" si="1596"/>
        <v>120.38973726917675</v>
      </c>
      <c r="DE195" s="126"/>
      <c r="DF195" s="22">
        <v>142.04199999999992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0</v>
      </c>
      <c r="J196" s="23">
        <f>I148-J148+I163+I164-J163-J164</f>
        <v>-10.4783825</v>
      </c>
      <c r="K196" s="23">
        <f>J148-K148+J163+J164-K163-K164</f>
        <v>-1.2705428680000015</v>
      </c>
      <c r="L196" s="23">
        <f t="shared" si="1597"/>
        <v>-26.365581441</v>
      </c>
      <c r="M196" s="23">
        <f t="shared" si="1597"/>
        <v>14.975250109000001</v>
      </c>
      <c r="N196" s="23">
        <f t="shared" si="1597"/>
        <v>1.8248607000000019</v>
      </c>
      <c r="O196" s="23">
        <f t="shared" si="1597"/>
        <v>9.4148873000000002</v>
      </c>
      <c r="P196" s="23">
        <f t="shared" si="1597"/>
        <v>3.0803411999999981</v>
      </c>
      <c r="Q196" s="23">
        <f t="shared" si="1597"/>
        <v>0.46851140000000036</v>
      </c>
      <c r="R196" s="23">
        <f t="shared" si="1597"/>
        <v>-1.3256154999999967</v>
      </c>
      <c r="S196" s="23">
        <f t="shared" si="1597"/>
        <v>-8.1144850000000019</v>
      </c>
      <c r="T196" s="23">
        <f t="shared" si="1597"/>
        <v>-15.566243400000001</v>
      </c>
      <c r="U196" s="23">
        <f t="shared" si="1597"/>
        <v>-12.312000000000005</v>
      </c>
      <c r="V196" s="23">
        <f t="shared" si="1597"/>
        <v>5.7890000000000068</v>
      </c>
      <c r="W196" s="23">
        <f t="shared" si="1597"/>
        <v>-43.829999999999991</v>
      </c>
      <c r="X196" s="23">
        <f t="shared" si="1597"/>
        <v>-45.073000000000022</v>
      </c>
      <c r="Y196" s="23">
        <f t="shared" si="1597"/>
        <v>-61.77799999999997</v>
      </c>
      <c r="Z196" s="23">
        <f t="shared" si="1597"/>
        <v>-41.188000000000009</v>
      </c>
      <c r="AA196" s="23">
        <f t="shared" si="1597"/>
        <v>-97.737999999999971</v>
      </c>
      <c r="AB196" s="24">
        <f t="shared" ref="AB196" si="1598">AA148-AB148+AA163+AA164-AB163-AB164</f>
        <v>-122.91155329071012</v>
      </c>
      <c r="AC196" s="24">
        <f t="shared" ref="AC196" si="1599">AB148-AC148+AB163+AB164-AC163-AC164</f>
        <v>-158.19567597043283</v>
      </c>
      <c r="AD196" s="24">
        <f t="shared" ref="AD196" si="1600">AC148-AD148+AC163+AC164-AD163-AD164</f>
        <v>-211.4690677493013</v>
      </c>
      <c r="AE196" s="24">
        <f t="shared" ref="AE196" si="1601">AD148-AE148+AD163+AD164-AE163-AE164</f>
        <v>-282.72722310910581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 t="e">
        <f t="shared" ref="BA196" si="1617">AZ148-BA148+AZ163+AZ164-BA163-BA164</f>
        <v>#DIV/0!</v>
      </c>
      <c r="BB196" s="23" t="e">
        <f t="shared" ref="BB196" si="1618">BA148-BB148+BA163+BA164-BB163-BB164</f>
        <v>#DIV/0!</v>
      </c>
      <c r="BC196" s="23" t="e">
        <f t="shared" ref="BC196" si="1619">BB148-BC148+BB163+BB164-BC163-BC164</f>
        <v>#DIV/0!</v>
      </c>
      <c r="BD196" s="23" t="e">
        <f t="shared" ref="BD196" si="1620">BC148-BD148+BC163+BC164-BD163-BD164</f>
        <v>#DIV/0!</v>
      </c>
      <c r="BE196" s="23" t="e">
        <f t="shared" ref="BE196" si="1621">BD148-BE148+BD163+BD164-BE163-BE164</f>
        <v>#DIV/0!</v>
      </c>
      <c r="BF196" s="23" t="e">
        <f t="shared" ref="BF196" si="1622">BE148-BF148+BE163+BE164-BF163-BF164</f>
        <v>#DIV/0!</v>
      </c>
      <c r="BG196" s="23" t="e">
        <f t="shared" ref="BG196" si="1623">BF148-BG148+BF163+BF164-BG163-BG164</f>
        <v>#DIV/0!</v>
      </c>
      <c r="BH196" s="23" t="e">
        <f t="shared" ref="BH196" si="1624">BG148-BH148+BG163+BG164-BH163-BH164</f>
        <v>#DIV/0!</v>
      </c>
      <c r="BI196" s="23" t="e">
        <f t="shared" ref="BI196" si="1625">BH148-BI148+BH163+BH164-BI163-BI164</f>
        <v>#DIV/0!</v>
      </c>
      <c r="BJ196" s="23" t="e">
        <f t="shared" ref="BJ196" si="1626">BI148-BJ148+BI163+BI164-BJ163-BJ164</f>
        <v>#DIV/0!</v>
      </c>
      <c r="BK196" s="23" t="e">
        <f t="shared" ref="BK196" si="1627">BJ148-BK148+BJ163+BJ164-BK163-BK164</f>
        <v>#DIV/0!</v>
      </c>
      <c r="BL196" s="23" t="e">
        <f t="shared" ref="BL196" si="1628">BK148-BL148+BK163+BK164-BL163-BL164</f>
        <v>#DIV/0!</v>
      </c>
      <c r="BM196" s="23" t="e">
        <f t="shared" ref="BM196" si="1629">BL148-BM148+BL163+BL164-BM163-BM164</f>
        <v>#DIV/0!</v>
      </c>
      <c r="BN196" s="23" t="e">
        <f t="shared" ref="BN196" si="1630">BM148-BN148+BM163+BM164-BN163-BN164</f>
        <v>#DIV/0!</v>
      </c>
      <c r="BO196" s="23" t="e">
        <f t="shared" ref="BO196" si="1631">BN148-BO148+BN163+BN164-BO163-BO164</f>
        <v>#DIV/0!</v>
      </c>
      <c r="BP196" s="23" t="e">
        <f t="shared" ref="BP196" si="1632">BO148-BP148+BO163+BO164-BP163-BP164</f>
        <v>#DIV/0!</v>
      </c>
      <c r="BQ196" s="23" t="e">
        <f t="shared" ref="BQ196" si="1633">BP148-BQ148+BP163+BP164-BQ163-BQ164</f>
        <v>#DIV/0!</v>
      </c>
      <c r="BR196" s="23" t="e">
        <f t="shared" ref="BR196" si="1634">BQ148-BR148+BQ163+BQ164-BR163-BR164</f>
        <v>#DIV/0!</v>
      </c>
      <c r="BS196" s="23">
        <f t="shared" ref="BS196" si="1635">BR148-BS148+BR163+BR164-BS163-BS164</f>
        <v>-1.5688098461538542</v>
      </c>
      <c r="BT196" s="23">
        <f t="shared" ref="BT196" si="1636">BS148-BT148+BS163+BS164-BT163-BT164</f>
        <v>54.827809846153855</v>
      </c>
      <c r="BU196" s="23">
        <f t="shared" ref="BU196" si="1637">BT148-BU148+BT163+BT164-BU163-BU164</f>
        <v>0</v>
      </c>
      <c r="BV196" s="23">
        <f t="shared" ref="BV196" si="1638">BU148-BV148+BU163+BU164-BV163-BV164</f>
        <v>-94.174999999999983</v>
      </c>
      <c r="BW196" s="23">
        <f t="shared" ref="BW196" si="1639">BV148-BW148+BV163+BV164-BW163-BW164</f>
        <v>-6.96849961447802</v>
      </c>
      <c r="BX196" s="23">
        <f t="shared" ref="BX196" si="1640">BW148-BX148+BW163+BW164-BX163-BX164</f>
        <v>-23.52250038552199</v>
      </c>
      <c r="BY196" s="23">
        <f t="shared" ref="BY196" si="1641">BX148-BY148+BX163+BX164-BY163-BY164</f>
        <v>-2.9710221238181727</v>
      </c>
      <c r="BZ196" s="23">
        <f t="shared" ref="BZ196" si="1642">BY148-BZ148+BY163+BY164-BZ163-BZ164</f>
        <v>-9.6239778761818258</v>
      </c>
      <c r="CA196" s="23">
        <f t="shared" ref="CA196" si="1643">BZ148-CA148+BZ163+BZ164-CA163-CA164</f>
        <v>-2.6108500605382114</v>
      </c>
      <c r="CB196" s="23">
        <f t="shared" ref="CB196" si="1644">CA148-CB148+CA163+CA164-CB163-CB164</f>
        <v>-39.072149939461781</v>
      </c>
      <c r="CC196" s="23">
        <f t="shared" ref="CC196" si="1645">CB148-CC148+CB163+CB164-CC163-CC164</f>
        <v>-1.1965688058151329</v>
      </c>
      <c r="CD196" s="23">
        <f t="shared" ref="CD196" si="1646">CC148-CD148+CC163+CC164-CD163-CD164</f>
        <v>-10.606431194184871</v>
      </c>
      <c r="CE196" s="23">
        <f t="shared" ref="CE196" si="1647">CD148-CE148+CD163+CD164-CE163-CE164</f>
        <v>7.7250331019540113</v>
      </c>
      <c r="CF196" s="23">
        <f t="shared" ref="CF196" si="1648">CE148-CF148+CE163+CE164-CF163-CF164</f>
        <v>-32.743033101954033</v>
      </c>
      <c r="CG196" s="23">
        <f t="shared" ref="CG196" si="1649">CF148-CG148+CF163+CF164-CG163-CG164</f>
        <v>2.0169037502832907</v>
      </c>
      <c r="CH196" s="23">
        <f t="shared" ref="CH196:CL196" si="1650">CG148-CH148+CG163+CG164-CH163-CH164</f>
        <v>-18.000903750283271</v>
      </c>
      <c r="CI196" s="23">
        <f t="shared" si="1650"/>
        <v>-0.69882248411934711</v>
      </c>
      <c r="CJ196" s="23">
        <f t="shared" si="1650"/>
        <v>-55.127177515880682</v>
      </c>
      <c r="CK196" s="24">
        <f t="shared" ref="CK196" si="1651">CJ148-CK148+CJ163+CJ164-CK163-CK164</f>
        <v>-26.367249284164814</v>
      </c>
      <c r="CL196" s="23">
        <f t="shared" si="1650"/>
        <v>-20.389750715835163</v>
      </c>
      <c r="CM196" s="24">
        <f t="shared" ref="CM196" si="1652">CL148-CM148+CL163+CL164-CM163-CM164</f>
        <v>-15.812139382285409</v>
      </c>
      <c r="CN196" s="24">
        <f t="shared" ref="CN196" si="1653">CM148-CN148+CM163+CM164-CN163-CN164</f>
        <v>-46.330235167467208</v>
      </c>
      <c r="CO196" s="24">
        <f t="shared" ref="CO196" si="1654">CN148-CO148+CN163+CN164-CO163-CO164</f>
        <v>-44.067381295846474</v>
      </c>
      <c r="CP196" s="24">
        <f t="shared" ref="CP196" si="1655">CO148-CP148+CO163+CO164-CP163-CP164</f>
        <v>-11.856797445110999</v>
      </c>
      <c r="CQ196" s="24">
        <f t="shared" ref="CQ196" si="1656">CP148-CQ148+CP163+CP164-CQ163-CQ164</f>
        <v>-22.932969865969142</v>
      </c>
      <c r="CR196" s="24">
        <f t="shared" ref="CR196" si="1657">CQ148-CR148+CQ163+CQ164-CR163-CR164</f>
        <v>-58.959751128779153</v>
      </c>
      <c r="CS196" s="24">
        <f t="shared" ref="CS196" si="1658">CR148-CS148+CR163+CR164-CS163-CS164</f>
        <v>-60.689829113508729</v>
      </c>
      <c r="CT196" s="24">
        <f t="shared" ref="CT196" si="1659">CS148-CT148+CS163+CS164-CT163-CT164</f>
        <v>-15.613125862175821</v>
      </c>
      <c r="CU196" s="24">
        <f t="shared" ref="CU196" si="1660">CT148-CU148+CT163+CT164-CU163-CU164</f>
        <v>-30.776041794167213</v>
      </c>
      <c r="CV196" s="24">
        <f t="shared" ref="CV196" si="1661">CU148-CV148+CU163+CU164-CV163-CV164</f>
        <v>-78.332924219063671</v>
      </c>
      <c r="CW196" s="24">
        <f t="shared" ref="CW196" si="1662">CV148-CW148+CV163+CV164-CW163-CW164</f>
        <v>-81.563615984991884</v>
      </c>
      <c r="CX196" s="24">
        <f t="shared" ref="CX196" si="1663">CW148-CX148+CW163+CW164-CX163-CX164</f>
        <v>-20.796485751078535</v>
      </c>
      <c r="CY196" s="24">
        <f t="shared" ref="CY196" si="1664">CX148-CY148+CX163+CX164-CY163-CY164</f>
        <v>-41.130829619751012</v>
      </c>
      <c r="CZ196" s="24">
        <f t="shared" ref="CZ196" si="1665">CY148-CZ148+CY163+CY164-CZ163-CZ164</f>
        <v>-104.66912864128608</v>
      </c>
      <c r="DA196" s="24">
        <f t="shared" ref="DA196" si="1666">CZ148-DA148+CZ163+CZ164-DA163-DA164</f>
        <v>-109.14870660290421</v>
      </c>
      <c r="DB196" s="24">
        <f t="shared" ref="DB196" si="1667">DA148-DB148+DA163+DA164-DB163-DB164</f>
        <v>-27.778558245164504</v>
      </c>
      <c r="DE196" s="123"/>
      <c r="DF196" s="23">
        <v>-102.58299999999997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0</v>
      </c>
      <c r="J197" s="23">
        <f>I156-J156</f>
        <v>-4.8546882</v>
      </c>
      <c r="K197" s="23">
        <f>J156-K156</f>
        <v>-1.2245319000000006</v>
      </c>
      <c r="L197" s="23">
        <f t="shared" si="1668"/>
        <v>1.8158270000000005</v>
      </c>
      <c r="M197" s="23">
        <f t="shared" si="1668"/>
        <v>0.61608860000000032</v>
      </c>
      <c r="N197" s="23">
        <f t="shared" si="1668"/>
        <v>-1.2388836999999997</v>
      </c>
      <c r="O197" s="23">
        <f t="shared" si="1668"/>
        <v>-0.12676220000000082</v>
      </c>
      <c r="P197" s="23">
        <f t="shared" si="1668"/>
        <v>0.98723169999999971</v>
      </c>
      <c r="Q197" s="23">
        <f t="shared" si="1668"/>
        <v>-2.2642530000000001</v>
      </c>
      <c r="R197" s="23">
        <f t="shared" si="1668"/>
        <v>-4.6646352999999987</v>
      </c>
      <c r="S197" s="23">
        <f t="shared" si="1668"/>
        <v>0.98103060000000042</v>
      </c>
      <c r="T197" s="23">
        <f t="shared" si="1668"/>
        <v>-6.0274236000000023</v>
      </c>
      <c r="U197" s="23">
        <f t="shared" si="1668"/>
        <v>-7.4159999999999968</v>
      </c>
      <c r="V197" s="23">
        <f t="shared" si="1668"/>
        <v>-14.616000000000003</v>
      </c>
      <c r="W197" s="23">
        <f t="shared" si="1668"/>
        <v>-10.823</v>
      </c>
      <c r="X197" s="23">
        <f t="shared" si="1668"/>
        <v>-0.46000000000000085</v>
      </c>
      <c r="Y197" s="23">
        <f t="shared" si="1668"/>
        <v>-24.415999999999997</v>
      </c>
      <c r="Z197" s="23">
        <f t="shared" si="1668"/>
        <v>-35.646999999999991</v>
      </c>
      <c r="AA197" s="23">
        <f t="shared" si="1668"/>
        <v>-150.92300000000003</v>
      </c>
      <c r="AB197" s="24">
        <f t="shared" ref="AB197" si="1669">AA156-AB156</f>
        <v>-87.558290469169265</v>
      </c>
      <c r="AC197" s="24">
        <f t="shared" ref="AC197" si="1670">AB156-AC156</f>
        <v>-117.31809357964562</v>
      </c>
      <c r="AD197" s="24">
        <f t="shared" ref="AD197" si="1671">AC156-AD156</f>
        <v>-156.8257016332725</v>
      </c>
      <c r="AE197" s="24">
        <f t="shared" ref="AE197" si="1672">AD156-AE156</f>
        <v>-209.67083085397849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 t="e">
        <f t="shared" ref="BA197" si="1691">AZ156-BA156</f>
        <v>#DIV/0!</v>
      </c>
      <c r="BB197" s="23" t="e">
        <f t="shared" ref="BB197" si="1692">BA156-BB156</f>
        <v>#DIV/0!</v>
      </c>
      <c r="BC197" s="23" t="e">
        <f t="shared" ref="BC197" si="1693">BB156-BC156</f>
        <v>#DIV/0!</v>
      </c>
      <c r="BD197" s="23" t="e">
        <f t="shared" ref="BD197" si="1694">BC156-BD156</f>
        <v>#DIV/0!</v>
      </c>
      <c r="BE197" s="23" t="e">
        <f t="shared" ref="BE197" si="1695">BD156-BE156</f>
        <v>#DIV/0!</v>
      </c>
      <c r="BF197" s="23" t="e">
        <f t="shared" ref="BF197" si="1696">BE156-BF156</f>
        <v>#DIV/0!</v>
      </c>
      <c r="BG197" s="23" t="e">
        <f t="shared" ref="BG197" si="1697">BF156-BG156</f>
        <v>#DIV/0!</v>
      </c>
      <c r="BH197" s="23" t="e">
        <f t="shared" ref="BH197" si="1698">BG156-BH156</f>
        <v>#DIV/0!</v>
      </c>
      <c r="BI197" s="23" t="e">
        <f t="shared" ref="BI197" si="1699">BH156-BI156</f>
        <v>#DIV/0!</v>
      </c>
      <c r="BJ197" s="23" t="e">
        <f t="shared" ref="BJ197" si="1700">BI156-BJ156</f>
        <v>#DIV/0!</v>
      </c>
      <c r="BK197" s="23" t="e">
        <f t="shared" ref="BK197" si="1701">BJ156-BK156</f>
        <v>#DIV/0!</v>
      </c>
      <c r="BL197" s="23" t="e">
        <f t="shared" ref="BL197" si="1702">BK156-BL156</f>
        <v>#DIV/0!</v>
      </c>
      <c r="BM197" s="23" t="e">
        <f t="shared" ref="BM197" si="1703">BL156-BM156</f>
        <v>#DIV/0!</v>
      </c>
      <c r="BN197" s="23" t="e">
        <f t="shared" ref="BN197" si="1704">BM156-BN156</f>
        <v>#DIV/0!</v>
      </c>
      <c r="BO197" s="23" t="e">
        <f t="shared" ref="BO197" si="1705">BN156-BO156</f>
        <v>#DIV/0!</v>
      </c>
      <c r="BP197" s="23" t="e">
        <f t="shared" ref="BP197" si="1706">BO156-BP156</f>
        <v>#DIV/0!</v>
      </c>
      <c r="BQ197" s="23" t="e">
        <f t="shared" ref="BQ197" si="1707">BP156-BQ156</f>
        <v>#DIV/0!</v>
      </c>
      <c r="BR197" s="23" t="e">
        <f t="shared" ref="BR197" si="1708">BQ156-BR156</f>
        <v>#DIV/0!</v>
      </c>
      <c r="BS197" s="23">
        <f t="shared" ref="BS197" si="1709">BR156-BS156</f>
        <v>-0.35123507692307498</v>
      </c>
      <c r="BT197" s="23">
        <f t="shared" ref="BT197" si="1710">BS156-BT156</f>
        <v>43.478235076923077</v>
      </c>
      <c r="BU197" s="23">
        <f t="shared" ref="BU197" si="1711">BT156-BU156</f>
        <v>0</v>
      </c>
      <c r="BV197" s="23">
        <f t="shared" ref="BV197" si="1712">BU156-BV156</f>
        <v>-48.855000000000004</v>
      </c>
      <c r="BW197" s="23">
        <f t="shared" ref="BW197" si="1713">BV156-BW156</f>
        <v>-2.1602484083448985</v>
      </c>
      <c r="BX197" s="23">
        <f t="shared" ref="BX197" si="1714">BW156-BX156</f>
        <v>-2.4757515916550972</v>
      </c>
      <c r="BY197" s="23">
        <f t="shared" ref="BY197" si="1715">BX156-BY156</f>
        <v>-0.30895881276821058</v>
      </c>
      <c r="BZ197" s="23">
        <f t="shared" ref="BZ197" si="1716">BY156-BZ156</f>
        <v>4.4839588127682077</v>
      </c>
      <c r="CA197" s="23">
        <f t="shared" ref="CA197" si="1717">BZ156-CA156</f>
        <v>-0.69668057960447527</v>
      </c>
      <c r="CB197" s="23">
        <f t="shared" ref="CB197" si="1718">CA156-CB156</f>
        <v>-14.459319420395516</v>
      </c>
      <c r="CC197" s="23">
        <f t="shared" ref="CC197" si="1719">CB156-CC156</f>
        <v>-0.15740143302180343</v>
      </c>
      <c r="CD197" s="23">
        <f t="shared" ref="CD197" si="1720">CC156-CD156</f>
        <v>-9.1025985669782017</v>
      </c>
      <c r="CE197" s="23">
        <f t="shared" ref="CE197" si="1721">CD156-CE156</f>
        <v>1.7426122457167992</v>
      </c>
      <c r="CF197" s="23">
        <f t="shared" ref="CF197" si="1722">CE156-CF156</f>
        <v>-29.697612245716797</v>
      </c>
      <c r="CG197" s="23">
        <f t="shared" ref="CG197" si="1723">CF156-CG156</f>
        <v>0.57734246827554614</v>
      </c>
      <c r="CH197" s="23">
        <f t="shared" ref="CH197:CL197" si="1724">CG156-CH156</f>
        <v>-8.2693424682755392</v>
      </c>
      <c r="CI197" s="23">
        <f t="shared" si="1724"/>
        <v>-0.31426253259529346</v>
      </c>
      <c r="CJ197" s="23">
        <f t="shared" si="1724"/>
        <v>-123.0067374674047</v>
      </c>
      <c r="CK197" s="24">
        <f t="shared" ref="CK197" si="1725">CJ156-CK156</f>
        <v>-20.372607375271144</v>
      </c>
      <c r="CL197" s="23">
        <f t="shared" si="1724"/>
        <v>-7.229392624728888</v>
      </c>
      <c r="CM197" s="24">
        <f t="shared" ref="CM197" si="1726">CL156-CM156</f>
        <v>-11.726300585434956</v>
      </c>
      <c r="CN197" s="24">
        <f t="shared" ref="CN197" si="1727">CM156-CN156</f>
        <v>-34.358555198182444</v>
      </c>
      <c r="CO197" s="24">
        <f t="shared" ref="CO197" si="1728">CN156-CO156</f>
        <v>-32.680420188237747</v>
      </c>
      <c r="CP197" s="24">
        <f t="shared" ref="CP197" si="1729">CO156-CP156</f>
        <v>-8.7930144973141182</v>
      </c>
      <c r="CQ197" s="24">
        <f t="shared" ref="CQ197" si="1730">CP156-CQ156</f>
        <v>-17.007116587041367</v>
      </c>
      <c r="CR197" s="24">
        <f t="shared" ref="CR197" si="1731">CQ156-CR156</f>
        <v>-43.724618627702114</v>
      </c>
      <c r="CS197" s="24">
        <f t="shared" ref="CS197" si="1732">CR156-CS156</f>
        <v>-45.007646432776482</v>
      </c>
      <c r="CT197" s="24">
        <f t="shared" ref="CT197" si="1733">CS156-CT156</f>
        <v>-11.578711932125657</v>
      </c>
      <c r="CU197" s="24">
        <f t="shared" ref="CU197" si="1734">CT156-CU156</f>
        <v>-22.823547666966761</v>
      </c>
      <c r="CV197" s="24">
        <f t="shared" ref="CV197" si="1735">CU156-CV156</f>
        <v>-58.091785869147316</v>
      </c>
      <c r="CW197" s="24">
        <f t="shared" ref="CW197" si="1736">CV156-CW156</f>
        <v>-60.487670564459677</v>
      </c>
      <c r="CX197" s="24">
        <f t="shared" ref="CX197" si="1737">CW156-CX156</f>
        <v>-15.422697532698749</v>
      </c>
      <c r="CY197" s="24">
        <f t="shared" ref="CY197" si="1738">CX156-CY156</f>
        <v>-30.502670118747574</v>
      </c>
      <c r="CZ197" s="24">
        <f t="shared" ref="CZ197" si="1739">CY156-CZ156</f>
        <v>-77.622745081436165</v>
      </c>
      <c r="DA197" s="24">
        <f t="shared" ref="DA197" si="1740">CZ156-DA156</f>
        <v>-80.944805202704174</v>
      </c>
      <c r="DB197" s="24">
        <f t="shared" ref="DB197" si="1741">DA156-DB156</f>
        <v>-20.600610451090574</v>
      </c>
      <c r="DE197" s="123"/>
      <c r="DF197" s="23">
        <v>-150.92300000000003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0</v>
      </c>
      <c r="J198" s="22">
        <f>J196-J197</f>
        <v>-5.6236943000000004</v>
      </c>
      <c r="K198" s="22">
        <f t="shared" si="1742"/>
        <v>-4.6010968000000929E-2</v>
      </c>
      <c r="L198" s="22">
        <f t="shared" si="1742"/>
        <v>-28.181408441000002</v>
      </c>
      <c r="M198" s="22">
        <f t="shared" si="1742"/>
        <v>14.359161509</v>
      </c>
      <c r="N198" s="22">
        <f t="shared" si="1742"/>
        <v>3.0637444000000018</v>
      </c>
      <c r="O198" s="22">
        <f t="shared" si="1742"/>
        <v>9.5416495000000019</v>
      </c>
      <c r="P198" s="22">
        <f t="shared" si="1742"/>
        <v>2.0931094999999984</v>
      </c>
      <c r="Q198" s="22">
        <f t="shared" si="1742"/>
        <v>2.7327644000000006</v>
      </c>
      <c r="R198" s="22">
        <f t="shared" si="1742"/>
        <v>3.3390198000000018</v>
      </c>
      <c r="S198" s="22">
        <f t="shared" si="1742"/>
        <v>-9.0955156000000024</v>
      </c>
      <c r="T198" s="22">
        <f t="shared" si="1742"/>
        <v>-9.5388197999999988</v>
      </c>
      <c r="U198" s="22">
        <f t="shared" si="1742"/>
        <v>-4.8960000000000079</v>
      </c>
      <c r="V198" s="22">
        <f t="shared" si="1742"/>
        <v>20.405000000000008</v>
      </c>
      <c r="W198" s="22">
        <f t="shared" si="1742"/>
        <v>-33.006999999999991</v>
      </c>
      <c r="X198" s="22">
        <f t="shared" ref="X198:Y198" si="1743">X196-X197</f>
        <v>-44.613000000000021</v>
      </c>
      <c r="Y198" s="22">
        <f t="shared" si="1743"/>
        <v>-37.361999999999973</v>
      </c>
      <c r="Z198" s="22">
        <f t="shared" ref="Z198:AA198" si="1744">Z196-Z197</f>
        <v>-5.5410000000000181</v>
      </c>
      <c r="AA198" s="22">
        <f t="shared" si="1744"/>
        <v>53.185000000000059</v>
      </c>
      <c r="AB198" s="21">
        <f t="shared" ref="AA198:AD198" si="1745">AB196-AB197</f>
        <v>-35.353262821540852</v>
      </c>
      <c r="AC198" s="21">
        <f t="shared" si="1745"/>
        <v>-40.877582390787211</v>
      </c>
      <c r="AD198" s="21">
        <f t="shared" si="1745"/>
        <v>-54.643366116028801</v>
      </c>
      <c r="AE198" s="21">
        <f t="shared" ref="AE198" si="1746">AE196-AE197</f>
        <v>-73.056392255127321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 t="e">
        <f t="shared" si="1750"/>
        <v>#DIV/0!</v>
      </c>
      <c r="BB198" s="22" t="e">
        <f t="shared" si="1750"/>
        <v>#DIV/0!</v>
      </c>
      <c r="BC198" s="22" t="e">
        <f t="shared" si="1750"/>
        <v>#DIV/0!</v>
      </c>
      <c r="BD198" s="22" t="e">
        <f t="shared" si="1750"/>
        <v>#DIV/0!</v>
      </c>
      <c r="BE198" s="22" t="e">
        <f t="shared" si="1750"/>
        <v>#DIV/0!</v>
      </c>
      <c r="BF198" s="22" t="e">
        <f t="shared" si="1750"/>
        <v>#DIV/0!</v>
      </c>
      <c r="BG198" s="22" t="e">
        <f t="shared" si="1750"/>
        <v>#DIV/0!</v>
      </c>
      <c r="BH198" s="22" t="e">
        <f t="shared" si="1750"/>
        <v>#DIV/0!</v>
      </c>
      <c r="BI198" s="22" t="e">
        <f t="shared" si="1750"/>
        <v>#DIV/0!</v>
      </c>
      <c r="BJ198" s="22" t="e">
        <f t="shared" si="1750"/>
        <v>#DIV/0!</v>
      </c>
      <c r="BK198" s="22" t="e">
        <f t="shared" si="1750"/>
        <v>#DIV/0!</v>
      </c>
      <c r="BL198" s="22" t="e">
        <f t="shared" si="1750"/>
        <v>#DIV/0!</v>
      </c>
      <c r="BM198" s="22" t="e">
        <f t="shared" si="1750"/>
        <v>#DIV/0!</v>
      </c>
      <c r="BN198" s="22" t="e">
        <f t="shared" si="1750"/>
        <v>#DIV/0!</v>
      </c>
      <c r="BO198" s="22" t="e">
        <f t="shared" si="1750"/>
        <v>#DIV/0!</v>
      </c>
      <c r="BP198" s="22" t="e">
        <f t="shared" si="1750"/>
        <v>#DIV/0!</v>
      </c>
      <c r="BQ198" s="22" t="e">
        <f t="shared" si="1750"/>
        <v>#DIV/0!</v>
      </c>
      <c r="BR198" s="22" t="e">
        <f t="shared" si="1750"/>
        <v>#DIV/0!</v>
      </c>
      <c r="BS198" s="22">
        <f t="shared" si="1750"/>
        <v>-1.2175747692307792</v>
      </c>
      <c r="BT198" s="22">
        <f t="shared" si="1750"/>
        <v>11.349574769230777</v>
      </c>
      <c r="BU198" s="22">
        <f t="shared" si="1750"/>
        <v>0</v>
      </c>
      <c r="BV198" s="22">
        <f t="shared" si="1750"/>
        <v>-45.319999999999979</v>
      </c>
      <c r="BW198" s="22">
        <f t="shared" si="1750"/>
        <v>-4.8082512061331215</v>
      </c>
      <c r="BX198" s="22">
        <f t="shared" si="1750"/>
        <v>-21.046748793866893</v>
      </c>
      <c r="BY198" s="22">
        <f t="shared" si="1750"/>
        <v>-2.6620633110499621</v>
      </c>
      <c r="BZ198" s="22">
        <f t="shared" si="1750"/>
        <v>-14.107936688950033</v>
      </c>
      <c r="CA198" s="22">
        <f t="shared" si="1750"/>
        <v>-1.9141694809337362</v>
      </c>
      <c r="CB198" s="22">
        <f t="shared" si="1750"/>
        <v>-24.612830519066264</v>
      </c>
      <c r="CC198" s="22">
        <f t="shared" si="1750"/>
        <v>-1.0391673727933295</v>
      </c>
      <c r="CD198" s="22">
        <f t="shared" si="1750"/>
        <v>-1.5038326272066698</v>
      </c>
      <c r="CE198" s="22">
        <f t="shared" ref="CE198:CF198" si="1751">CE196-CE197</f>
        <v>5.9824208562372121</v>
      </c>
      <c r="CF198" s="22">
        <f t="shared" si="1751"/>
        <v>-3.0454208562372358</v>
      </c>
      <c r="CG198" s="22">
        <f t="shared" ref="CG198:CH198" si="1752">CG196-CG197</f>
        <v>1.4395612820077446</v>
      </c>
      <c r="CH198" s="22">
        <f t="shared" si="1752"/>
        <v>-9.731561282007732</v>
      </c>
      <c r="CI198" s="22">
        <f t="shared" ref="CI198:CJ198" si="1753">CI196-CI197</f>
        <v>-0.38455995152405364</v>
      </c>
      <c r="CJ198" s="22">
        <f t="shared" si="1753"/>
        <v>67.879559951524016</v>
      </c>
      <c r="CK198" s="21">
        <f t="shared" ref="CK198:DB198" si="1754">CK196-CK197</f>
        <v>-5.9946419088936693</v>
      </c>
      <c r="CL198" s="22">
        <f t="shared" si="1754"/>
        <v>-13.160358091106275</v>
      </c>
      <c r="CM198" s="21">
        <f t="shared" si="1754"/>
        <v>-4.085838796850453</v>
      </c>
      <c r="CN198" s="21">
        <f t="shared" si="1754"/>
        <v>-11.971679969284764</v>
      </c>
      <c r="CO198" s="21">
        <f t="shared" si="1754"/>
        <v>-11.386961107608727</v>
      </c>
      <c r="CP198" s="21">
        <f t="shared" si="1754"/>
        <v>-3.0637829477968808</v>
      </c>
      <c r="CQ198" s="21">
        <f t="shared" si="1754"/>
        <v>-5.9258532789277751</v>
      </c>
      <c r="CR198" s="21">
        <f t="shared" si="1754"/>
        <v>-15.23513250107704</v>
      </c>
      <c r="CS198" s="21">
        <f t="shared" si="1754"/>
        <v>-15.682182680732247</v>
      </c>
      <c r="CT198" s="21">
        <f t="shared" si="1754"/>
        <v>-4.0344139300501638</v>
      </c>
      <c r="CU198" s="21">
        <f t="shared" si="1754"/>
        <v>-7.9524941272004526</v>
      </c>
      <c r="CV198" s="21">
        <f t="shared" si="1754"/>
        <v>-20.241138349916355</v>
      </c>
      <c r="CW198" s="21">
        <f t="shared" si="1754"/>
        <v>-21.075945420532207</v>
      </c>
      <c r="CX198" s="21">
        <f t="shared" si="1754"/>
        <v>-5.3737882183797865</v>
      </c>
      <c r="CY198" s="21">
        <f t="shared" si="1754"/>
        <v>-10.628159501003438</v>
      </c>
      <c r="CZ198" s="21">
        <f t="shared" si="1754"/>
        <v>-27.046383559849914</v>
      </c>
      <c r="DA198" s="21">
        <f t="shared" si="1754"/>
        <v>-28.203901400200039</v>
      </c>
      <c r="DB198" s="21">
        <f t="shared" si="1754"/>
        <v>-7.1779477940739298</v>
      </c>
      <c r="DE198" s="126"/>
      <c r="DF198" s="22">
        <v>48.34000000000006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0</v>
      </c>
      <c r="J199" s="22">
        <f>J195+J198</f>
        <v>-4.6471797000000006</v>
      </c>
      <c r="K199" s="22">
        <f t="shared" si="1755"/>
        <v>-1.5708105000000012</v>
      </c>
      <c r="L199" s="22">
        <f t="shared" si="1755"/>
        <v>-26.480109032000001</v>
      </c>
      <c r="M199" s="22">
        <f t="shared" si="1755"/>
        <v>19.675549309000004</v>
      </c>
      <c r="N199" s="22">
        <f t="shared" si="1755"/>
        <v>5.8757789000000038</v>
      </c>
      <c r="O199" s="22">
        <f t="shared" si="1755"/>
        <v>3.5233682000000037</v>
      </c>
      <c r="P199" s="22">
        <f t="shared" si="1755"/>
        <v>-4.4328336999999962</v>
      </c>
      <c r="Q199" s="22">
        <f t="shared" si="1755"/>
        <v>12.675156599999999</v>
      </c>
      <c r="R199" s="22">
        <f t="shared" si="1755"/>
        <v>18.331165600000006</v>
      </c>
      <c r="S199" s="22">
        <f t="shared" si="1755"/>
        <v>4.6642646000000028</v>
      </c>
      <c r="T199" s="22">
        <f t="shared" si="1755"/>
        <v>16.397180199999994</v>
      </c>
      <c r="U199" s="22">
        <f t="shared" si="1755"/>
        <v>20.351000000000006</v>
      </c>
      <c r="V199" s="22">
        <f t="shared" si="1755"/>
        <v>46.631999999999991</v>
      </c>
      <c r="W199" s="22">
        <f t="shared" si="1755"/>
        <v>21.46700000000002</v>
      </c>
      <c r="X199" s="22">
        <f t="shared" ref="X199:Y199" si="1756">X195+X198</f>
        <v>32.908999999999956</v>
      </c>
      <c r="Y199" s="22">
        <f t="shared" si="1756"/>
        <v>58.511000000000074</v>
      </c>
      <c r="Z199" s="22">
        <f t="shared" ref="Z199:AA199" si="1757">Z195+Z198</f>
        <v>102.92299999999994</v>
      </c>
      <c r="AA199" s="22">
        <f t="shared" si="1757"/>
        <v>195.22800000000015</v>
      </c>
      <c r="AB199" s="21">
        <f t="shared" ref="AA199:AD199" si="1758">AB195+AB198</f>
        <v>148.97597225034696</v>
      </c>
      <c r="AC199" s="21">
        <f t="shared" si="1758"/>
        <v>204.72682045784222</v>
      </c>
      <c r="AD199" s="21">
        <f t="shared" si="1758"/>
        <v>273.17107926381038</v>
      </c>
      <c r="AE199" s="21">
        <f t="shared" ref="AE199" si="1759">AE195+AE198</f>
        <v>364.90705494765461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 t="e">
        <f t="shared" si="1763"/>
        <v>#DIV/0!</v>
      </c>
      <c r="BB199" s="22" t="e">
        <f t="shared" si="1763"/>
        <v>#DIV/0!</v>
      </c>
      <c r="BC199" s="22" t="e">
        <f t="shared" si="1763"/>
        <v>#DIV/0!</v>
      </c>
      <c r="BD199" s="22" t="e">
        <f t="shared" si="1763"/>
        <v>#DIV/0!</v>
      </c>
      <c r="BE199" s="22" t="e">
        <f t="shared" si="1763"/>
        <v>#DIV/0!</v>
      </c>
      <c r="BF199" s="22" t="e">
        <f t="shared" si="1763"/>
        <v>#DIV/0!</v>
      </c>
      <c r="BG199" s="22" t="e">
        <f t="shared" si="1763"/>
        <v>#DIV/0!</v>
      </c>
      <c r="BH199" s="22" t="e">
        <f t="shared" si="1763"/>
        <v>#DIV/0!</v>
      </c>
      <c r="BI199" s="22" t="e">
        <f t="shared" si="1763"/>
        <v>#DIV/0!</v>
      </c>
      <c r="BJ199" s="22" t="e">
        <f t="shared" si="1763"/>
        <v>#DIV/0!</v>
      </c>
      <c r="BK199" s="22" t="e">
        <f t="shared" si="1763"/>
        <v>#DIV/0!</v>
      </c>
      <c r="BL199" s="22" t="e">
        <f t="shared" si="1763"/>
        <v>#DIV/0!</v>
      </c>
      <c r="BM199" s="22" t="e">
        <f t="shared" si="1763"/>
        <v>#DIV/0!</v>
      </c>
      <c r="BN199" s="22" t="e">
        <f t="shared" si="1763"/>
        <v>#DIV/0!</v>
      </c>
      <c r="BO199" s="22" t="e">
        <f t="shared" si="1763"/>
        <v>#DIV/0!</v>
      </c>
      <c r="BP199" s="22" t="e">
        <f t="shared" si="1763"/>
        <v>#DIV/0!</v>
      </c>
      <c r="BQ199" s="22" t="e">
        <f t="shared" si="1763"/>
        <v>#DIV/0!</v>
      </c>
      <c r="BR199" s="22" t="e">
        <f t="shared" si="1763"/>
        <v>#DIV/0!</v>
      </c>
      <c r="BS199" s="22">
        <f t="shared" si="1763"/>
        <v>11.329425230769216</v>
      </c>
      <c r="BT199" s="22">
        <f t="shared" si="1763"/>
        <v>25.509574769230777</v>
      </c>
      <c r="BU199" s="22">
        <f t="shared" si="1763"/>
        <v>14.032999999999991</v>
      </c>
      <c r="BV199" s="22">
        <f t="shared" si="1763"/>
        <v>-31.581999999999979</v>
      </c>
      <c r="BW199" s="22">
        <f t="shared" si="1763"/>
        <v>13.021748793866884</v>
      </c>
      <c r="BX199" s="22">
        <f t="shared" si="1763"/>
        <v>-0.43274879386689591</v>
      </c>
      <c r="BY199" s="22">
        <f t="shared" si="1763"/>
        <v>16.641936688950032</v>
      </c>
      <c r="BZ199" s="22">
        <f t="shared" si="1763"/>
        <v>5.663063311049978</v>
      </c>
      <c r="CA199" s="22">
        <f t="shared" si="1763"/>
        <v>18.374830519066258</v>
      </c>
      <c r="CB199" s="22">
        <f t="shared" si="1763"/>
        <v>-1.0148305190662725</v>
      </c>
      <c r="CC199" s="22">
        <f t="shared" si="1763"/>
        <v>24.366832627206676</v>
      </c>
      <c r="CD199" s="22">
        <f t="shared" si="1763"/>
        <v>25.077167372793326</v>
      </c>
      <c r="CE199" s="22">
        <f t="shared" ref="CE199:CF199" si="1764">CE195+CE198</f>
        <v>29.358420856237199</v>
      </c>
      <c r="CF199" s="22">
        <f t="shared" si="1764"/>
        <v>24.892579143762774</v>
      </c>
      <c r="CG199" s="22">
        <f t="shared" ref="CG199:CH199" si="1765">CG195+CG198</f>
        <v>28.63856128200775</v>
      </c>
      <c r="CH199" s="22">
        <f t="shared" si="1765"/>
        <v>20.218438717992282</v>
      </c>
      <c r="CI199" s="22">
        <f t="shared" ref="CI199:CJ199" si="1766">CI195+CI198</f>
        <v>31.225440048475974</v>
      </c>
      <c r="CJ199" s="22">
        <f t="shared" si="1766"/>
        <v>102.55655995152401</v>
      </c>
      <c r="CK199" s="21">
        <f t="shared" ref="CK199:DB199" si="1767">CK195+CK198</f>
        <v>31.628358091106307</v>
      </c>
      <c r="CL199" s="22">
        <f t="shared" si="1767"/>
        <v>24.971641908893702</v>
      </c>
      <c r="CM199" s="21">
        <f t="shared" si="1767"/>
        <v>35.745932201558972</v>
      </c>
      <c r="CN199" s="21">
        <f t="shared" si="1767"/>
        <v>32.698468762295178</v>
      </c>
      <c r="CO199" s="21">
        <f t="shared" si="1767"/>
        <v>37.748569087983846</v>
      </c>
      <c r="CP199" s="21">
        <f t="shared" si="1767"/>
        <v>47.628002198508945</v>
      </c>
      <c r="CQ199" s="21">
        <f t="shared" si="1767"/>
        <v>47.13774720395142</v>
      </c>
      <c r="CR199" s="21">
        <f t="shared" si="1767"/>
        <v>44.071852503742384</v>
      </c>
      <c r="CS199" s="21">
        <f t="shared" si="1767"/>
        <v>50.056015953635232</v>
      </c>
      <c r="CT199" s="21">
        <f t="shared" si="1767"/>
        <v>63.461204796513044</v>
      </c>
      <c r="CU199" s="21">
        <f t="shared" si="1767"/>
        <v>62.841306969569885</v>
      </c>
      <c r="CV199" s="21">
        <f t="shared" si="1767"/>
        <v>58.886674103511638</v>
      </c>
      <c r="CW199" s="21">
        <f t="shared" si="1767"/>
        <v>66.72170019225365</v>
      </c>
      <c r="CX199" s="21">
        <f t="shared" si="1767"/>
        <v>84.721397998475183</v>
      </c>
      <c r="CY199" s="21">
        <f t="shared" si="1767"/>
        <v>83.926071414439207</v>
      </c>
      <c r="CZ199" s="21">
        <f t="shared" si="1767"/>
        <v>78.658023872963724</v>
      </c>
      <c r="DA199" s="21">
        <f t="shared" si="1767"/>
        <v>89.111170185148495</v>
      </c>
      <c r="DB199" s="21">
        <f t="shared" si="1767"/>
        <v>113.21178947510282</v>
      </c>
      <c r="DE199" s="126"/>
      <c r="DF199" s="22">
        <v>190.38199999999998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0</v>
      </c>
      <c r="J201" s="22">
        <f t="shared" si="1768"/>
        <v>-8.2452825000000001</v>
      </c>
      <c r="K201" s="22">
        <f t="shared" si="1768"/>
        <v>-13.820556099999999</v>
      </c>
      <c r="L201" s="22">
        <f t="shared" si="1768"/>
        <v>4.6881745999999982</v>
      </c>
      <c r="M201" s="22">
        <f t="shared" si="1768"/>
        <v>-25.384837600000001</v>
      </c>
      <c r="N201" s="22">
        <f t="shared" si="1768"/>
        <v>-6.4650365000000001</v>
      </c>
      <c r="O201" s="22">
        <f t="shared" si="1768"/>
        <v>0.6874242000000006</v>
      </c>
      <c r="P201" s="22">
        <f t="shared" si="1768"/>
        <v>-6.3953932999999985</v>
      </c>
      <c r="Q201" s="22">
        <f t="shared" si="1768"/>
        <v>-9.165339300000003</v>
      </c>
      <c r="R201" s="22">
        <f t="shared" si="1768"/>
        <v>-15.894805400000003</v>
      </c>
      <c r="S201" s="22">
        <f t="shared" si="1768"/>
        <v>-7.051624399999989</v>
      </c>
      <c r="T201" s="22">
        <f t="shared" si="1768"/>
        <v>-31.766513199999991</v>
      </c>
      <c r="U201" s="22">
        <f t="shared" si="1768"/>
        <v>-28.082000000000015</v>
      </c>
      <c r="V201" s="22">
        <f t="shared" si="1768"/>
        <v>-48.663999999999994</v>
      </c>
      <c r="W201" s="22">
        <f t="shared" si="1768"/>
        <v>-30.558999999999976</v>
      </c>
      <c r="X201" s="22">
        <f t="shared" ref="X201:Y201" si="1769">X202+X203</f>
        <v>-64.731999999999999</v>
      </c>
      <c r="Y201" s="22">
        <f t="shared" si="1769"/>
        <v>-114.79600000000005</v>
      </c>
      <c r="Z201" s="22">
        <f t="shared" ref="Z201:AA201" si="1770">Z202+Z203</f>
        <v>-158.65900000000008</v>
      </c>
      <c r="AA201" s="22">
        <f t="shared" si="1770"/>
        <v>-353.99399999999974</v>
      </c>
      <c r="AB201" s="21">
        <f t="shared" ref="AA201:AD201" si="1771">AB202+AB203</f>
        <v>4.8449999999999136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0</v>
      </c>
      <c r="BA201" s="22">
        <f t="shared" si="1776"/>
        <v>0</v>
      </c>
      <c r="BB201" s="22">
        <f t="shared" si="1776"/>
        <v>0</v>
      </c>
      <c r="BC201" s="22">
        <f t="shared" si="1776"/>
        <v>0</v>
      </c>
      <c r="BD201" s="22">
        <f t="shared" si="1776"/>
        <v>0</v>
      </c>
      <c r="BE201" s="22">
        <f t="shared" si="1776"/>
        <v>0</v>
      </c>
      <c r="BF201" s="22">
        <f t="shared" si="1776"/>
        <v>0</v>
      </c>
      <c r="BG201" s="22">
        <f t="shared" si="1776"/>
        <v>0</v>
      </c>
      <c r="BH201" s="22">
        <f t="shared" si="1776"/>
        <v>0</v>
      </c>
      <c r="BI201" s="22">
        <f t="shared" si="1776"/>
        <v>0</v>
      </c>
      <c r="BJ201" s="22">
        <f t="shared" si="1776"/>
        <v>0</v>
      </c>
      <c r="BK201" s="22">
        <f t="shared" si="1776"/>
        <v>0</v>
      </c>
      <c r="BL201" s="22">
        <f t="shared" si="1776"/>
        <v>0</v>
      </c>
      <c r="BM201" s="22">
        <f t="shared" si="1776"/>
        <v>0</v>
      </c>
      <c r="BN201" s="22">
        <f t="shared" si="1776"/>
        <v>0</v>
      </c>
      <c r="BO201" s="22">
        <f t="shared" si="1776"/>
        <v>0</v>
      </c>
      <c r="BP201" s="22">
        <f t="shared" si="1776"/>
        <v>0</v>
      </c>
      <c r="BQ201" s="22">
        <f t="shared" si="1776"/>
        <v>0</v>
      </c>
      <c r="BR201" s="22">
        <f t="shared" si="1776"/>
        <v>-132.00700000000001</v>
      </c>
      <c r="BS201" s="22">
        <f t="shared" si="1776"/>
        <v>-3.0229999999999961</v>
      </c>
      <c r="BT201" s="22">
        <f t="shared" si="1776"/>
        <v>126.03400000000001</v>
      </c>
      <c r="BU201" s="22">
        <f t="shared" si="1776"/>
        <v>-3.613</v>
      </c>
      <c r="BV201" s="22">
        <f t="shared" si="1776"/>
        <v>-152.87099999999998</v>
      </c>
      <c r="BW201" s="22">
        <f t="shared" si="1776"/>
        <v>-3.9439999999999884</v>
      </c>
      <c r="BX201" s="22">
        <f t="shared" si="1776"/>
        <v>-27.972000000000008</v>
      </c>
      <c r="BY201" s="22">
        <f t="shared" si="1776"/>
        <v>-3.9869999999999948</v>
      </c>
      <c r="BZ201" s="22">
        <f t="shared" si="1776"/>
        <v>-30.816000000000003</v>
      </c>
      <c r="CA201" s="22">
        <f t="shared" si="1776"/>
        <v>-4.7119999999999891</v>
      </c>
      <c r="CB201" s="22">
        <f t="shared" si="1776"/>
        <v>-69.29200000000003</v>
      </c>
      <c r="CC201" s="22">
        <f t="shared" si="1776"/>
        <v>-5.2789999999999964</v>
      </c>
      <c r="CD201" s="22">
        <f t="shared" si="1776"/>
        <v>-43.80499999999995</v>
      </c>
      <c r="CE201" s="22">
        <f t="shared" ref="CE201:CF201" si="1777">CE202+CE203</f>
        <v>-5.5269999999999868</v>
      </c>
      <c r="CF201" s="22">
        <f t="shared" si="1777"/>
        <v>-114.62200000000001</v>
      </c>
      <c r="CG201" s="22">
        <f t="shared" ref="CG201:CH201" si="1778">CG202+CG203</f>
        <v>-6.2259999999999991</v>
      </c>
      <c r="CH201" s="22">
        <f t="shared" si="1778"/>
        <v>-32.470000000000056</v>
      </c>
      <c r="CI201" s="22">
        <f t="shared" ref="CI201:CJ201" si="1779">CI202+CI203</f>
        <v>0</v>
      </c>
      <c r="CJ201" s="22">
        <f t="shared" si="1779"/>
        <v>-253.79699999999991</v>
      </c>
      <c r="CK201" s="21">
        <f t="shared" ref="CK201:DB201" si="1780">CK202+CK203</f>
        <v>0</v>
      </c>
      <c r="CL201" s="22">
        <f t="shared" si="1780"/>
        <v>-95.35100000000007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-349.14799999999997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-8.0359999999999996</v>
      </c>
      <c r="L202" s="23">
        <f t="shared" si="1781"/>
        <v>8.0359999999999996</v>
      </c>
      <c r="M202" s="23">
        <f t="shared" si="1781"/>
        <v>-25.587662300000002</v>
      </c>
      <c r="N202" s="23">
        <f t="shared" si="1781"/>
        <v>-5.7568720999999989</v>
      </c>
      <c r="O202" s="23">
        <f t="shared" si="1781"/>
        <v>5.375680899999999</v>
      </c>
      <c r="P202" s="23">
        <f t="shared" si="1781"/>
        <v>11.191062800000001</v>
      </c>
      <c r="Q202" s="23">
        <f t="shared" si="1781"/>
        <v>13.277790700000001</v>
      </c>
      <c r="R202" s="23">
        <f t="shared" si="1781"/>
        <v>1.5</v>
      </c>
      <c r="S202" s="23">
        <f t="shared" si="1781"/>
        <v>-0.15</v>
      </c>
      <c r="T202" s="23">
        <f t="shared" si="1781"/>
        <v>0</v>
      </c>
      <c r="U202" s="23">
        <f t="shared" si="1781"/>
        <v>9.9999999999999992E-2</v>
      </c>
      <c r="V202" s="23">
        <f t="shared" si="1781"/>
        <v>-13.737</v>
      </c>
      <c r="W202" s="23">
        <f t="shared" si="1781"/>
        <v>13.787000000000001</v>
      </c>
      <c r="X202" s="23">
        <f t="shared" si="1781"/>
        <v>0</v>
      </c>
      <c r="Y202" s="23">
        <f t="shared" si="1781"/>
        <v>0</v>
      </c>
      <c r="Z202" s="23">
        <f t="shared" si="1781"/>
        <v>-1.643</v>
      </c>
      <c r="AA202" s="23">
        <f t="shared" si="1781"/>
        <v>-0.15199999999999991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-13.787000000000001</v>
      </c>
      <c r="BS202" s="23">
        <f t="shared" ref="BS202" si="1822">BR140-BS140</f>
        <v>0</v>
      </c>
      <c r="BT202" s="23">
        <f t="shared" ref="BT202" si="1823">BS140-BT140</f>
        <v>13.787000000000001</v>
      </c>
      <c r="BU202" s="23">
        <f t="shared" ref="BU202" si="1824">BT140-BU140</f>
        <v>0</v>
      </c>
      <c r="BV202" s="23">
        <f t="shared" ref="BV202" si="1825">BU140-BV140</f>
        <v>0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0</v>
      </c>
      <c r="CC202" s="23">
        <f t="shared" ref="CC202" si="1832">CB140-CC140</f>
        <v>0</v>
      </c>
      <c r="CD202" s="23">
        <f t="shared" ref="CD202" si="1833">CC140-CD140</f>
        <v>0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-1.643</v>
      </c>
      <c r="CI202" s="23">
        <f t="shared" si="1837"/>
        <v>0</v>
      </c>
      <c r="CJ202" s="23">
        <f t="shared" si="1837"/>
        <v>-0.12999999999999989</v>
      </c>
      <c r="CK202" s="24">
        <f t="shared" ref="CK202" si="1838">CJ140-CK140</f>
        <v>0</v>
      </c>
      <c r="CL202" s="23">
        <f t="shared" si="1837"/>
        <v>-2.200000000000002E-2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-0.15199999999999991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0</v>
      </c>
      <c r="J203" s="23">
        <f t="shared" si="1855"/>
        <v>-8.2452825000000001</v>
      </c>
      <c r="K203" s="23">
        <f t="shared" si="1855"/>
        <v>-5.7845560999999996</v>
      </c>
      <c r="L203" s="23">
        <f t="shared" si="1855"/>
        <v>-3.3478254000000014</v>
      </c>
      <c r="M203" s="23">
        <f t="shared" si="1855"/>
        <v>0.20282470000000075</v>
      </c>
      <c r="N203" s="23">
        <f t="shared" si="1855"/>
        <v>-0.70816440000000114</v>
      </c>
      <c r="O203" s="23">
        <f t="shared" si="1855"/>
        <v>-4.6882566999999984</v>
      </c>
      <c r="P203" s="23">
        <f t="shared" si="1855"/>
        <v>-17.586456099999999</v>
      </c>
      <c r="Q203" s="23">
        <f t="shared" si="1855"/>
        <v>-22.443130000000004</v>
      </c>
      <c r="R203" s="23">
        <f t="shared" si="1855"/>
        <v>-17.394805400000003</v>
      </c>
      <c r="S203" s="23">
        <f t="shared" si="1855"/>
        <v>-6.9016243999999887</v>
      </c>
      <c r="T203" s="23">
        <f t="shared" si="1855"/>
        <v>-31.766513199999991</v>
      </c>
      <c r="U203" s="23">
        <f t="shared" si="1855"/>
        <v>-28.182000000000016</v>
      </c>
      <c r="V203" s="23">
        <f t="shared" si="1855"/>
        <v>-34.926999999999992</v>
      </c>
      <c r="W203" s="23">
        <f t="shared" si="1855"/>
        <v>-44.345999999999975</v>
      </c>
      <c r="X203" s="23">
        <f t="shared" si="1855"/>
        <v>-64.731999999999999</v>
      </c>
      <c r="Y203" s="23">
        <f t="shared" si="1855"/>
        <v>-114.79600000000005</v>
      </c>
      <c r="Z203" s="23">
        <f t="shared" si="1855"/>
        <v>-157.01600000000008</v>
      </c>
      <c r="AA203" s="23">
        <f t="shared" si="1855"/>
        <v>-353.84199999999976</v>
      </c>
      <c r="AB203" s="24">
        <f t="shared" si="1855"/>
        <v>4.8449999999999136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0</v>
      </c>
      <c r="BA203" s="23">
        <f t="shared" si="1856"/>
        <v>0</v>
      </c>
      <c r="BB203" s="23">
        <f t="shared" si="1856"/>
        <v>0</v>
      </c>
      <c r="BC203" s="23">
        <f t="shared" si="1856"/>
        <v>0</v>
      </c>
      <c r="BD203" s="23">
        <f t="shared" si="1856"/>
        <v>0</v>
      </c>
      <c r="BE203" s="23">
        <f t="shared" si="1856"/>
        <v>0</v>
      </c>
      <c r="BF203" s="23">
        <f t="shared" si="1856"/>
        <v>0</v>
      </c>
      <c r="BG203" s="23">
        <f t="shared" si="1856"/>
        <v>0</v>
      </c>
      <c r="BH203" s="23">
        <f t="shared" si="1856"/>
        <v>0</v>
      </c>
      <c r="BI203" s="23">
        <f t="shared" si="1856"/>
        <v>0</v>
      </c>
      <c r="BJ203" s="23">
        <f t="shared" si="1856"/>
        <v>0</v>
      </c>
      <c r="BK203" s="23">
        <f t="shared" si="1856"/>
        <v>0</v>
      </c>
      <c r="BL203" s="23">
        <f t="shared" si="1856"/>
        <v>0</v>
      </c>
      <c r="BM203" s="23">
        <f t="shared" si="1856"/>
        <v>0</v>
      </c>
      <c r="BN203" s="23">
        <f t="shared" si="1856"/>
        <v>0</v>
      </c>
      <c r="BO203" s="23">
        <f t="shared" ref="BO203:CT203" si="1857">BN138-BO32-BO138</f>
        <v>0</v>
      </c>
      <c r="BP203" s="23">
        <f t="shared" si="1857"/>
        <v>0</v>
      </c>
      <c r="BQ203" s="23">
        <f t="shared" si="1857"/>
        <v>0</v>
      </c>
      <c r="BR203" s="23">
        <f t="shared" si="1857"/>
        <v>-118.22</v>
      </c>
      <c r="BS203" s="23">
        <f t="shared" si="1857"/>
        <v>-3.0229999999999961</v>
      </c>
      <c r="BT203" s="23">
        <f t="shared" si="1857"/>
        <v>112.247</v>
      </c>
      <c r="BU203" s="23">
        <f t="shared" si="1857"/>
        <v>-3.613</v>
      </c>
      <c r="BV203" s="23">
        <f t="shared" si="1857"/>
        <v>-152.87099999999998</v>
      </c>
      <c r="BW203" s="23">
        <f t="shared" si="1857"/>
        <v>-3.9439999999999884</v>
      </c>
      <c r="BX203" s="23">
        <f t="shared" si="1857"/>
        <v>-27.972000000000008</v>
      </c>
      <c r="BY203" s="23">
        <f t="shared" si="1857"/>
        <v>-3.9869999999999948</v>
      </c>
      <c r="BZ203" s="23">
        <f t="shared" si="1857"/>
        <v>-30.816000000000003</v>
      </c>
      <c r="CA203" s="23">
        <f t="shared" si="1857"/>
        <v>-4.7119999999999891</v>
      </c>
      <c r="CB203" s="23">
        <f t="shared" si="1857"/>
        <v>-69.29200000000003</v>
      </c>
      <c r="CC203" s="23">
        <f t="shared" si="1857"/>
        <v>-5.2789999999999964</v>
      </c>
      <c r="CD203" s="23">
        <f t="shared" si="1857"/>
        <v>-43.80499999999995</v>
      </c>
      <c r="CE203" s="23">
        <f t="shared" si="1857"/>
        <v>-5.5269999999999868</v>
      </c>
      <c r="CF203" s="23">
        <f t="shared" si="1857"/>
        <v>-114.62200000000001</v>
      </c>
      <c r="CG203" s="23">
        <f t="shared" si="1857"/>
        <v>-6.2259999999999991</v>
      </c>
      <c r="CH203" s="23">
        <f t="shared" si="1857"/>
        <v>-30.827000000000055</v>
      </c>
      <c r="CI203" s="23">
        <f t="shared" si="1857"/>
        <v>0</v>
      </c>
      <c r="CJ203" s="23">
        <f t="shared" si="1857"/>
        <v>-253.66699999999992</v>
      </c>
      <c r="CK203" s="24">
        <f t="shared" si="1857"/>
        <v>0</v>
      </c>
      <c r="CL203" s="23">
        <f t="shared" si="1857"/>
        <v>-95.329000000000065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-348.99599999999998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0</v>
      </c>
      <c r="J205" s="22">
        <f t="shared" si="1859"/>
        <v>16.7</v>
      </c>
      <c r="K205" s="22">
        <f t="shared" si="1859"/>
        <v>13.177551000000001</v>
      </c>
      <c r="L205" s="22">
        <f t="shared" si="1859"/>
        <v>24.999999831999993</v>
      </c>
      <c r="M205" s="22">
        <f t="shared" si="1859"/>
        <v>2.2691343909999966</v>
      </c>
      <c r="N205" s="22">
        <f t="shared" si="1859"/>
        <v>6.7548100000007327E-2</v>
      </c>
      <c r="O205" s="22">
        <f t="shared" si="1859"/>
        <v>1.1426036999999929</v>
      </c>
      <c r="P205" s="22">
        <f t="shared" si="1859"/>
        <v>7.900599500000002</v>
      </c>
      <c r="Q205" s="22">
        <f t="shared" si="1859"/>
        <v>-3.0872928000000024</v>
      </c>
      <c r="R205" s="22">
        <f t="shared" si="1859"/>
        <v>4.6462728999999996</v>
      </c>
      <c r="S205" s="22">
        <f t="shared" si="1859"/>
        <v>-1.8253115000000051</v>
      </c>
      <c r="T205" s="22">
        <f t="shared" si="1859"/>
        <v>11.142153900000004</v>
      </c>
      <c r="U205" s="22">
        <f t="shared" si="1859"/>
        <v>14.685999999999988</v>
      </c>
      <c r="V205" s="22">
        <f t="shared" si="1859"/>
        <v>0.52100000000002655</v>
      </c>
      <c r="W205" s="22">
        <f t="shared" si="1859"/>
        <v>14.57199999999996</v>
      </c>
      <c r="X205" s="22">
        <f t="shared" ref="X205:Y205" si="1860">X206+X207</f>
        <v>137.89400000000006</v>
      </c>
      <c r="Y205" s="22">
        <f t="shared" si="1860"/>
        <v>186.41799999999992</v>
      </c>
      <c r="Z205" s="22">
        <f t="shared" ref="Z205:AA205" si="1861">Z206+Z207</f>
        <v>-6.9039999999999049</v>
      </c>
      <c r="AA205" s="22">
        <f t="shared" si="1861"/>
        <v>81.390999999999877</v>
      </c>
      <c r="AB205" s="21">
        <f t="shared" ref="AA205:AD205" si="1862">AB206+AB207</f>
        <v>-1.1368683772161603E-13</v>
      </c>
      <c r="AC205" s="21">
        <f t="shared" si="1862"/>
        <v>0</v>
      </c>
      <c r="AD205" s="21">
        <f t="shared" si="1862"/>
        <v>-4.5474735088646412E-13</v>
      </c>
      <c r="AE205" s="21">
        <f t="shared" ref="AE205" si="1863">AE206+AE207</f>
        <v>-6.8212102632969618E-13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0</v>
      </c>
      <c r="BA205" s="22">
        <f t="shared" si="1867"/>
        <v>0</v>
      </c>
      <c r="BB205" s="22">
        <f t="shared" si="1867"/>
        <v>0</v>
      </c>
      <c r="BC205" s="22">
        <f t="shared" si="1867"/>
        <v>0</v>
      </c>
      <c r="BD205" s="22">
        <f t="shared" si="1867"/>
        <v>0</v>
      </c>
      <c r="BE205" s="22">
        <f t="shared" si="1867"/>
        <v>0</v>
      </c>
      <c r="BF205" s="22">
        <f t="shared" si="1867"/>
        <v>0</v>
      </c>
      <c r="BG205" s="22">
        <f t="shared" si="1867"/>
        <v>0</v>
      </c>
      <c r="BH205" s="22">
        <f t="shared" si="1867"/>
        <v>0</v>
      </c>
      <c r="BI205" s="22">
        <f t="shared" si="1867"/>
        <v>0</v>
      </c>
      <c r="BJ205" s="22">
        <f t="shared" si="1867"/>
        <v>0</v>
      </c>
      <c r="BK205" s="22">
        <f t="shared" si="1867"/>
        <v>0</v>
      </c>
      <c r="BL205" s="22">
        <f t="shared" si="1867"/>
        <v>0</v>
      </c>
      <c r="BM205" s="22">
        <f t="shared" si="1867"/>
        <v>0</v>
      </c>
      <c r="BN205" s="22">
        <f t="shared" si="1867"/>
        <v>0</v>
      </c>
      <c r="BO205" s="22">
        <f t="shared" si="1867"/>
        <v>0</v>
      </c>
      <c r="BP205" s="22">
        <f t="shared" si="1867"/>
        <v>0</v>
      </c>
      <c r="BQ205" s="22">
        <f t="shared" si="1867"/>
        <v>0</v>
      </c>
      <c r="BR205" s="22">
        <f t="shared" si="1867"/>
        <v>139.983</v>
      </c>
      <c r="BS205" s="22">
        <f t="shared" si="1867"/>
        <v>0</v>
      </c>
      <c r="BT205" s="22">
        <f t="shared" si="1867"/>
        <v>-167.62500000000003</v>
      </c>
      <c r="BU205" s="22">
        <f t="shared" si="1867"/>
        <v>0</v>
      </c>
      <c r="BV205" s="22">
        <f t="shared" si="1867"/>
        <v>187.28699999999998</v>
      </c>
      <c r="BW205" s="22">
        <f t="shared" si="1867"/>
        <v>2.8421709430404007E-14</v>
      </c>
      <c r="BX205" s="22">
        <f t="shared" si="1867"/>
        <v>146.92700000000002</v>
      </c>
      <c r="BY205" s="22">
        <f t="shared" si="1867"/>
        <v>0</v>
      </c>
      <c r="BZ205" s="22">
        <f t="shared" si="1867"/>
        <v>-9.0300000000000136</v>
      </c>
      <c r="CA205" s="22">
        <f t="shared" si="1867"/>
        <v>0</v>
      </c>
      <c r="CB205" s="22">
        <f t="shared" si="1867"/>
        <v>-0.36199999999998722</v>
      </c>
      <c r="CC205" s="22">
        <f t="shared" si="1867"/>
        <v>0</v>
      </c>
      <c r="CD205" s="22">
        <f t="shared" si="1867"/>
        <v>186.779</v>
      </c>
      <c r="CE205" s="22">
        <f t="shared" ref="CE205:CF205" si="1868">CE206+CE207</f>
        <v>0</v>
      </c>
      <c r="CF205" s="22">
        <f t="shared" si="1868"/>
        <v>-17.01600000000002</v>
      </c>
      <c r="CG205" s="22">
        <f t="shared" ref="CG205:CH205" si="1869">CG206+CG207</f>
        <v>0</v>
      </c>
      <c r="CH205" s="22">
        <f t="shared" si="1869"/>
        <v>10.113000000000094</v>
      </c>
      <c r="CI205" s="22">
        <f t="shared" ref="CI205:CJ205" si="1870">CI206+CI207</f>
        <v>0</v>
      </c>
      <c r="CJ205" s="22">
        <f t="shared" si="1870"/>
        <v>35.220999999999904</v>
      </c>
      <c r="CK205" s="21">
        <f t="shared" ref="CK205:DB205" si="1871">CK206+CK207</f>
        <v>1.1368683772161603E-13</v>
      </c>
      <c r="CL205" s="22">
        <f t="shared" si="1871"/>
        <v>46.17000000000008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-2.2737367544323206E-13</v>
      </c>
      <c r="DB205" s="21">
        <f t="shared" si="1871"/>
        <v>0</v>
      </c>
      <c r="DE205" s="126"/>
      <c r="DF205" s="22">
        <v>81.391000000000105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0</v>
      </c>
      <c r="L206" s="23">
        <f t="shared" si="1872"/>
        <v>0</v>
      </c>
      <c r="M206" s="23">
        <f t="shared" si="1872"/>
        <v>2.2691342999999997</v>
      </c>
      <c r="N206" s="23">
        <f t="shared" si="1872"/>
        <v>6.7548100000000222E-2</v>
      </c>
      <c r="O206" s="23">
        <f t="shared" si="1872"/>
        <v>1.1426037</v>
      </c>
      <c r="P206" s="23">
        <f t="shared" si="1872"/>
        <v>-1.7342882999999998</v>
      </c>
      <c r="Q206" s="23">
        <f t="shared" si="1872"/>
        <v>-1.6068722000000002</v>
      </c>
      <c r="R206" s="23">
        <f t="shared" si="1872"/>
        <v>5.5345040999999995</v>
      </c>
      <c r="S206" s="23">
        <f t="shared" si="1872"/>
        <v>2.6145104000000003</v>
      </c>
      <c r="T206" s="23">
        <f t="shared" si="1872"/>
        <v>19.273859899999998</v>
      </c>
      <c r="U206" s="23">
        <f t="shared" si="1872"/>
        <v>13.898000000000003</v>
      </c>
      <c r="V206" s="23">
        <f t="shared" si="1872"/>
        <v>-5.5589999999999975</v>
      </c>
      <c r="W206" s="23">
        <f t="shared" si="1872"/>
        <v>18.490999999999993</v>
      </c>
      <c r="X206" s="23">
        <f t="shared" si="1872"/>
        <v>-38.741</v>
      </c>
      <c r="Y206" s="23">
        <f t="shared" si="1872"/>
        <v>-8.1790000000000003</v>
      </c>
      <c r="Z206" s="23">
        <f t="shared" si="1872"/>
        <v>-7.4710000000000001</v>
      </c>
      <c r="AA206" s="23">
        <f t="shared" si="1872"/>
        <v>23.872999999999998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30.806000000000001</v>
      </c>
      <c r="BS206" s="23">
        <f t="shared" ref="BS206" si="1913">BS128-BR128</f>
        <v>0</v>
      </c>
      <c r="BT206" s="23">
        <f t="shared" ref="BT206" si="1914">BT128-BS128</f>
        <v>-30.806000000000001</v>
      </c>
      <c r="BU206" s="23">
        <f t="shared" ref="BU206" si="1915">BU128-BT128</f>
        <v>0</v>
      </c>
      <c r="BV206" s="23">
        <f t="shared" ref="BV206" si="1916">BV128-BU128</f>
        <v>54.390999999999998</v>
      </c>
      <c r="BW206" s="23">
        <f t="shared" ref="BW206" si="1917">BW128-BV128</f>
        <v>0</v>
      </c>
      <c r="BX206" s="23">
        <f t="shared" ref="BX206" si="1918">BX128-BW128</f>
        <v>-34.605999999999995</v>
      </c>
      <c r="BY206" s="23">
        <f t="shared" ref="BY206" si="1919">BY128-BX128</f>
        <v>0</v>
      </c>
      <c r="BZ206" s="23">
        <f t="shared" ref="BZ206" si="1920">BZ128-BY128</f>
        <v>-4.1349999999999998</v>
      </c>
      <c r="CA206" s="23">
        <f t="shared" ref="CA206" si="1921">CA128-BZ128</f>
        <v>0</v>
      </c>
      <c r="CB206" s="23">
        <f t="shared" ref="CB206" si="1922">CB128-CA128</f>
        <v>1.7870000000000008</v>
      </c>
      <c r="CC206" s="23">
        <f t="shared" ref="CC206" si="1923">CC128-CB128</f>
        <v>0</v>
      </c>
      <c r="CD206" s="23">
        <f t="shared" ref="CD206" si="1924">CD128-CC128</f>
        <v>-9.9660000000000011</v>
      </c>
      <c r="CE206" s="23">
        <f t="shared" ref="CE206" si="1925">CE128-CD128</f>
        <v>0</v>
      </c>
      <c r="CF206" s="23">
        <f t="shared" ref="CF206" si="1926">CF128-CE128</f>
        <v>-7.4710000000000001</v>
      </c>
      <c r="CG206" s="23">
        <f t="shared" ref="CG206" si="1927">CG128-CF128</f>
        <v>0</v>
      </c>
      <c r="CH206" s="23">
        <f t="shared" ref="CH206:CL206" si="1928">CH128-CG128</f>
        <v>0</v>
      </c>
      <c r="CI206" s="23">
        <f t="shared" si="1928"/>
        <v>0</v>
      </c>
      <c r="CJ206" s="23">
        <f t="shared" si="1928"/>
        <v>16.475000000000001</v>
      </c>
      <c r="CK206" s="24">
        <f t="shared" ref="CK206" si="1929">CK128-CJ128</f>
        <v>0</v>
      </c>
      <c r="CL206" s="23">
        <f t="shared" si="1928"/>
        <v>7.3979999999999961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23.872999999999998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0</v>
      </c>
      <c r="J207" s="23">
        <f t="shared" si="1946"/>
        <v>16.7</v>
      </c>
      <c r="K207" s="23">
        <f t="shared" si="1946"/>
        <v>13.177551000000001</v>
      </c>
      <c r="L207" s="23">
        <f t="shared" si="1946"/>
        <v>24.999999831999993</v>
      </c>
      <c r="M207" s="23">
        <f t="shared" si="1946"/>
        <v>9.0999996871232725E-8</v>
      </c>
      <c r="N207" s="23">
        <f t="shared" si="1946"/>
        <v>7.1054273576010019E-15</v>
      </c>
      <c r="O207" s="23">
        <f t="shared" si="1946"/>
        <v>-7.1054273576010019E-15</v>
      </c>
      <c r="P207" s="23">
        <f t="shared" si="1946"/>
        <v>9.6348878000000013</v>
      </c>
      <c r="Q207" s="23">
        <f t="shared" si="1946"/>
        <v>-1.4804206000000022</v>
      </c>
      <c r="R207" s="23">
        <f t="shared" si="1946"/>
        <v>-0.88823119999999989</v>
      </c>
      <c r="S207" s="23">
        <f t="shared" si="1946"/>
        <v>-4.4398219000000054</v>
      </c>
      <c r="T207" s="23">
        <f t="shared" si="1946"/>
        <v>-8.1317059999999941</v>
      </c>
      <c r="U207" s="23">
        <f t="shared" si="1946"/>
        <v>0.78799999999998493</v>
      </c>
      <c r="V207" s="23">
        <f t="shared" si="1946"/>
        <v>6.0800000000000241</v>
      </c>
      <c r="W207" s="23">
        <f t="shared" si="1946"/>
        <v>-3.9190000000000316</v>
      </c>
      <c r="X207" s="23">
        <f t="shared" si="1946"/>
        <v>176.63500000000008</v>
      </c>
      <c r="Y207" s="23">
        <f t="shared" si="1946"/>
        <v>194.59699999999992</v>
      </c>
      <c r="Z207" s="23">
        <f t="shared" si="1946"/>
        <v>0.56700000000009521</v>
      </c>
      <c r="AA207" s="23">
        <f t="shared" si="1946"/>
        <v>57.517999999999873</v>
      </c>
      <c r="AB207" s="24">
        <f t="shared" si="1946"/>
        <v>-1.1368683772161603E-13</v>
      </c>
      <c r="AC207" s="24">
        <f t="shared" si="1946"/>
        <v>0</v>
      </c>
      <c r="AD207" s="24">
        <f t="shared" si="1946"/>
        <v>-4.5474735088646412E-13</v>
      </c>
      <c r="AE207" s="24">
        <f t="shared" si="1946"/>
        <v>-6.8212102632969618E-13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0</v>
      </c>
      <c r="BA207" s="23">
        <f t="shared" si="1947"/>
        <v>0</v>
      </c>
      <c r="BB207" s="23">
        <f t="shared" si="1947"/>
        <v>0</v>
      </c>
      <c r="BC207" s="23">
        <f t="shared" si="1947"/>
        <v>0</v>
      </c>
      <c r="BD207" s="23">
        <f t="shared" si="1947"/>
        <v>0</v>
      </c>
      <c r="BE207" s="23">
        <f t="shared" si="1947"/>
        <v>0</v>
      </c>
      <c r="BF207" s="23">
        <f t="shared" si="1947"/>
        <v>0</v>
      </c>
      <c r="BG207" s="23">
        <f t="shared" si="1947"/>
        <v>0</v>
      </c>
      <c r="BH207" s="23">
        <f t="shared" si="1947"/>
        <v>0</v>
      </c>
      <c r="BI207" s="23">
        <f t="shared" si="1947"/>
        <v>0</v>
      </c>
      <c r="BJ207" s="23">
        <f t="shared" si="1947"/>
        <v>0</v>
      </c>
      <c r="BK207" s="23">
        <f t="shared" si="1947"/>
        <v>0</v>
      </c>
      <c r="BL207" s="23">
        <f t="shared" si="1947"/>
        <v>0</v>
      </c>
      <c r="BM207" s="23">
        <f t="shared" si="1947"/>
        <v>0</v>
      </c>
      <c r="BN207" s="23">
        <f t="shared" si="1947"/>
        <v>0</v>
      </c>
      <c r="BO207" s="23">
        <f t="shared" ref="BO207:CT207" si="1948">BO120-BO48-BN120+BO122-BN122</f>
        <v>0</v>
      </c>
      <c r="BP207" s="23">
        <f t="shared" si="1948"/>
        <v>0</v>
      </c>
      <c r="BQ207" s="23">
        <f t="shared" si="1948"/>
        <v>0</v>
      </c>
      <c r="BR207" s="23">
        <f t="shared" si="1948"/>
        <v>109.17700000000001</v>
      </c>
      <c r="BS207" s="23">
        <f t="shared" si="1948"/>
        <v>0</v>
      </c>
      <c r="BT207" s="23">
        <f t="shared" si="1948"/>
        <v>-136.81900000000002</v>
      </c>
      <c r="BU207" s="23">
        <f t="shared" si="1948"/>
        <v>0</v>
      </c>
      <c r="BV207" s="23">
        <f t="shared" si="1948"/>
        <v>132.89599999999999</v>
      </c>
      <c r="BW207" s="23">
        <f t="shared" si="1948"/>
        <v>2.8421709430404007E-14</v>
      </c>
      <c r="BX207" s="23">
        <f t="shared" si="1948"/>
        <v>181.53300000000002</v>
      </c>
      <c r="BY207" s="23">
        <f t="shared" si="1948"/>
        <v>0</v>
      </c>
      <c r="BZ207" s="23">
        <f t="shared" si="1948"/>
        <v>-4.8950000000000138</v>
      </c>
      <c r="CA207" s="23">
        <f t="shared" si="1948"/>
        <v>0</v>
      </c>
      <c r="CB207" s="23">
        <f t="shared" si="1948"/>
        <v>-2.148999999999988</v>
      </c>
      <c r="CC207" s="23">
        <f t="shared" si="1948"/>
        <v>0</v>
      </c>
      <c r="CD207" s="23">
        <f t="shared" si="1948"/>
        <v>196.745</v>
      </c>
      <c r="CE207" s="23">
        <f t="shared" si="1948"/>
        <v>0</v>
      </c>
      <c r="CF207" s="23">
        <f t="shared" si="1948"/>
        <v>-9.5450000000000212</v>
      </c>
      <c r="CG207" s="23">
        <f t="shared" si="1948"/>
        <v>0</v>
      </c>
      <c r="CH207" s="23">
        <f t="shared" si="1948"/>
        <v>10.113000000000094</v>
      </c>
      <c r="CI207" s="23">
        <f t="shared" si="1948"/>
        <v>0</v>
      </c>
      <c r="CJ207" s="23">
        <f t="shared" si="1948"/>
        <v>18.745999999999903</v>
      </c>
      <c r="CK207" s="24">
        <f t="shared" si="1948"/>
        <v>1.1368683772161603E-13</v>
      </c>
      <c r="CL207" s="23">
        <f t="shared" si="1948"/>
        <v>38.772000000000084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-2.2737367544323206E-13</v>
      </c>
      <c r="DB207" s="24">
        <f t="shared" si="1949"/>
        <v>0</v>
      </c>
      <c r="DE207" s="123"/>
      <c r="DF207" s="23">
        <v>57.5180000000001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0</v>
      </c>
      <c r="K209" s="23">
        <f>J161</f>
        <v>3.8075378</v>
      </c>
      <c r="L209" s="23">
        <f t="shared" ref="L209" si="1956">K161</f>
        <v>1.5937222</v>
      </c>
      <c r="M209" s="23">
        <f t="shared" ref="M209" si="1957">L161</f>
        <v>4.8017875999999999</v>
      </c>
      <c r="N209" s="23">
        <f t="shared" ref="N209" si="1958">M161</f>
        <v>1.3616337000000001</v>
      </c>
      <c r="O209" s="23">
        <f t="shared" ref="O209" si="1959">N161</f>
        <v>0.83992420000000001</v>
      </c>
      <c r="P209" s="23">
        <f t="shared" ref="P209" si="1960">O161</f>
        <v>6.1933202999999999</v>
      </c>
      <c r="Q209" s="23">
        <f t="shared" ref="Q209" si="1961">P161</f>
        <v>3.2656928000000001</v>
      </c>
      <c r="R209" s="23">
        <f t="shared" ref="R209" si="1962">Q161</f>
        <v>3.6882172999999998</v>
      </c>
      <c r="S209" s="23">
        <f t="shared" ref="S209" si="1963">R161</f>
        <v>10.7708504</v>
      </c>
      <c r="T209" s="23">
        <f t="shared" ref="T209" si="1964">S161</f>
        <v>6.5581791000000003</v>
      </c>
      <c r="U209" s="23">
        <f t="shared" ref="U209" si="1965">T161</f>
        <v>2.331</v>
      </c>
      <c r="V209" s="23">
        <f t="shared" ref="V209" si="1966">U161</f>
        <v>9.2859999999999996</v>
      </c>
      <c r="W209" s="23">
        <f t="shared" ref="W209:AA209" si="1967">V161</f>
        <v>7.7750000000000004</v>
      </c>
      <c r="X209" s="23">
        <f t="shared" si="1967"/>
        <v>13.255000000000001</v>
      </c>
      <c r="Y209" s="23">
        <f t="shared" si="1967"/>
        <v>119.32599999999999</v>
      </c>
      <c r="Z209" s="23">
        <f t="shared" si="1967"/>
        <v>249.459</v>
      </c>
      <c r="AA209" s="23">
        <f t="shared" si="1967"/>
        <v>186.81900000000002</v>
      </c>
      <c r="AB209" s="24">
        <f t="shared" ref="AB209" si="1968">AA161</f>
        <v>109.44399999999999</v>
      </c>
      <c r="AC209" s="24">
        <f t="shared" ref="AC209" si="1969">AB161</f>
        <v>263.26497225034694</v>
      </c>
      <c r="AD209" s="24">
        <f t="shared" ref="AD209" si="1970">AC161</f>
        <v>467.991792708189</v>
      </c>
      <c r="AE209" s="24">
        <f t="shared" ref="AE209" si="1971">AD161</f>
        <v>741.16287197199927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 t="e">
        <f t="shared" ref="BB209" si="1991">BA161</f>
        <v>#DIV/0!</v>
      </c>
      <c r="BC209" s="23">
        <f t="shared" ref="BC209" si="1992">BB161</f>
        <v>0</v>
      </c>
      <c r="BD209" s="23" t="e">
        <f t="shared" ref="BD209" si="1993">BC161</f>
        <v>#DIV/0!</v>
      </c>
      <c r="BE209" s="23">
        <f t="shared" ref="BE209" si="1994">BD161</f>
        <v>0</v>
      </c>
      <c r="BF209" s="23" t="e">
        <f t="shared" ref="BF209" si="1995">BE161</f>
        <v>#DIV/0!</v>
      </c>
      <c r="BG209" s="23">
        <f t="shared" ref="BG209" si="1996">BF161</f>
        <v>0</v>
      </c>
      <c r="BH209" s="23" t="e">
        <f t="shared" ref="BH209" si="1997">BG161</f>
        <v>#DIV/0!</v>
      </c>
      <c r="BI209" s="23">
        <f t="shared" ref="BI209" si="1998">BH161</f>
        <v>0</v>
      </c>
      <c r="BJ209" s="23" t="e">
        <f t="shared" ref="BJ209" si="1999">BI161</f>
        <v>#DIV/0!</v>
      </c>
      <c r="BK209" s="23">
        <f t="shared" ref="BK209" si="2000">BJ161</f>
        <v>0</v>
      </c>
      <c r="BL209" s="23" t="e">
        <f t="shared" ref="BL209" si="2001">BK161</f>
        <v>#DIV/0!</v>
      </c>
      <c r="BM209" s="23">
        <f t="shared" ref="BM209" si="2002">BL161</f>
        <v>0</v>
      </c>
      <c r="BN209" s="23" t="e">
        <f t="shared" ref="BN209" si="2003">BM161</f>
        <v>#DIV/0!</v>
      </c>
      <c r="BO209" s="23">
        <f t="shared" ref="BO209" si="2004">BN161</f>
        <v>0</v>
      </c>
      <c r="BP209" s="23" t="e">
        <f t="shared" ref="BP209" si="2005">BO161</f>
        <v>#DIV/0!</v>
      </c>
      <c r="BQ209" s="23">
        <f t="shared" ref="BQ209" si="2006">BP161</f>
        <v>0</v>
      </c>
      <c r="BR209" s="23" t="e">
        <f t="shared" ref="BR209" si="2007">BQ161</f>
        <v>#DIV/0!</v>
      </c>
      <c r="BS209" s="23">
        <f t="shared" ref="BS209" si="2008">BR161</f>
        <v>7.7750000000000004</v>
      </c>
      <c r="BT209" s="23">
        <f t="shared" ref="BT209" si="2009">BS161</f>
        <v>16.08142523076922</v>
      </c>
      <c r="BU209" s="23">
        <f t="shared" ref="BU209" si="2010">BT161</f>
        <v>0</v>
      </c>
      <c r="BV209" s="23">
        <f t="shared" ref="BV209" si="2011">BU161</f>
        <v>10.419999999999991</v>
      </c>
      <c r="BW209" s="23">
        <f t="shared" ref="BW209" si="2012">BV161</f>
        <v>13.255000000000001</v>
      </c>
      <c r="BX209" s="23">
        <f t="shared" ref="BX209" si="2013">BW161</f>
        <v>22.332748793866926</v>
      </c>
      <c r="BY209" s="23">
        <f t="shared" ref="BY209" si="2014">BX161</f>
        <v>140.85400000000001</v>
      </c>
      <c r="BZ209" s="23">
        <f t="shared" ref="BZ209" si="2015">BY161</f>
        <v>153.50893668895006</v>
      </c>
      <c r="CA209" s="23">
        <f t="shared" ref="CA209" si="2016">BZ161</f>
        <v>119.32599999999999</v>
      </c>
      <c r="CB209" s="23">
        <f t="shared" ref="CB209" si="2017">CA161</f>
        <v>132.98883051906625</v>
      </c>
      <c r="CC209" s="23">
        <f t="shared" ref="CC209" si="2018">CB161</f>
        <v>62.32</v>
      </c>
      <c r="CD209" s="23">
        <f t="shared" ref="CD209" si="2019">CC161</f>
        <v>81.407832627206687</v>
      </c>
      <c r="CE209" s="23">
        <f t="shared" ref="CE209" si="2020">CD161</f>
        <v>249.459</v>
      </c>
      <c r="CF209" s="23">
        <f t="shared" ref="CF209" si="2021">CE161</f>
        <v>273.29042085623723</v>
      </c>
      <c r="CG209" s="23">
        <f t="shared" ref="CG209" si="2022">CF161</f>
        <v>166.54399999999998</v>
      </c>
      <c r="CH209" s="23">
        <f t="shared" ref="CH209:CL209" si="2023">CG161</f>
        <v>188.95656128200773</v>
      </c>
      <c r="CI209" s="23">
        <f t="shared" si="2023"/>
        <v>186.81900000000002</v>
      </c>
      <c r="CJ209" s="23">
        <f t="shared" si="2023"/>
        <v>218.04444004847599</v>
      </c>
      <c r="CK209" s="24">
        <f t="shared" ref="CK209" si="2024">CJ161</f>
        <v>102.02500000000001</v>
      </c>
      <c r="CL209" s="23">
        <f t="shared" si="2023"/>
        <v>133.65335809110644</v>
      </c>
      <c r="CM209" s="24">
        <f t="shared" ref="CM209" si="2025">CL161</f>
        <v>109.44399999999999</v>
      </c>
      <c r="CN209" s="24">
        <f t="shared" ref="CN209" si="2026">CM161</f>
        <v>145.18993220155897</v>
      </c>
      <c r="CO209" s="24">
        <f t="shared" ref="CO209" si="2027">CN161</f>
        <v>177.88840096385417</v>
      </c>
      <c r="CP209" s="24">
        <f t="shared" ref="CP209" si="2028">CO161</f>
        <v>215.63697005183801</v>
      </c>
      <c r="CQ209" s="24">
        <f t="shared" ref="CQ209" si="2029">CP161</f>
        <v>263.26497225034694</v>
      </c>
      <c r="CR209" s="24">
        <f t="shared" ref="CR209" si="2030">CQ161</f>
        <v>310.40271945429834</v>
      </c>
      <c r="CS209" s="24">
        <f t="shared" ref="CS209" si="2031">CR161</f>
        <v>354.47457195804071</v>
      </c>
      <c r="CT209" s="24">
        <f t="shared" ref="CT209" si="2032">CS161</f>
        <v>404.53058791167592</v>
      </c>
      <c r="CU209" s="24">
        <f t="shared" ref="CU209" si="2033">CT161</f>
        <v>467.991792708189</v>
      </c>
      <c r="CV209" s="24">
        <f t="shared" ref="CV209" si="2034">CU161</f>
        <v>530.83309967775892</v>
      </c>
      <c r="CW209" s="24">
        <f t="shared" ref="CW209" si="2035">CV161</f>
        <v>589.71977378127053</v>
      </c>
      <c r="CX209" s="24">
        <f t="shared" ref="CX209" si="2036">CW161</f>
        <v>656.44147397352413</v>
      </c>
      <c r="CY209" s="24">
        <f t="shared" ref="CY209" si="2037">CX161</f>
        <v>741.16287197199927</v>
      </c>
      <c r="CZ209" s="24">
        <f t="shared" ref="CZ209" si="2038">CY161</f>
        <v>825.08894338643847</v>
      </c>
      <c r="DA209" s="24">
        <f t="shared" ref="DA209" si="2039">CZ161</f>
        <v>903.74696725940225</v>
      </c>
      <c r="DB209" s="24">
        <f t="shared" ref="DB209" si="2040">DA161</f>
        <v>992.85813744455049</v>
      </c>
      <c r="DE209" s="123"/>
      <c r="DF209" s="23">
        <v>186.81900000000002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0</v>
      </c>
      <c r="J210" s="23">
        <f>J209+J205+J201+J199</f>
        <v>3.8075377999999986</v>
      </c>
      <c r="K210" s="23">
        <f>K209+K205+K201+K199</f>
        <v>1.5937221999999993</v>
      </c>
      <c r="L210" s="23">
        <f>L209+L205+L201+L199</f>
        <v>4.8017875999999902</v>
      </c>
      <c r="M210" s="23">
        <f>M209+M205+M201+M199</f>
        <v>1.3616336999999987</v>
      </c>
      <c r="N210" s="23">
        <f t="shared" si="2041"/>
        <v>0.83992420000001111</v>
      </c>
      <c r="O210" s="23">
        <f t="shared" si="2041"/>
        <v>6.1933202999999972</v>
      </c>
      <c r="P210" s="23">
        <f t="shared" si="2041"/>
        <v>3.2656928000000072</v>
      </c>
      <c r="Q210" s="23">
        <f t="shared" si="2041"/>
        <v>3.6882172999999945</v>
      </c>
      <c r="R210" s="23">
        <f t="shared" si="2041"/>
        <v>10.770850400000002</v>
      </c>
      <c r="S210" s="23">
        <f t="shared" si="2041"/>
        <v>6.5581791000000091</v>
      </c>
      <c r="T210" s="23">
        <f t="shared" si="2041"/>
        <v>2.3310000000000066</v>
      </c>
      <c r="U210" s="23">
        <f t="shared" si="2041"/>
        <v>9.28599999999998</v>
      </c>
      <c r="V210" s="23">
        <f t="shared" si="2041"/>
        <v>7.7750000000000199</v>
      </c>
      <c r="W210" s="23">
        <f t="shared" si="2041"/>
        <v>13.255000000000003</v>
      </c>
      <c r="X210" s="23">
        <f t="shared" ref="X210:Y210" si="2042">X209+X205+X201+X199</f>
        <v>119.32600000000002</v>
      </c>
      <c r="Y210" s="23">
        <f t="shared" si="2042"/>
        <v>249.45899999999995</v>
      </c>
      <c r="Z210" s="23">
        <f t="shared" ref="Z210:AA210" si="2043">Z209+Z205+Z201+Z199</f>
        <v>186.81899999999996</v>
      </c>
      <c r="AA210" s="23">
        <f t="shared" si="2043"/>
        <v>109.44400000000033</v>
      </c>
      <c r="AB210" s="24">
        <f t="shared" ref="AA210:AD210" si="2044">AB209+AB205+AB201+AB199</f>
        <v>263.26497225034677</v>
      </c>
      <c r="AC210" s="24">
        <f t="shared" si="2044"/>
        <v>467.99179270818917</v>
      </c>
      <c r="AD210" s="24">
        <f t="shared" si="2044"/>
        <v>741.16287197199892</v>
      </c>
      <c r="AE210" s="24">
        <f t="shared" ref="AE210" si="2045">AE209+AE205+AE201+AE199</f>
        <v>1106.0699269196532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 t="e">
        <f t="shared" si="2049"/>
        <v>#DIV/0!</v>
      </c>
      <c r="BB210" s="23" t="e">
        <f t="shared" si="2049"/>
        <v>#DIV/0!</v>
      </c>
      <c r="BC210" s="23" t="e">
        <f t="shared" si="2049"/>
        <v>#DIV/0!</v>
      </c>
      <c r="BD210" s="23" t="e">
        <f t="shared" si="2049"/>
        <v>#DIV/0!</v>
      </c>
      <c r="BE210" s="23" t="e">
        <f t="shared" si="2049"/>
        <v>#DIV/0!</v>
      </c>
      <c r="BF210" s="23" t="e">
        <f t="shared" si="2049"/>
        <v>#DIV/0!</v>
      </c>
      <c r="BG210" s="23" t="e">
        <f t="shared" si="2049"/>
        <v>#DIV/0!</v>
      </c>
      <c r="BH210" s="23" t="e">
        <f t="shared" si="2049"/>
        <v>#DIV/0!</v>
      </c>
      <c r="BI210" s="23" t="e">
        <f t="shared" si="2049"/>
        <v>#DIV/0!</v>
      </c>
      <c r="BJ210" s="23" t="e">
        <f t="shared" si="2049"/>
        <v>#DIV/0!</v>
      </c>
      <c r="BK210" s="23" t="e">
        <f t="shared" si="2049"/>
        <v>#DIV/0!</v>
      </c>
      <c r="BL210" s="23" t="e">
        <f t="shared" si="2049"/>
        <v>#DIV/0!</v>
      </c>
      <c r="BM210" s="23" t="e">
        <f t="shared" si="2049"/>
        <v>#DIV/0!</v>
      </c>
      <c r="BN210" s="23" t="e">
        <f t="shared" si="2049"/>
        <v>#DIV/0!</v>
      </c>
      <c r="BO210" s="23" t="e">
        <f t="shared" si="2049"/>
        <v>#DIV/0!</v>
      </c>
      <c r="BP210" s="23" t="e">
        <f t="shared" si="2049"/>
        <v>#DIV/0!</v>
      </c>
      <c r="BQ210" s="23" t="e">
        <f t="shared" si="2049"/>
        <v>#DIV/0!</v>
      </c>
      <c r="BR210" s="23" t="e">
        <f t="shared" si="2049"/>
        <v>#DIV/0!</v>
      </c>
      <c r="BS210" s="23">
        <f t="shared" si="2049"/>
        <v>16.08142523076922</v>
      </c>
      <c r="BT210" s="23">
        <f t="shared" si="2049"/>
        <v>-3.1974423109204508E-14</v>
      </c>
      <c r="BU210" s="23">
        <f t="shared" si="2049"/>
        <v>10.419999999999991</v>
      </c>
      <c r="BV210" s="23">
        <f t="shared" si="2049"/>
        <v>13.254000000000005</v>
      </c>
      <c r="BW210" s="23">
        <f t="shared" si="2049"/>
        <v>22.332748793866926</v>
      </c>
      <c r="BX210" s="23">
        <f t="shared" si="2049"/>
        <v>140.85500000000005</v>
      </c>
      <c r="BY210" s="23">
        <f t="shared" si="2049"/>
        <v>153.50893668895006</v>
      </c>
      <c r="BZ210" s="23">
        <f t="shared" si="2049"/>
        <v>119.32600000000004</v>
      </c>
      <c r="CA210" s="23">
        <f t="shared" si="2049"/>
        <v>132.98883051906625</v>
      </c>
      <c r="CB210" s="23">
        <f t="shared" si="2049"/>
        <v>62.319999999999958</v>
      </c>
      <c r="CC210" s="23">
        <f t="shared" si="2049"/>
        <v>81.407832627206687</v>
      </c>
      <c r="CD210" s="23">
        <f t="shared" si="2049"/>
        <v>249.45900000000006</v>
      </c>
      <c r="CE210" s="23">
        <f t="shared" ref="CE210:CF210" si="2050">CE209+CE205+CE201+CE199</f>
        <v>273.29042085623723</v>
      </c>
      <c r="CF210" s="23">
        <f t="shared" si="2050"/>
        <v>166.54499999999996</v>
      </c>
      <c r="CG210" s="23">
        <f t="shared" ref="CG210:CH210" si="2051">CG209+CG205+CG201+CG199</f>
        <v>188.95656128200773</v>
      </c>
      <c r="CH210" s="23">
        <f t="shared" si="2051"/>
        <v>186.81800000000004</v>
      </c>
      <c r="CI210" s="23">
        <f t="shared" ref="CI210:CJ210" si="2052">CI209+CI205+CI201+CI199</f>
        <v>218.04444004847599</v>
      </c>
      <c r="CJ210" s="23">
        <f t="shared" si="2052"/>
        <v>102.02500000000001</v>
      </c>
      <c r="CK210" s="24">
        <f t="shared" ref="CK210:DB210" si="2053">CK209+CK205+CK201+CK199</f>
        <v>133.65335809110644</v>
      </c>
      <c r="CL210" s="23">
        <f t="shared" si="2053"/>
        <v>109.44400000000014</v>
      </c>
      <c r="CM210" s="24">
        <f t="shared" si="2053"/>
        <v>145.18993220155897</v>
      </c>
      <c r="CN210" s="24">
        <f t="shared" si="2053"/>
        <v>177.88840096385417</v>
      </c>
      <c r="CO210" s="24">
        <f t="shared" si="2053"/>
        <v>215.63697005183801</v>
      </c>
      <c r="CP210" s="24">
        <f t="shared" si="2053"/>
        <v>263.26497225034694</v>
      </c>
      <c r="CQ210" s="24">
        <f t="shared" si="2053"/>
        <v>310.40271945429834</v>
      </c>
      <c r="CR210" s="24">
        <f t="shared" si="2053"/>
        <v>354.47457195804071</v>
      </c>
      <c r="CS210" s="24">
        <f t="shared" si="2053"/>
        <v>404.53058791167592</v>
      </c>
      <c r="CT210" s="24">
        <f t="shared" si="2053"/>
        <v>467.991792708189</v>
      </c>
      <c r="CU210" s="24">
        <f t="shared" si="2053"/>
        <v>530.83309967775892</v>
      </c>
      <c r="CV210" s="24">
        <f t="shared" si="2053"/>
        <v>589.71977378127053</v>
      </c>
      <c r="CW210" s="24">
        <f t="shared" si="2053"/>
        <v>656.44147397352413</v>
      </c>
      <c r="CX210" s="24">
        <f t="shared" si="2053"/>
        <v>741.16287197199927</v>
      </c>
      <c r="CY210" s="24">
        <f t="shared" si="2053"/>
        <v>825.08894338643847</v>
      </c>
      <c r="CZ210" s="24">
        <f t="shared" si="2053"/>
        <v>903.74696725940225</v>
      </c>
      <c r="DA210" s="24">
        <f t="shared" si="2053"/>
        <v>992.85813744455049</v>
      </c>
      <c r="DB210" s="24">
        <f t="shared" si="2053"/>
        <v>1106.0699269196534</v>
      </c>
      <c r="DE210" s="123"/>
      <c r="DF210" s="23">
        <v>109.44400000000016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0</v>
      </c>
      <c r="L211" s="28">
        <f t="shared" si="2054"/>
        <v>-9.7699626167013776E-15</v>
      </c>
      <c r="M211" s="28">
        <f t="shared" si="2054"/>
        <v>0</v>
      </c>
      <c r="N211" s="28">
        <f t="shared" si="2054"/>
        <v>1.1102230246251565E-14</v>
      </c>
      <c r="O211" s="28">
        <f t="shared" si="2054"/>
        <v>0</v>
      </c>
      <c r="P211" s="28">
        <f t="shared" si="2054"/>
        <v>7.1054273576010019E-15</v>
      </c>
      <c r="Q211" s="28">
        <f t="shared" si="2054"/>
        <v>-5.3290705182007514E-15</v>
      </c>
      <c r="R211" s="28">
        <f t="shared" si="2054"/>
        <v>0</v>
      </c>
      <c r="S211" s="28">
        <f t="shared" si="2054"/>
        <v>8.8817841970012523E-15</v>
      </c>
      <c r="T211" s="28">
        <f t="shared" si="2054"/>
        <v>6.6613381477509392E-15</v>
      </c>
      <c r="U211" s="28">
        <f t="shared" si="2054"/>
        <v>-1.9539925233402755E-14</v>
      </c>
      <c r="V211" s="28">
        <f t="shared" si="2054"/>
        <v>1.9539925233402755E-14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3.4106051316484809E-13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 t="e">
        <f t="shared" si="2062"/>
        <v>#DIV/0!</v>
      </c>
      <c r="BB211" s="28" t="e">
        <f t="shared" si="2062"/>
        <v>#DIV/0!</v>
      </c>
      <c r="BC211" s="28" t="e">
        <f t="shared" si="2062"/>
        <v>#DIV/0!</v>
      </c>
      <c r="BD211" s="28" t="e">
        <f t="shared" si="2062"/>
        <v>#DIV/0!</v>
      </c>
      <c r="BE211" s="28" t="e">
        <f t="shared" si="2062"/>
        <v>#DIV/0!</v>
      </c>
      <c r="BF211" s="28" t="e">
        <f t="shared" si="2062"/>
        <v>#DIV/0!</v>
      </c>
      <c r="BG211" s="28" t="e">
        <f t="shared" si="2062"/>
        <v>#DIV/0!</v>
      </c>
      <c r="BH211" s="28" t="e">
        <f t="shared" si="2062"/>
        <v>#DIV/0!</v>
      </c>
      <c r="BI211" s="28" t="e">
        <f t="shared" si="2062"/>
        <v>#DIV/0!</v>
      </c>
      <c r="BJ211" s="28" t="e">
        <f t="shared" si="2062"/>
        <v>#DIV/0!</v>
      </c>
      <c r="BK211" s="28" t="e">
        <f t="shared" si="2062"/>
        <v>#DIV/0!</v>
      </c>
      <c r="BL211" s="28" t="e">
        <f t="shared" si="2062"/>
        <v>#DIV/0!</v>
      </c>
      <c r="BM211" s="28" t="e">
        <f t="shared" si="2062"/>
        <v>#DIV/0!</v>
      </c>
      <c r="BN211" s="28" t="e">
        <f t="shared" si="2062"/>
        <v>#DIV/0!</v>
      </c>
      <c r="BO211" s="28" t="e">
        <f t="shared" si="2062"/>
        <v>#DIV/0!</v>
      </c>
      <c r="BP211" s="28" t="e">
        <f t="shared" si="2062"/>
        <v>#DIV/0!</v>
      </c>
      <c r="BQ211" s="28" t="e">
        <f t="shared" si="2062"/>
        <v>#DIV/0!</v>
      </c>
      <c r="BR211" s="28" t="e">
        <f t="shared" si="2062"/>
        <v>#DIV/0!</v>
      </c>
      <c r="BS211" s="28">
        <f t="shared" si="2062"/>
        <v>0</v>
      </c>
      <c r="BT211" s="28">
        <f t="shared" si="2062"/>
        <v>-3.1974423109204508E-14</v>
      </c>
      <c r="BU211" s="28">
        <f t="shared" si="2062"/>
        <v>0</v>
      </c>
      <c r="BV211" s="28">
        <f t="shared" si="2062"/>
        <v>-9.9999999999589306E-4</v>
      </c>
      <c r="BW211" s="28">
        <f t="shared" si="2062"/>
        <v>0</v>
      </c>
      <c r="BX211" s="28">
        <f t="shared" si="2062"/>
        <v>1.0000000000331966E-3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9.9999999997635314E-4</v>
      </c>
      <c r="CG211" s="28">
        <f t="shared" ref="CG211:CH211" si="2064">CG210-CG161</f>
        <v>0</v>
      </c>
      <c r="CH211" s="28">
        <f t="shared" si="2064"/>
        <v>-9.9999999997635314E-4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1.5631940186722204E-13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1.7053025658242404E-13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0</v>
      </c>
      <c r="J213" s="22">
        <f>J199+J201</f>
        <v>-12.892462200000001</v>
      </c>
      <c r="K213" s="22">
        <f t="shared" si="2067"/>
        <v>-15.391366600000001</v>
      </c>
      <c r="L213" s="22">
        <f t="shared" si="2067"/>
        <v>-21.791934432000005</v>
      </c>
      <c r="M213" s="22">
        <f t="shared" si="2067"/>
        <v>-5.7092882909999965</v>
      </c>
      <c r="N213" s="22">
        <f t="shared" si="2067"/>
        <v>-0.58925759999999627</v>
      </c>
      <c r="O213" s="22">
        <f t="shared" si="2067"/>
        <v>4.2107924000000043</v>
      </c>
      <c r="P213" s="22">
        <f t="shared" si="2067"/>
        <v>-10.828226999999995</v>
      </c>
      <c r="Q213" s="22">
        <f t="shared" si="2067"/>
        <v>3.5098172999999964</v>
      </c>
      <c r="R213" s="22">
        <f t="shared" si="2067"/>
        <v>2.4363602000000029</v>
      </c>
      <c r="S213" s="22">
        <f t="shared" si="2067"/>
        <v>-2.3873597999999863</v>
      </c>
      <c r="T213" s="22">
        <f t="shared" si="2067"/>
        <v>-15.369332999999997</v>
      </c>
      <c r="U213" s="22">
        <f t="shared" si="2067"/>
        <v>-7.7310000000000088</v>
      </c>
      <c r="V213" s="22">
        <f t="shared" si="2067"/>
        <v>-2.0320000000000036</v>
      </c>
      <c r="W213" s="22">
        <f t="shared" si="2067"/>
        <v>-9.0919999999999561</v>
      </c>
      <c r="X213" s="22">
        <f t="shared" ref="X213:Y213" si="2068">X199+X201</f>
        <v>-31.823000000000043</v>
      </c>
      <c r="Y213" s="22">
        <f t="shared" si="2068"/>
        <v>-56.284999999999975</v>
      </c>
      <c r="Z213" s="22">
        <f t="shared" ref="Z213:AA213" si="2069">Z199+Z201</f>
        <v>-55.736000000000132</v>
      </c>
      <c r="AA213" s="22">
        <f t="shared" si="2069"/>
        <v>-158.76599999999959</v>
      </c>
      <c r="AB213" s="21">
        <f t="shared" ref="AA213:AD213" si="2070">AB199+AB201</f>
        <v>153.82097225034687</v>
      </c>
      <c r="AC213" s="21">
        <f t="shared" si="2070"/>
        <v>204.72682045784222</v>
      </c>
      <c r="AD213" s="21">
        <f t="shared" si="2070"/>
        <v>273.17107926381038</v>
      </c>
      <c r="AE213" s="21">
        <f t="shared" ref="AE213" si="2071">AE199+AE201</f>
        <v>364.90705494765461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 t="e">
        <f t="shared" si="2075"/>
        <v>#DIV/0!</v>
      </c>
      <c r="BB213" s="22" t="e">
        <f t="shared" si="2075"/>
        <v>#DIV/0!</v>
      </c>
      <c r="BC213" s="22" t="e">
        <f t="shared" si="2075"/>
        <v>#DIV/0!</v>
      </c>
      <c r="BD213" s="22" t="e">
        <f t="shared" si="2075"/>
        <v>#DIV/0!</v>
      </c>
      <c r="BE213" s="22" t="e">
        <f t="shared" si="2075"/>
        <v>#DIV/0!</v>
      </c>
      <c r="BF213" s="22" t="e">
        <f t="shared" si="2075"/>
        <v>#DIV/0!</v>
      </c>
      <c r="BG213" s="22" t="e">
        <f t="shared" si="2075"/>
        <v>#DIV/0!</v>
      </c>
      <c r="BH213" s="22" t="e">
        <f t="shared" si="2075"/>
        <v>#DIV/0!</v>
      </c>
      <c r="BI213" s="22" t="e">
        <f t="shared" si="2075"/>
        <v>#DIV/0!</v>
      </c>
      <c r="BJ213" s="22" t="e">
        <f t="shared" si="2075"/>
        <v>#DIV/0!</v>
      </c>
      <c r="BK213" s="22" t="e">
        <f t="shared" si="2075"/>
        <v>#DIV/0!</v>
      </c>
      <c r="BL213" s="22" t="e">
        <f t="shared" si="2075"/>
        <v>#DIV/0!</v>
      </c>
      <c r="BM213" s="22" t="e">
        <f t="shared" si="2075"/>
        <v>#DIV/0!</v>
      </c>
      <c r="BN213" s="22" t="e">
        <f t="shared" si="2075"/>
        <v>#DIV/0!</v>
      </c>
      <c r="BO213" s="22" t="e">
        <f t="shared" si="2075"/>
        <v>#DIV/0!</v>
      </c>
      <c r="BP213" s="22" t="e">
        <f t="shared" si="2075"/>
        <v>#DIV/0!</v>
      </c>
      <c r="BQ213" s="22" t="e">
        <f t="shared" si="2075"/>
        <v>#DIV/0!</v>
      </c>
      <c r="BR213" s="22" t="e">
        <f t="shared" si="2075"/>
        <v>#DIV/0!</v>
      </c>
      <c r="BS213" s="22">
        <f t="shared" si="2075"/>
        <v>8.3064252307692197</v>
      </c>
      <c r="BT213" s="22">
        <f t="shared" si="2075"/>
        <v>151.54357476923079</v>
      </c>
      <c r="BU213" s="22">
        <f t="shared" si="2075"/>
        <v>10.419999999999991</v>
      </c>
      <c r="BV213" s="22">
        <f t="shared" si="2075"/>
        <v>-184.45299999999997</v>
      </c>
      <c r="BW213" s="22">
        <f t="shared" si="2075"/>
        <v>9.0777487938668955</v>
      </c>
      <c r="BX213" s="22">
        <f t="shared" si="2075"/>
        <v>-28.404748793866904</v>
      </c>
      <c r="BY213" s="22">
        <f t="shared" si="2075"/>
        <v>12.654936688950038</v>
      </c>
      <c r="BZ213" s="22">
        <f t="shared" si="2075"/>
        <v>-25.152936688950025</v>
      </c>
      <c r="CA213" s="22">
        <f t="shared" si="2075"/>
        <v>13.662830519066269</v>
      </c>
      <c r="CB213" s="22">
        <f t="shared" si="2075"/>
        <v>-70.306830519066295</v>
      </c>
      <c r="CC213" s="22">
        <f t="shared" si="2075"/>
        <v>19.08783262720668</v>
      </c>
      <c r="CD213" s="22">
        <f t="shared" si="2075"/>
        <v>-18.727832627206624</v>
      </c>
      <c r="CE213" s="22">
        <f t="shared" ref="CE213:CF213" si="2076">CE199+CE201</f>
        <v>23.831420856237212</v>
      </c>
      <c r="CF213" s="22">
        <f t="shared" si="2076"/>
        <v>-89.72942085623724</v>
      </c>
      <c r="CG213" s="22">
        <f t="shared" ref="CG213:CH213" si="2077">CG199+CG201</f>
        <v>22.412561282007751</v>
      </c>
      <c r="CH213" s="22">
        <f t="shared" si="2077"/>
        <v>-12.251561282007774</v>
      </c>
      <c r="CI213" s="22">
        <f t="shared" ref="CI213:CJ213" si="2078">CI199+CI201</f>
        <v>31.225440048475974</v>
      </c>
      <c r="CJ213" s="22">
        <f t="shared" si="2078"/>
        <v>-151.2404400484759</v>
      </c>
      <c r="CK213" s="21">
        <f t="shared" ref="CK213:DB213" si="2079">CK199+CK201</f>
        <v>31.628358091106307</v>
      </c>
      <c r="CL213" s="22">
        <f t="shared" si="2079"/>
        <v>-70.379358091106369</v>
      </c>
      <c r="CM213" s="21">
        <f t="shared" si="2079"/>
        <v>35.745932201558972</v>
      </c>
      <c r="CN213" s="21">
        <f t="shared" si="2079"/>
        <v>32.698468762295178</v>
      </c>
      <c r="CO213" s="21">
        <f t="shared" si="2079"/>
        <v>37.748569087983846</v>
      </c>
      <c r="CP213" s="21">
        <f t="shared" si="2079"/>
        <v>47.628002198508945</v>
      </c>
      <c r="CQ213" s="21">
        <f t="shared" si="2079"/>
        <v>47.13774720395142</v>
      </c>
      <c r="CR213" s="21">
        <f t="shared" si="2079"/>
        <v>44.071852503742384</v>
      </c>
      <c r="CS213" s="21">
        <f t="shared" si="2079"/>
        <v>50.056015953635232</v>
      </c>
      <c r="CT213" s="21">
        <f t="shared" si="2079"/>
        <v>63.461204796513044</v>
      </c>
      <c r="CU213" s="21">
        <f t="shared" si="2079"/>
        <v>62.841306969569885</v>
      </c>
      <c r="CV213" s="21">
        <f t="shared" si="2079"/>
        <v>58.886674103511638</v>
      </c>
      <c r="CW213" s="21">
        <f t="shared" si="2079"/>
        <v>66.72170019225365</v>
      </c>
      <c r="CX213" s="21">
        <f t="shared" si="2079"/>
        <v>84.721397998475183</v>
      </c>
      <c r="CY213" s="21">
        <f t="shared" si="2079"/>
        <v>83.926071414439207</v>
      </c>
      <c r="CZ213" s="21">
        <f t="shared" si="2079"/>
        <v>78.658023872963724</v>
      </c>
      <c r="DA213" s="21">
        <f t="shared" si="2079"/>
        <v>89.111170185148495</v>
      </c>
      <c r="DB213" s="21">
        <f t="shared" si="2079"/>
        <v>113.21178947510282</v>
      </c>
      <c r="DE213" s="126"/>
      <c r="DF213" s="22">
        <v>-158.76599999999999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0</v>
      </c>
      <c r="BA225" s="66">
        <f t="shared" si="2080"/>
        <v>0</v>
      </c>
      <c r="BB225" s="66">
        <f t="shared" si="2080"/>
        <v>0</v>
      </c>
      <c r="BC225" s="66">
        <f t="shared" si="2080"/>
        <v>0</v>
      </c>
      <c r="BD225" s="66">
        <f t="shared" si="2080"/>
        <v>0</v>
      </c>
      <c r="BE225" s="66">
        <f t="shared" si="2080"/>
        <v>0</v>
      </c>
      <c r="BF225" s="66">
        <f t="shared" si="2080"/>
        <v>0</v>
      </c>
      <c r="BG225" s="66">
        <f t="shared" si="2080"/>
        <v>0</v>
      </c>
      <c r="BH225" s="66">
        <f t="shared" si="2080"/>
        <v>0</v>
      </c>
      <c r="BI225" s="66">
        <f t="shared" si="2080"/>
        <v>0</v>
      </c>
      <c r="BJ225" s="66">
        <f t="shared" si="2080"/>
        <v>0</v>
      </c>
      <c r="BK225" s="66">
        <f t="shared" si="2080"/>
        <v>0</v>
      </c>
      <c r="BL225" s="66">
        <f t="shared" si="2080"/>
        <v>0</v>
      </c>
      <c r="BM225" s="66">
        <f t="shared" si="2080"/>
        <v>0</v>
      </c>
      <c r="BN225" s="66">
        <f t="shared" si="2080"/>
        <v>0</v>
      </c>
      <c r="BO225" s="66">
        <f t="shared" si="2080"/>
        <v>0</v>
      </c>
      <c r="BP225" s="66">
        <f t="shared" si="2080"/>
        <v>0</v>
      </c>
      <c r="BQ225" s="66">
        <f t="shared" si="2080"/>
        <v>0</v>
      </c>
      <c r="BR225" s="66">
        <f t="shared" ref="BR225:CW225" si="2081">SUM(BO10:BR10)</f>
        <v>39</v>
      </c>
      <c r="BS225" s="66">
        <f t="shared" si="2081"/>
        <v>81.915999999999997</v>
      </c>
      <c r="BT225" s="66">
        <f t="shared" si="2081"/>
        <v>130.947</v>
      </c>
      <c r="BU225" s="66">
        <f t="shared" si="2081"/>
        <v>176.244</v>
      </c>
      <c r="BV225" s="66">
        <f t="shared" si="2081"/>
        <v>182.637</v>
      </c>
      <c r="BW225" s="66">
        <f t="shared" si="2081"/>
        <v>191.93700000000001</v>
      </c>
      <c r="BX225" s="66">
        <f t="shared" si="2081"/>
        <v>201.39500000000001</v>
      </c>
      <c r="BY225" s="66">
        <f t="shared" si="2081"/>
        <v>217.34</v>
      </c>
      <c r="BZ225" s="66">
        <f t="shared" si="2081"/>
        <v>248.75800000000001</v>
      </c>
      <c r="CA225" s="66">
        <f t="shared" si="2081"/>
        <v>276.291</v>
      </c>
      <c r="CB225" s="66">
        <f t="shared" si="2081"/>
        <v>314.10199999999998</v>
      </c>
      <c r="CC225" s="66">
        <f t="shared" si="2081"/>
        <v>350.238</v>
      </c>
      <c r="CD225" s="66">
        <f t="shared" si="2081"/>
        <v>373.11899999999997</v>
      </c>
      <c r="CE225" s="66">
        <f t="shared" si="2081"/>
        <v>385.81200000000001</v>
      </c>
      <c r="CF225" s="66">
        <f t="shared" si="2081"/>
        <v>430.72800000000001</v>
      </c>
      <c r="CG225" s="66">
        <f t="shared" si="2081"/>
        <v>472.20000000000005</v>
      </c>
      <c r="CH225" s="66">
        <f t="shared" si="2081"/>
        <v>519.38499999999999</v>
      </c>
      <c r="CI225" s="66">
        <f t="shared" si="2081"/>
        <v>574.24200000000008</v>
      </c>
      <c r="CJ225" s="66">
        <f t="shared" si="2081"/>
        <v>605.90099999999995</v>
      </c>
      <c r="CK225" s="50">
        <f t="shared" si="2081"/>
        <v>655.06100000000004</v>
      </c>
      <c r="CL225" s="66">
        <f t="shared" si="2081"/>
        <v>701.57999999999993</v>
      </c>
      <c r="CM225" s="50">
        <f t="shared" si="2081"/>
        <v>756.38926355548847</v>
      </c>
      <c r="CN225" s="50">
        <f t="shared" si="2081"/>
        <v>811.14982671339146</v>
      </c>
      <c r="CO225" s="50">
        <f t="shared" si="2081"/>
        <v>875.05588922483162</v>
      </c>
      <c r="CP225" s="50">
        <f t="shared" si="2081"/>
        <v>940.10887822827931</v>
      </c>
      <c r="CQ225" s="50">
        <f t="shared" si="2081"/>
        <v>1009.0853433919051</v>
      </c>
      <c r="CR225" s="50">
        <f t="shared" si="2081"/>
        <v>1085.0204919425789</v>
      </c>
      <c r="CS225" s="50">
        <f t="shared" si="2081"/>
        <v>1170.1143724537787</v>
      </c>
      <c r="CT225" s="50">
        <f t="shared" si="2081"/>
        <v>1257.2779364138296</v>
      </c>
      <c r="CU225" s="50">
        <f t="shared" si="2081"/>
        <v>1348.7629212816462</v>
      </c>
      <c r="CV225" s="50">
        <f t="shared" si="2081"/>
        <v>1450.9222485510829</v>
      </c>
      <c r="CW225" s="50">
        <f t="shared" si="2081"/>
        <v>1564.5827350393156</v>
      </c>
      <c r="CX225" s="50">
        <f t="shared" ref="CX225:DB225" si="2082">SUM(CU10:CX10)</f>
        <v>1681.0991789892983</v>
      </c>
      <c r="CY225" s="50">
        <f t="shared" si="2082"/>
        <v>1803.3209635270773</v>
      </c>
      <c r="CZ225" s="50">
        <f t="shared" si="2082"/>
        <v>1940.0536215418938</v>
      </c>
      <c r="DA225" s="50">
        <f t="shared" si="2082"/>
        <v>2091.9852715371712</v>
      </c>
      <c r="DB225" s="50">
        <f t="shared" si="2082"/>
        <v>2247.7639440169678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0</v>
      </c>
      <c r="BA226" s="66">
        <f t="shared" si="2083"/>
        <v>0</v>
      </c>
      <c r="BB226" s="66">
        <f t="shared" si="2083"/>
        <v>0</v>
      </c>
      <c r="BC226" s="66">
        <f t="shared" si="2083"/>
        <v>0</v>
      </c>
      <c r="BD226" s="66">
        <f t="shared" si="2083"/>
        <v>0</v>
      </c>
      <c r="BE226" s="66">
        <f t="shared" si="2083"/>
        <v>0</v>
      </c>
      <c r="BF226" s="66">
        <f t="shared" si="2083"/>
        <v>0</v>
      </c>
      <c r="BG226" s="66">
        <f t="shared" si="2083"/>
        <v>0</v>
      </c>
      <c r="BH226" s="66">
        <f t="shared" si="2083"/>
        <v>0</v>
      </c>
      <c r="BI226" s="66">
        <f t="shared" si="2083"/>
        <v>0</v>
      </c>
      <c r="BJ226" s="66">
        <f t="shared" si="2083"/>
        <v>0</v>
      </c>
      <c r="BK226" s="66">
        <f t="shared" si="2083"/>
        <v>0</v>
      </c>
      <c r="BL226" s="66">
        <f t="shared" si="2083"/>
        <v>0</v>
      </c>
      <c r="BM226" s="66">
        <f t="shared" si="2083"/>
        <v>0</v>
      </c>
      <c r="BN226" s="66">
        <f t="shared" si="2083"/>
        <v>0</v>
      </c>
      <c r="BO226" s="66">
        <f t="shared" si="2083"/>
        <v>0</v>
      </c>
      <c r="BP226" s="66">
        <f t="shared" si="2083"/>
        <v>0</v>
      </c>
      <c r="BQ226" s="66">
        <f t="shared" si="2083"/>
        <v>0</v>
      </c>
      <c r="BR226" s="66">
        <f t="shared" ref="BR226:CW226" si="2084">SUM(BO28:BR28)</f>
        <v>12.308</v>
      </c>
      <c r="BS226" s="66">
        <f t="shared" si="2084"/>
        <v>26.756999999999994</v>
      </c>
      <c r="BT226" s="66">
        <f t="shared" si="2084"/>
        <v>43.487999999999992</v>
      </c>
      <c r="BU226" s="66">
        <f t="shared" si="2084"/>
        <v>61.604999999999983</v>
      </c>
      <c r="BV226" s="66">
        <f t="shared" si="2084"/>
        <v>67.703999999999979</v>
      </c>
      <c r="BW226" s="66">
        <f t="shared" si="2084"/>
        <v>73.829999999999984</v>
      </c>
      <c r="BX226" s="66">
        <f t="shared" si="2084"/>
        <v>78.843999999999994</v>
      </c>
      <c r="BY226" s="66">
        <f t="shared" si="2084"/>
        <v>81.951999999999998</v>
      </c>
      <c r="BZ226" s="66">
        <f t="shared" si="2084"/>
        <v>87.308999999999997</v>
      </c>
      <c r="CA226" s="66">
        <f t="shared" si="2084"/>
        <v>90.506</v>
      </c>
      <c r="CB226" s="66">
        <f t="shared" si="2084"/>
        <v>97.018999999999977</v>
      </c>
      <c r="CC226" s="66">
        <f t="shared" si="2084"/>
        <v>100.42099999999999</v>
      </c>
      <c r="CD226" s="66">
        <f t="shared" si="2084"/>
        <v>109.55499999999998</v>
      </c>
      <c r="CE226" s="66">
        <f t="shared" si="2084"/>
        <v>112.65499999999997</v>
      </c>
      <c r="CF226" s="66">
        <f t="shared" si="2084"/>
        <v>116.771</v>
      </c>
      <c r="CG226" s="66">
        <f t="shared" si="2084"/>
        <v>122.047</v>
      </c>
      <c r="CH226" s="66">
        <f t="shared" si="2084"/>
        <v>123.93100000000001</v>
      </c>
      <c r="CI226" s="66">
        <f t="shared" si="2084"/>
        <v>131.73700000000005</v>
      </c>
      <c r="CJ226" s="66">
        <f t="shared" si="2084"/>
        <v>140.61500000000004</v>
      </c>
      <c r="CK226" s="50">
        <f t="shared" si="2084"/>
        <v>151.80200000000002</v>
      </c>
      <c r="CL226" s="66">
        <f t="shared" si="2084"/>
        <v>159.03299999999996</v>
      </c>
      <c r="CM226" s="50">
        <f t="shared" si="2084"/>
        <v>170.32652518265684</v>
      </c>
      <c r="CN226" s="50">
        <f t="shared" si="2084"/>
        <v>180.39915092282811</v>
      </c>
      <c r="CO226" s="50">
        <f t="shared" si="2084"/>
        <v>195.27978025966496</v>
      </c>
      <c r="CP226" s="50">
        <f t="shared" si="2084"/>
        <v>210.92327221563366</v>
      </c>
      <c r="CQ226" s="50">
        <f t="shared" si="2084"/>
        <v>225.82345136561202</v>
      </c>
      <c r="CR226" s="50">
        <f t="shared" si="2084"/>
        <v>242.44426889823887</v>
      </c>
      <c r="CS226" s="50">
        <f t="shared" si="2084"/>
        <v>261.7646655588735</v>
      </c>
      <c r="CT226" s="50">
        <f t="shared" si="2084"/>
        <v>281.42730947556674</v>
      </c>
      <c r="CU226" s="50">
        <f t="shared" si="2084"/>
        <v>301.72540878789346</v>
      </c>
      <c r="CV226" s="50">
        <f t="shared" si="2084"/>
        <v>324.54376326394902</v>
      </c>
      <c r="CW226" s="50">
        <f t="shared" si="2084"/>
        <v>350.05686100996877</v>
      </c>
      <c r="CX226" s="50">
        <f t="shared" ref="CX226:DB226" si="2085">SUM(CU28:CX28)</f>
        <v>376.13570230486846</v>
      </c>
      <c r="CY226" s="50">
        <f t="shared" si="2085"/>
        <v>403.43764983234547</v>
      </c>
      <c r="CZ226" s="50">
        <f t="shared" si="2085"/>
        <v>434.0326275282448</v>
      </c>
      <c r="DA226" s="50">
        <f t="shared" si="2085"/>
        <v>468.04355625744176</v>
      </c>
      <c r="DB226" s="50">
        <f t="shared" si="2085"/>
        <v>502.89186506789576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0</v>
      </c>
      <c r="BA227" s="66">
        <f t="shared" si="2086"/>
        <v>0</v>
      </c>
      <c r="BB227" s="66">
        <f t="shared" si="2086"/>
        <v>0</v>
      </c>
      <c r="BC227" s="66">
        <f t="shared" si="2086"/>
        <v>0</v>
      </c>
      <c r="BD227" s="66">
        <f t="shared" si="2086"/>
        <v>0</v>
      </c>
      <c r="BE227" s="66">
        <f t="shared" si="2086"/>
        <v>0</v>
      </c>
      <c r="BF227" s="66">
        <f t="shared" si="2086"/>
        <v>0</v>
      </c>
      <c r="BG227" s="66">
        <f t="shared" si="2086"/>
        <v>0</v>
      </c>
      <c r="BH227" s="66">
        <f t="shared" si="2086"/>
        <v>0</v>
      </c>
      <c r="BI227" s="66">
        <f t="shared" si="2086"/>
        <v>0</v>
      </c>
      <c r="BJ227" s="66">
        <f t="shared" si="2086"/>
        <v>0</v>
      </c>
      <c r="BK227" s="66">
        <f t="shared" si="2086"/>
        <v>0</v>
      </c>
      <c r="BL227" s="66">
        <f t="shared" si="2086"/>
        <v>0</v>
      </c>
      <c r="BM227" s="66">
        <f t="shared" si="2086"/>
        <v>0</v>
      </c>
      <c r="BN227" s="66">
        <f t="shared" si="2086"/>
        <v>0</v>
      </c>
      <c r="BO227" s="66">
        <f t="shared" si="2086"/>
        <v>0</v>
      </c>
      <c r="BP227" s="66">
        <f t="shared" si="2086"/>
        <v>0</v>
      </c>
      <c r="BQ227" s="66">
        <f t="shared" si="2086"/>
        <v>0</v>
      </c>
      <c r="BR227" s="66">
        <f t="shared" ref="BR227:CW227" si="2087">SUM(BO41:BR41)</f>
        <v>7.4399999999999995</v>
      </c>
      <c r="BS227" s="66">
        <f t="shared" si="2087"/>
        <v>16.938999999999993</v>
      </c>
      <c r="BT227" s="66">
        <f t="shared" si="2087"/>
        <v>27.361999999999995</v>
      </c>
      <c r="BU227" s="66">
        <f t="shared" si="2087"/>
        <v>37.781999999999982</v>
      </c>
      <c r="BV227" s="66">
        <f t="shared" si="2087"/>
        <v>41.139999999999986</v>
      </c>
      <c r="BW227" s="66">
        <f t="shared" si="2087"/>
        <v>45.353999999999999</v>
      </c>
      <c r="BX227" s="66">
        <f t="shared" si="2087"/>
        <v>51.402999999999992</v>
      </c>
      <c r="BY227" s="66">
        <f t="shared" si="2087"/>
        <v>56.194999999999993</v>
      </c>
      <c r="BZ227" s="66">
        <f t="shared" si="2087"/>
        <v>61.195000000000007</v>
      </c>
      <c r="CA227" s="66">
        <f t="shared" si="2087"/>
        <v>63.85499999999999</v>
      </c>
      <c r="CB227" s="66">
        <f t="shared" si="2087"/>
        <v>66.147999999999982</v>
      </c>
      <c r="CC227" s="66">
        <f t="shared" si="2087"/>
        <v>70.947000000000003</v>
      </c>
      <c r="CD227" s="66">
        <f t="shared" si="2087"/>
        <v>76.351999999999975</v>
      </c>
      <c r="CE227" s="66">
        <f t="shared" si="2087"/>
        <v>78.175999999999974</v>
      </c>
      <c r="CF227" s="66">
        <f t="shared" si="2087"/>
        <v>81.709000000000003</v>
      </c>
      <c r="CG227" s="66">
        <f t="shared" si="2087"/>
        <v>84.097999999999985</v>
      </c>
      <c r="CH227" s="66">
        <f t="shared" si="2087"/>
        <v>87.233000000000004</v>
      </c>
      <c r="CI227" s="66">
        <f t="shared" si="2087"/>
        <v>94.060000000000059</v>
      </c>
      <c r="CJ227" s="66">
        <f t="shared" si="2087"/>
        <v>98.202000000000055</v>
      </c>
      <c r="CK227" s="50">
        <f t="shared" si="2087"/>
        <v>104.80700000000002</v>
      </c>
      <c r="CL227" s="66">
        <f t="shared" si="2087"/>
        <v>110.04699999999997</v>
      </c>
      <c r="CM227" s="50">
        <f t="shared" si="2087"/>
        <v>114.5387082248693</v>
      </c>
      <c r="CN227" s="50">
        <f t="shared" si="2087"/>
        <v>122.72519746323661</v>
      </c>
      <c r="CO227" s="50">
        <f t="shared" si="2087"/>
        <v>133.07768250532487</v>
      </c>
      <c r="CP227" s="50">
        <f t="shared" si="2087"/>
        <v>144.67241709383708</v>
      </c>
      <c r="CQ227" s="50">
        <f t="shared" si="2087"/>
        <v>158.95379862560384</v>
      </c>
      <c r="CR227" s="50">
        <f t="shared" si="2087"/>
        <v>174.61402960134902</v>
      </c>
      <c r="CS227" s="50">
        <f t="shared" si="2087"/>
        <v>192.21458730137022</v>
      </c>
      <c r="CT227" s="50">
        <f t="shared" si="2087"/>
        <v>209.99144035815269</v>
      </c>
      <c r="CU227" s="50">
        <f t="shared" si="2087"/>
        <v>228.6704104783062</v>
      </c>
      <c r="CV227" s="50">
        <f t="shared" si="2087"/>
        <v>249.41636183011565</v>
      </c>
      <c r="CW227" s="50">
        <f t="shared" si="2087"/>
        <v>272.37787641359984</v>
      </c>
      <c r="CX227" s="50">
        <f t="shared" ref="CX227:DB227" si="2088">SUM(CU41:CX41)</f>
        <v>295.8570298288621</v>
      </c>
      <c r="CY227" s="50">
        <f t="shared" si="2088"/>
        <v>320.47512418959462</v>
      </c>
      <c r="CZ227" s="50">
        <f t="shared" si="2088"/>
        <v>347.88800866137075</v>
      </c>
      <c r="DA227" s="50">
        <f t="shared" si="2088"/>
        <v>378.22088179396496</v>
      </c>
      <c r="DB227" s="50">
        <f t="shared" si="2088"/>
        <v>409.31055711468173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0</v>
      </c>
      <c r="J231" s="64">
        <f t="shared" si="2089"/>
        <v>6.3286850000000001</v>
      </c>
      <c r="K231" s="64">
        <f t="shared" si="2089"/>
        <v>4.2517284000000002</v>
      </c>
      <c r="L231" s="64">
        <f t="shared" si="2089"/>
        <v>11.8521222</v>
      </c>
      <c r="M231" s="64">
        <f t="shared" si="2089"/>
        <v>10.4081964</v>
      </c>
      <c r="N231" s="64">
        <f t="shared" si="2089"/>
        <v>17.4125373</v>
      </c>
      <c r="O231" s="64">
        <f t="shared" si="2089"/>
        <v>16.2208629</v>
      </c>
      <c r="P231" s="64">
        <f t="shared" si="2089"/>
        <v>35.307439000000002</v>
      </c>
      <c r="Q231" s="64">
        <f t="shared" si="2089"/>
        <v>47.256013600000003</v>
      </c>
      <c r="R231" s="64">
        <f t="shared" si="2089"/>
        <v>68.301184000000006</v>
      </c>
      <c r="S231" s="64">
        <f t="shared" si="2089"/>
        <v>76.253556200000006</v>
      </c>
      <c r="T231" s="64">
        <f t="shared" si="2089"/>
        <v>101.584</v>
      </c>
      <c r="U231" s="64">
        <f t="shared" si="2089"/>
        <v>116.45</v>
      </c>
      <c r="V231" s="64">
        <f t="shared" si="2089"/>
        <v>131.59299999999999</v>
      </c>
      <c r="W231" s="64">
        <f t="shared" si="2089"/>
        <v>182.637</v>
      </c>
      <c r="X231" s="64">
        <f t="shared" si="2089"/>
        <v>248.75700000000001</v>
      </c>
      <c r="Y231" s="64">
        <f t="shared" si="2089"/>
        <v>373.11900000000003</v>
      </c>
      <c r="Z231" s="64">
        <f t="shared" si="2089"/>
        <v>519.38499999999999</v>
      </c>
      <c r="AA231" s="64">
        <f t="shared" ref="AA231" si="2090">AA8-AA237</f>
        <v>701.58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0</v>
      </c>
      <c r="BA231" s="64">
        <f t="shared" si="2091"/>
        <v>0</v>
      </c>
      <c r="BB231" s="64">
        <f t="shared" si="2091"/>
        <v>0</v>
      </c>
      <c r="BC231" s="64">
        <f t="shared" si="2091"/>
        <v>0</v>
      </c>
      <c r="BD231" s="64">
        <f t="shared" si="2091"/>
        <v>0</v>
      </c>
      <c r="BE231" s="64">
        <f t="shared" si="2091"/>
        <v>0</v>
      </c>
      <c r="BF231" s="64">
        <f t="shared" si="2091"/>
        <v>0</v>
      </c>
      <c r="BG231" s="64">
        <f t="shared" si="2091"/>
        <v>0</v>
      </c>
      <c r="BH231" s="64">
        <f t="shared" si="2091"/>
        <v>0</v>
      </c>
      <c r="BI231" s="64">
        <f t="shared" si="2091"/>
        <v>0</v>
      </c>
      <c r="BJ231" s="64">
        <f t="shared" si="2091"/>
        <v>0</v>
      </c>
      <c r="BK231" s="64">
        <f t="shared" si="2091"/>
        <v>0</v>
      </c>
      <c r="BL231" s="64">
        <f t="shared" si="2091"/>
        <v>0</v>
      </c>
      <c r="BM231" s="64">
        <f t="shared" si="2091"/>
        <v>0</v>
      </c>
      <c r="BN231" s="64">
        <f t="shared" si="2091"/>
        <v>0</v>
      </c>
      <c r="BO231" s="64">
        <f t="shared" ref="BO231:CT231" si="2092">BO8-BO237</f>
        <v>0</v>
      </c>
      <c r="BP231" s="64">
        <f t="shared" si="2092"/>
        <v>0</v>
      </c>
      <c r="BQ231" s="64">
        <f t="shared" si="2092"/>
        <v>0</v>
      </c>
      <c r="BR231" s="64">
        <f t="shared" si="2092"/>
        <v>39</v>
      </c>
      <c r="BS231" s="64">
        <f t="shared" si="2092"/>
        <v>42.915999999999997</v>
      </c>
      <c r="BT231" s="64">
        <f t="shared" si="2092"/>
        <v>49.030999999999999</v>
      </c>
      <c r="BU231" s="64">
        <f t="shared" si="2092"/>
        <v>45.296999999999997</v>
      </c>
      <c r="BV231" s="64">
        <f t="shared" si="2092"/>
        <v>45.393000000000001</v>
      </c>
      <c r="BW231" s="64">
        <f t="shared" si="2092"/>
        <v>52.216000000000001</v>
      </c>
      <c r="BX231" s="64">
        <f t="shared" si="2092"/>
        <v>58.488999999999997</v>
      </c>
      <c r="BY231" s="64">
        <f t="shared" si="2092"/>
        <v>61.241999999999997</v>
      </c>
      <c r="BZ231" s="64">
        <f t="shared" si="2092"/>
        <v>76.811000000000007</v>
      </c>
      <c r="CA231" s="64">
        <f t="shared" si="2092"/>
        <v>79.748999999999995</v>
      </c>
      <c r="CB231" s="64">
        <f t="shared" si="2092"/>
        <v>96.3</v>
      </c>
      <c r="CC231" s="64">
        <f t="shared" si="2092"/>
        <v>97.378</v>
      </c>
      <c r="CD231" s="64">
        <f t="shared" si="2092"/>
        <v>99.691999999999993</v>
      </c>
      <c r="CE231" s="64">
        <f t="shared" si="2092"/>
        <v>92.441999999999993</v>
      </c>
      <c r="CF231" s="64">
        <f t="shared" si="2092"/>
        <v>141.21600000000001</v>
      </c>
      <c r="CG231" s="64">
        <f t="shared" si="2092"/>
        <v>138.85</v>
      </c>
      <c r="CH231" s="64">
        <f t="shared" si="2092"/>
        <v>146.87700000000001</v>
      </c>
      <c r="CI231" s="64">
        <f t="shared" si="2092"/>
        <v>147.29900000000001</v>
      </c>
      <c r="CJ231" s="64">
        <f t="shared" si="2092"/>
        <v>172.875</v>
      </c>
      <c r="CK231" s="30">
        <f t="shared" si="2092"/>
        <v>188.01</v>
      </c>
      <c r="CL231" s="64">
        <f t="shared" ref="CL231" si="2093">CL8-CL237</f>
        <v>193.39599999999999</v>
      </c>
      <c r="CM231" s="30">
        <f t="shared" si="2092"/>
        <v>202.10826355548849</v>
      </c>
      <c r="CN231" s="30">
        <f t="shared" si="2092"/>
        <v>227.63556315790299</v>
      </c>
      <c r="CO231" s="30">
        <f t="shared" si="2092"/>
        <v>251.91606251144009</v>
      </c>
      <c r="CP231" s="30">
        <f t="shared" si="2092"/>
        <v>258.44898900344771</v>
      </c>
      <c r="CQ231" s="30">
        <f t="shared" si="2092"/>
        <v>271.08472871911431</v>
      </c>
      <c r="CR231" s="30">
        <f t="shared" si="2092"/>
        <v>303.57071170857688</v>
      </c>
      <c r="CS231" s="30">
        <f t="shared" si="2092"/>
        <v>337.0099430226399</v>
      </c>
      <c r="CT231" s="30">
        <f t="shared" si="2092"/>
        <v>345.6125529634985</v>
      </c>
      <c r="CU231" s="30">
        <f t="shared" ref="CU231:DB231" si="2094">CU8-CU237</f>
        <v>362.56971358693085</v>
      </c>
      <c r="CV231" s="30">
        <f t="shared" si="2094"/>
        <v>405.73003897801362</v>
      </c>
      <c r="CW231" s="30">
        <f t="shared" si="2094"/>
        <v>450.67042951087257</v>
      </c>
      <c r="CX231" s="30">
        <f t="shared" si="2094"/>
        <v>462.12899691348105</v>
      </c>
      <c r="CY231" s="30">
        <f t="shared" si="2094"/>
        <v>484.79149812471002</v>
      </c>
      <c r="CZ231" s="30">
        <f t="shared" si="2094"/>
        <v>542.46269699283016</v>
      </c>
      <c r="DA231" s="30">
        <f t="shared" si="2094"/>
        <v>602.60207950614995</v>
      </c>
      <c r="DB231" s="30">
        <f t="shared" si="2094"/>
        <v>617.90766939327762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0</v>
      </c>
      <c r="J232" s="64">
        <f t="shared" si="2095"/>
        <v>1.2583348000000001</v>
      </c>
      <c r="K232" s="64">
        <f t="shared" si="2095"/>
        <v>-4.0912204320000001</v>
      </c>
      <c r="L232" s="64">
        <f t="shared" si="2095"/>
        <v>-3.2689827889999989</v>
      </c>
      <c r="M232" s="64">
        <f t="shared" si="2095"/>
        <v>-4.9578328999999979</v>
      </c>
      <c r="N232" s="64">
        <f t="shared" si="2095"/>
        <v>1.3277118000000012</v>
      </c>
      <c r="O232" s="64">
        <f t="shared" si="2095"/>
        <v>1.2727128000000025</v>
      </c>
      <c r="P232" s="64">
        <f t="shared" si="2095"/>
        <v>6.1557266000000048</v>
      </c>
      <c r="Q232" s="64">
        <f t="shared" si="2095"/>
        <v>11.145335899999999</v>
      </c>
      <c r="R232" s="64">
        <f t="shared" si="2095"/>
        <v>18.522263900000006</v>
      </c>
      <c r="S232" s="64">
        <f t="shared" si="2095"/>
        <v>14.906502200000006</v>
      </c>
      <c r="T232" s="64">
        <f t="shared" si="2095"/>
        <v>32.213999999999992</v>
      </c>
      <c r="U232" s="64">
        <f t="shared" si="2095"/>
        <v>31.938000000000009</v>
      </c>
      <c r="V232" s="64">
        <f t="shared" si="2095"/>
        <v>39.926999999999978</v>
      </c>
      <c r="W232" s="64">
        <f t="shared" si="2095"/>
        <v>66.990000000000009</v>
      </c>
      <c r="X232" s="64">
        <f t="shared" si="2095"/>
        <v>87.309999999999974</v>
      </c>
      <c r="Y232" s="64">
        <f t="shared" si="2095"/>
        <v>109.55500000000004</v>
      </c>
      <c r="Z232" s="64">
        <f t="shared" si="2095"/>
        <v>123.93099999999998</v>
      </c>
      <c r="AA232" s="64">
        <f t="shared" ref="AA232" si="2096">AA28-AA238</f>
        <v>155.67500000000007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0</v>
      </c>
      <c r="BA232" s="64">
        <f t="shared" si="2097"/>
        <v>0</v>
      </c>
      <c r="BB232" s="64">
        <f t="shared" si="2097"/>
        <v>0</v>
      </c>
      <c r="BC232" s="64">
        <f t="shared" si="2097"/>
        <v>0</v>
      </c>
      <c r="BD232" s="64">
        <f t="shared" si="2097"/>
        <v>0</v>
      </c>
      <c r="BE232" s="64">
        <f t="shared" si="2097"/>
        <v>0</v>
      </c>
      <c r="BF232" s="64">
        <f t="shared" si="2097"/>
        <v>0</v>
      </c>
      <c r="BG232" s="64">
        <f t="shared" si="2097"/>
        <v>0</v>
      </c>
      <c r="BH232" s="64">
        <f t="shared" si="2097"/>
        <v>0</v>
      </c>
      <c r="BI232" s="64">
        <f t="shared" si="2097"/>
        <v>0</v>
      </c>
      <c r="BJ232" s="64">
        <f t="shared" si="2097"/>
        <v>0</v>
      </c>
      <c r="BK232" s="64">
        <f t="shared" si="2097"/>
        <v>0</v>
      </c>
      <c r="BL232" s="64">
        <f t="shared" si="2097"/>
        <v>0</v>
      </c>
      <c r="BM232" s="64">
        <f t="shared" si="2097"/>
        <v>0</v>
      </c>
      <c r="BN232" s="64">
        <f t="shared" si="2097"/>
        <v>0</v>
      </c>
      <c r="BO232" s="64">
        <f t="shared" ref="BO232:CT232" si="2098">BO28-BO238</f>
        <v>0</v>
      </c>
      <c r="BP232" s="64">
        <f t="shared" si="2098"/>
        <v>0</v>
      </c>
      <c r="BQ232" s="64">
        <f t="shared" si="2098"/>
        <v>0</v>
      </c>
      <c r="BR232" s="64">
        <f t="shared" si="2098"/>
        <v>12.308</v>
      </c>
      <c r="BS232" s="64">
        <f t="shared" si="2098"/>
        <v>14.448999999999995</v>
      </c>
      <c r="BT232" s="64">
        <f t="shared" si="2098"/>
        <v>16.730999999999998</v>
      </c>
      <c r="BU232" s="64">
        <f t="shared" si="2098"/>
        <v>18.11699999999999</v>
      </c>
      <c r="BV232" s="64">
        <f t="shared" si="2098"/>
        <v>18.407</v>
      </c>
      <c r="BW232" s="64">
        <f t="shared" si="2098"/>
        <v>20.575000000000003</v>
      </c>
      <c r="BX232" s="64">
        <f t="shared" si="2098"/>
        <v>21.744999999999997</v>
      </c>
      <c r="BY232" s="64">
        <f t="shared" si="2098"/>
        <v>21.224999999999994</v>
      </c>
      <c r="BZ232" s="64">
        <f t="shared" si="2098"/>
        <v>23.76400000000001</v>
      </c>
      <c r="CA232" s="64">
        <f t="shared" si="2098"/>
        <v>23.771999999999991</v>
      </c>
      <c r="CB232" s="64">
        <f t="shared" si="2098"/>
        <v>28.257999999999988</v>
      </c>
      <c r="CC232" s="64">
        <f t="shared" si="2098"/>
        <v>24.62700000000001</v>
      </c>
      <c r="CD232" s="64">
        <f t="shared" si="2098"/>
        <v>32.897999999999996</v>
      </c>
      <c r="CE232" s="64">
        <f t="shared" si="2098"/>
        <v>26.871999999999986</v>
      </c>
      <c r="CF232" s="64">
        <f t="shared" si="2098"/>
        <v>32.374000000000009</v>
      </c>
      <c r="CG232" s="64">
        <f t="shared" si="2098"/>
        <v>29.903000000000006</v>
      </c>
      <c r="CH232" s="64">
        <f t="shared" si="2098"/>
        <v>34.782000000000011</v>
      </c>
      <c r="CI232" s="64">
        <f t="shared" si="2098"/>
        <v>34.678000000000026</v>
      </c>
      <c r="CJ232" s="64">
        <f t="shared" si="2098"/>
        <v>41.251999999999995</v>
      </c>
      <c r="CK232" s="30">
        <f t="shared" si="2098"/>
        <v>41.089999999999975</v>
      </c>
      <c r="CL232" s="64">
        <f t="shared" ref="CL232" si="2099">CL28-CL238</f>
        <v>42.012999999999977</v>
      </c>
      <c r="CM232" s="30">
        <f t="shared" si="2098"/>
        <v>45.971525182656904</v>
      </c>
      <c r="CN232" s="30">
        <f t="shared" si="2098"/>
        <v>51.324625740171257</v>
      </c>
      <c r="CO232" s="30">
        <f t="shared" si="2098"/>
        <v>55.970629336836822</v>
      </c>
      <c r="CP232" s="30">
        <f t="shared" si="2098"/>
        <v>57.656491955968676</v>
      </c>
      <c r="CQ232" s="30">
        <f t="shared" si="2098"/>
        <v>60.871704332635261</v>
      </c>
      <c r="CR232" s="30">
        <f t="shared" si="2098"/>
        <v>67.945443272798116</v>
      </c>
      <c r="CS232" s="30">
        <f t="shared" si="2098"/>
        <v>75.291025997471479</v>
      </c>
      <c r="CT232" s="30">
        <f t="shared" si="2098"/>
        <v>77.319135872661889</v>
      </c>
      <c r="CU232" s="30">
        <f t="shared" ref="CU232:DB232" si="2100">CU28-CU238</f>
        <v>81.169803644962002</v>
      </c>
      <c r="CV232" s="30">
        <f t="shared" si="2100"/>
        <v>90.763797748853676</v>
      </c>
      <c r="CW232" s="30">
        <f t="shared" si="2100"/>
        <v>100.80412374349123</v>
      </c>
      <c r="CX232" s="30">
        <f t="shared" si="2100"/>
        <v>103.39797716756152</v>
      </c>
      <c r="CY232" s="30">
        <f t="shared" si="2100"/>
        <v>108.47175117243904</v>
      </c>
      <c r="CZ232" s="30">
        <f t="shared" si="2100"/>
        <v>121.35877544475301</v>
      </c>
      <c r="DA232" s="30">
        <f t="shared" si="2100"/>
        <v>134.81505247268819</v>
      </c>
      <c r="DB232" s="30">
        <f t="shared" si="2100"/>
        <v>138.24628597801552</v>
      </c>
      <c r="DE232" s="139"/>
    </row>
    <row r="233" spans="1:109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 t="e">
        <f t="shared" ref="I233" si="2107">+I232/I231</f>
        <v>#DIV/0!</v>
      </c>
      <c r="J233" s="86">
        <f t="shared" ref="J233" si="2108">+J232/J231</f>
        <v>0.19883037313438734</v>
      </c>
      <c r="K233" s="86">
        <f t="shared" ref="K233" si="2109">+K232/K231</f>
        <v>-0.96224877205232584</v>
      </c>
      <c r="L233" s="86">
        <f t="shared" ref="L233" si="2110">+L232/L231</f>
        <v>-0.27581413132915544</v>
      </c>
      <c r="M233" s="86">
        <f t="shared" ref="M233" si="2111">+M232/M231</f>
        <v>-0.47633929159907074</v>
      </c>
      <c r="N233" s="86">
        <f t="shared" ref="N233" si="2112">+N232/N231</f>
        <v>7.6250334866475852E-2</v>
      </c>
      <c r="O233" s="86">
        <f t="shared" ref="O233" si="2113">+O232/O231</f>
        <v>7.8461473217926195E-2</v>
      </c>
      <c r="P233" s="86">
        <f t="shared" ref="P233" si="2114">+P232/P231</f>
        <v>0.17434644863367191</v>
      </c>
      <c r="Q233" s="86">
        <f t="shared" ref="Q233" si="2115">+Q232/Q231</f>
        <v>0.23585010776279272</v>
      </c>
      <c r="R233" s="86">
        <f t="shared" ref="R233" si="2116">+R232/R231</f>
        <v>0.27118510712786476</v>
      </c>
      <c r="S233" s="86">
        <f t="shared" ref="S233" si="2117">+S232/S231</f>
        <v>0.19548599360930533</v>
      </c>
      <c r="T233" s="86">
        <f t="shared" ref="T233" si="2118">+T232/T231</f>
        <v>0.31711686879823586</v>
      </c>
      <c r="U233" s="86">
        <f t="shared" ref="U233" si="2119">+U232/U231</f>
        <v>0.27426363246028346</v>
      </c>
      <c r="V233" s="86">
        <f t="shared" ref="V233" si="2120">+V232/V231</f>
        <v>0.30341279551343903</v>
      </c>
      <c r="W233" s="86">
        <f t="shared" ref="W233" si="2121">+W232/W231</f>
        <v>0.36679314706220539</v>
      </c>
      <c r="X233" s="86">
        <f t="shared" ref="X233:Y233" si="2122">+X232/X231</f>
        <v>0.35098509790679244</v>
      </c>
      <c r="Y233" s="86">
        <f t="shared" si="2122"/>
        <v>0.29361946188749444</v>
      </c>
      <c r="Z233" s="86">
        <f t="shared" ref="Z233:AA233" si="2123">+Z232/Z231</f>
        <v>0.23861104960674642</v>
      </c>
      <c r="AA233" s="86">
        <f t="shared" si="2123"/>
        <v>0.22189201516576879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 t="e">
        <f t="shared" ref="AZ233" si="2141">+AZ232/AZ231</f>
        <v>#DIV/0!</v>
      </c>
      <c r="BA233" s="86" t="e">
        <f t="shared" ref="BA233" si="2142">+BA232/BA231</f>
        <v>#DIV/0!</v>
      </c>
      <c r="BB233" s="86" t="e">
        <f t="shared" ref="BB233" si="2143">+BB232/BB231</f>
        <v>#DIV/0!</v>
      </c>
      <c r="BC233" s="86" t="e">
        <f t="shared" ref="BC233" si="2144">+BC232/BC231</f>
        <v>#DIV/0!</v>
      </c>
      <c r="BD233" s="86" t="e">
        <f t="shared" ref="BD233" si="2145">+BD232/BD231</f>
        <v>#DIV/0!</v>
      </c>
      <c r="BE233" s="86" t="e">
        <f t="shared" ref="BE233" si="2146">+BE232/BE231</f>
        <v>#DIV/0!</v>
      </c>
      <c r="BF233" s="86" t="e">
        <f t="shared" ref="BF233" si="2147">+BF232/BF231</f>
        <v>#DIV/0!</v>
      </c>
      <c r="BG233" s="86" t="e">
        <f t="shared" ref="BG233" si="2148">+BG232/BG231</f>
        <v>#DIV/0!</v>
      </c>
      <c r="BH233" s="86" t="e">
        <f t="shared" ref="BH233" si="2149">+BH232/BH231</f>
        <v>#DIV/0!</v>
      </c>
      <c r="BI233" s="86" t="e">
        <f t="shared" ref="BI233" si="2150">+BI232/BI231</f>
        <v>#DIV/0!</v>
      </c>
      <c r="BJ233" s="86" t="e">
        <f t="shared" ref="BJ233" si="2151">+BJ232/BJ231</f>
        <v>#DIV/0!</v>
      </c>
      <c r="BK233" s="86" t="e">
        <f t="shared" ref="BK233" si="2152">+BK232/BK231</f>
        <v>#DIV/0!</v>
      </c>
      <c r="BL233" s="86" t="e">
        <f t="shared" ref="BL233" si="2153">+BL232/BL231</f>
        <v>#DIV/0!</v>
      </c>
      <c r="BM233" s="86" t="e">
        <f t="shared" ref="BM233" si="2154">+BM232/BM231</f>
        <v>#DIV/0!</v>
      </c>
      <c r="BN233" s="86" t="e">
        <f t="shared" ref="BN233" si="2155">+BN232/BN231</f>
        <v>#DIV/0!</v>
      </c>
      <c r="BO233" s="86" t="e">
        <f t="shared" ref="BO233" si="2156">+BO232/BO231</f>
        <v>#DIV/0!</v>
      </c>
      <c r="BP233" s="86" t="e">
        <f t="shared" ref="BP233" si="2157">+BP232/BP231</f>
        <v>#DIV/0!</v>
      </c>
      <c r="BQ233" s="86" t="e">
        <f t="shared" ref="BQ233" si="2158">+BQ232/BQ231</f>
        <v>#DIV/0!</v>
      </c>
      <c r="BR233" s="86">
        <f t="shared" ref="BR233" si="2159">+BR232/BR231</f>
        <v>0.31558974358974357</v>
      </c>
      <c r="BS233" s="86">
        <f t="shared" ref="BS233" si="2160">+BS232/BS231</f>
        <v>0.33668095815080612</v>
      </c>
      <c r="BT233" s="86">
        <f t="shared" ref="BT233" si="2161">+BT232/BT231</f>
        <v>0.34123309742815766</v>
      </c>
      <c r="BU233" s="86">
        <f t="shared" ref="BU233" si="2162">+BU232/BU231</f>
        <v>0.39996026226902426</v>
      </c>
      <c r="BV233" s="86">
        <f t="shared" ref="BV233" si="2163">+BV232/BV231</f>
        <v>0.4055030511312317</v>
      </c>
      <c r="BW233" s="86">
        <f t="shared" ref="BW233" si="2164">+BW232/BW231</f>
        <v>0.39403631070936118</v>
      </c>
      <c r="BX233" s="86">
        <f t="shared" ref="BX233" si="2165">+BX232/BX231</f>
        <v>0.3717793089298842</v>
      </c>
      <c r="BY233" s="86">
        <f t="shared" ref="BY233" si="2166">+BY232/BY231</f>
        <v>0.34657587929852057</v>
      </c>
      <c r="BZ233" s="86">
        <f t="shared" ref="BZ233" si="2167">+BZ232/BZ231</f>
        <v>0.30938277069690551</v>
      </c>
      <c r="CA233" s="86">
        <f t="shared" ref="CA233" si="2168">+CA232/CA231</f>
        <v>0.29808524244818108</v>
      </c>
      <c r="CB233" s="86">
        <f t="shared" ref="CB233:CC233" si="2169">+CB232/CB231</f>
        <v>0.29343717549325016</v>
      </c>
      <c r="CC233" s="86">
        <f t="shared" si="2169"/>
        <v>0.25290106594918782</v>
      </c>
      <c r="CD233" s="86">
        <f t="shared" ref="CD233" si="2170">+CD232/CD231</f>
        <v>0.32999638887774341</v>
      </c>
      <c r="CE233" s="86">
        <f t="shared" ref="CE233:CF233" si="2171">+CE232/CE231</f>
        <v>0.29069037883213245</v>
      </c>
      <c r="CF233" s="86">
        <f t="shared" si="2171"/>
        <v>0.22925164287332886</v>
      </c>
      <c r="CG233" s="86">
        <f t="shared" ref="CG233:CH233" si="2172">+CG232/CG231</f>
        <v>0.21536190133237312</v>
      </c>
      <c r="CH233" s="86">
        <f t="shared" si="2172"/>
        <v>0.23681039236912524</v>
      </c>
      <c r="CI233" s="86">
        <f t="shared" ref="CI233:CJ233" si="2173">+CI232/CI231</f>
        <v>0.23542590241617406</v>
      </c>
      <c r="CJ233" s="86">
        <f t="shared" si="2173"/>
        <v>0.23862328271872738</v>
      </c>
      <c r="CK233" s="47">
        <f t="shared" ref="CK233:DB233" si="2174">+CK232/CK231</f>
        <v>0.21855220466996425</v>
      </c>
      <c r="CL233" s="86">
        <f t="shared" si="2174"/>
        <v>0.21723820554716736</v>
      </c>
      <c r="CM233" s="47">
        <f t="shared" si="2174"/>
        <v>0.22745989883800816</v>
      </c>
      <c r="CN233" s="47">
        <f t="shared" si="2174"/>
        <v>0.22546839794346688</v>
      </c>
      <c r="CO233" s="47">
        <f t="shared" si="2174"/>
        <v>0.22217967674965175</v>
      </c>
      <c r="CP233" s="47">
        <f t="shared" si="2174"/>
        <v>0.22308654476957362</v>
      </c>
      <c r="CQ233" s="47">
        <f t="shared" si="2174"/>
        <v>0.22454862957517521</v>
      </c>
      <c r="CR233" s="47">
        <f t="shared" si="2174"/>
        <v>0.22382081225946684</v>
      </c>
      <c r="CS233" s="47">
        <f t="shared" si="2174"/>
        <v>0.22340891583846689</v>
      </c>
      <c r="CT233" s="47">
        <f t="shared" si="2174"/>
        <v>0.22371622561067064</v>
      </c>
      <c r="CU233" s="47">
        <f t="shared" si="2174"/>
        <v>0.22387364582094493</v>
      </c>
      <c r="CV233" s="47">
        <f t="shared" si="2174"/>
        <v>0.2237048998823874</v>
      </c>
      <c r="CW233" s="47">
        <f t="shared" si="2174"/>
        <v>0.22367592178811746</v>
      </c>
      <c r="CX233" s="47">
        <f t="shared" si="2174"/>
        <v>0.22374267327553027</v>
      </c>
      <c r="CY233" s="47">
        <f t="shared" si="2174"/>
        <v>0.22374928519174497</v>
      </c>
      <c r="CZ233" s="47">
        <f t="shared" si="2174"/>
        <v>0.22371819503444498</v>
      </c>
      <c r="DA233" s="47">
        <f t="shared" si="2174"/>
        <v>0.22372151882245922</v>
      </c>
      <c r="DB233" s="47">
        <f t="shared" si="2174"/>
        <v>0.22373291808104484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0</v>
      </c>
      <c r="J234" s="64">
        <f t="shared" si="2175"/>
        <v>0.70624029999999993</v>
      </c>
      <c r="K234" s="64">
        <f t="shared" si="2175"/>
        <v>-2.7927014320000003</v>
      </c>
      <c r="L234" s="64">
        <f t="shared" si="2175"/>
        <v>4.013960900000102E-2</v>
      </c>
      <c r="M234" s="64">
        <f t="shared" si="2175"/>
        <v>-4.816322999999997</v>
      </c>
      <c r="N234" s="64">
        <f t="shared" si="2175"/>
        <v>1.2076927000000015</v>
      </c>
      <c r="O234" s="64">
        <f t="shared" si="2175"/>
        <v>0.74935260000000237</v>
      </c>
      <c r="P234" s="64">
        <f t="shared" si="2175"/>
        <v>4.7051091000000049</v>
      </c>
      <c r="Q234" s="64">
        <f t="shared" si="2175"/>
        <v>5.3167213999999987</v>
      </c>
      <c r="R234" s="64">
        <f t="shared" si="2175"/>
        <v>10.010546000000005</v>
      </c>
      <c r="S234" s="64">
        <f t="shared" si="2175"/>
        <v>7.9000860000000053</v>
      </c>
      <c r="T234" s="64">
        <f t="shared" si="2175"/>
        <v>19.334999999999994</v>
      </c>
      <c r="U234" s="64">
        <f t="shared" si="2175"/>
        <v>18.416000000000011</v>
      </c>
      <c r="V234" s="64">
        <f t="shared" si="2175"/>
        <v>25.35899999999998</v>
      </c>
      <c r="W234" s="64">
        <f t="shared" si="2175"/>
        <v>41.13600000000001</v>
      </c>
      <c r="X234" s="64">
        <f t="shared" si="2175"/>
        <v>61.197999999999979</v>
      </c>
      <c r="Y234" s="64">
        <f t="shared" si="2175"/>
        <v>76.352000000000046</v>
      </c>
      <c r="Z234" s="64">
        <f t="shared" si="2175"/>
        <v>87.23399999999998</v>
      </c>
      <c r="AA234" s="64">
        <f t="shared" ref="AA234" si="2176">AA41-AA240</f>
        <v>110.04700000000008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0</v>
      </c>
      <c r="BA234" s="64">
        <f t="shared" si="2177"/>
        <v>0</v>
      </c>
      <c r="BB234" s="64">
        <f t="shared" si="2177"/>
        <v>0</v>
      </c>
      <c r="BC234" s="64">
        <f t="shared" si="2177"/>
        <v>0</v>
      </c>
      <c r="BD234" s="64">
        <f t="shared" si="2177"/>
        <v>0</v>
      </c>
      <c r="BE234" s="64">
        <f t="shared" si="2177"/>
        <v>0</v>
      </c>
      <c r="BF234" s="64">
        <f t="shared" si="2177"/>
        <v>0</v>
      </c>
      <c r="BG234" s="64">
        <f t="shared" si="2177"/>
        <v>0</v>
      </c>
      <c r="BH234" s="64">
        <f t="shared" si="2177"/>
        <v>0</v>
      </c>
      <c r="BI234" s="64">
        <f t="shared" si="2177"/>
        <v>0</v>
      </c>
      <c r="BJ234" s="64">
        <f t="shared" si="2177"/>
        <v>0</v>
      </c>
      <c r="BK234" s="64">
        <f t="shared" si="2177"/>
        <v>0</v>
      </c>
      <c r="BL234" s="64">
        <f t="shared" si="2177"/>
        <v>0</v>
      </c>
      <c r="BM234" s="64">
        <f t="shared" si="2177"/>
        <v>0</v>
      </c>
      <c r="BN234" s="64">
        <f t="shared" si="2177"/>
        <v>0</v>
      </c>
      <c r="BO234" s="64">
        <f t="shared" ref="BO234:CT234" si="2178">BO41-BO240</f>
        <v>0</v>
      </c>
      <c r="BP234" s="64">
        <f t="shared" si="2178"/>
        <v>0</v>
      </c>
      <c r="BQ234" s="64">
        <f t="shared" si="2178"/>
        <v>0</v>
      </c>
      <c r="BR234" s="64">
        <f t="shared" si="2178"/>
        <v>7.4399999999999995</v>
      </c>
      <c r="BS234" s="64">
        <f t="shared" si="2178"/>
        <v>9.4989999999999952</v>
      </c>
      <c r="BT234" s="64">
        <f t="shared" si="2178"/>
        <v>10.423</v>
      </c>
      <c r="BU234" s="64">
        <f t="shared" si="2178"/>
        <v>10.419999999999991</v>
      </c>
      <c r="BV234" s="64">
        <f t="shared" si="2178"/>
        <v>10.798</v>
      </c>
      <c r="BW234" s="64">
        <f t="shared" si="2178"/>
        <v>13.713000000000005</v>
      </c>
      <c r="BX234" s="64">
        <f t="shared" si="2178"/>
        <v>16.471999999999998</v>
      </c>
      <c r="BY234" s="64">
        <f t="shared" si="2178"/>
        <v>15.211999999999993</v>
      </c>
      <c r="BZ234" s="64">
        <f t="shared" si="2178"/>
        <v>15.798000000000012</v>
      </c>
      <c r="CA234" s="64">
        <f t="shared" si="2178"/>
        <v>16.372999999999994</v>
      </c>
      <c r="CB234" s="64">
        <f t="shared" si="2178"/>
        <v>18.76499999999999</v>
      </c>
      <c r="CC234" s="64">
        <f t="shared" si="2178"/>
        <v>20.011000000000006</v>
      </c>
      <c r="CD234" s="64">
        <f t="shared" si="2178"/>
        <v>21.202999999999996</v>
      </c>
      <c r="CE234" s="64">
        <f t="shared" si="2178"/>
        <v>18.196999999999985</v>
      </c>
      <c r="CF234" s="64">
        <f t="shared" si="2178"/>
        <v>22.298000000000009</v>
      </c>
      <c r="CG234" s="64">
        <f t="shared" si="2178"/>
        <v>22.400000000000006</v>
      </c>
      <c r="CH234" s="64">
        <f t="shared" si="2178"/>
        <v>24.338000000000015</v>
      </c>
      <c r="CI234" s="64">
        <f t="shared" si="2178"/>
        <v>25.024000000000029</v>
      </c>
      <c r="CJ234" s="64">
        <f t="shared" si="2178"/>
        <v>26.439999999999998</v>
      </c>
      <c r="CK234" s="30">
        <f t="shared" si="2178"/>
        <v>29.004999999999974</v>
      </c>
      <c r="CL234" s="64">
        <f t="shared" ref="CL234" si="2179">CL41-CL240</f>
        <v>29.577999999999978</v>
      </c>
      <c r="CM234" s="30">
        <f t="shared" si="2178"/>
        <v>29.515708224869346</v>
      </c>
      <c r="CN234" s="30">
        <f t="shared" si="2178"/>
        <v>34.626489238367313</v>
      </c>
      <c r="CO234" s="30">
        <f t="shared" si="2178"/>
        <v>39.357485042088236</v>
      </c>
      <c r="CP234" s="30">
        <f t="shared" si="2178"/>
        <v>41.172734588512185</v>
      </c>
      <c r="CQ234" s="30">
        <f t="shared" si="2178"/>
        <v>43.797089756636112</v>
      </c>
      <c r="CR234" s="30">
        <f t="shared" si="2178"/>
        <v>50.286720214112485</v>
      </c>
      <c r="CS234" s="30">
        <f t="shared" si="2178"/>
        <v>56.958042742109413</v>
      </c>
      <c r="CT234" s="30">
        <f t="shared" si="2178"/>
        <v>58.949587645294656</v>
      </c>
      <c r="CU234" s="30">
        <f t="shared" ref="CU234:DB234" si="2180">CU41-CU240</f>
        <v>62.476059876789634</v>
      </c>
      <c r="CV234" s="30">
        <f t="shared" si="2180"/>
        <v>71.032671565921916</v>
      </c>
      <c r="CW234" s="30">
        <f t="shared" si="2180"/>
        <v>79.919557325593644</v>
      </c>
      <c r="CX234" s="30">
        <f t="shared" si="2180"/>
        <v>82.428741060556888</v>
      </c>
      <c r="CY234" s="30">
        <f t="shared" si="2180"/>
        <v>87.094154237522162</v>
      </c>
      <c r="CZ234" s="30">
        <f t="shared" si="2180"/>
        <v>98.445556037698054</v>
      </c>
      <c r="DA234" s="30">
        <f t="shared" si="2180"/>
        <v>110.25243045818783</v>
      </c>
      <c r="DB234" s="30">
        <f t="shared" si="2180"/>
        <v>113.51841638127374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 t="e">
        <f t="shared" si="2235"/>
        <v>#DIV/0!</v>
      </c>
      <c r="J244" s="84">
        <f t="shared" si="2235"/>
        <v>0.28039471740895477</v>
      </c>
      <c r="K244" s="84">
        <f t="shared" si="2235"/>
        <v>0.17102406619491675</v>
      </c>
      <c r="L244" s="84">
        <f t="shared" si="2235"/>
        <v>0.20668813226244956</v>
      </c>
      <c r="M244" s="84">
        <f t="shared" si="2235"/>
        <v>0.28350333529196992</v>
      </c>
      <c r="N244" s="84">
        <f t="shared" si="2235"/>
        <v>0.524424861286646</v>
      </c>
      <c r="O244" s="84">
        <f t="shared" si="2235"/>
        <v>0.50307300466971439</v>
      </c>
      <c r="P244" s="84">
        <f t="shared" si="2235"/>
        <v>0.83005519834876496</v>
      </c>
      <c r="Q244" s="84">
        <f t="shared" si="2235"/>
        <v>0.78557832350778312</v>
      </c>
      <c r="R244" s="84">
        <f t="shared" si="2235"/>
        <v>0.84499693958672173</v>
      </c>
      <c r="S244" s="84">
        <f t="shared" si="2235"/>
        <v>0.90098802595375793</v>
      </c>
      <c r="T244" s="84">
        <f t="shared" si="2235"/>
        <v>0.85103673606165964</v>
      </c>
      <c r="U244" s="84">
        <f t="shared" si="2235"/>
        <v>0.73395478409943216</v>
      </c>
      <c r="V244" s="84">
        <f t="shared" si="2235"/>
        <v>0.73875942445558496</v>
      </c>
      <c r="W244" s="84">
        <f t="shared" si="2235"/>
        <v>0.70477847966936924</v>
      </c>
      <c r="X244" s="84">
        <f t="shared" si="2235"/>
        <v>0.54084075269869225</v>
      </c>
      <c r="Y244" s="84">
        <f t="shared" si="2235"/>
        <v>0.49749200000000005</v>
      </c>
      <c r="Z244" s="84">
        <f>Z10/(Z161+Z148+Z138)</f>
        <v>0.59941118902424939</v>
      </c>
      <c r="AA244" s="84">
        <f>AA10/(AA161+AA148+AA138)</f>
        <v>0.57903433203646637</v>
      </c>
      <c r="AB244" s="50">
        <f t="shared" ref="AA244:AE244" si="2236">AB10/(AB161+AB148+AB138)</f>
        <v>0.65221353557907757</v>
      </c>
      <c r="AC244" s="50">
        <f t="shared" si="2236"/>
        <v>0.7118280963947512</v>
      </c>
      <c r="AD244" s="50">
        <f t="shared" si="2236"/>
        <v>0.75845003773779474</v>
      </c>
      <c r="AE244" s="50">
        <f t="shared" si="2236"/>
        <v>0.79341665236430781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 t="e">
        <f t="shared" si="2237"/>
        <v>#DIV/0!</v>
      </c>
      <c r="BB244" s="84" t="e">
        <f t="shared" si="2237"/>
        <v>#DIV/0!</v>
      </c>
      <c r="BC244" s="84" t="e">
        <f t="shared" si="2237"/>
        <v>#DIV/0!</v>
      </c>
      <c r="BD244" s="84" t="e">
        <f t="shared" si="2237"/>
        <v>#DIV/0!</v>
      </c>
      <c r="BE244" s="84" t="e">
        <f t="shared" si="2237"/>
        <v>#DIV/0!</v>
      </c>
      <c r="BF244" s="84" t="e">
        <f t="shared" si="2237"/>
        <v>#DIV/0!</v>
      </c>
      <c r="BG244" s="84" t="e">
        <f t="shared" si="2237"/>
        <v>#DIV/0!</v>
      </c>
      <c r="BH244" s="84" t="e">
        <f t="shared" si="2237"/>
        <v>#DIV/0!</v>
      </c>
      <c r="BI244" s="84" t="e">
        <f t="shared" si="2237"/>
        <v>#DIV/0!</v>
      </c>
      <c r="BJ244" s="84" t="e">
        <f t="shared" si="2237"/>
        <v>#DIV/0!</v>
      </c>
      <c r="BK244" s="84" t="e">
        <f t="shared" si="2237"/>
        <v>#DIV/0!</v>
      </c>
      <c r="BL244" s="84" t="e">
        <f t="shared" si="2237"/>
        <v>#DIV/0!</v>
      </c>
      <c r="BM244" s="84" t="e">
        <f t="shared" si="2237"/>
        <v>#DIV/0!</v>
      </c>
      <c r="BN244" s="84" t="e">
        <f t="shared" si="2237"/>
        <v>#DIV/0!</v>
      </c>
      <c r="BO244" s="84" t="e">
        <f t="shared" si="2237"/>
        <v>#DIV/0!</v>
      </c>
      <c r="BP244" s="84" t="e">
        <f t="shared" si="2237"/>
        <v>#DIV/0!</v>
      </c>
      <c r="BQ244" s="84" t="e">
        <f t="shared" si="2237"/>
        <v>#DIV/0!</v>
      </c>
      <c r="BR244" s="84">
        <f t="shared" si="2237"/>
        <v>0.21894491009223754</v>
      </c>
      <c r="BS244" s="84">
        <f t="shared" si="2237"/>
        <v>0.43571822412900152</v>
      </c>
      <c r="BT244" s="84" t="e">
        <f t="shared" si="2237"/>
        <v>#DIV/0!</v>
      </c>
      <c r="BU244" s="84">
        <f t="shared" si="2237"/>
        <v>16.914011516314794</v>
      </c>
      <c r="BV244" s="84">
        <f t="shared" si="2237"/>
        <v>0.70477847966936924</v>
      </c>
      <c r="BW244" s="84">
        <f t="shared" si="2237"/>
        <v>0.69747781232649453</v>
      </c>
      <c r="BX244" s="84">
        <f t="shared" si="2237"/>
        <v>0.45628069889257428</v>
      </c>
      <c r="BY244" s="84">
        <f t="shared" si="2237"/>
        <v>0.47556950523487768</v>
      </c>
      <c r="BZ244" s="84">
        <f t="shared" si="2237"/>
        <v>0.54084292687169122</v>
      </c>
      <c r="CA244" s="84">
        <f t="shared" si="2237"/>
        <v>0.58017673658607216</v>
      </c>
      <c r="CB244" s="84">
        <f t="shared" si="2237"/>
        <v>0.61502162645848868</v>
      </c>
      <c r="CC244" s="84">
        <f t="shared" si="2237"/>
        <v>0.65958018011780617</v>
      </c>
      <c r="CD244" s="84">
        <f t="shared" si="2237"/>
        <v>0.49749199999999993</v>
      </c>
      <c r="CE244" s="84">
        <f t="shared" si="2237"/>
        <v>0.5036010744290299</v>
      </c>
      <c r="CF244" s="84">
        <f t="shared" si="2237"/>
        <v>0.53725289158474943</v>
      </c>
      <c r="CG244" s="84">
        <f t="shared" si="2237"/>
        <v>0.57436964320661765</v>
      </c>
      <c r="CH244" s="84">
        <f t="shared" si="2237"/>
        <v>0.59941118902424939</v>
      </c>
      <c r="CI244" s="84">
        <f t="shared" si="2237"/>
        <v>0.64399267787115577</v>
      </c>
      <c r="CJ244" s="84">
        <f t="shared" si="2237"/>
        <v>0.56248503044042519</v>
      </c>
      <c r="CK244" s="50">
        <f t="shared" ref="CK244" si="2238">SUM(CH10:CK10)/(CK161+CK148+CK138)</f>
        <v>0.58164278605478936</v>
      </c>
      <c r="CL244" s="84">
        <f t="shared" si="2237"/>
        <v>0.57903433203646637</v>
      </c>
      <c r="CM244" s="50">
        <f t="shared" ref="CM244:DB244" si="2239">SUM(CJ10:CM10)/(CM161+CM148+CM138)</f>
        <v>0.60401644557459822</v>
      </c>
      <c r="CN244" s="50">
        <f t="shared" si="2239"/>
        <v>0.61421101635694531</v>
      </c>
      <c r="CO244" s="50">
        <f t="shared" si="2239"/>
        <v>0.62860457647061896</v>
      </c>
      <c r="CP244" s="50">
        <f t="shared" si="2239"/>
        <v>0.65221353557907757</v>
      </c>
      <c r="CQ244" s="50">
        <f t="shared" si="2239"/>
        <v>0.67200545100608011</v>
      </c>
      <c r="CR244" s="50">
        <f t="shared" si="2239"/>
        <v>0.68026352351535724</v>
      </c>
      <c r="CS244" s="50">
        <f t="shared" si="2239"/>
        <v>0.68978278830928297</v>
      </c>
      <c r="CT244" s="50">
        <f t="shared" si="2239"/>
        <v>0.7118280963947512</v>
      </c>
      <c r="CU244" s="50">
        <f t="shared" si="2239"/>
        <v>0.72868612005107603</v>
      </c>
      <c r="CV244" s="50">
        <f t="shared" si="2239"/>
        <v>0.73298806640651426</v>
      </c>
      <c r="CW244" s="50">
        <f t="shared" si="2239"/>
        <v>0.73826997719963927</v>
      </c>
      <c r="CX244" s="50">
        <f t="shared" si="2239"/>
        <v>0.75845003773779474</v>
      </c>
      <c r="CY244" s="50">
        <f t="shared" si="2239"/>
        <v>0.77280465715513524</v>
      </c>
      <c r="CZ244" s="50">
        <f t="shared" si="2239"/>
        <v>0.77325933582185469</v>
      </c>
      <c r="DA244" s="50">
        <f t="shared" si="2239"/>
        <v>0.77494904178171731</v>
      </c>
      <c r="DB244" s="50">
        <f t="shared" si="2239"/>
        <v>0.79341665236430781</v>
      </c>
      <c r="DE244" s="138"/>
      <c r="DF244" s="84">
        <v>0.57903433203646637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 t="e">
        <f t="shared" si="2240"/>
        <v>#DIV/0!</v>
      </c>
      <c r="J245" s="181">
        <f t="shared" si="2240"/>
        <v>0.11159353009353443</v>
      </c>
      <c r="K245" s="181">
        <f t="shared" si="2240"/>
        <v>-0.65683909442569288</v>
      </c>
      <c r="L245" s="181">
        <f t="shared" si="2240"/>
        <v>3.3867022565799245E-3</v>
      </c>
      <c r="M245" s="181">
        <f t="shared" si="2240"/>
        <v>-0.46274328566666911</v>
      </c>
      <c r="N245" s="181">
        <f t="shared" si="2240"/>
        <v>6.935765185697558E-2</v>
      </c>
      <c r="O245" s="181">
        <f t="shared" si="2240"/>
        <v>4.6196839503526189E-2</v>
      </c>
      <c r="P245" s="181">
        <f t="shared" si="2240"/>
        <v>0.13326112664246209</v>
      </c>
      <c r="Q245" s="181">
        <f t="shared" si="2240"/>
        <v>0.11250888500675391</v>
      </c>
      <c r="R245" s="181">
        <f t="shared" si="2240"/>
        <v>0.14656475061984289</v>
      </c>
      <c r="S245" s="181">
        <f t="shared" si="2240"/>
        <v>0.1036028533446943</v>
      </c>
      <c r="T245" s="181">
        <f t="shared" si="2240"/>
        <v>0.19033509214049449</v>
      </c>
      <c r="U245" s="181">
        <f t="shared" si="2240"/>
        <v>0.15814512666380429</v>
      </c>
      <c r="V245" s="181">
        <f t="shared" si="2240"/>
        <v>0.1927078188049515</v>
      </c>
      <c r="W245" s="181">
        <f t="shared" si="2240"/>
        <v>0.22523366021123875</v>
      </c>
      <c r="X245" s="181">
        <f t="shared" si="2240"/>
        <v>0.24601518751231113</v>
      </c>
      <c r="Y245" s="181">
        <f t="shared" si="2240"/>
        <v>0.20463176627295859</v>
      </c>
      <c r="Z245" s="181">
        <f t="shared" si="2240"/>
        <v>0.16795633297072496</v>
      </c>
      <c r="AA245" s="181">
        <f t="shared" ref="AA245" si="2241">+AA42</f>
        <v>0.15685595370449568</v>
      </c>
      <c r="AB245" s="182">
        <f t="shared" si="2240"/>
        <v>0.1538890020552571</v>
      </c>
      <c r="AC245" s="182">
        <f t="shared" si="2240"/>
        <v>0.16702069946213921</v>
      </c>
      <c r="AD245" s="182">
        <f t="shared" si="2240"/>
        <v>0.17599022920630761</v>
      </c>
      <c r="AE245" s="182">
        <f t="shared" si="2240"/>
        <v>0.18209677141773406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 t="e">
        <f t="shared" si="2242"/>
        <v>#DIV/0!</v>
      </c>
      <c r="BA245" s="181" t="e">
        <f t="shared" si="2242"/>
        <v>#DIV/0!</v>
      </c>
      <c r="BB245" s="181" t="e">
        <f t="shared" si="2242"/>
        <v>#DIV/0!</v>
      </c>
      <c r="BC245" s="181" t="e">
        <f t="shared" si="2242"/>
        <v>#DIV/0!</v>
      </c>
      <c r="BD245" s="181" t="e">
        <f t="shared" si="2242"/>
        <v>#DIV/0!</v>
      </c>
      <c r="BE245" s="181" t="e">
        <f t="shared" si="2242"/>
        <v>#DIV/0!</v>
      </c>
      <c r="BF245" s="181" t="e">
        <f t="shared" si="2242"/>
        <v>#DIV/0!</v>
      </c>
      <c r="BG245" s="181" t="e">
        <f t="shared" si="2242"/>
        <v>#DIV/0!</v>
      </c>
      <c r="BH245" s="181" t="e">
        <f t="shared" si="2242"/>
        <v>#DIV/0!</v>
      </c>
      <c r="BI245" s="181" t="e">
        <f t="shared" si="2242"/>
        <v>#DIV/0!</v>
      </c>
      <c r="BJ245" s="181" t="e">
        <f t="shared" si="2242"/>
        <v>#DIV/0!</v>
      </c>
      <c r="BK245" s="181" t="e">
        <f t="shared" si="2242"/>
        <v>#DIV/0!</v>
      </c>
      <c r="BL245" s="181" t="e">
        <f t="shared" si="2242"/>
        <v>#DIV/0!</v>
      </c>
      <c r="BM245" s="181" t="e">
        <f t="shared" si="2242"/>
        <v>#DIV/0!</v>
      </c>
      <c r="BN245" s="181" t="e">
        <f t="shared" si="2242"/>
        <v>#DIV/0!</v>
      </c>
      <c r="BO245" s="181" t="e">
        <f t="shared" si="2242"/>
        <v>#DIV/0!</v>
      </c>
      <c r="BP245" s="181" t="e">
        <f t="shared" si="2242"/>
        <v>#DIV/0!</v>
      </c>
      <c r="BQ245" s="181" t="e">
        <f t="shared" si="2242"/>
        <v>#DIV/0!</v>
      </c>
      <c r="BR245" s="181">
        <f t="shared" si="2242"/>
        <v>0.19076923076923075</v>
      </c>
      <c r="BS245" s="181">
        <f t="shared" si="2242"/>
        <v>0.22133936061142687</v>
      </c>
      <c r="BT245" s="181">
        <f t="shared" si="2242"/>
        <v>0.21257979645530378</v>
      </c>
      <c r="BU245" s="181">
        <f t="shared" si="2242"/>
        <v>0.23003730931408242</v>
      </c>
      <c r="BV245" s="181">
        <f t="shared" si="2242"/>
        <v>0.2378780869297028</v>
      </c>
      <c r="BW245" s="181">
        <f t="shared" si="2242"/>
        <v>0.26262065267351009</v>
      </c>
      <c r="BX245" s="181">
        <f t="shared" si="2242"/>
        <v>0.28162560481458049</v>
      </c>
      <c r="BY245" s="181">
        <f t="shared" si="2242"/>
        <v>0.24839162666144138</v>
      </c>
      <c r="BZ245" s="181">
        <f t="shared" si="2242"/>
        <v>0.20567366653213748</v>
      </c>
      <c r="CA245" s="181">
        <f t="shared" si="2242"/>
        <v>0.20530664961316122</v>
      </c>
      <c r="CB245" s="181">
        <f t="shared" si="2242"/>
        <v>0.19485981308411204</v>
      </c>
      <c r="CC245" s="181">
        <f t="shared" si="2242"/>
        <v>0.20549816180246058</v>
      </c>
      <c r="CD245" s="181">
        <f t="shared" si="2242"/>
        <v>0.21268507001564818</v>
      </c>
      <c r="CE245" s="181">
        <f t="shared" si="2242"/>
        <v>0.19684775318578121</v>
      </c>
      <c r="CF245" s="181">
        <f t="shared" si="2242"/>
        <v>0.1578999546793565</v>
      </c>
      <c r="CG245" s="181">
        <f t="shared" si="2242"/>
        <v>0.16132517104789346</v>
      </c>
      <c r="CH245" s="181">
        <f t="shared" si="2242"/>
        <v>0.16570327552986522</v>
      </c>
      <c r="CI245" s="181">
        <f t="shared" si="2242"/>
        <v>0.16988574260517741</v>
      </c>
      <c r="CJ245" s="181">
        <f t="shared" si="2242"/>
        <v>0.15294287780187996</v>
      </c>
      <c r="CK245" s="182">
        <f t="shared" si="2242"/>
        <v>0.15427370884527405</v>
      </c>
      <c r="CL245" s="181">
        <f t="shared" ref="CL245" si="2243">+CL42</f>
        <v>0.152940081490827</v>
      </c>
      <c r="CM245" s="182">
        <f t="shared" si="2242"/>
        <v>0.14603909659916434</v>
      </c>
      <c r="CN245" s="182">
        <f t="shared" si="2242"/>
        <v>0.15211370647893055</v>
      </c>
      <c r="CO245" s="182">
        <f t="shared" si="2242"/>
        <v>0.1562325349551735</v>
      </c>
      <c r="CP245" s="182">
        <f t="shared" si="2242"/>
        <v>0.15930700579356083</v>
      </c>
      <c r="CQ245" s="182">
        <f t="shared" si="2242"/>
        <v>0.16156236451820444</v>
      </c>
      <c r="CR245" s="182">
        <f t="shared" si="2242"/>
        <v>0.16565076364279485</v>
      </c>
      <c r="CS245" s="182">
        <f t="shared" si="2242"/>
        <v>0.16900997706848978</v>
      </c>
      <c r="CT245" s="182">
        <f t="shared" si="2242"/>
        <v>0.17056552818994555</v>
      </c>
      <c r="CU245" s="182">
        <f t="shared" si="2242"/>
        <v>0.172314612984932</v>
      </c>
      <c r="CV245" s="182">
        <f t="shared" si="2242"/>
        <v>0.17507373066299178</v>
      </c>
      <c r="CW245" s="182">
        <f t="shared" si="2242"/>
        <v>0.1773348151826446</v>
      </c>
      <c r="CX245" s="182">
        <f t="shared" ref="CX245:DB245" si="2244">+CX42</f>
        <v>0.17836738575395875</v>
      </c>
      <c r="CY245" s="182">
        <f t="shared" si="2244"/>
        <v>0.17965280862891217</v>
      </c>
      <c r="CZ245" s="182">
        <f t="shared" si="2244"/>
        <v>0.18147894147088095</v>
      </c>
      <c r="DA245" s="182">
        <f t="shared" si="2244"/>
        <v>0.18296058743863433</v>
      </c>
      <c r="DB245" s="182">
        <f t="shared" si="2244"/>
        <v>0.18371420521894033</v>
      </c>
      <c r="DE245" s="138"/>
      <c r="DF245" s="84">
        <v>0.15685595370449545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 t="e">
        <f t="shared" si="2245"/>
        <v>#DIV/0!</v>
      </c>
      <c r="J246" s="84">
        <f t="shared" si="2245"/>
        <v>1.2966975125581828</v>
      </c>
      <c r="K246" s="84">
        <f t="shared" si="2245"/>
        <v>1.1837034864141298</v>
      </c>
      <c r="L246" s="84">
        <f t="shared" si="2245"/>
        <v>1.0854001157840067</v>
      </c>
      <c r="M246" s="84">
        <f t="shared" si="2245"/>
        <v>1.1072700407087144</v>
      </c>
      <c r="N246" s="84">
        <f t="shared" si="2245"/>
        <v>1.1233418773545225</v>
      </c>
      <c r="O246" s="84">
        <f t="shared" si="2245"/>
        <v>1.1625932830142414</v>
      </c>
      <c r="P246" s="84">
        <f t="shared" si="2245"/>
        <v>1.1322650774798599</v>
      </c>
      <c r="Q246" s="84">
        <f t="shared" si="2245"/>
        <v>1.1322039663140306</v>
      </c>
      <c r="R246" s="84">
        <f t="shared" si="2245"/>
        <v>1.2808233390092614</v>
      </c>
      <c r="S246" s="84">
        <f t="shared" si="2245"/>
        <v>1.2780361226822845</v>
      </c>
      <c r="T246" s="84">
        <f t="shared" si="2245"/>
        <v>1.5799875732057163</v>
      </c>
      <c r="U246" s="84">
        <f t="shared" si="2245"/>
        <v>1.7224983720425442</v>
      </c>
      <c r="V246" s="84">
        <f t="shared" si="2245"/>
        <v>1.7876078168371246</v>
      </c>
      <c r="W246" s="84">
        <f t="shared" si="2245"/>
        <v>1.6958823606402889</v>
      </c>
      <c r="X246" s="84">
        <f t="shared" si="2245"/>
        <v>1.1745395765023137</v>
      </c>
      <c r="Y246" s="84">
        <f t="shared" si="2245"/>
        <v>1.1427822634097879</v>
      </c>
      <c r="Z246" s="84">
        <f t="shared" si="2245"/>
        <v>1.1647721936441235</v>
      </c>
      <c r="AA246" s="84">
        <f t="shared" ref="AA246" si="2246">(AA161+AA148+AA138+AA140)/AA120</f>
        <v>1.3317847120014312</v>
      </c>
      <c r="AB246" s="50">
        <f t="shared" si="2245"/>
        <v>1.370112978791765</v>
      </c>
      <c r="AC246" s="50">
        <f t="shared" si="2245"/>
        <v>1.4022384605948259</v>
      </c>
      <c r="AD246" s="50">
        <f t="shared" si="2245"/>
        <v>1.4272071766949694</v>
      </c>
      <c r="AE246" s="50">
        <f t="shared" si="2245"/>
        <v>1.4454922741677236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 t="e">
        <f t="shared" si="2247"/>
        <v>#DIV/0!</v>
      </c>
      <c r="BB246" s="84" t="e">
        <f t="shared" si="2247"/>
        <v>#DIV/0!</v>
      </c>
      <c r="BC246" s="84" t="e">
        <f t="shared" si="2247"/>
        <v>#DIV/0!</v>
      </c>
      <c r="BD246" s="84" t="e">
        <f t="shared" si="2247"/>
        <v>#DIV/0!</v>
      </c>
      <c r="BE246" s="84" t="e">
        <f t="shared" si="2247"/>
        <v>#DIV/0!</v>
      </c>
      <c r="BF246" s="84" t="e">
        <f t="shared" si="2247"/>
        <v>#DIV/0!</v>
      </c>
      <c r="BG246" s="84" t="e">
        <f t="shared" si="2247"/>
        <v>#DIV/0!</v>
      </c>
      <c r="BH246" s="84" t="e">
        <f t="shared" si="2247"/>
        <v>#DIV/0!</v>
      </c>
      <c r="BI246" s="84" t="e">
        <f t="shared" si="2247"/>
        <v>#DIV/0!</v>
      </c>
      <c r="BJ246" s="84" t="e">
        <f t="shared" si="2247"/>
        <v>#DIV/0!</v>
      </c>
      <c r="BK246" s="84" t="e">
        <f t="shared" si="2247"/>
        <v>#DIV/0!</v>
      </c>
      <c r="BL246" s="84" t="e">
        <f t="shared" si="2247"/>
        <v>#DIV/0!</v>
      </c>
      <c r="BM246" s="84" t="e">
        <f t="shared" si="2247"/>
        <v>#DIV/0!</v>
      </c>
      <c r="BN246" s="84" t="e">
        <f t="shared" si="2247"/>
        <v>#DIV/0!</v>
      </c>
      <c r="BO246" s="84" t="e">
        <f t="shared" si="2247"/>
        <v>#DIV/0!</v>
      </c>
      <c r="BP246" s="84" t="e">
        <f t="shared" si="2247"/>
        <v>#DIV/0!</v>
      </c>
      <c r="BQ246" s="84" t="e">
        <f t="shared" si="2247"/>
        <v>#DIV/0!</v>
      </c>
      <c r="BR246" s="84">
        <f t="shared" si="2247"/>
        <v>1.7876078168371246</v>
      </c>
      <c r="BS246" s="84">
        <f t="shared" si="2247"/>
        <v>1.7264355082640874</v>
      </c>
      <c r="BT246" s="84" t="e">
        <f t="shared" si="2247"/>
        <v>#DIV/0!</v>
      </c>
      <c r="BU246" s="84">
        <f t="shared" si="2247"/>
        <v>1</v>
      </c>
      <c r="BV246" s="84">
        <f t="shared" si="2247"/>
        <v>1.6958823606402889</v>
      </c>
      <c r="BW246" s="84">
        <f t="shared" si="2247"/>
        <v>1.6508725578212804</v>
      </c>
      <c r="BX246" s="84">
        <f t="shared" si="2247"/>
        <v>1.210309114391245</v>
      </c>
      <c r="BY246" s="84">
        <f t="shared" si="2247"/>
        <v>1.2026451269270013</v>
      </c>
      <c r="BZ246" s="84">
        <f t="shared" si="2247"/>
        <v>1.1745395765023137</v>
      </c>
      <c r="CA246" s="84">
        <f t="shared" si="2247"/>
        <v>1.1695733277491496</v>
      </c>
      <c r="CB246" s="84">
        <f t="shared" si="2247"/>
        <v>1.2211186480392695</v>
      </c>
      <c r="CC246" s="84">
        <f t="shared" si="2247"/>
        <v>1.2113252945794402</v>
      </c>
      <c r="CD246" s="84">
        <f t="shared" si="2247"/>
        <v>1.1427822634097879</v>
      </c>
      <c r="CE246" s="84">
        <f t="shared" si="2247"/>
        <v>1.1364169385000242</v>
      </c>
      <c r="CF246" s="84">
        <f t="shared" si="2247"/>
        <v>1.1625222398320285</v>
      </c>
      <c r="CG246" s="84">
        <f t="shared" si="2247"/>
        <v>1.1569131167296516</v>
      </c>
      <c r="CH246" s="84">
        <f t="shared" si="2247"/>
        <v>1.1647721936441235</v>
      </c>
      <c r="CI246" s="84">
        <f t="shared" si="2247"/>
        <v>1.1598567436576976</v>
      </c>
      <c r="CJ246" s="84">
        <f t="shared" si="2247"/>
        <v>1.3272650780705089</v>
      </c>
      <c r="CK246" s="50">
        <f t="shared" si="2247"/>
        <v>1.3403248240527661</v>
      </c>
      <c r="CL246" s="84">
        <f t="shared" ref="CL246" si="2248">(CL161+CL148+CL138+CL140)/CL120</f>
        <v>1.3317847120014312</v>
      </c>
      <c r="CM246" s="50">
        <f t="shared" si="2247"/>
        <v>1.3340581978918968</v>
      </c>
      <c r="CN246" s="50">
        <f t="shared" si="2247"/>
        <v>1.3576673252496745</v>
      </c>
      <c r="CO246" s="50">
        <f t="shared" si="2247"/>
        <v>1.3762527465489907</v>
      </c>
      <c r="CP246" s="50">
        <f t="shared" si="2247"/>
        <v>1.370112978791765</v>
      </c>
      <c r="CQ246" s="50">
        <f t="shared" si="2247"/>
        <v>1.3710472826973767</v>
      </c>
      <c r="CR246" s="50">
        <f t="shared" si="2247"/>
        <v>1.3931146142457116</v>
      </c>
      <c r="CS246" s="50">
        <f t="shared" si="2247"/>
        <v>1.4121225504518036</v>
      </c>
      <c r="CT246" s="50">
        <f t="shared" si="2247"/>
        <v>1.4022384605948259</v>
      </c>
      <c r="CU246" s="50">
        <f t="shared" si="2247"/>
        <v>1.4006812828459203</v>
      </c>
      <c r="CV246" s="50">
        <f t="shared" si="2247"/>
        <v>1.4221262154856298</v>
      </c>
      <c r="CW246" s="50">
        <f t="shared" si="2247"/>
        <v>1.4404700151946854</v>
      </c>
      <c r="CX246" s="50">
        <f t="shared" ref="CX246:DB246" si="2249">(CX161+CX148+CX138+CX140)/CX120</f>
        <v>1.4272071766949694</v>
      </c>
      <c r="CY246" s="50">
        <f t="shared" si="2249"/>
        <v>1.4232807958154332</v>
      </c>
      <c r="CZ246" s="50">
        <f t="shared" si="2249"/>
        <v>1.4441093798631972</v>
      </c>
      <c r="DA246" s="50">
        <f t="shared" si="2249"/>
        <v>1.4615602624095121</v>
      </c>
      <c r="DB246" s="50">
        <f t="shared" si="2249"/>
        <v>1.4454922741677236</v>
      </c>
      <c r="DE246" s="138"/>
      <c r="DF246" s="84">
        <v>1.3317847120014312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 t="e">
        <f t="shared" si="2250"/>
        <v>#DIV/0!</v>
      </c>
      <c r="J248" s="88">
        <f t="shared" si="2250"/>
        <v>0.21874556103881893</v>
      </c>
      <c r="K248" s="88">
        <f t="shared" si="2250"/>
        <v>5.7346516727834002E-2</v>
      </c>
      <c r="L248" s="88">
        <f t="shared" si="2250"/>
        <v>9.088918926938537E-2</v>
      </c>
      <c r="M248" s="88">
        <f t="shared" si="2250"/>
        <v>2.4200408160636348E-2</v>
      </c>
      <c r="N248" s="88">
        <f t="shared" si="2250"/>
        <v>1.4617450568840347E-2</v>
      </c>
      <c r="O248" s="88">
        <f t="shared" si="2250"/>
        <v>0.12369033626964958</v>
      </c>
      <c r="P248" s="88">
        <f t="shared" si="2250"/>
        <v>6.4515249468388089E-2</v>
      </c>
      <c r="Q248" s="88">
        <f t="shared" si="2250"/>
        <v>6.7729350282985587E-2</v>
      </c>
      <c r="R248" s="88">
        <f t="shared" si="2250"/>
        <v>0.17067351401011799</v>
      </c>
      <c r="S248" s="88">
        <f t="shared" si="2250"/>
        <v>9.8859014524642672E-2</v>
      </c>
      <c r="T248" s="88">
        <f t="shared" si="2250"/>
        <v>3.0815805824729321E-2</v>
      </c>
      <c r="U248" s="88">
        <f t="shared" si="2250"/>
        <v>0.10078141957890166</v>
      </c>
      <c r="V248" s="88">
        <f t="shared" si="2250"/>
        <v>7.2421244807094026E-2</v>
      </c>
      <c r="W248" s="88">
        <f t="shared" si="2250"/>
        <v>8.6743976021883967E-2</v>
      </c>
      <c r="X248" s="88">
        <f t="shared" si="2250"/>
        <v>0.30471710640558125</v>
      </c>
      <c r="Y248" s="88">
        <f t="shared" si="2250"/>
        <v>0.38010309419725641</v>
      </c>
      <c r="Z248" s="88">
        <f t="shared" si="2250"/>
        <v>0.25065407620289648</v>
      </c>
      <c r="AA248" s="88">
        <f t="shared" ref="AA248" si="2251">AA161/AA120</f>
        <v>0.12011857763904939</v>
      </c>
      <c r="AB248" s="42">
        <f t="shared" si="2250"/>
        <v>0.24993128393870287</v>
      </c>
      <c r="AC248" s="42">
        <f t="shared" si="2250"/>
        <v>0.37116140299591832</v>
      </c>
      <c r="AD248" s="42">
        <f t="shared" si="2250"/>
        <v>0.47685105940749939</v>
      </c>
      <c r="AE248" s="42">
        <f t="shared" si="2250"/>
        <v>0.56399322653333417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 t="e">
        <f t="shared" si="2252"/>
        <v>#DIV/0!</v>
      </c>
      <c r="BB248" s="88" t="e">
        <f t="shared" si="2252"/>
        <v>#DIV/0!</v>
      </c>
      <c r="BC248" s="88" t="e">
        <f t="shared" si="2252"/>
        <v>#DIV/0!</v>
      </c>
      <c r="BD248" s="88" t="e">
        <f t="shared" si="2252"/>
        <v>#DIV/0!</v>
      </c>
      <c r="BE248" s="88" t="e">
        <f t="shared" si="2252"/>
        <v>#DIV/0!</v>
      </c>
      <c r="BF248" s="88" t="e">
        <f t="shared" si="2252"/>
        <v>#DIV/0!</v>
      </c>
      <c r="BG248" s="88" t="e">
        <f t="shared" si="2252"/>
        <v>#DIV/0!</v>
      </c>
      <c r="BH248" s="88" t="e">
        <f t="shared" si="2252"/>
        <v>#DIV/0!</v>
      </c>
      <c r="BI248" s="88" t="e">
        <f t="shared" si="2252"/>
        <v>#DIV/0!</v>
      </c>
      <c r="BJ248" s="88" t="e">
        <f t="shared" si="2252"/>
        <v>#DIV/0!</v>
      </c>
      <c r="BK248" s="88" t="e">
        <f t="shared" si="2252"/>
        <v>#DIV/0!</v>
      </c>
      <c r="BL248" s="88" t="e">
        <f t="shared" si="2252"/>
        <v>#DIV/0!</v>
      </c>
      <c r="BM248" s="88" t="e">
        <f t="shared" si="2252"/>
        <v>#DIV/0!</v>
      </c>
      <c r="BN248" s="88" t="e">
        <f t="shared" si="2252"/>
        <v>#DIV/0!</v>
      </c>
      <c r="BO248" s="88" t="e">
        <f t="shared" si="2252"/>
        <v>#DIV/0!</v>
      </c>
      <c r="BP248" s="88" t="e">
        <f t="shared" si="2252"/>
        <v>#DIV/0!</v>
      </c>
      <c r="BQ248" s="88" t="e">
        <f t="shared" si="2252"/>
        <v>#DIV/0!</v>
      </c>
      <c r="BR248" s="88">
        <f t="shared" si="2252"/>
        <v>7.2421244807094026E-2</v>
      </c>
      <c r="BS248" s="88">
        <f t="shared" si="2252"/>
        <v>0.1375868416930684</v>
      </c>
      <c r="BT248" s="88" t="e">
        <f t="shared" si="2252"/>
        <v>#DIV/0!</v>
      </c>
      <c r="BU248" s="88">
        <f t="shared" si="2252"/>
        <v>1</v>
      </c>
      <c r="BV248" s="88">
        <f t="shared" si="2252"/>
        <v>8.6743976021883967E-2</v>
      </c>
      <c r="BW248" s="88">
        <f t="shared" si="2252"/>
        <v>0.13397612839168602</v>
      </c>
      <c r="BX248" s="88">
        <f t="shared" si="2252"/>
        <v>0.38623257752538481</v>
      </c>
      <c r="BY248" s="88">
        <f t="shared" si="2252"/>
        <v>0.40396663374319758</v>
      </c>
      <c r="BZ248" s="88">
        <f t="shared" si="2252"/>
        <v>0.30471710640558125</v>
      </c>
      <c r="CA248" s="88">
        <f t="shared" si="2252"/>
        <v>0.32661505187983059</v>
      </c>
      <c r="CB248" s="88">
        <f t="shared" si="2252"/>
        <v>0.14900642458701643</v>
      </c>
      <c r="CC248" s="88">
        <f t="shared" si="2252"/>
        <v>0.18570829864497695</v>
      </c>
      <c r="CD248" s="88">
        <f t="shared" si="2252"/>
        <v>0.38010309419725641</v>
      </c>
      <c r="CE248" s="88">
        <f t="shared" si="2252"/>
        <v>0.40538999328959963</v>
      </c>
      <c r="CF248" s="88">
        <f t="shared" si="2252"/>
        <v>0.24149376269682341</v>
      </c>
      <c r="CG248" s="88">
        <f t="shared" si="2252"/>
        <v>0.26590604925037747</v>
      </c>
      <c r="CH248" s="88">
        <f t="shared" si="2252"/>
        <v>0.25065407620289648</v>
      </c>
      <c r="CI248" s="88">
        <f t="shared" si="2252"/>
        <v>0.28309738908671139</v>
      </c>
      <c r="CJ248" s="88">
        <f t="shared" si="2252"/>
        <v>0.1255045090593282</v>
      </c>
      <c r="CK248" s="42">
        <f t="shared" si="2252"/>
        <v>0.15881128974472775</v>
      </c>
      <c r="CL248" s="88">
        <f t="shared" ref="CL248" si="2253">CL161/CL120</f>
        <v>0.12011857763904939</v>
      </c>
      <c r="CM248" s="42">
        <f t="shared" si="2252"/>
        <v>0.15445167176404673</v>
      </c>
      <c r="CN248" s="42">
        <f t="shared" si="2252"/>
        <v>0.18262811230003892</v>
      </c>
      <c r="CO248" s="42">
        <f t="shared" si="2252"/>
        <v>0.2129136590380355</v>
      </c>
      <c r="CP248" s="42">
        <f t="shared" si="2252"/>
        <v>0.24993128393870287</v>
      </c>
      <c r="CQ248" s="42">
        <f t="shared" si="2252"/>
        <v>0.28307662336965805</v>
      </c>
      <c r="CR248" s="42">
        <f t="shared" si="2252"/>
        <v>0.30925925269582372</v>
      </c>
      <c r="CS248" s="42">
        <f t="shared" si="2252"/>
        <v>0.33639419029933182</v>
      </c>
      <c r="CT248" s="42">
        <f t="shared" si="2252"/>
        <v>0.37116140299591832</v>
      </c>
      <c r="CU248" s="42">
        <f t="shared" si="2252"/>
        <v>0.40131115992298028</v>
      </c>
      <c r="CV248" s="42">
        <f t="shared" si="2252"/>
        <v>0.42329481755943871</v>
      </c>
      <c r="CW248" s="42">
        <f t="shared" si="2252"/>
        <v>0.44580939712031181</v>
      </c>
      <c r="CX248" s="42">
        <f t="shared" ref="CX248:DB248" si="2254">CX161/CX120</f>
        <v>0.47685105940749939</v>
      </c>
      <c r="CY248" s="42">
        <f t="shared" si="2254"/>
        <v>0.50286812531962011</v>
      </c>
      <c r="CZ248" s="42">
        <f t="shared" si="2254"/>
        <v>0.51981376744669949</v>
      </c>
      <c r="DA248" s="42">
        <f t="shared" si="2254"/>
        <v>0.53719228626404125</v>
      </c>
      <c r="DB248" s="42">
        <f t="shared" si="2254"/>
        <v>0.56399322653333417</v>
      </c>
      <c r="DE248" s="125"/>
      <c r="DF248" s="88">
        <v>0.12011857763904939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>
        <f t="shared" si="2255"/>
        <v>2.9768224824771483E-2</v>
      </c>
      <c r="O249" s="89">
        <f t="shared" si="2255"/>
        <v>0.48898545219495815</v>
      </c>
      <c r="P249" s="89">
        <f t="shared" si="2255"/>
        <v>-0.49846096301192355</v>
      </c>
      <c r="Q249" s="89">
        <f t="shared" si="2255"/>
        <v>-0.92084482857227667</v>
      </c>
      <c r="R249" s="89">
        <f t="shared" si="2255"/>
        <v>40.06863391000654</v>
      </c>
      <c r="S249" s="89">
        <f t="shared" si="2255"/>
        <v>0.46089918402394581</v>
      </c>
      <c r="T249" s="89">
        <f t="shared" si="2255"/>
        <v>2.3257552867967082</v>
      </c>
      <c r="U249" s="89">
        <f t="shared" si="2255"/>
        <v>0.50426327056347753</v>
      </c>
      <c r="V249" s="89">
        <f t="shared" si="2255"/>
        <v>-0.13408427603174211</v>
      </c>
      <c r="W249" s="89">
        <f t="shared" si="2255"/>
        <v>0.51506963788300797</v>
      </c>
      <c r="X249" s="89">
        <f t="shared" si="2255"/>
        <v>-0.71226857384493758</v>
      </c>
      <c r="Y249" s="89">
        <f t="shared" si="2255"/>
        <v>-0.52261980830670929</v>
      </c>
      <c r="Z249" s="89">
        <f t="shared" si="2255"/>
        <v>-1</v>
      </c>
      <c r="AA249" s="89" t="e">
        <f t="shared" si="2255"/>
        <v>#DIV/0!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>
        <f t="shared" si="2256"/>
        <v>0</v>
      </c>
      <c r="BT249" s="89">
        <f t="shared" si="2256"/>
        <v>-1</v>
      </c>
      <c r="BU249" s="89" t="e">
        <f t="shared" si="2256"/>
        <v>#DIV/0!</v>
      </c>
      <c r="BV249" s="89" t="e">
        <f t="shared" si="2256"/>
        <v>#DIV/0!</v>
      </c>
      <c r="BW249" s="89">
        <f t="shared" si="2256"/>
        <v>0</v>
      </c>
      <c r="BX249" s="89">
        <f t="shared" si="2256"/>
        <v>-0.63624496699821664</v>
      </c>
      <c r="BY249" s="89">
        <f t="shared" si="2256"/>
        <v>0</v>
      </c>
      <c r="BZ249" s="89">
        <f t="shared" si="2256"/>
        <v>-0.20899671468284053</v>
      </c>
      <c r="CA249" s="89">
        <f t="shared" si="2256"/>
        <v>0</v>
      </c>
      <c r="CB249" s="89">
        <f t="shared" si="2256"/>
        <v>0.11418530351437695</v>
      </c>
      <c r="CC249" s="89">
        <f t="shared" si="2256"/>
        <v>0</v>
      </c>
      <c r="CD249" s="89">
        <f t="shared" si="2256"/>
        <v>-0.57154327005792283</v>
      </c>
      <c r="CE249" s="89">
        <f t="shared" si="2256"/>
        <v>0</v>
      </c>
      <c r="CF249" s="89">
        <f t="shared" si="2256"/>
        <v>-1</v>
      </c>
      <c r="CG249" s="89" t="e">
        <f t="shared" si="2256"/>
        <v>#DIV/0!</v>
      </c>
      <c r="CH249" s="89" t="e">
        <f t="shared" si="2256"/>
        <v>#DIV/0!</v>
      </c>
      <c r="CI249" s="89" t="e">
        <f t="shared" si="2256"/>
        <v>#DIV/0!</v>
      </c>
      <c r="CJ249" s="89" t="e">
        <f t="shared" si="2256"/>
        <v>#DIV/0!</v>
      </c>
      <c r="CK249" s="47">
        <f t="shared" si="2256"/>
        <v>0</v>
      </c>
      <c r="CL249" s="89">
        <f t="shared" si="2256"/>
        <v>0.44904400606980244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 t="e">
        <f t="shared" si="2258"/>
        <v>#DIV/0!</v>
      </c>
      <c r="K250" s="89">
        <f t="shared" si="2258"/>
        <v>-4.2512972159714568</v>
      </c>
      <c r="L250" s="89">
        <f t="shared" si="2258"/>
        <v>-0.20097612843560442</v>
      </c>
      <c r="M250" s="89">
        <f t="shared" si="2258"/>
        <v>0.51662863343389698</v>
      </c>
      <c r="N250" s="89">
        <f t="shared" si="2258"/>
        <v>-1.2678008369342182</v>
      </c>
      <c r="O250" s="89">
        <f t="shared" si="2258"/>
        <v>-4.1423899373341899E-2</v>
      </c>
      <c r="P250" s="89">
        <f t="shared" si="2258"/>
        <v>3.8366973287296178</v>
      </c>
      <c r="Q250" s="89">
        <f t="shared" si="2258"/>
        <v>0.81056382523551163</v>
      </c>
      <c r="R250" s="89">
        <f t="shared" si="2258"/>
        <v>0.66188476203754498</v>
      </c>
      <c r="S250" s="89">
        <f t="shared" si="2258"/>
        <v>-0.19521165012663488</v>
      </c>
      <c r="T250" s="89">
        <f t="shared" si="2258"/>
        <v>1.1610703549220274</v>
      </c>
      <c r="U250" s="89">
        <f t="shared" si="2258"/>
        <v>-8.5677034829572118E-3</v>
      </c>
      <c r="V250" s="89">
        <f t="shared" si="2258"/>
        <v>0.25014089798985428</v>
      </c>
      <c r="W250" s="89">
        <f t="shared" si="2258"/>
        <v>0.67781200691261656</v>
      </c>
      <c r="X250" s="89">
        <f t="shared" si="2258"/>
        <v>0.30332885505299245</v>
      </c>
      <c r="Y250" s="89">
        <f t="shared" si="2258"/>
        <v>0.25478181193448712</v>
      </c>
      <c r="Z250" s="89">
        <f t="shared" si="2258"/>
        <v>0.13122176075943548</v>
      </c>
      <c r="AA250" s="89">
        <f t="shared" si="2258"/>
        <v>0.2561425309244667</v>
      </c>
      <c r="AB250" s="47">
        <f t="shared" si="2258"/>
        <v>0.35489495561672446</v>
      </c>
      <c r="AC250" s="47">
        <f t="shared" si="2258"/>
        <v>0.33426390800468253</v>
      </c>
      <c r="AD250" s="47">
        <f t="shared" si="2258"/>
        <v>0.33652879319277362</v>
      </c>
      <c r="AE250" s="47">
        <f t="shared" si="2258"/>
        <v>0.33699582886255253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 t="e">
        <f t="shared" si="2259"/>
        <v>#DIV/0!</v>
      </c>
      <c r="BB250" s="89" t="e">
        <f t="shared" si="2259"/>
        <v>#DIV/0!</v>
      </c>
      <c r="BC250" s="89" t="e">
        <f t="shared" si="2259"/>
        <v>#DIV/0!</v>
      </c>
      <c r="BD250" s="89" t="e">
        <f t="shared" si="2259"/>
        <v>#DIV/0!</v>
      </c>
      <c r="BE250" s="89" t="e">
        <f t="shared" si="2259"/>
        <v>#DIV/0!</v>
      </c>
      <c r="BF250" s="89" t="e">
        <f t="shared" si="2259"/>
        <v>#DIV/0!</v>
      </c>
      <c r="BG250" s="89" t="e">
        <f t="shared" si="2259"/>
        <v>#DIV/0!</v>
      </c>
      <c r="BH250" s="89" t="e">
        <f t="shared" si="2259"/>
        <v>#DIV/0!</v>
      </c>
      <c r="BI250" s="89" t="e">
        <f t="shared" si="2259"/>
        <v>#DIV/0!</v>
      </c>
      <c r="BJ250" s="89" t="e">
        <f t="shared" si="2259"/>
        <v>#DIV/0!</v>
      </c>
      <c r="BK250" s="89" t="e">
        <f t="shared" si="2259"/>
        <v>#DIV/0!</v>
      </c>
      <c r="BL250" s="89" t="e">
        <f t="shared" si="2259"/>
        <v>#DIV/0!</v>
      </c>
      <c r="BM250" s="89" t="e">
        <f t="shared" si="2259"/>
        <v>#DIV/0!</v>
      </c>
      <c r="BN250" s="89" t="e">
        <f t="shared" si="2259"/>
        <v>#DIV/0!</v>
      </c>
      <c r="BO250" s="89" t="e">
        <f t="shared" si="2259"/>
        <v>#DIV/0!</v>
      </c>
      <c r="BP250" s="89" t="e">
        <f t="shared" si="2259"/>
        <v>#DIV/0!</v>
      </c>
      <c r="BQ250" s="89" t="e">
        <f t="shared" si="2259"/>
        <v>#DIV/0!</v>
      </c>
      <c r="BR250" s="89" t="e">
        <f t="shared" si="2259"/>
        <v>#DIV/0!</v>
      </c>
      <c r="BS250" s="89">
        <f t="shared" si="2259"/>
        <v>0.17395190120246951</v>
      </c>
      <c r="BT250" s="89">
        <f t="shared" si="2259"/>
        <v>0.15793480517682923</v>
      </c>
      <c r="BU250" s="89">
        <f t="shared" si="2259"/>
        <v>8.2840236686390067E-2</v>
      </c>
      <c r="BV250" s="89">
        <f t="shared" si="2259"/>
        <v>1.6007065187393588E-2</v>
      </c>
      <c r="BW250" s="89">
        <f t="shared" si="2259"/>
        <v>0.11778127886130285</v>
      </c>
      <c r="BX250" s="89">
        <f t="shared" si="2259"/>
        <v>5.6865127582016672E-2</v>
      </c>
      <c r="BY250" s="89">
        <f t="shared" si="2259"/>
        <v>-2.3913543343297428E-2</v>
      </c>
      <c r="BZ250" s="89">
        <f t="shared" si="2259"/>
        <v>0.11962308598351079</v>
      </c>
      <c r="CA250" s="89">
        <f t="shared" si="2259"/>
        <v>3.3664366268215673E-4</v>
      </c>
      <c r="CB250" s="89">
        <f t="shared" si="2259"/>
        <v>0.18870940602389363</v>
      </c>
      <c r="CC250" s="89">
        <f t="shared" si="2259"/>
        <v>-0.12849458560407601</v>
      </c>
      <c r="CD250" s="89">
        <f t="shared" si="2259"/>
        <v>0.33585089535875201</v>
      </c>
      <c r="CE250" s="89">
        <f t="shared" si="2259"/>
        <v>-0.18317222931485233</v>
      </c>
      <c r="CF250" s="89">
        <f t="shared" si="2259"/>
        <v>0.2047484370348327</v>
      </c>
      <c r="CG250" s="89">
        <f t="shared" si="2259"/>
        <v>-7.6326681905232729E-2</v>
      </c>
      <c r="CH250" s="89">
        <f t="shared" si="2259"/>
        <v>0.16316088686753849</v>
      </c>
      <c r="CI250" s="89">
        <f t="shared" si="2259"/>
        <v>-2.9900523259153156E-3</v>
      </c>
      <c r="CJ250" s="89">
        <f t="shared" si="2259"/>
        <v>0.18957263971393856</v>
      </c>
      <c r="CK250" s="47">
        <f t="shared" si="2259"/>
        <v>-3.9270823232817609E-3</v>
      </c>
      <c r="CL250" s="89">
        <f t="shared" si="2259"/>
        <v>2.2462886347043076E-2</v>
      </c>
      <c r="CM250" s="47">
        <f t="shared" si="2259"/>
        <v>9.4221435809319187E-2</v>
      </c>
      <c r="CN250" s="47">
        <f t="shared" si="2259"/>
        <v>0.1164438320513641</v>
      </c>
      <c r="CO250" s="47">
        <f t="shared" si="2259"/>
        <v>9.052191866309478E-2</v>
      </c>
      <c r="CP250" s="47">
        <f t="shared" si="2259"/>
        <v>3.0120487103801663E-2</v>
      </c>
      <c r="CQ250" s="47">
        <f t="shared" si="2259"/>
        <v>5.5764967093766105E-2</v>
      </c>
      <c r="CR250" s="47">
        <f t="shared" si="2259"/>
        <v>0.11620734161652835</v>
      </c>
      <c r="CS250" s="47">
        <f t="shared" si="2259"/>
        <v>0.1081100125461123</v>
      </c>
      <c r="CT250" s="47">
        <f t="shared" si="2259"/>
        <v>2.6936940336800941E-2</v>
      </c>
      <c r="CU250" s="47">
        <f t="shared" si="2259"/>
        <v>4.9802260835426715E-2</v>
      </c>
      <c r="CV250" s="47">
        <f t="shared" si="2259"/>
        <v>0.1181965912577041</v>
      </c>
      <c r="CW250" s="47">
        <f t="shared" si="2259"/>
        <v>0.11062038217505465</v>
      </c>
      <c r="CX250" s="47">
        <f t="shared" ref="CX250:DB250" si="2260">CX28/CW28-1</f>
        <v>2.5731620173304437E-2</v>
      </c>
      <c r="CY250" s="47">
        <f t="shared" si="2260"/>
        <v>4.9070341063396361E-2</v>
      </c>
      <c r="CZ250" s="47">
        <f t="shared" si="2260"/>
        <v>0.11880534916254182</v>
      </c>
      <c r="DA250" s="47">
        <f t="shared" si="2260"/>
        <v>0.11088013189504364</v>
      </c>
      <c r="DB250" s="47">
        <f t="shared" si="2260"/>
        <v>2.5451412452793143E-2</v>
      </c>
      <c r="DE250" s="130"/>
      <c r="DF250" s="89">
        <v>0.28323825354431031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 t="str">
        <f t="shared" si="2261"/>
        <v>RF</v>
      </c>
      <c r="O251" s="103" t="str">
        <f t="shared" si="2261"/>
        <v>RF</v>
      </c>
      <c r="P251" s="103">
        <f t="shared" si="2261"/>
        <v>0</v>
      </c>
      <c r="Q251" s="103">
        <f t="shared" si="2261"/>
        <v>0</v>
      </c>
      <c r="R251" s="103" t="str">
        <f t="shared" si="2261"/>
        <v>RF</v>
      </c>
      <c r="S251" s="103" t="str">
        <f t="shared" si="2261"/>
        <v>RF</v>
      </c>
      <c r="T251" s="103" t="str">
        <f t="shared" si="2261"/>
        <v>RF</v>
      </c>
      <c r="U251" s="103" t="str">
        <f t="shared" si="2261"/>
        <v>RF</v>
      </c>
      <c r="V251" s="103">
        <f>IF(V249&gt;V250,"RF",0)</f>
        <v>0</v>
      </c>
      <c r="W251" s="103">
        <f t="shared" ref="W251:AE251" si="2262">IF(W249&gt;W250,"RF",0)</f>
        <v>0</v>
      </c>
      <c r="X251" s="103">
        <f t="shared" si="2262"/>
        <v>0</v>
      </c>
      <c r="Y251" s="103">
        <f t="shared" si="2262"/>
        <v>0</v>
      </c>
      <c r="Z251" s="103">
        <f t="shared" si="2262"/>
        <v>0</v>
      </c>
      <c r="AA251" s="103" t="e">
        <f t="shared" ref="AA251" si="2263">IF(AA249&gt;AA250,"RF",0)</f>
        <v>#DIV/0!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>
        <f t="shared" si="2264"/>
        <v>0</v>
      </c>
      <c r="BT251" s="103">
        <f t="shared" si="2264"/>
        <v>0</v>
      </c>
      <c r="BU251" s="103" t="e">
        <f t="shared" si="2264"/>
        <v>#DIV/0!</v>
      </c>
      <c r="BV251" s="103" t="e">
        <f t="shared" si="2264"/>
        <v>#DIV/0!</v>
      </c>
      <c r="BW251" s="103">
        <f t="shared" si="2264"/>
        <v>0</v>
      </c>
      <c r="BX251" s="103">
        <f t="shared" si="2264"/>
        <v>0</v>
      </c>
      <c r="BY251" s="103" t="str">
        <f t="shared" si="2264"/>
        <v>RF</v>
      </c>
      <c r="BZ251" s="103">
        <f t="shared" si="2264"/>
        <v>0</v>
      </c>
      <c r="CA251" s="103">
        <f t="shared" si="2264"/>
        <v>0</v>
      </c>
      <c r="CB251" s="103">
        <f t="shared" si="2264"/>
        <v>0</v>
      </c>
      <c r="CC251" s="103" t="str">
        <f t="shared" si="2264"/>
        <v>RF</v>
      </c>
      <c r="CD251" s="103">
        <f t="shared" si="2264"/>
        <v>0</v>
      </c>
      <c r="CE251" s="103" t="str">
        <f t="shared" si="2264"/>
        <v>RF</v>
      </c>
      <c r="CF251" s="103">
        <f t="shared" si="2264"/>
        <v>0</v>
      </c>
      <c r="CG251" s="103" t="e">
        <f t="shared" si="2264"/>
        <v>#DIV/0!</v>
      </c>
      <c r="CH251" s="103" t="e">
        <f t="shared" si="2264"/>
        <v>#DIV/0!</v>
      </c>
      <c r="CI251" s="103" t="e">
        <f t="shared" si="2264"/>
        <v>#DIV/0!</v>
      </c>
      <c r="CJ251" s="103" t="e">
        <f t="shared" si="2264"/>
        <v>#DIV/0!</v>
      </c>
      <c r="CK251" s="73" t="str">
        <f t="shared" si="2264"/>
        <v>RF</v>
      </c>
      <c r="CL251" s="103" t="str">
        <f t="shared" ref="CL251" si="2265">IF(CL249&gt;CL250,"RF",0)</f>
        <v>RF</v>
      </c>
      <c r="CM251" s="73">
        <f t="shared" si="2264"/>
        <v>0</v>
      </c>
      <c r="CN251" s="73">
        <f t="shared" si="2264"/>
        <v>0</v>
      </c>
      <c r="CO251" s="73">
        <f t="shared" si="2264"/>
        <v>0</v>
      </c>
      <c r="CP251" s="73">
        <f t="shared" si="2264"/>
        <v>0</v>
      </c>
      <c r="CQ251" s="73">
        <f t="shared" si="2264"/>
        <v>0</v>
      </c>
      <c r="CR251" s="73">
        <f t="shared" si="2264"/>
        <v>0</v>
      </c>
      <c r="CS251" s="73">
        <f t="shared" si="2264"/>
        <v>0</v>
      </c>
      <c r="CT251" s="73">
        <f t="shared" si="2264"/>
        <v>0</v>
      </c>
      <c r="CU251" s="73">
        <f t="shared" si="2264"/>
        <v>0</v>
      </c>
      <c r="CV251" s="73">
        <f t="shared" si="2264"/>
        <v>0</v>
      </c>
      <c r="CW251" s="73">
        <f t="shared" si="2264"/>
        <v>0</v>
      </c>
      <c r="CX251" s="73">
        <f t="shared" ref="CX251:DB251" si="2266">IF(CX249&gt;CX250,"RF",0)</f>
        <v>0</v>
      </c>
      <c r="CY251" s="73">
        <f t="shared" si="2266"/>
        <v>0</v>
      </c>
      <c r="CZ251" s="73">
        <f t="shared" si="2266"/>
        <v>0</v>
      </c>
      <c r="DA251" s="73">
        <f t="shared" si="2266"/>
        <v>0</v>
      </c>
      <c r="DB251" s="73">
        <f t="shared" si="2266"/>
        <v>0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 t="e">
        <f t="shared" si="2267"/>
        <v>#DIV/0!</v>
      </c>
      <c r="J252" s="86">
        <f t="shared" si="2267"/>
        <v>6.8495429935286718E-3</v>
      </c>
      <c r="K252" s="86">
        <f t="shared" si="2267"/>
        <v>1.7065836096209718E-2</v>
      </c>
      <c r="L252" s="86">
        <f t="shared" si="2267"/>
        <v>2.2559100006579414E-3</v>
      </c>
      <c r="M252" s="86">
        <f t="shared" si="2267"/>
        <v>4.3067884460750569E-3</v>
      </c>
      <c r="N252" s="86">
        <f t="shared" si="2267"/>
        <v>4.8720986802997402E-3</v>
      </c>
      <c r="O252" s="86">
        <f t="shared" si="2267"/>
        <v>7.7638717974738572E-3</v>
      </c>
      <c r="P252" s="86">
        <f t="shared" si="2267"/>
        <v>4.7079880248465491E-3</v>
      </c>
      <c r="Q252" s="86">
        <f t="shared" si="2267"/>
        <v>1.0094122708649296E-3</v>
      </c>
      <c r="R252" s="86">
        <f t="shared" si="2267"/>
        <v>1.7981913754233014E-3</v>
      </c>
      <c r="S252" s="86">
        <f t="shared" si="2267"/>
        <v>1.5359782000567207E-3</v>
      </c>
      <c r="T252" s="86">
        <f t="shared" si="2267"/>
        <v>2.5988344621200189E-3</v>
      </c>
      <c r="U252" s="86">
        <f t="shared" si="2267"/>
        <v>5.7363675397166169E-3</v>
      </c>
      <c r="V252" s="86">
        <f t="shared" si="2267"/>
        <v>6.3909174500163387E-3</v>
      </c>
      <c r="W252" s="86">
        <f t="shared" si="2267"/>
        <v>2.4967558599845594E-2</v>
      </c>
      <c r="X252" s="86">
        <f t="shared" si="2267"/>
        <v>1.3607657271956165E-2</v>
      </c>
      <c r="Y252" s="86">
        <f t="shared" si="2267"/>
        <v>8.0537308472632043E-3</v>
      </c>
      <c r="Z252" s="86">
        <f t="shared" si="2267"/>
        <v>2.2295599603377068E-3</v>
      </c>
      <c r="AA252" s="86">
        <f t="shared" ref="AA252" si="2268">AA36/AA8</f>
        <v>7.2251204424299432E-3</v>
      </c>
      <c r="AB252" s="87">
        <f t="shared" si="2267"/>
        <v>-1.4047409426803442E-3</v>
      </c>
      <c r="AC252" s="87">
        <f t="shared" si="2267"/>
        <v>-2.3513242249033253E-3</v>
      </c>
      <c r="AD252" s="87">
        <f t="shared" si="2267"/>
        <v>-3.0552978357770233E-3</v>
      </c>
      <c r="AE252" s="87">
        <f t="shared" si="2267"/>
        <v>-3.5797286350294278E-3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 t="e">
        <f t="shared" si="2269"/>
        <v>#DIV/0!</v>
      </c>
      <c r="BA252" s="86" t="e">
        <f t="shared" si="2269"/>
        <v>#DIV/0!</v>
      </c>
      <c r="BB252" s="86" t="e">
        <f t="shared" si="2269"/>
        <v>#DIV/0!</v>
      </c>
      <c r="BC252" s="86" t="e">
        <f t="shared" si="2269"/>
        <v>#DIV/0!</v>
      </c>
      <c r="BD252" s="86" t="e">
        <f t="shared" si="2269"/>
        <v>#DIV/0!</v>
      </c>
      <c r="BE252" s="86" t="e">
        <f t="shared" si="2269"/>
        <v>#DIV/0!</v>
      </c>
      <c r="BF252" s="86" t="e">
        <f t="shared" si="2269"/>
        <v>#DIV/0!</v>
      </c>
      <c r="BG252" s="86" t="e">
        <f t="shared" si="2269"/>
        <v>#DIV/0!</v>
      </c>
      <c r="BH252" s="86" t="e">
        <f t="shared" si="2269"/>
        <v>#DIV/0!</v>
      </c>
      <c r="BI252" s="86" t="e">
        <f t="shared" si="2269"/>
        <v>#DIV/0!</v>
      </c>
      <c r="BJ252" s="86" t="e">
        <f t="shared" si="2269"/>
        <v>#DIV/0!</v>
      </c>
      <c r="BK252" s="86" t="e">
        <f t="shared" si="2269"/>
        <v>#DIV/0!</v>
      </c>
      <c r="BL252" s="86" t="e">
        <f t="shared" si="2269"/>
        <v>#DIV/0!</v>
      </c>
      <c r="BM252" s="86" t="e">
        <f t="shared" si="2269"/>
        <v>#DIV/0!</v>
      </c>
      <c r="BN252" s="86" t="e">
        <f t="shared" si="2269"/>
        <v>#DIV/0!</v>
      </c>
      <c r="BO252" s="86" t="e">
        <f t="shared" si="2269"/>
        <v>#DIV/0!</v>
      </c>
      <c r="BP252" s="86" t="e">
        <f t="shared" si="2269"/>
        <v>#DIV/0!</v>
      </c>
      <c r="BQ252" s="86" t="e">
        <f t="shared" si="2269"/>
        <v>#DIV/0!</v>
      </c>
      <c r="BR252" s="86">
        <f t="shared" si="2269"/>
        <v>9.4102564102564092E-3</v>
      </c>
      <c r="BS252" s="86">
        <f t="shared" si="2269"/>
        <v>2.2648895516823562E-2</v>
      </c>
      <c r="BT252" s="86">
        <f t="shared" si="2269"/>
        <v>2.6167118761599804E-2</v>
      </c>
      <c r="BU252" s="86">
        <f t="shared" si="2269"/>
        <v>2.7396957855928654E-2</v>
      </c>
      <c r="BV252" s="86">
        <f t="shared" si="2269"/>
        <v>3.9124975216443064E-2</v>
      </c>
      <c r="BW252" s="86">
        <f t="shared" si="2269"/>
        <v>1.8442622950819672E-2</v>
      </c>
      <c r="BX252" s="86">
        <f t="shared" si="2269"/>
        <v>7.5911709894168136E-3</v>
      </c>
      <c r="BY252" s="86">
        <f t="shared" si="2269"/>
        <v>6.1559060775284941E-3</v>
      </c>
      <c r="BZ252" s="86">
        <f t="shared" si="2269"/>
        <v>2.0856387756961893E-2</v>
      </c>
      <c r="CA252" s="86">
        <f t="shared" si="2269"/>
        <v>3.2476896262022097E-3</v>
      </c>
      <c r="CB252" s="86">
        <f t="shared" si="2269"/>
        <v>4.0602284527518177E-3</v>
      </c>
      <c r="CC252" s="86">
        <f t="shared" si="2269"/>
        <v>1.0310337037113105E-2</v>
      </c>
      <c r="CD252" s="86">
        <f t="shared" si="2269"/>
        <v>1.355173935722024E-2</v>
      </c>
      <c r="CE252" s="86">
        <f t="shared" si="2269"/>
        <v>2.9532030895047709E-3</v>
      </c>
      <c r="CF252" s="86">
        <f t="shared" si="2269"/>
        <v>4.8365624291864945E-3</v>
      </c>
      <c r="CG252" s="86">
        <f t="shared" si="2269"/>
        <v>2.2398271516024487E-3</v>
      </c>
      <c r="CH252" s="86">
        <f t="shared" si="2269"/>
        <v>-7.4211755414394355E-4</v>
      </c>
      <c r="CI252" s="86">
        <f t="shared" si="2269"/>
        <v>1.3645713820188868E-3</v>
      </c>
      <c r="CJ252" s="86">
        <f t="shared" si="2269"/>
        <v>5.2581344902386121E-3</v>
      </c>
      <c r="CK252" s="87">
        <f t="shared" si="2269"/>
        <v>5.7709696292750383E-3</v>
      </c>
      <c r="CL252" s="86">
        <f t="shared" ref="CL252" si="2270">CL36/CL8</f>
        <v>1.4860700324722333E-2</v>
      </c>
      <c r="CM252" s="87">
        <f t="shared" si="2269"/>
        <v>-1.011703283428781E-3</v>
      </c>
      <c r="CN252" s="87">
        <f t="shared" si="2269"/>
        <v>-1.2734794182391765E-3</v>
      </c>
      <c r="CO252" s="87">
        <f t="shared" si="2269"/>
        <v>-1.460894702443014E-3</v>
      </c>
      <c r="CP252" s="87">
        <f t="shared" si="2269"/>
        <v>-1.7729757582728427E-3</v>
      </c>
      <c r="CQ252" s="87">
        <f t="shared" si="2269"/>
        <v>-2.1101588661374179E-3</v>
      </c>
      <c r="CR252" s="87">
        <f t="shared" si="2269"/>
        <v>-2.2553836549887261E-3</v>
      </c>
      <c r="CS252" s="87">
        <f t="shared" si="2269"/>
        <v>-2.3440821236964779E-3</v>
      </c>
      <c r="CT252" s="87">
        <f t="shared" si="2269"/>
        <v>-2.6318165051519753E-3</v>
      </c>
      <c r="CU252" s="87">
        <f t="shared" si="2269"/>
        <v>-2.9269698577245045E-3</v>
      </c>
      <c r="CV252" s="87">
        <f t="shared" si="2269"/>
        <v>-2.9857073675498029E-3</v>
      </c>
      <c r="CW252" s="87">
        <f t="shared" si="2269"/>
        <v>-3.0002013630993254E-3</v>
      </c>
      <c r="CX252" s="87">
        <f t="shared" ref="CX252:DB252" si="2271">CX36/CX8</f>
        <v>-3.2708072136896555E-3</v>
      </c>
      <c r="CY252" s="87">
        <f t="shared" si="2271"/>
        <v>-3.5354958089849025E-3</v>
      </c>
      <c r="CZ252" s="87">
        <f t="shared" si="2271"/>
        <v>-3.5293142274710962E-3</v>
      </c>
      <c r="DA252" s="87">
        <f t="shared" si="2271"/>
        <v>-3.4889959507067494E-3</v>
      </c>
      <c r="DB252" s="87">
        <f t="shared" si="2271"/>
        <v>-3.7471765287405063E-3</v>
      </c>
      <c r="DE252" s="141"/>
      <c r="DF252" s="86">
        <v>7.2251204424299458E-3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 t="e">
        <f t="shared" si="2272"/>
        <v>#DIV/0!</v>
      </c>
      <c r="J253" s="86">
        <f t="shared" si="2272"/>
        <v>4.270623360145117E-2</v>
      </c>
      <c r="K253" s="86">
        <f t="shared" si="2272"/>
        <v>0.29820858265546785</v>
      </c>
      <c r="L253" s="86">
        <f t="shared" si="2272"/>
        <v>0.14015716105255818</v>
      </c>
      <c r="M253" s="86">
        <f t="shared" si="2272"/>
        <v>0.18088732453203898</v>
      </c>
      <c r="N253" s="86">
        <f t="shared" si="2272"/>
        <v>9.2839157909513845E-2</v>
      </c>
      <c r="O253" s="86">
        <f t="shared" si="2272"/>
        <v>8.4515892184749308E-2</v>
      </c>
      <c r="P253" s="86">
        <f t="shared" si="2272"/>
        <v>7.2539662250779499E-2</v>
      </c>
      <c r="Q253" s="86">
        <f t="shared" si="2272"/>
        <v>9.7885336650571808E-2</v>
      </c>
      <c r="R253" s="86">
        <f t="shared" si="2272"/>
        <v>7.9811563735117677E-2</v>
      </c>
      <c r="S253" s="86">
        <f t="shared" si="2272"/>
        <v>7.985426783282272E-2</v>
      </c>
      <c r="T253" s="86">
        <f t="shared" si="2272"/>
        <v>8.3674594424318793E-2</v>
      </c>
      <c r="U253" s="86">
        <f t="shared" si="2272"/>
        <v>7.3860025762129675E-2</v>
      </c>
      <c r="V253" s="86">
        <f t="shared" si="2272"/>
        <v>6.6622084761347483E-2</v>
      </c>
      <c r="W253" s="86">
        <f t="shared" si="2272"/>
        <v>7.1562717302627615E-2</v>
      </c>
      <c r="X253" s="86">
        <f t="shared" si="2272"/>
        <v>6.3696699992362021E-2</v>
      </c>
      <c r="Y253" s="86">
        <f t="shared" si="2272"/>
        <v>5.5770411048485867E-2</v>
      </c>
      <c r="Z253" s="86">
        <f t="shared" si="2272"/>
        <v>4.5873484987051995E-2</v>
      </c>
      <c r="AA253" s="86">
        <f t="shared" ref="AA253" si="2273">AA32/AA8</f>
        <v>4.88198067219704E-2</v>
      </c>
      <c r="AB253" s="87">
        <f t="shared" si="2272"/>
        <v>4.4795681599578245E-2</v>
      </c>
      <c r="AC253" s="87">
        <f t="shared" si="2272"/>
        <v>3.0278875806141824E-2</v>
      </c>
      <c r="AD253" s="87">
        <f t="shared" si="2272"/>
        <v>2.0470782438705926E-2</v>
      </c>
      <c r="AE253" s="87">
        <f t="shared" si="2272"/>
        <v>1.3839927529269488E-2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 t="e">
        <f t="shared" si="2274"/>
        <v>#DIV/0!</v>
      </c>
      <c r="BA253" s="86" t="e">
        <f t="shared" si="2274"/>
        <v>#DIV/0!</v>
      </c>
      <c r="BB253" s="86" t="e">
        <f t="shared" si="2274"/>
        <v>#DIV/0!</v>
      </c>
      <c r="BC253" s="86" t="e">
        <f t="shared" si="2274"/>
        <v>#DIV/0!</v>
      </c>
      <c r="BD253" s="86" t="e">
        <f t="shared" si="2274"/>
        <v>#DIV/0!</v>
      </c>
      <c r="BE253" s="86" t="e">
        <f t="shared" si="2274"/>
        <v>#DIV/0!</v>
      </c>
      <c r="BF253" s="86" t="e">
        <f t="shared" si="2274"/>
        <v>#DIV/0!</v>
      </c>
      <c r="BG253" s="86" t="e">
        <f t="shared" si="2274"/>
        <v>#DIV/0!</v>
      </c>
      <c r="BH253" s="86" t="e">
        <f t="shared" si="2274"/>
        <v>#DIV/0!</v>
      </c>
      <c r="BI253" s="86" t="e">
        <f t="shared" si="2274"/>
        <v>#DIV/0!</v>
      </c>
      <c r="BJ253" s="86" t="e">
        <f t="shared" si="2274"/>
        <v>#DIV/0!</v>
      </c>
      <c r="BK253" s="86" t="e">
        <f t="shared" si="2274"/>
        <v>#DIV/0!</v>
      </c>
      <c r="BL253" s="86" t="e">
        <f t="shared" si="2274"/>
        <v>#DIV/0!</v>
      </c>
      <c r="BM253" s="86" t="e">
        <f t="shared" si="2274"/>
        <v>#DIV/0!</v>
      </c>
      <c r="BN253" s="86" t="e">
        <f t="shared" si="2274"/>
        <v>#DIV/0!</v>
      </c>
      <c r="BO253" s="86" t="e">
        <f t="shared" si="2274"/>
        <v>#DIV/0!</v>
      </c>
      <c r="BP253" s="86" t="e">
        <f t="shared" si="2274"/>
        <v>#DIV/0!</v>
      </c>
      <c r="BQ253" s="86" t="e">
        <f t="shared" si="2274"/>
        <v>#DIV/0!</v>
      </c>
      <c r="BR253" s="86">
        <f t="shared" si="2274"/>
        <v>6.3871794871794868E-2</v>
      </c>
      <c r="BS253" s="86">
        <f t="shared" si="2274"/>
        <v>7.0439929163948187E-2</v>
      </c>
      <c r="BT253" s="86">
        <f t="shared" si="2274"/>
        <v>7.1016295812853097E-2</v>
      </c>
      <c r="BU253" s="86">
        <f t="shared" si="2274"/>
        <v>7.9762456674834989E-2</v>
      </c>
      <c r="BV253" s="86">
        <f t="shared" si="2274"/>
        <v>6.5032053400304005E-2</v>
      </c>
      <c r="BW253" s="86">
        <f t="shared" si="2274"/>
        <v>7.5532403860885555E-2</v>
      </c>
      <c r="BX253" s="86">
        <f t="shared" si="2274"/>
        <v>6.7876010873839529E-2</v>
      </c>
      <c r="BY253" s="86">
        <f t="shared" si="2274"/>
        <v>6.5102380719114339E-2</v>
      </c>
      <c r="BZ253" s="86">
        <f t="shared" si="2274"/>
        <v>5.1346812305529149E-2</v>
      </c>
      <c r="CA253" s="86">
        <f t="shared" si="2274"/>
        <v>5.9085380380945213E-2</v>
      </c>
      <c r="CB253" s="86">
        <f t="shared" si="2274"/>
        <v>5.4340602284527514E-2</v>
      </c>
      <c r="CC253" s="86">
        <f t="shared" si="2274"/>
        <v>5.42114235248208E-2</v>
      </c>
      <c r="CD253" s="86">
        <f t="shared" si="2274"/>
        <v>5.6022549452313129E-2</v>
      </c>
      <c r="CE253" s="86">
        <f t="shared" si="2274"/>
        <v>5.978884057030355E-2</v>
      </c>
      <c r="CF253" s="86">
        <f t="shared" si="2274"/>
        <v>4.257307953772943E-2</v>
      </c>
      <c r="CG253" s="86">
        <f t="shared" si="2274"/>
        <v>4.4839755131436801E-2</v>
      </c>
      <c r="CH253" s="86">
        <f t="shared" si="2274"/>
        <v>4.1265821061160016E-2</v>
      </c>
      <c r="CI253" s="86">
        <f t="shared" si="2274"/>
        <v>4.5662224455020058E-2</v>
      </c>
      <c r="CJ253" s="86">
        <f t="shared" si="2274"/>
        <v>5.4374548083875637E-2</v>
      </c>
      <c r="CK253" s="87">
        <f t="shared" si="2274"/>
        <v>4.7635764055103454E-2</v>
      </c>
      <c r="CL253" s="86">
        <f t="shared" ref="CL253" si="2275">CL32/CL8</f>
        <v>4.7405323791598585E-2</v>
      </c>
      <c r="CM253" s="87">
        <f t="shared" si="2274"/>
        <v>5.4080236905005359E-2</v>
      </c>
      <c r="CN253" s="87">
        <f t="shared" si="2274"/>
        <v>4.6818956341280367E-2</v>
      </c>
      <c r="CO253" s="87">
        <f t="shared" si="2274"/>
        <v>4.1252014857259878E-2</v>
      </c>
      <c r="CP253" s="87">
        <f t="shared" si="2274"/>
        <v>3.9207158816390121E-2</v>
      </c>
      <c r="CQ253" s="87">
        <f t="shared" si="2274"/>
        <v>3.6448053613823507E-2</v>
      </c>
      <c r="CR253" s="87">
        <f t="shared" si="2274"/>
        <v>3.1736476606991255E-2</v>
      </c>
      <c r="CS253" s="87">
        <f t="shared" si="2274"/>
        <v>2.7875011069412186E-2</v>
      </c>
      <c r="CT253" s="87">
        <f t="shared" si="2274"/>
        <v>2.6503756888240047E-2</v>
      </c>
      <c r="CU253" s="87">
        <f t="shared" si="2274"/>
        <v>2.463454857168924E-2</v>
      </c>
      <c r="CV253" s="87">
        <f t="shared" si="2274"/>
        <v>2.1465358861383243E-2</v>
      </c>
      <c r="CW253" s="87">
        <f t="shared" si="2274"/>
        <v>1.8843233838104174E-2</v>
      </c>
      <c r="CX253" s="87">
        <f t="shared" ref="CX253:DB253" si="2276">CX32/CX8</f>
        <v>1.7918038494884433E-2</v>
      </c>
      <c r="CY253" s="87">
        <f t="shared" si="2276"/>
        <v>1.6654740665116758E-2</v>
      </c>
      <c r="CZ253" s="87">
        <f t="shared" si="2276"/>
        <v>1.4513166414500281E-2</v>
      </c>
      <c r="DA253" s="87">
        <f t="shared" si="2276"/>
        <v>1.2739154722884352E-2</v>
      </c>
      <c r="DB253" s="87">
        <f t="shared" si="2276"/>
        <v>1.2113979577649267E-2</v>
      </c>
      <c r="DE253" s="141"/>
      <c r="DF253" s="86">
        <v>4.8818381367769899E-2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235668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eMudhra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39</v>
      </c>
      <c r="AM6">
        <f>_xll.EQNXTDZ($A$1,$B6,AM$1,$B$1)</f>
        <v>42.915999999999997</v>
      </c>
      <c r="AN6">
        <f>_xll.EQNXTDZ($A$1,$B6,AN$1,$B$1)</f>
        <v>49.030999999999999</v>
      </c>
      <c r="AO6">
        <f>_xll.EQNXTDZ($A$1,$B6,AO$1,$B$1)</f>
        <v>45.296999999999997</v>
      </c>
      <c r="AP6">
        <f>_xll.EQNXTDZ($A$1,$B6,AP$1,$B$1)</f>
        <v>45.393000000000001</v>
      </c>
      <c r="AQ6">
        <f>_xll.EQNXTDZ($A$1,$B6,AQ$1,$B$1)</f>
        <v>52.216000000000001</v>
      </c>
      <c r="AR6">
        <f>_xll.EQNXTDZ($A$1,$B6,AR$1,$B$1)</f>
        <v>58.488999999999997</v>
      </c>
      <c r="AS6">
        <f>_xll.EQNXTDZ($A$1,$B6,AS$1,$B$1)</f>
        <v>61.241999999999997</v>
      </c>
      <c r="AT6">
        <f>_xll.EQNXTDZ($A$1,$B6,AT$1,$B$1)</f>
        <v>76.811000000000007</v>
      </c>
      <c r="AU6">
        <f>_xll.EQNXTDZ($A$1,$B6,AU$1,$B$1)</f>
        <v>79.748999999999995</v>
      </c>
      <c r="AV6">
        <f>_xll.EQNXTDZ($A$1,$B6,AV$1,$B$1)</f>
        <v>96.3</v>
      </c>
      <c r="AW6">
        <f>_xll.EQNXTDZ($A$1,$B6,AW$1,$B$1)</f>
        <v>97.378</v>
      </c>
      <c r="AX6">
        <f>_xll.EQNXTDZ($A$1,$B6,AX$1,$B$1)</f>
        <v>99.691999999999993</v>
      </c>
      <c r="AY6">
        <f>_xll.EQNXTDZ($A$1,$B6,AY$1,$B$1)</f>
        <v>92.441999999999993</v>
      </c>
      <c r="AZ6">
        <f>_xll.EQNXTDZ($A$1,$B6,AZ$1,$B$1)</f>
        <v>141.21600000000001</v>
      </c>
      <c r="BA6">
        <f>_xll.EQNXTDZ($A$1,$B6,BA$1,$B$1)</f>
        <v>138.85</v>
      </c>
      <c r="BB6">
        <f>_xll.EQNXTDZ($A$1,$B6,BB$1,$B$1)</f>
        <v>146.87700000000001</v>
      </c>
      <c r="BC6">
        <f>_xll.EQNXTDZ($A$1,$B6,BC$1,$B$1)</f>
        <v>147.29900000000001</v>
      </c>
      <c r="BD6">
        <f>_xll.EQNXTDZ($A$1,$B6,BD$1,$B$1)</f>
        <v>172.875</v>
      </c>
      <c r="BE6">
        <f>_xll.EQNXTDZ($A$1,$B6,BE$1,$B$1)</f>
        <v>188.01</v>
      </c>
      <c r="BF6">
        <f>_xll.EQNXTDZ($A$1,$B6,BF$1,$B$1)</f>
        <v>193.39599999999999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39</v>
      </c>
      <c r="AM9">
        <f>_xll.EQNXTDZ($A$1,$B9,AM$1,$B$1)</f>
        <v>42.915999999999997</v>
      </c>
      <c r="AN9">
        <f>_xll.EQNXTDZ($A$1,$B9,AN$1,$B$1)</f>
        <v>49.030999999999999</v>
      </c>
      <c r="AO9">
        <f>_xll.EQNXTDZ($A$1,$B9,AO$1,$B$1)</f>
        <v>45.296999999999997</v>
      </c>
      <c r="AP9">
        <f>_xll.EQNXTDZ($A$1,$B9,AP$1,$B$1)</f>
        <v>45.393000000000001</v>
      </c>
      <c r="AQ9">
        <f>_xll.EQNXTDZ($A$1,$B9,AQ$1,$B$1)</f>
        <v>52.216000000000001</v>
      </c>
      <c r="AR9">
        <f>_xll.EQNXTDZ($A$1,$B9,AR$1,$B$1)</f>
        <v>58.488999999999997</v>
      </c>
      <c r="AS9">
        <f>_xll.EQNXTDZ($A$1,$B9,AS$1,$B$1)</f>
        <v>61.241999999999997</v>
      </c>
      <c r="AT9">
        <f>_xll.EQNXTDZ($A$1,$B9,AT$1,$B$1)</f>
        <v>76.811000000000007</v>
      </c>
      <c r="AU9">
        <f>_xll.EQNXTDZ($A$1,$B9,AU$1,$B$1)</f>
        <v>79.748999999999995</v>
      </c>
      <c r="AV9">
        <f>_xll.EQNXTDZ($A$1,$B9,AV$1,$B$1)</f>
        <v>96.3</v>
      </c>
      <c r="AW9">
        <f>_xll.EQNXTDZ($A$1,$B9,AW$1,$B$1)</f>
        <v>97.378</v>
      </c>
      <c r="AX9">
        <f>_xll.EQNXTDZ($A$1,$B9,AX$1,$B$1)</f>
        <v>99.691999999999993</v>
      </c>
      <c r="AY9">
        <f>_xll.EQNXTDZ($A$1,$B9,AY$1,$B$1)</f>
        <v>92.441999999999993</v>
      </c>
      <c r="AZ9">
        <f>_xll.EQNXTDZ($A$1,$B9,AZ$1,$B$1)</f>
        <v>141.21600000000001</v>
      </c>
      <c r="BA9">
        <f>_xll.EQNXTDZ($A$1,$B9,BA$1,$B$1)</f>
        <v>138.85</v>
      </c>
      <c r="BB9">
        <f>_xll.EQNXTDZ($A$1,$B9,BB$1,$B$1)</f>
        <v>146.87700000000001</v>
      </c>
      <c r="BC9">
        <f>_xll.EQNXTDZ($A$1,$B9,BC$1,$B$1)</f>
        <v>147.29900000000001</v>
      </c>
      <c r="BD9">
        <f>_xll.EQNXTDZ($A$1,$B9,BD$1,$B$1)</f>
        <v>172.875</v>
      </c>
      <c r="BE9">
        <f>_xll.EQNXTDZ($A$1,$B9,BE$1,$B$1)</f>
        <v>188.01</v>
      </c>
      <c r="BF9">
        <f>_xll.EQNXTDZ($A$1,$B9,BF$1,$B$1)</f>
        <v>193.39599999999999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-6.0540000000000003</v>
      </c>
      <c r="AM10">
        <f>_xll.EQNXTDZ($A$1,$B10,AM$1,$B$1)</f>
        <v>-0.128</v>
      </c>
      <c r="AN10">
        <f>_xll.EQNXTDZ($A$1,$B10,AN$1,$B$1)</f>
        <v>-1.3280000000000001</v>
      </c>
      <c r="AO10">
        <f>_xll.EQNXTDZ($A$1,$B10,AO$1,$B$1)</f>
        <v>1.7000000000000001E-2</v>
      </c>
      <c r="AP10">
        <f>_xll.EQNXTDZ($A$1,$B10,AP$1,$B$1)</f>
        <v>1.4E-2</v>
      </c>
      <c r="AQ10">
        <f>_xll.EQNXTDZ($A$1,$B10,AQ$1,$B$1)</f>
        <v>0.63100000000000001</v>
      </c>
      <c r="AR10">
        <f>_xll.EQNXTDZ($A$1,$B10,AR$1,$B$1)</f>
        <v>-0.17199999999999999</v>
      </c>
      <c r="AS10">
        <f>_xll.EQNXTDZ($A$1,$B10,AS$1,$B$1)</f>
        <v>2.5999999999999999E-2</v>
      </c>
      <c r="AT10">
        <f>_xll.EQNXTDZ($A$1,$B10,AT$1,$B$1)</f>
        <v>0.61899999999999999</v>
      </c>
      <c r="AU10">
        <f>_xll.EQNXTDZ($A$1,$B10,AU$1,$B$1)</f>
        <v>-0.443</v>
      </c>
      <c r="AV10">
        <f>_xll.EQNXTDZ($A$1,$B10,AV$1,$B$1)</f>
        <v>-1.323</v>
      </c>
      <c r="AW10">
        <f>_xll.EQNXTDZ($A$1,$B10,AW$1,$B$1)</f>
        <v>1.0409999999999999</v>
      </c>
      <c r="AX10">
        <f>_xll.EQNXTDZ($A$1,$B10,AX$1,$B$1)</f>
        <v>-1.1759999999999999</v>
      </c>
      <c r="AY10">
        <f>_xll.EQNXTDZ($A$1,$B10,AY$1,$B$1)</f>
        <v>-0.878</v>
      </c>
      <c r="AZ10">
        <f>_xll.EQNXTDZ($A$1,$B10,AZ$1,$B$1)</f>
        <v>2.2170000000000001</v>
      </c>
      <c r="BA10">
        <f>_xll.EQNXTDZ($A$1,$B10,BA$1,$B$1)</f>
        <v>0.33900000000000002</v>
      </c>
      <c r="BB10">
        <f>_xll.EQNXTDZ($A$1,$B10,BB$1,$B$1)</f>
        <v>-0.14099999999999999</v>
      </c>
      <c r="BC10">
        <f>_xll.EQNXTDZ($A$1,$B10,BC$1,$B$1)</f>
        <v>-0.19</v>
      </c>
      <c r="BD10">
        <f>_xll.EQNXTDZ($A$1,$B10,BD$1,$B$1)</f>
        <v>-2.7509999999999999</v>
      </c>
      <c r="BE10">
        <f>_xll.EQNXTDZ($A$1,$B10,BE$1,$B$1)</f>
        <v>-6.0000000000000001E-3</v>
      </c>
      <c r="BF10">
        <f>_xll.EQNXTDZ($A$1,$B10,BF$1,$B$1)</f>
        <v>0.44600000000000001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5.9749999999999996</v>
      </c>
      <c r="AM12">
        <f>_xll.EQNXTDZ($A$1,$B12,AM$1,$B$1)</f>
        <v>4.2220000000000004</v>
      </c>
      <c r="AN12">
        <f>_xll.EQNXTDZ($A$1,$B12,AN$1,$B$1)</f>
        <v>15.288</v>
      </c>
      <c r="AO12">
        <f>_xll.EQNXTDZ($A$1,$B12,AO$1,$B$1)</f>
        <v>7.7060000000000004</v>
      </c>
      <c r="AP12">
        <f>_xll.EQNXTDZ($A$1,$B12,AP$1,$B$1)</f>
        <v>3.915</v>
      </c>
      <c r="AQ12">
        <f>_xll.EQNXTDZ($A$1,$B12,AQ$1,$B$1)</f>
        <v>2.802</v>
      </c>
      <c r="AR12">
        <f>_xll.EQNXTDZ($A$1,$B12,AR$1,$B$1)</f>
        <v>7.4619999999999997</v>
      </c>
      <c r="AS12">
        <f>_xll.EQNXTDZ($A$1,$B12,AS$1,$B$1)</f>
        <v>9.1980000000000004</v>
      </c>
      <c r="AT12">
        <f>_xll.EQNXTDZ($A$1,$B12,AT$1,$B$1)</f>
        <v>9.3000000000000007</v>
      </c>
      <c r="AU12">
        <f>_xll.EQNXTDZ($A$1,$B12,AU$1,$B$1)</f>
        <v>3.956</v>
      </c>
      <c r="AV12">
        <f>_xll.EQNXTDZ($A$1,$B12,AV$1,$B$1)</f>
        <v>12.048999999999999</v>
      </c>
      <c r="AW12">
        <f>_xll.EQNXTDZ($A$1,$B12,AW$1,$B$1)</f>
        <v>9.8209999999999997</v>
      </c>
      <c r="AX12">
        <f>_xll.EQNXTDZ($A$1,$B12,AX$1,$B$1)</f>
        <v>9.6159999999999997</v>
      </c>
      <c r="AY12">
        <f>_xll.EQNXTDZ($A$1,$B12,AY$1,$B$1)</f>
        <v>8.3230000000000004</v>
      </c>
      <c r="AZ12">
        <f>_xll.EQNXTDZ($A$1,$B12,AZ$1,$B$1)</f>
        <v>6.04</v>
      </c>
      <c r="BA12">
        <f>_xll.EQNXTDZ($A$1,$B12,BA$1,$B$1)</f>
        <v>4.4980000000000002</v>
      </c>
      <c r="BB12">
        <f>_xll.EQNXTDZ($A$1,$B12,BB$1,$B$1)</f>
        <v>11.646000000000001</v>
      </c>
      <c r="BC12">
        <f>_xll.EQNXTDZ($A$1,$B12,BC$1,$B$1)</f>
        <v>8.9920000000000009</v>
      </c>
      <c r="BD12">
        <f>_xll.EQNXTDZ($A$1,$B12,BD$1,$B$1)</f>
        <v>14.555999999999999</v>
      </c>
      <c r="BE12">
        <f>_xll.EQNXTDZ($A$1,$B12,BE$1,$B$1)</f>
        <v>18.292000000000002</v>
      </c>
      <c r="BF12">
        <f>_xll.EQNXTDZ($A$1,$B12,BF$1,$B$1)</f>
        <v>12.906000000000001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14.753</v>
      </c>
      <c r="AM14">
        <f>_xll.EQNXTDZ($A$1,$B14,AM$1,$B$1)</f>
        <v>11.207000000000001</v>
      </c>
      <c r="AN14">
        <f>_xll.EQNXTDZ($A$1,$B14,AN$1,$B$1)</f>
        <v>8.4710000000000001</v>
      </c>
      <c r="AO14">
        <f>_xll.EQNXTDZ($A$1,$B14,AO$1,$B$1)</f>
        <v>7.5860000000000003</v>
      </c>
      <c r="AP14">
        <f>_xll.EQNXTDZ($A$1,$B14,AP$1,$B$1)</f>
        <v>11.148999999999999</v>
      </c>
      <c r="AQ14">
        <f>_xll.EQNXTDZ($A$1,$B14,AQ$1,$B$1)</f>
        <v>13.744</v>
      </c>
      <c r="AR14">
        <f>_xll.EQNXTDZ($A$1,$B14,AR$1,$B$1)</f>
        <v>14.693</v>
      </c>
      <c r="AS14">
        <f>_xll.EQNXTDZ($A$1,$B14,AS$1,$B$1)</f>
        <v>15.488</v>
      </c>
      <c r="AT14">
        <f>_xll.EQNXTDZ($A$1,$B14,AT$1,$B$1)</f>
        <v>23.295999999999999</v>
      </c>
      <c r="AU14">
        <f>_xll.EQNXTDZ($A$1,$B14,AU$1,$B$1)</f>
        <v>32.241999999999997</v>
      </c>
      <c r="AV14">
        <f>_xll.EQNXTDZ($A$1,$B14,AV$1,$B$1)</f>
        <v>36.235999999999997</v>
      </c>
      <c r="AW14">
        <f>_xll.EQNXTDZ($A$1,$B14,AW$1,$B$1)</f>
        <v>41.298999999999999</v>
      </c>
      <c r="AX14">
        <f>_xll.EQNXTDZ($A$1,$B14,AX$1,$B$1)</f>
        <v>38.957999999999998</v>
      </c>
      <c r="AY14">
        <f>_xll.EQNXTDZ($A$1,$B14,AY$1,$B$1)</f>
        <v>36.302</v>
      </c>
      <c r="AZ14">
        <f>_xll.EQNXTDZ($A$1,$B14,AZ$1,$B$1)</f>
        <v>77.463999999999999</v>
      </c>
      <c r="BA14">
        <f>_xll.EQNXTDZ($A$1,$B14,BA$1,$B$1)</f>
        <v>80.120999999999995</v>
      </c>
      <c r="BB14">
        <f>_xll.EQNXTDZ($A$1,$B14,BB$1,$B$1)</f>
        <v>76.558999999999997</v>
      </c>
      <c r="BC14">
        <f>_xll.EQNXTDZ($A$1,$B14,BC$1,$B$1)</f>
        <v>77.123999999999995</v>
      </c>
      <c r="BD14">
        <f>_xll.EQNXTDZ($A$1,$B14,BD$1,$B$1)</f>
        <v>83.433999999999997</v>
      </c>
      <c r="BE14">
        <f>_xll.EQNXTDZ($A$1,$B14,BE$1,$B$1)</f>
        <v>90.739000000000004</v>
      </c>
      <c r="BF14">
        <f>_xll.EQNXTDZ($A$1,$B14,BF$1,$B$1)</f>
        <v>100.199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12.018000000000001</v>
      </c>
      <c r="AM16">
        <f>_xll.EQNXTDZ($A$1,$B16,AM$1,$B$1)</f>
        <v>13.166</v>
      </c>
      <c r="AN16">
        <f>_xll.EQNXTDZ($A$1,$B16,AN$1,$B$1)</f>
        <v>9.8689999999999998</v>
      </c>
      <c r="AO16">
        <f>_xll.EQNXTDZ($A$1,$B16,AO$1,$B$1)</f>
        <v>11.871</v>
      </c>
      <c r="AP16">
        <f>_xll.EQNXTDZ($A$1,$B16,AP$1,$B$1)</f>
        <v>11.907999999999999</v>
      </c>
      <c r="AQ16">
        <f>_xll.EQNXTDZ($A$1,$B16,AQ$1,$B$1)</f>
        <v>14.464</v>
      </c>
      <c r="AR16">
        <f>_xll.EQNXTDZ($A$1,$B16,AR$1,$B$1)</f>
        <v>14.760999999999999</v>
      </c>
      <c r="AS16">
        <f>_xll.EQNXTDZ($A$1,$B16,AS$1,$B$1)</f>
        <v>15.305</v>
      </c>
      <c r="AT16">
        <f>_xll.EQNXTDZ($A$1,$B16,AT$1,$B$1)</f>
        <v>19.832000000000001</v>
      </c>
      <c r="AU16">
        <f>_xll.EQNXTDZ($A$1,$B16,AU$1,$B$1)</f>
        <v>20.222000000000001</v>
      </c>
      <c r="AV16">
        <f>_xll.EQNXTDZ($A$1,$B16,AV$1,$B$1)</f>
        <v>21.08</v>
      </c>
      <c r="AW16">
        <f>_xll.EQNXTDZ($A$1,$B16,AW$1,$B$1)</f>
        <v>20.59</v>
      </c>
      <c r="AX16">
        <f>_xll.EQNXTDZ($A$1,$B16,AX$1,$B$1)</f>
        <v>19.396000000000001</v>
      </c>
      <c r="AY16">
        <f>_xll.EQNXTDZ($A$1,$B16,AY$1,$B$1)</f>
        <v>21.823</v>
      </c>
      <c r="AZ16">
        <f>_xll.EQNXTDZ($A$1,$B16,AZ$1,$B$1)</f>
        <v>23.120999999999999</v>
      </c>
      <c r="BA16">
        <f>_xll.EQNXTDZ($A$1,$B16,BA$1,$B$1)</f>
        <v>23.989000000000001</v>
      </c>
      <c r="BB16">
        <f>_xll.EQNXTDZ($A$1,$B16,BB$1,$B$1)</f>
        <v>24.030999999999999</v>
      </c>
      <c r="BC16">
        <f>_xll.EQNXTDZ($A$1,$B16,BC$1,$B$1)</f>
        <v>26.695</v>
      </c>
      <c r="BD16">
        <f>_xll.EQNXTDZ($A$1,$B16,BD$1,$B$1)</f>
        <v>36.384</v>
      </c>
      <c r="BE16">
        <f>_xll.EQNXTDZ($A$1,$B16,BE$1,$B$1)</f>
        <v>37.895000000000003</v>
      </c>
      <c r="BF16">
        <f>_xll.EQNXTDZ($A$1,$B16,BF$1,$B$1)</f>
        <v>37.832000000000001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12.308</v>
      </c>
      <c r="AM22">
        <f>_xll.EQNXTDZ($A$1,$B22,AM$1,$B$1)</f>
        <v>14.449</v>
      </c>
      <c r="AN22">
        <f>_xll.EQNXTDZ($A$1,$B22,AN$1,$B$1)</f>
        <v>16.731000000000002</v>
      </c>
      <c r="AO22">
        <f>_xll.EQNXTDZ($A$1,$B22,AO$1,$B$1)</f>
        <v>18.117000000000001</v>
      </c>
      <c r="AP22">
        <f>_xll.EQNXTDZ($A$1,$B22,AP$1,$B$1)</f>
        <v>18.407</v>
      </c>
      <c r="AQ22">
        <f>_xll.EQNXTDZ($A$1,$B22,AQ$1,$B$1)</f>
        <v>20.574999999999999</v>
      </c>
      <c r="AR22">
        <f>_xll.EQNXTDZ($A$1,$B22,AR$1,$B$1)</f>
        <v>21.745000000000001</v>
      </c>
      <c r="AS22">
        <f>_xll.EQNXTDZ($A$1,$B22,AS$1,$B$1)</f>
        <v>21.225000000000001</v>
      </c>
      <c r="AT22">
        <f>_xll.EQNXTDZ($A$1,$B22,AT$1,$B$1)</f>
        <v>23.763999999999999</v>
      </c>
      <c r="AU22">
        <f>_xll.EQNXTDZ($A$1,$B22,AU$1,$B$1)</f>
        <v>23.771999999999998</v>
      </c>
      <c r="AV22">
        <f>_xll.EQNXTDZ($A$1,$B22,AV$1,$B$1)</f>
        <v>28.257999999999999</v>
      </c>
      <c r="AW22">
        <f>_xll.EQNXTDZ($A$1,$B22,AW$1,$B$1)</f>
        <v>24.626999999999999</v>
      </c>
      <c r="AX22">
        <f>_xll.EQNXTDZ($A$1,$B22,AX$1,$B$1)</f>
        <v>32.898000000000003</v>
      </c>
      <c r="AY22">
        <f>_xll.EQNXTDZ($A$1,$B22,AY$1,$B$1)</f>
        <v>26.872</v>
      </c>
      <c r="AZ22">
        <f>_xll.EQNXTDZ($A$1,$B22,AZ$1,$B$1)</f>
        <v>32.374000000000002</v>
      </c>
      <c r="BA22">
        <f>_xll.EQNXTDZ($A$1,$B22,BA$1,$B$1)</f>
        <v>29.902999999999999</v>
      </c>
      <c r="BB22">
        <f>_xll.EQNXTDZ($A$1,$B22,BB$1,$B$1)</f>
        <v>34.781999999999996</v>
      </c>
      <c r="BC22">
        <f>_xll.EQNXTDZ($A$1,$B22,BC$1,$B$1)</f>
        <v>34.677999999999997</v>
      </c>
      <c r="BD22">
        <f>_xll.EQNXTDZ($A$1,$B22,BD$1,$B$1)</f>
        <v>41.252000000000002</v>
      </c>
      <c r="BE22">
        <f>_xll.EQNXTDZ($A$1,$B22,BE$1,$B$1)</f>
        <v>41.09</v>
      </c>
      <c r="BF22">
        <f>_xll.EQNXTDZ($A$1,$B22,BF$1,$B$1)</f>
        <v>42.012999999999998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-0.51100000000000001</v>
      </c>
      <c r="AM23">
        <f>_xll.EQNXTDZ($A$1,$B23,AM$1,$B$1)</f>
        <v>1.0449999999999999</v>
      </c>
      <c r="AN23">
        <f>_xll.EQNXTDZ($A$1,$B23,AN$1,$B$1)</f>
        <v>0.46100000000000002</v>
      </c>
      <c r="AO23">
        <f>_xll.EQNXTDZ($A$1,$B23,AO$1,$B$1)</f>
        <v>-0.44500000000000001</v>
      </c>
      <c r="AP23">
        <f>_xll.EQNXTDZ($A$1,$B23,AP$1,$B$1)</f>
        <v>3.7999999999999999E-2</v>
      </c>
      <c r="AQ23">
        <f>_xll.EQNXTDZ($A$1,$B23,AQ$1,$B$1)</f>
        <v>0.6</v>
      </c>
      <c r="AR23">
        <f>_xll.EQNXTDZ($A$1,$B23,AR$1,$B$1)</f>
        <v>1.383</v>
      </c>
      <c r="AS23">
        <f>_xll.EQNXTDZ($A$1,$B23,AS$1,$B$1)</f>
        <v>1.1439999999999999</v>
      </c>
      <c r="AT23">
        <f>_xll.EQNXTDZ($A$1,$B23,AT$1,$B$1)</f>
        <v>2.1720000000000002</v>
      </c>
      <c r="AU23">
        <f>_xll.EQNXTDZ($A$1,$B23,AU$1,$B$1)</f>
        <v>0.98099999999999998</v>
      </c>
      <c r="AV23">
        <f>_xll.EQNXTDZ($A$1,$B23,AV$1,$B$1)</f>
        <v>0.40400000000000003</v>
      </c>
      <c r="AW23">
        <f>_xll.EQNXTDZ($A$1,$B23,AW$1,$B$1)</f>
        <v>2.13</v>
      </c>
      <c r="AX23">
        <f>_xll.EQNXTDZ($A$1,$B23,AX$1,$B$1)</f>
        <v>3.4060000000000001</v>
      </c>
      <c r="AY23">
        <f>_xll.EQNXTDZ($A$1,$B23,AY$1,$B$1)</f>
        <v>2.5790000000000002</v>
      </c>
      <c r="AZ23">
        <f>_xll.EQNXTDZ($A$1,$B23,AZ$1,$B$1)</f>
        <v>1.4530000000000001</v>
      </c>
      <c r="BA23">
        <f>_xll.EQNXTDZ($A$1,$B23,BA$1,$B$1)</f>
        <v>2.0369999999999999</v>
      </c>
      <c r="BB23">
        <f>_xll.EQNXTDZ($A$1,$B23,BB$1,$B$1)</f>
        <v>2.3820000000000001</v>
      </c>
      <c r="BC23">
        <f>_xll.EQNXTDZ($A$1,$B23,BC$1,$B$1)</f>
        <v>3.3210000000000002</v>
      </c>
      <c r="BD23">
        <f>_xll.EQNXTDZ($A$1,$B23,BD$1,$B$1)</f>
        <v>2.073</v>
      </c>
      <c r="BE23">
        <f>_xll.EQNXTDZ($A$1,$B23,BE$1,$B$1)</f>
        <v>3.0510000000000002</v>
      </c>
      <c r="BF23">
        <f>_xll.EQNXTDZ($A$1,$B23,BF$1,$B$1)</f>
        <v>3.1539999999999999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11.797000000000001</v>
      </c>
      <c r="AM24">
        <f>_xll.EQNXTDZ($A$1,$B24,AM$1,$B$1)</f>
        <v>15.494</v>
      </c>
      <c r="AN24">
        <f>_xll.EQNXTDZ($A$1,$B24,AN$1,$B$1)</f>
        <v>17.192</v>
      </c>
      <c r="AO24">
        <f>_xll.EQNXTDZ($A$1,$B24,AO$1,$B$1)</f>
        <v>17.670999999999999</v>
      </c>
      <c r="AP24">
        <f>_xll.EQNXTDZ($A$1,$B24,AP$1,$B$1)</f>
        <v>18.445</v>
      </c>
      <c r="AQ24">
        <f>_xll.EQNXTDZ($A$1,$B24,AQ$1,$B$1)</f>
        <v>21.175000000000001</v>
      </c>
      <c r="AR24">
        <f>_xll.EQNXTDZ($A$1,$B24,AR$1,$B$1)</f>
        <v>23.128</v>
      </c>
      <c r="AS24">
        <f>_xll.EQNXTDZ($A$1,$B24,AS$1,$B$1)</f>
        <v>22.369</v>
      </c>
      <c r="AT24">
        <f>_xll.EQNXTDZ($A$1,$B24,AT$1,$B$1)</f>
        <v>25.936</v>
      </c>
      <c r="AU24">
        <f>_xll.EQNXTDZ($A$1,$B24,AU$1,$B$1)</f>
        <v>24.753</v>
      </c>
      <c r="AV24">
        <f>_xll.EQNXTDZ($A$1,$B24,AV$1,$B$1)</f>
        <v>28.661999999999999</v>
      </c>
      <c r="AW24">
        <f>_xll.EQNXTDZ($A$1,$B24,AW$1,$B$1)</f>
        <v>26.757000000000001</v>
      </c>
      <c r="AX24">
        <f>_xll.EQNXTDZ($A$1,$B24,AX$1,$B$1)</f>
        <v>36.304000000000002</v>
      </c>
      <c r="AY24">
        <f>_xll.EQNXTDZ($A$1,$B24,AY$1,$B$1)</f>
        <v>29.451000000000001</v>
      </c>
      <c r="AZ24">
        <f>_xll.EQNXTDZ($A$1,$B24,AZ$1,$B$1)</f>
        <v>33.826999999999998</v>
      </c>
      <c r="BA24">
        <f>_xll.EQNXTDZ($A$1,$B24,BA$1,$B$1)</f>
        <v>31.94</v>
      </c>
      <c r="BB24">
        <f>_xll.EQNXTDZ($A$1,$B24,BB$1,$B$1)</f>
        <v>37.164000000000001</v>
      </c>
      <c r="BC24">
        <f>_xll.EQNXTDZ($A$1,$B24,BC$1,$B$1)</f>
        <v>37.999000000000002</v>
      </c>
      <c r="BD24">
        <f>_xll.EQNXTDZ($A$1,$B24,BD$1,$B$1)</f>
        <v>43.325000000000003</v>
      </c>
      <c r="BE24">
        <f>_xll.EQNXTDZ($A$1,$B24,BE$1,$B$1)</f>
        <v>44.140999999999998</v>
      </c>
      <c r="BF24">
        <f>_xll.EQNXTDZ($A$1,$B24,BF$1,$B$1)</f>
        <v>45.167000000000002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0.36699999999999999</v>
      </c>
      <c r="AM25">
        <f>_xll.EQNXTDZ($A$1,$B25,AM$1,$B$1)</f>
        <v>0.97199999999999998</v>
      </c>
      <c r="AN25">
        <f>_xll.EQNXTDZ($A$1,$B25,AN$1,$B$1)</f>
        <v>1.2829999999999999</v>
      </c>
      <c r="AO25">
        <f>_xll.EQNXTDZ($A$1,$B25,AO$1,$B$1)</f>
        <v>1.2410000000000001</v>
      </c>
      <c r="AP25">
        <f>_xll.EQNXTDZ($A$1,$B25,AP$1,$B$1)</f>
        <v>1.776</v>
      </c>
      <c r="AQ25">
        <f>_xll.EQNXTDZ($A$1,$B25,AQ$1,$B$1)</f>
        <v>0.96299999999999997</v>
      </c>
      <c r="AR25">
        <f>_xll.EQNXTDZ($A$1,$B25,AR$1,$B$1)</f>
        <v>0.44400000000000001</v>
      </c>
      <c r="AS25">
        <f>_xll.EQNXTDZ($A$1,$B25,AS$1,$B$1)</f>
        <v>0.377</v>
      </c>
      <c r="AT25">
        <f>_xll.EQNXTDZ($A$1,$B25,AT$1,$B$1)</f>
        <v>1.6020000000000001</v>
      </c>
      <c r="AU25">
        <f>_xll.EQNXTDZ($A$1,$B25,AU$1,$B$1)</f>
        <v>0.25900000000000001</v>
      </c>
      <c r="AV25">
        <f>_xll.EQNXTDZ($A$1,$B25,AV$1,$B$1)</f>
        <v>0.39100000000000001</v>
      </c>
      <c r="AW25">
        <f>_xll.EQNXTDZ($A$1,$B25,AW$1,$B$1)</f>
        <v>1.004</v>
      </c>
      <c r="AX25">
        <f>_xll.EQNXTDZ($A$1,$B25,AX$1,$B$1)</f>
        <v>1.351</v>
      </c>
      <c r="AY25">
        <f>_xll.EQNXTDZ($A$1,$B25,AY$1,$B$1)</f>
        <v>0.27300000000000002</v>
      </c>
      <c r="AZ25">
        <f>_xll.EQNXTDZ($A$1,$B25,AZ$1,$B$1)</f>
        <v>0.68300000000000005</v>
      </c>
      <c r="BA25">
        <f>_xll.EQNXTDZ($A$1,$B25,BA$1,$B$1)</f>
        <v>0.311</v>
      </c>
      <c r="BB25">
        <f>_xll.EQNXTDZ($A$1,$B25,BB$1,$B$1)</f>
        <v>-0.109</v>
      </c>
      <c r="BC25">
        <f>_xll.EQNXTDZ($A$1,$B25,BC$1,$B$1)</f>
        <v>0.20100000000000001</v>
      </c>
      <c r="BD25">
        <f>_xll.EQNXTDZ($A$1,$B25,BD$1,$B$1)</f>
        <v>0.90900000000000003</v>
      </c>
      <c r="BE25">
        <f>_xll.EQNXTDZ($A$1,$B25,BE$1,$B$1)</f>
        <v>1.085</v>
      </c>
      <c r="BF25">
        <f>_xll.EQNXTDZ($A$1,$B25,BF$1,$B$1)</f>
        <v>2.8740000000000001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11.43</v>
      </c>
      <c r="AM27">
        <f>_xll.EQNXTDZ($A$1,$B27,AM$1,$B$1)</f>
        <v>14.522</v>
      </c>
      <c r="AN27">
        <f>_xll.EQNXTDZ($A$1,$B27,AN$1,$B$1)</f>
        <v>15.909000000000001</v>
      </c>
      <c r="AO27">
        <f>_xll.EQNXTDZ($A$1,$B27,AO$1,$B$1)</f>
        <v>16.43</v>
      </c>
      <c r="AP27">
        <f>_xll.EQNXTDZ($A$1,$B27,AP$1,$B$1)</f>
        <v>16.669</v>
      </c>
      <c r="AQ27">
        <f>_xll.EQNXTDZ($A$1,$B27,AQ$1,$B$1)</f>
        <v>20.212</v>
      </c>
      <c r="AR27">
        <f>_xll.EQNXTDZ($A$1,$B27,AR$1,$B$1)</f>
        <v>22.684000000000001</v>
      </c>
      <c r="AS27">
        <f>_xll.EQNXTDZ($A$1,$B27,AS$1,$B$1)</f>
        <v>21.992000000000001</v>
      </c>
      <c r="AT27">
        <f>_xll.EQNXTDZ($A$1,$B27,AT$1,$B$1)</f>
        <v>24.334</v>
      </c>
      <c r="AU27">
        <f>_xll.EQNXTDZ($A$1,$B27,AU$1,$B$1)</f>
        <v>24.494</v>
      </c>
      <c r="AV27">
        <f>_xll.EQNXTDZ($A$1,$B27,AV$1,$B$1)</f>
        <v>28.271000000000001</v>
      </c>
      <c r="AW27">
        <f>_xll.EQNXTDZ($A$1,$B27,AW$1,$B$1)</f>
        <v>25.753</v>
      </c>
      <c r="AX27">
        <f>_xll.EQNXTDZ($A$1,$B27,AX$1,$B$1)</f>
        <v>34.953000000000003</v>
      </c>
      <c r="AY27">
        <f>_xll.EQNXTDZ($A$1,$B27,AY$1,$B$1)</f>
        <v>29.178000000000001</v>
      </c>
      <c r="AZ27">
        <f>_xll.EQNXTDZ($A$1,$B27,AZ$1,$B$1)</f>
        <v>33.143999999999998</v>
      </c>
      <c r="BA27">
        <f>_xll.EQNXTDZ($A$1,$B27,BA$1,$B$1)</f>
        <v>31.629000000000001</v>
      </c>
      <c r="BB27">
        <f>_xll.EQNXTDZ($A$1,$B27,BB$1,$B$1)</f>
        <v>37.273000000000003</v>
      </c>
      <c r="BC27">
        <f>_xll.EQNXTDZ($A$1,$B27,BC$1,$B$1)</f>
        <v>37.798000000000002</v>
      </c>
      <c r="BD27">
        <f>_xll.EQNXTDZ($A$1,$B27,BD$1,$B$1)</f>
        <v>42.415999999999997</v>
      </c>
      <c r="BE27">
        <f>_xll.EQNXTDZ($A$1,$B27,BE$1,$B$1)</f>
        <v>43.055999999999997</v>
      </c>
      <c r="BF27">
        <f>_xll.EQNXTDZ($A$1,$B27,BF$1,$B$1)</f>
        <v>42.292999999999999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2.4910000000000001</v>
      </c>
      <c r="AM28">
        <f>_xll.EQNXTDZ($A$1,$B28,AM$1,$B$1)</f>
        <v>3.0230000000000001</v>
      </c>
      <c r="AN28">
        <f>_xll.EQNXTDZ($A$1,$B28,AN$1,$B$1)</f>
        <v>3.4820000000000002</v>
      </c>
      <c r="AO28">
        <f>_xll.EQNXTDZ($A$1,$B28,AO$1,$B$1)</f>
        <v>3.613</v>
      </c>
      <c r="AP28">
        <f>_xll.EQNXTDZ($A$1,$B28,AP$1,$B$1)</f>
        <v>2.952</v>
      </c>
      <c r="AQ28">
        <f>_xll.EQNXTDZ($A$1,$B28,AQ$1,$B$1)</f>
        <v>3.944</v>
      </c>
      <c r="AR28">
        <f>_xll.EQNXTDZ($A$1,$B28,AR$1,$B$1)</f>
        <v>3.97</v>
      </c>
      <c r="AS28">
        <f>_xll.EQNXTDZ($A$1,$B28,AS$1,$B$1)</f>
        <v>3.9870000000000001</v>
      </c>
      <c r="AT28">
        <f>_xll.EQNXTDZ($A$1,$B28,AT$1,$B$1)</f>
        <v>3.944</v>
      </c>
      <c r="AU28">
        <f>_xll.EQNXTDZ($A$1,$B28,AU$1,$B$1)</f>
        <v>4.7119999999999997</v>
      </c>
      <c r="AV28">
        <f>_xll.EQNXTDZ($A$1,$B28,AV$1,$B$1)</f>
        <v>5.2329999999999997</v>
      </c>
      <c r="AW28">
        <f>_xll.EQNXTDZ($A$1,$B28,AW$1,$B$1)</f>
        <v>5.2789999999999999</v>
      </c>
      <c r="AX28">
        <f>_xll.EQNXTDZ($A$1,$B28,AX$1,$B$1)</f>
        <v>5.585</v>
      </c>
      <c r="AY28">
        <f>_xll.EQNXTDZ($A$1,$B28,AY$1,$B$1)</f>
        <v>5.5270000000000001</v>
      </c>
      <c r="AZ28">
        <f>_xll.EQNXTDZ($A$1,$B28,AZ$1,$B$1)</f>
        <v>6.0119999999999996</v>
      </c>
      <c r="BA28">
        <f>_xll.EQNXTDZ($A$1,$B28,BA$1,$B$1)</f>
        <v>6.226</v>
      </c>
      <c r="BB28">
        <f>_xll.EQNXTDZ($A$1,$B28,BB$1,$B$1)</f>
        <v>6.0609999999999999</v>
      </c>
      <c r="BC28">
        <f>_xll.EQNXTDZ($A$1,$B28,BC$1,$B$1)</f>
        <v>6.726</v>
      </c>
      <c r="BD28">
        <f>_xll.EQNXTDZ($A$1,$B28,BD$1,$B$1)</f>
        <v>9.4</v>
      </c>
      <c r="BE28">
        <f>_xll.EQNXTDZ($A$1,$B28,BE$1,$B$1)</f>
        <v>8.9559999999999995</v>
      </c>
      <c r="BF28">
        <f>_xll.EQNXTDZ($A$1,$B28,BF$1,$B$1)</f>
        <v>9.1679999999999993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1.4990000000000001</v>
      </c>
      <c r="AM29">
        <f>_xll.EQNXTDZ($A$1,$B29,AM$1,$B$1)</f>
        <v>2</v>
      </c>
      <c r="AN29">
        <f>_xll.EQNXTDZ($A$1,$B29,AN$1,$B$1)</f>
        <v>2.004</v>
      </c>
      <c r="AO29">
        <f>_xll.EQNXTDZ($A$1,$B29,AO$1,$B$1)</f>
        <v>2.3980000000000001</v>
      </c>
      <c r="AP29">
        <f>_xll.EQNXTDZ($A$1,$B29,AP$1,$B$1)</f>
        <v>2.919</v>
      </c>
      <c r="AQ29">
        <f>_xll.EQNXTDZ($A$1,$B29,AQ$1,$B$1)</f>
        <v>2.5550000000000002</v>
      </c>
      <c r="AR29">
        <f>_xll.EQNXTDZ($A$1,$B29,AR$1,$B$1)</f>
        <v>2.242</v>
      </c>
      <c r="AS29">
        <f>_xll.EQNXTDZ($A$1,$B29,AS$1,$B$1)</f>
        <v>2.7930000000000001</v>
      </c>
      <c r="AT29">
        <f>_xll.EQNXTDZ($A$1,$B29,AT$1,$B$1)</f>
        <v>4.5919999999999996</v>
      </c>
      <c r="AU29">
        <f>_xll.EQNXTDZ($A$1,$B29,AU$1,$B$1)</f>
        <v>3.4089999999999998</v>
      </c>
      <c r="AV29">
        <f>_xll.EQNXTDZ($A$1,$B29,AV$1,$B$1)</f>
        <v>4.2729999999999997</v>
      </c>
      <c r="AW29">
        <f>_xll.EQNXTDZ($A$1,$B29,AW$1,$B$1)</f>
        <v>0.46300000000000002</v>
      </c>
      <c r="AX29">
        <f>_xll.EQNXTDZ($A$1,$B29,AX$1,$B$1)</f>
        <v>8.1649999999999991</v>
      </c>
      <c r="AY29">
        <f>_xll.EQNXTDZ($A$1,$B29,AY$1,$B$1)</f>
        <v>5.4539999999999997</v>
      </c>
      <c r="AZ29">
        <f>_xll.EQNXTDZ($A$1,$B29,AZ$1,$B$1)</f>
        <v>4.8339999999999996</v>
      </c>
      <c r="BA29">
        <f>_xll.EQNXTDZ($A$1,$B29,BA$1,$B$1)</f>
        <v>3.0030000000000001</v>
      </c>
      <c r="BB29">
        <f>_xll.EQNXTDZ($A$1,$B29,BB$1,$B$1)</f>
        <v>6.8739999999999997</v>
      </c>
      <c r="BC29">
        <f>_xll.EQNXTDZ($A$1,$B29,BC$1,$B$1)</f>
        <v>6.048</v>
      </c>
      <c r="BD29">
        <f>_xll.EQNXTDZ($A$1,$B29,BD$1,$B$1)</f>
        <v>6.5759999999999996</v>
      </c>
      <c r="BE29">
        <f>_xll.EQNXTDZ($A$1,$B29,BE$1,$B$1)</f>
        <v>5.0949999999999998</v>
      </c>
      <c r="BF29">
        <f>_xll.EQNXTDZ($A$1,$B29,BF$1,$B$1)</f>
        <v>3.5470000000000002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7.44</v>
      </c>
      <c r="AM30">
        <f>_xll.EQNXTDZ($A$1,$B30,AM$1,$B$1)</f>
        <v>9.4990000000000094</v>
      </c>
      <c r="AN30">
        <f>_xll.EQNXTDZ($A$1,$B30,AN$1,$B$1)</f>
        <v>10.423</v>
      </c>
      <c r="AO30">
        <f>_xll.EQNXTDZ($A$1,$B30,AO$1,$B$1)</f>
        <v>10.419</v>
      </c>
      <c r="AP30">
        <f>_xll.EQNXTDZ($A$1,$B30,AP$1,$B$1)</f>
        <v>10.798</v>
      </c>
      <c r="AQ30">
        <f>_xll.EQNXTDZ($A$1,$B30,AQ$1,$B$1)</f>
        <v>13.712999999999999</v>
      </c>
      <c r="AR30">
        <f>_xll.EQNXTDZ($A$1,$B30,AR$1,$B$1)</f>
        <v>16.472000000000001</v>
      </c>
      <c r="AS30">
        <f>_xll.EQNXTDZ($A$1,$B30,AS$1,$B$1)</f>
        <v>15.212</v>
      </c>
      <c r="AT30">
        <f>_xll.EQNXTDZ($A$1,$B30,AT$1,$B$1)</f>
        <v>15.798</v>
      </c>
      <c r="AU30">
        <f>_xll.EQNXTDZ($A$1,$B30,AU$1,$B$1)</f>
        <v>16.373000000000001</v>
      </c>
      <c r="AV30">
        <f>_xll.EQNXTDZ($A$1,$B30,AV$1,$B$1)</f>
        <v>18.765000000000001</v>
      </c>
      <c r="AW30">
        <f>_xll.EQNXTDZ($A$1,$B30,AW$1,$B$1)</f>
        <v>20.010999999999999</v>
      </c>
      <c r="AX30">
        <f>_xll.EQNXTDZ($A$1,$B30,AX$1,$B$1)</f>
        <v>21.202999999999999</v>
      </c>
      <c r="AY30">
        <f>_xll.EQNXTDZ($A$1,$B30,AY$1,$B$1)</f>
        <v>18.196999999999999</v>
      </c>
      <c r="AZ30">
        <f>_xll.EQNXTDZ($A$1,$B30,AZ$1,$B$1)</f>
        <v>22.297999999999998</v>
      </c>
      <c r="BA30">
        <f>_xll.EQNXTDZ($A$1,$B30,BA$1,$B$1)</f>
        <v>22.4</v>
      </c>
      <c r="BB30">
        <f>_xll.EQNXTDZ($A$1,$B30,BB$1,$B$1)</f>
        <v>24.338000000000001</v>
      </c>
      <c r="BC30">
        <f>_xll.EQNXTDZ($A$1,$B30,BC$1,$B$1)</f>
        <v>25.024000000000001</v>
      </c>
      <c r="BD30">
        <f>_xll.EQNXTDZ($A$1,$B30,BD$1,$B$1)</f>
        <v>26.44</v>
      </c>
      <c r="BE30">
        <f>_xll.EQNXTDZ($A$1,$B30,BE$1,$B$1)</f>
        <v>29.004999999999999</v>
      </c>
      <c r="BF30">
        <f>_xll.EQNXTDZ($A$1,$B30,BF$1,$B$1)</f>
        <v>29.577999999999999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2.5000000000000001E-2</v>
      </c>
      <c r="AN34">
        <f>_xll.EQNXTDZ($A$1,$B34,AN$1,$B$1)</f>
        <v>0.255</v>
      </c>
      <c r="AO34">
        <f>_xll.EQNXTDZ($A$1,$B34,AO$1,$B$1)</f>
        <v>0</v>
      </c>
      <c r="AP34">
        <f>_xll.EQNXTDZ($A$1,$B34,AP$1,$B$1)</f>
        <v>-1.2E-2</v>
      </c>
      <c r="AQ34">
        <f>_xll.EQNXTDZ($A$1,$B34,AQ$1,$B$1)</f>
        <v>0.17299999999999999</v>
      </c>
      <c r="AR34">
        <f>_xll.EQNXTDZ($A$1,$B34,AR$1,$B$1)</f>
        <v>0.17199999999999999</v>
      </c>
      <c r="AS34">
        <f>_xll.EQNXTDZ($A$1,$B34,AS$1,$B$1)</f>
        <v>0.105</v>
      </c>
      <c r="AT34">
        <f>_xll.EQNXTDZ($A$1,$B34,AT$1,$B$1)</f>
        <v>2.9000000000000001E-2</v>
      </c>
      <c r="AU34">
        <f>_xll.EQNXTDZ($A$1,$B34,AU$1,$B$1)</f>
        <v>-0.79600000000000004</v>
      </c>
      <c r="AV34">
        <f>_xll.EQNXTDZ($A$1,$B34,AV$1,$B$1)</f>
        <v>-0.4</v>
      </c>
      <c r="AW34">
        <f>_xll.EQNXTDZ($A$1,$B34,AW$1,$B$1)</f>
        <v>0.11600000000000001</v>
      </c>
      <c r="AX34">
        <f>_xll.EQNXTDZ($A$1,$B34,AX$1,$B$1)</f>
        <v>-0.20699999999999999</v>
      </c>
      <c r="AY34">
        <f>_xll.EQNXTDZ($A$1,$B34,AY$1,$B$1)</f>
        <v>-0.34799999999999998</v>
      </c>
      <c r="AZ34">
        <f>_xll.EQNXTDZ($A$1,$B34,AZ$1,$B$1)</f>
        <v>-0.372</v>
      </c>
      <c r="BA34">
        <f>_xll.EQNXTDZ($A$1,$B34,BA$1,$B$1)</f>
        <v>-1.427</v>
      </c>
      <c r="BB34">
        <f>_xll.EQNXTDZ($A$1,$B34,BB$1,$B$1)</f>
        <v>-0.44900000000000001</v>
      </c>
      <c r="BC34">
        <f>_xll.EQNXTDZ($A$1,$B34,BC$1,$B$1)</f>
        <v>-0.14000000000000001</v>
      </c>
      <c r="BD34">
        <f>_xll.EQNXTDZ($A$1,$B34,BD$1,$B$1)</f>
        <v>-1.165</v>
      </c>
      <c r="BE34">
        <f>_xll.EQNXTDZ($A$1,$B34,BE$1,$B$1)</f>
        <v>-0.33100000000000002</v>
      </c>
      <c r="BF34">
        <f>_xll.EQNXTDZ($A$1,$B34,BF$1,$B$1)</f>
        <v>-0.61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2E-3</v>
      </c>
      <c r="BE35">
        <f>_xll.EQNXTDZ($A$1,$B35,BE$1,$B$1)</f>
        <v>-7.0000000000000001E-3</v>
      </c>
      <c r="BF35">
        <f>_xll.EQNXTDZ($A$1,$B35,BF$1,$B$1)</f>
        <v>-4.0000000000000001E-3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7.44</v>
      </c>
      <c r="AM38">
        <f>_xll.EQNXTDZ($A$1,$B38,AM$1,$B$1)</f>
        <v>9.5239999999999991</v>
      </c>
      <c r="AN38">
        <f>_xll.EQNXTDZ($A$1,$B38,AN$1,$B$1)</f>
        <v>10.679</v>
      </c>
      <c r="AO38">
        <f>_xll.EQNXTDZ($A$1,$B38,AO$1,$B$1)</f>
        <v>10.417</v>
      </c>
      <c r="AP38">
        <f>_xll.EQNXTDZ($A$1,$B38,AP$1,$B$1)</f>
        <v>10.785</v>
      </c>
      <c r="AQ38">
        <f>_xll.EQNXTDZ($A$1,$B38,AQ$1,$B$1)</f>
        <v>13.885999999999999</v>
      </c>
      <c r="AR38">
        <f>_xll.EQNXTDZ($A$1,$B38,AR$1,$B$1)</f>
        <v>16.643999999999998</v>
      </c>
      <c r="AS38">
        <f>_xll.EQNXTDZ($A$1,$B38,AS$1,$B$1)</f>
        <v>15.317</v>
      </c>
      <c r="AT38">
        <f>_xll.EQNXTDZ($A$1,$B38,AT$1,$B$1)</f>
        <v>15.829000000000001</v>
      </c>
      <c r="AU38">
        <f>_xll.EQNXTDZ($A$1,$B38,AU$1,$B$1)</f>
        <v>15.577</v>
      </c>
      <c r="AV38">
        <f>_xll.EQNXTDZ($A$1,$B38,AV$1,$B$1)</f>
        <v>18.364999999999998</v>
      </c>
      <c r="AW38">
        <f>_xll.EQNXTDZ($A$1,$B38,AW$1,$B$1)</f>
        <v>20.126999999999999</v>
      </c>
      <c r="AX38">
        <f>_xll.EQNXTDZ($A$1,$B38,AX$1,$B$1)</f>
        <v>20.995999999999999</v>
      </c>
      <c r="AY38">
        <f>_xll.EQNXTDZ($A$1,$B38,AY$1,$B$1)</f>
        <v>17.849</v>
      </c>
      <c r="AZ38">
        <f>_xll.EQNXTDZ($A$1,$B38,AZ$1,$B$1)</f>
        <v>21.925999999999998</v>
      </c>
      <c r="BA38">
        <f>_xll.EQNXTDZ($A$1,$B38,BA$1,$B$1)</f>
        <v>20.972999999999999</v>
      </c>
      <c r="BB38">
        <f>_xll.EQNXTDZ($A$1,$B38,BB$1,$B$1)</f>
        <v>23.888999999999999</v>
      </c>
      <c r="BC38">
        <f>_xll.EQNXTDZ($A$1,$B38,BC$1,$B$1)</f>
        <v>24.884</v>
      </c>
      <c r="BD38">
        <f>_xll.EQNXTDZ($A$1,$B38,BD$1,$B$1)</f>
        <v>25.276</v>
      </c>
      <c r="BE38">
        <f>_xll.EQNXTDZ($A$1,$B38,BE$1,$B$1)</f>
        <v>28.667000000000002</v>
      </c>
      <c r="BF38">
        <f>_xll.EQNXTDZ($A$1,$B38,BF$1,$B$1)</f>
        <v>28.963999999999999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-0.33100000000000002</v>
      </c>
      <c r="AM40">
        <f>_xll.EQNXTDZ($A$1,$B40,AM$1,$B$1)</f>
        <v>0.53900000000000003</v>
      </c>
      <c r="AN40">
        <f>_xll.EQNXTDZ($A$1,$B40,AN$1,$B$1)</f>
        <v>0.248</v>
      </c>
      <c r="AO40">
        <f>_xll.EQNXTDZ($A$1,$B40,AO$1,$B$1)</f>
        <v>1.7000000000000001E-2</v>
      </c>
      <c r="AP40">
        <f>_xll.EQNXTDZ($A$1,$B40,AP$1,$B$1)</f>
        <v>-6.0000000000000001E-3</v>
      </c>
      <c r="AQ40">
        <f>_xll.EQNXTDZ($A$1,$B40,AQ$1,$B$1)</f>
        <v>-0.248</v>
      </c>
      <c r="AR40">
        <f>_xll.EQNXTDZ($A$1,$B40,AR$1,$B$1)</f>
        <v>-0.14899999999999999</v>
      </c>
      <c r="AS40">
        <f>_xll.EQNXTDZ($A$1,$B40,AS$1,$B$1)</f>
        <v>-1.012</v>
      </c>
      <c r="AT40">
        <f>_xll.EQNXTDZ($A$1,$B40,AT$1,$B$1)</f>
        <v>-3.452</v>
      </c>
      <c r="AU40">
        <f>_xll.EQNXTDZ($A$1,$B40,AU$1,$B$1)</f>
        <v>1.704</v>
      </c>
      <c r="AV40">
        <f>_xll.EQNXTDZ($A$1,$B40,AV$1,$B$1)</f>
        <v>-1.0089999999999999</v>
      </c>
      <c r="AW40">
        <f>_xll.EQNXTDZ($A$1,$B40,AW$1,$B$1)</f>
        <v>0.88900000000000001</v>
      </c>
      <c r="AX40">
        <f>_xll.EQNXTDZ($A$1,$B40,AX$1,$B$1)</f>
        <v>-1.4950000000000001</v>
      </c>
      <c r="AY40">
        <f>_xll.EQNXTDZ($A$1,$B40,AY$1,$B$1)</f>
        <v>0.189</v>
      </c>
      <c r="AZ40">
        <f>_xll.EQNXTDZ($A$1,$B40,AZ$1,$B$1)</f>
        <v>-1.4319999999999999</v>
      </c>
      <c r="BA40">
        <f>_xll.EQNXTDZ($A$1,$B40,BA$1,$B$1)</f>
        <v>-2.133</v>
      </c>
      <c r="BB40">
        <f>_xll.EQNXTDZ($A$1,$B40,BB$1,$B$1)</f>
        <v>2.4609999999999999</v>
      </c>
      <c r="BC40">
        <f>_xll.EQNXTDZ($A$1,$B40,BC$1,$B$1)</f>
        <v>-6.9930000000000003</v>
      </c>
      <c r="BD40">
        <f>_xll.EQNXTDZ($A$1,$B40,BD$1,$B$1)</f>
        <v>5.5650000000000004</v>
      </c>
      <c r="BE40">
        <f>_xll.EQNXTDZ($A$1,$B40,BE$1,$B$1)</f>
        <v>1.706</v>
      </c>
      <c r="BF40">
        <f>_xll.EQNXTDZ($A$1,$B40,BF$1,$B$1)</f>
        <v>50.512999999999998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7.11</v>
      </c>
      <c r="AM41">
        <f>_xll.EQNXTDZ($A$1,$B41,AM$1,$B$1)</f>
        <v>10.063000000000001</v>
      </c>
      <c r="AN41">
        <f>_xll.EQNXTDZ($A$1,$B41,AN$1,$B$1)</f>
        <v>10.927</v>
      </c>
      <c r="AO41">
        <f>_xll.EQNXTDZ($A$1,$B41,AO$1,$B$1)</f>
        <v>10.433999999999999</v>
      </c>
      <c r="AP41">
        <f>_xll.EQNXTDZ($A$1,$B41,AP$1,$B$1)</f>
        <v>10.779</v>
      </c>
      <c r="AQ41">
        <f>_xll.EQNXTDZ($A$1,$B41,AQ$1,$B$1)</f>
        <v>13.638</v>
      </c>
      <c r="AR41">
        <f>_xll.EQNXTDZ($A$1,$B41,AR$1,$B$1)</f>
        <v>16.495000000000001</v>
      </c>
      <c r="AS41">
        <f>_xll.EQNXTDZ($A$1,$B41,AS$1,$B$1)</f>
        <v>14.305</v>
      </c>
      <c r="AT41">
        <f>_xll.EQNXTDZ($A$1,$B41,AT$1,$B$1)</f>
        <v>12.377000000000001</v>
      </c>
      <c r="AU41">
        <f>_xll.EQNXTDZ($A$1,$B41,AU$1,$B$1)</f>
        <v>17.280999999999999</v>
      </c>
      <c r="AV41">
        <f>_xll.EQNXTDZ($A$1,$B41,AV$1,$B$1)</f>
        <v>17.356000000000002</v>
      </c>
      <c r="AW41">
        <f>_xll.EQNXTDZ($A$1,$B41,AW$1,$B$1)</f>
        <v>21.015999999999998</v>
      </c>
      <c r="AX41">
        <f>_xll.EQNXTDZ($A$1,$B41,AX$1,$B$1)</f>
        <v>19.501000000000001</v>
      </c>
      <c r="AY41">
        <f>_xll.EQNXTDZ($A$1,$B41,AY$1,$B$1)</f>
        <v>18.038</v>
      </c>
      <c r="AZ41">
        <f>_xll.EQNXTDZ($A$1,$B41,AZ$1,$B$1)</f>
        <v>20.494</v>
      </c>
      <c r="BA41">
        <f>_xll.EQNXTDZ($A$1,$B41,BA$1,$B$1)</f>
        <v>18.84</v>
      </c>
      <c r="BB41">
        <f>_xll.EQNXTDZ($A$1,$B41,BB$1,$B$1)</f>
        <v>26.35</v>
      </c>
      <c r="BC41">
        <f>_xll.EQNXTDZ($A$1,$B41,BC$1,$B$1)</f>
        <v>17.890999999999998</v>
      </c>
      <c r="BD41">
        <f>_xll.EQNXTDZ($A$1,$B41,BD$1,$B$1)</f>
        <v>30.841999999999999</v>
      </c>
      <c r="BE41">
        <f>_xll.EQNXTDZ($A$1,$B41,BE$1,$B$1)</f>
        <v>30.373000000000001</v>
      </c>
      <c r="BF41">
        <f>_xll.EQNXTDZ($A$1,$B41,BF$1,$B$1)</f>
        <v>79.477000000000004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7.44</v>
      </c>
      <c r="AM42">
        <f>_xll.EQNXTDZ($A$1,$B42,AM$1,$B$1)</f>
        <v>9.5239999999999991</v>
      </c>
      <c r="AN42">
        <f>_xll.EQNXTDZ($A$1,$B42,AN$1,$B$1)</f>
        <v>10.679</v>
      </c>
      <c r="AO42">
        <f>_xll.EQNXTDZ($A$1,$B42,AO$1,$B$1)</f>
        <v>10.417</v>
      </c>
      <c r="AP42">
        <f>_xll.EQNXTDZ($A$1,$B42,AP$1,$B$1)</f>
        <v>10.785</v>
      </c>
      <c r="AQ42">
        <f>_xll.EQNXTDZ($A$1,$B42,AQ$1,$B$1)</f>
        <v>13.885999999999999</v>
      </c>
      <c r="AR42">
        <f>_xll.EQNXTDZ($A$1,$B42,AR$1,$B$1)</f>
        <v>16.643999999999998</v>
      </c>
      <c r="AS42">
        <f>_xll.EQNXTDZ($A$1,$B42,AS$1,$B$1)</f>
        <v>15.317</v>
      </c>
      <c r="AT42">
        <f>_xll.EQNXTDZ($A$1,$B42,AT$1,$B$1)</f>
        <v>15.829000000000001</v>
      </c>
      <c r="AU42">
        <f>_xll.EQNXTDZ($A$1,$B42,AU$1,$B$1)</f>
        <v>15.577</v>
      </c>
      <c r="AV42">
        <f>_xll.EQNXTDZ($A$1,$B42,AV$1,$B$1)</f>
        <v>18.364999999999998</v>
      </c>
      <c r="AW42">
        <f>_xll.EQNXTDZ($A$1,$B42,AW$1,$B$1)</f>
        <v>20.126999999999999</v>
      </c>
      <c r="AX42">
        <f>_xll.EQNXTDZ($A$1,$B42,AX$1,$B$1)</f>
        <v>20.995999999999999</v>
      </c>
      <c r="AY42">
        <f>_xll.EQNXTDZ($A$1,$B42,AY$1,$B$1)</f>
        <v>17.849</v>
      </c>
      <c r="AZ42">
        <f>_xll.EQNXTDZ($A$1,$B42,AZ$1,$B$1)</f>
        <v>21.925999999999998</v>
      </c>
      <c r="BA42">
        <f>_xll.EQNXTDZ($A$1,$B42,BA$1,$B$1)</f>
        <v>20.972999999999999</v>
      </c>
      <c r="BB42">
        <f>_xll.EQNXTDZ($A$1,$B42,BB$1,$B$1)</f>
        <v>23.888999999999999</v>
      </c>
      <c r="BC42">
        <f>_xll.EQNXTDZ($A$1,$B42,BC$1,$B$1)</f>
        <v>24.884</v>
      </c>
      <c r="BD42">
        <f>_xll.EQNXTDZ($A$1,$B42,BD$1,$B$1)</f>
        <v>25.276</v>
      </c>
      <c r="BE42">
        <f>_xll.EQNXTDZ($A$1,$B42,BE$1,$B$1)</f>
        <v>28.667000000000002</v>
      </c>
      <c r="BF42">
        <f>_xll.EQNXTDZ($A$1,$B42,BF$1,$B$1)</f>
        <v>28.963999999999999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35.090000000000003</v>
      </c>
      <c r="AM45">
        <f>_xll.EQNXTDZ($A$1,$B45,AM$1,$B$1)</f>
        <v>35.088999999999999</v>
      </c>
      <c r="AN45">
        <f>_xll.EQNXTDZ($A$1,$B45,AN$1,$B$1)</f>
        <v>35.090000000000003</v>
      </c>
      <c r="AO45">
        <f>_xll.EQNXTDZ($A$1,$B45,AO$1,$B$1)</f>
        <v>35.090000000000003</v>
      </c>
      <c r="AP45">
        <f>_xll.EQNXTDZ($A$1,$B45,AP$1,$B$1)</f>
        <v>35.090000000000003</v>
      </c>
      <c r="AQ45">
        <f>_xll.EQNXTDZ($A$1,$B45,AQ$1,$B$1)</f>
        <v>39.036000000000001</v>
      </c>
      <c r="AR45">
        <f>_xll.EQNXTDZ($A$1,$B45,AR$1,$B$1)</f>
        <v>39.036000000000001</v>
      </c>
      <c r="AS45">
        <f>_xll.EQNXTDZ($A$1,$B45,AS$1,$B$1)</f>
        <v>39.036000000000001</v>
      </c>
      <c r="AT45">
        <f>_xll.EQNXTDZ($A$1,$B45,AT$1,$B$1)</f>
        <v>37.487000000000002</v>
      </c>
      <c r="AU45">
        <f>_xll.EQNXTDZ($A$1,$B45,AU$1,$B$1)</f>
        <v>37.645000000000003</v>
      </c>
      <c r="AV45">
        <f>_xll.EQNXTDZ($A$1,$B45,AV$1,$B$1)</f>
        <v>37.865000000000002</v>
      </c>
      <c r="AW45">
        <f>_xll.EQNXTDZ($A$1,$B45,AW$1,$B$1)</f>
        <v>37.969000000000001</v>
      </c>
      <c r="AX45">
        <f>_xll.EQNXTDZ($A$1,$B45,AX$1,$B$1)</f>
        <v>40.42</v>
      </c>
      <c r="AY45">
        <f>_xll.EQNXTDZ($A$1,$B45,AY$1,$B$1)</f>
        <v>40.479999999999997</v>
      </c>
      <c r="AZ45">
        <f>_xll.EQNXTDZ($A$1,$B45,AZ$1,$B$1)</f>
        <v>40.533999999999999</v>
      </c>
      <c r="BA45">
        <f>_xll.EQNXTDZ($A$1,$B45,BA$1,$B$1)</f>
        <v>40.573</v>
      </c>
      <c r="BB45">
        <f>_xll.EQNXTDZ($A$1,$B45,BB$1,$B$1)</f>
        <v>40.661999999999999</v>
      </c>
      <c r="BC45">
        <f>_xll.EQNXTDZ($A$1,$B45,BC$1,$B$1)</f>
        <v>40.728000000000002</v>
      </c>
      <c r="BD45">
        <f>_xll.EQNXTDZ($A$1,$B45,BD$1,$B$1)</f>
        <v>40.844999999999999</v>
      </c>
      <c r="BE45">
        <f>_xll.EQNXTDZ($A$1,$B45,BE$1,$B$1)</f>
        <v>40.929000000000002</v>
      </c>
      <c r="BF45">
        <f>_xll.EQNXTDZ($A$1,$B45,BF$1,$B$1)</f>
        <v>41.021999999999998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252.1</v>
      </c>
      <c r="AR48" s="55">
        <f>_xll.EQNXTDZ($A$1,$B48,AR$5)</f>
        <v>325.10000000000002</v>
      </c>
      <c r="AS48" s="55">
        <f>_xll.EQNXTDZ($A$1,$B48,AS$5)</f>
        <v>315.8</v>
      </c>
      <c r="AT48" s="55">
        <f>_xll.EQNXTDZ($A$1,$B48,AT$5)</f>
        <v>215.7</v>
      </c>
      <c r="AU48" s="55">
        <f>_xll.EQNXTDZ($A$1,$B48,AU$5)</f>
        <v>431.5</v>
      </c>
      <c r="AV48" s="55">
        <f>_xll.EQNXTDZ($A$1,$B48,AV$5)</f>
        <v>467.65</v>
      </c>
      <c r="AW48" s="55">
        <f>_xll.EQNXTDZ($A$1,$B48,AW$5)</f>
        <v>455.75</v>
      </c>
      <c r="AX48" s="55">
        <f>_xll.EQNXTDZ($A$1,$B48,AX$5)</f>
        <v>754.45</v>
      </c>
      <c r="AY48" s="55">
        <f>_xll.EQNXTDZ($A$1,$B48,AY$5)</f>
        <v>857.3</v>
      </c>
      <c r="AZ48" s="55">
        <f>_xll.EQNXTDZ($A$1,$B48,AZ$5)</f>
        <v>878.55</v>
      </c>
      <c r="BA48" s="55">
        <f>_xll.EQNXTDZ($A$1,$B48,BA$5)</f>
        <v>935</v>
      </c>
      <c r="BB48" s="55">
        <f>_xll.EQNXTDZ($A$1,$B48,BB$5)</f>
        <v>849.1</v>
      </c>
      <c r="BC48" s="55">
        <f>_xll.EQNXTDZ($A$1,$B48,BC$5)</f>
        <v>767.7</v>
      </c>
      <c r="BD48" s="55">
        <f>_xll.EQNXTDZ($A$1,$B48,BD$5)</f>
        <v>682.6</v>
      </c>
      <c r="BE48" s="55">
        <f>_xll.EQNXTDZ($A$1,$B48,BE$5)</f>
        <v>567.5</v>
      </c>
      <c r="BF48" s="55">
        <f>_xll.EQNXTDZ($A$1,$B48,BF$5)</f>
        <v>370.05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61.03</v>
      </c>
      <c r="AR49" s="55">
        <f>_xll.EQNXTDZ($A$1,$B49,AR$5)</f>
        <v>61.03</v>
      </c>
      <c r="AS49" s="55">
        <f>_xll.EQNXTDZ($A$1,$B49,AS$5)</f>
        <v>61.03</v>
      </c>
      <c r="AT49" s="55">
        <f>_xll.EQNXTDZ($A$1,$B49,AT$5)</f>
        <v>57.7</v>
      </c>
      <c r="AU49" s="55">
        <f>_xll.EQNXTDZ($A$1,$B49,AU$5)</f>
        <v>57.7</v>
      </c>
      <c r="AV49" s="55">
        <f>_xll.EQNXTDZ($A$1,$B49,AV$5)</f>
        <v>57.7</v>
      </c>
      <c r="AW49" s="55">
        <f>_xll.EQNXTDZ($A$1,$B49,AW$5)</f>
        <v>57.7</v>
      </c>
      <c r="AX49" s="55">
        <f>_xll.EQNXTDZ($A$1,$B49,AX$5)</f>
        <v>54.4</v>
      </c>
      <c r="AY49" s="55">
        <f>_xll.EQNXTDZ($A$1,$B49,AY$5)</f>
        <v>54.4</v>
      </c>
      <c r="AZ49" s="55">
        <f>_xll.EQNXTDZ($A$1,$B49,AZ$5)</f>
        <v>54.4</v>
      </c>
      <c r="BA49" s="55">
        <f>_xll.EQNXTDZ($A$1,$B49,BA$5)</f>
        <v>54.4</v>
      </c>
      <c r="BB49" s="55">
        <f>_xll.EQNXTDZ($A$1,$B49,BB$5)</f>
        <v>54.4</v>
      </c>
      <c r="BC49" s="55">
        <f>_xll.EQNXTDZ($A$1,$B49,BC$5)</f>
        <v>54.4</v>
      </c>
      <c r="BD49" s="55">
        <f>_xll.EQNXTDZ($A$1,$B49,BD$5)</f>
        <v>54.4</v>
      </c>
      <c r="BE49" s="55">
        <f>_xll.EQNXTDZ($A$1,$B49,BE$5)</f>
        <v>54.4</v>
      </c>
      <c r="BF49" s="55">
        <f>_xll.EQNXTDZ($A$1,$B49,BF$5)</f>
        <v>54.4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35.090000000000003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35.090000000000003</v>
      </c>
      <c r="AQ56" s="55">
        <f>_xll.EQNXTDZ($A$1,$B56,AQ$5,$B$1)</f>
        <v>0</v>
      </c>
      <c r="AR56" s="55">
        <f>_xll.EQNXTDZ($A$1,$B56,AR$5,$B$1)</f>
        <v>39.036000000000001</v>
      </c>
      <c r="AS56" s="55">
        <f>_xll.EQNXTDZ($A$1,$B56,AS$5,$B$1)</f>
        <v>0</v>
      </c>
      <c r="AT56" s="55">
        <f>_xll.EQNXTDZ($A$1,$B56,AT$5,$B$1)</f>
        <v>37.487000000000002</v>
      </c>
      <c r="AU56" s="55">
        <f>_xll.EQNXTDZ($A$1,$B56,AU$5,$B$1)</f>
        <v>0</v>
      </c>
      <c r="AV56" s="55">
        <f>_xll.EQNXTDZ($A$1,$B56,AV$5,$B$1)</f>
        <v>37.865000000000002</v>
      </c>
      <c r="AW56" s="55">
        <f>_xll.EQNXTDZ($A$1,$B56,AW$5,$B$1)</f>
        <v>0</v>
      </c>
      <c r="AX56" s="55">
        <f>_xll.EQNXTDZ($A$1,$B56,AX$5,$B$1)</f>
        <v>40.42</v>
      </c>
      <c r="AY56" s="55">
        <f>_xll.EQNXTDZ($A$1,$B56,AY$5,$B$1)</f>
        <v>0</v>
      </c>
      <c r="AZ56" s="55">
        <f>_xll.EQNXTDZ($A$1,$B56,AZ$5,$B$1)</f>
        <v>40.533999999999999</v>
      </c>
      <c r="BA56" s="55">
        <f>_xll.EQNXTDZ($A$1,$B56,BA$5,$B$1)</f>
        <v>0</v>
      </c>
      <c r="BB56" s="55">
        <f>_xll.EQNXTDZ($A$1,$B56,BB$5,$B$1)</f>
        <v>40.661999999999999</v>
      </c>
      <c r="BC56" s="55">
        <f>_xll.EQNXTDZ($A$1,$B56,BC$5,$B$1)</f>
        <v>0</v>
      </c>
      <c r="BD56" s="55">
        <f>_xll.EQNXTDZ($A$1,$B56,BD$5,$B$1)</f>
        <v>40.844999999999999</v>
      </c>
      <c r="BE56" s="55">
        <f>_xll.EQNXTDZ($A$1,$B56,BE$5,$B$1)</f>
        <v>0</v>
      </c>
      <c r="BF56" s="55">
        <f>_xll.EQNXTDZ($A$1,$B56,BF$5,$B$1)</f>
        <v>41.021999999999998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72.268000000000001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117.71599999999999</v>
      </c>
      <c r="AQ58" s="55">
        <f>_xll.EQNXTDZ($A$1,$B58,AQ$5,$B$1)</f>
        <v>0</v>
      </c>
      <c r="AR58" s="55">
        <f>_xll.EQNXTDZ($A$1,$B58,AR$5,$B$1)</f>
        <v>325.65100000000001</v>
      </c>
      <c r="AS58" s="55">
        <f>_xll.EQNXTDZ($A$1,$B58,AS$5,$B$1)</f>
        <v>0</v>
      </c>
      <c r="AT58" s="55">
        <f>_xll.EQNXTDZ($A$1,$B58,AT$5,$B$1)</f>
        <v>354.10899999999998</v>
      </c>
      <c r="AU58" s="55">
        <f>_xll.EQNXTDZ($A$1,$B58,AU$5,$B$1)</f>
        <v>0</v>
      </c>
      <c r="AV58" s="55">
        <f>_xll.EQNXTDZ($A$1,$B58,AV$5,$B$1)</f>
        <v>380.37200000000001</v>
      </c>
      <c r="AW58" s="55">
        <f>_xll.EQNXTDZ($A$1,$B58,AW$5,$B$1)</f>
        <v>0</v>
      </c>
      <c r="AX58" s="55">
        <f>_xll.EQNXTDZ($A$1,$B58,AX$5,$B$1)</f>
        <v>615.87300000000005</v>
      </c>
      <c r="AY58" s="55">
        <f>_xll.EQNXTDZ($A$1,$B58,AY$5,$B$1)</f>
        <v>0</v>
      </c>
      <c r="AZ58" s="55">
        <f>_xll.EQNXTDZ($A$1,$B58,AZ$5,$B$1)</f>
        <v>649.10699999999997</v>
      </c>
      <c r="BA58" s="55">
        <f>_xll.EQNXTDZ($A$1,$B58,BA$5,$B$1)</f>
        <v>0</v>
      </c>
      <c r="BB58" s="55">
        <f>_xll.EQNXTDZ($A$1,$B58,BB$5,$B$1)</f>
        <v>704.66399999999999</v>
      </c>
      <c r="BC58" s="55">
        <f>_xll.EQNXTDZ($A$1,$B58,BC$5,$B$1)</f>
        <v>0</v>
      </c>
      <c r="BD58" s="55">
        <f>_xll.EQNXTDZ($A$1,$B58,BD$5,$B$1)</f>
        <v>772.07399999999996</v>
      </c>
      <c r="BE58" s="55">
        <f>_xll.EQNXTDZ($A$1,$B58,BE$5,$B$1)</f>
        <v>0</v>
      </c>
      <c r="BF58" s="55">
        <f>_xll.EQNXTDZ($A$1,$B58,BF$5,$B$1)</f>
        <v>870.11099999999999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107.358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152.80600000000001</v>
      </c>
      <c r="AQ59" s="55">
        <f>_xll.EQNXTDZ($A$1,$B59,AQ$5,$B$1)</f>
        <v>0</v>
      </c>
      <c r="AR59" s="55">
        <f>_xll.EQNXTDZ($A$1,$B59,AR$5,$B$1)</f>
        <v>364.68700000000001</v>
      </c>
      <c r="AS59" s="55">
        <f>_xll.EQNXTDZ($A$1,$B59,AS$5,$B$1)</f>
        <v>0</v>
      </c>
      <c r="AT59" s="55">
        <f>_xll.EQNXTDZ($A$1,$B59,AT$5,$B$1)</f>
        <v>391.596</v>
      </c>
      <c r="AU59" s="55">
        <f>_xll.EQNXTDZ($A$1,$B59,AU$5,$B$1)</f>
        <v>0</v>
      </c>
      <c r="AV59" s="55">
        <f>_xll.EQNXTDZ($A$1,$B59,AV$5,$B$1)</f>
        <v>418.23700000000002</v>
      </c>
      <c r="AW59" s="55">
        <f>_xll.EQNXTDZ($A$1,$B59,AW$5,$B$1)</f>
        <v>0</v>
      </c>
      <c r="AX59" s="55">
        <f>_xll.EQNXTDZ($A$1,$B59,AX$5,$B$1)</f>
        <v>656.29300000000001</v>
      </c>
      <c r="AY59" s="55">
        <f>_xll.EQNXTDZ($A$1,$B59,AY$5,$B$1)</f>
        <v>0</v>
      </c>
      <c r="AZ59" s="55">
        <f>_xll.EQNXTDZ($A$1,$B59,AZ$5,$B$1)</f>
        <v>689.64099999999996</v>
      </c>
      <c r="BA59" s="55">
        <f>_xll.EQNXTDZ($A$1,$B59,BA$5,$B$1)</f>
        <v>0</v>
      </c>
      <c r="BB59" s="55">
        <f>_xll.EQNXTDZ($A$1,$B59,BB$5,$B$1)</f>
        <v>745.32600000000002</v>
      </c>
      <c r="BC59" s="55">
        <f>_xll.EQNXTDZ($A$1,$B59,BC$5,$B$1)</f>
        <v>0</v>
      </c>
      <c r="BD59" s="55">
        <f>_xll.EQNXTDZ($A$1,$B59,BD$5,$B$1)</f>
        <v>812.91899999999998</v>
      </c>
      <c r="BE59" s="55">
        <f>_xll.EQNXTDZ($A$1,$B59,BE$5,$B$1)</f>
        <v>0</v>
      </c>
      <c r="BF59" s="55">
        <f>_xll.EQNXTDZ($A$1,$B59,BF$5,$B$1)</f>
        <v>911.13300000000004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9.2590000000000003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1.296</v>
      </c>
      <c r="AQ60" s="55">
        <f>_xll.EQNXTDZ($A$1,$B60,AQ$5,$B$1)</f>
        <v>0</v>
      </c>
      <c r="AR60" s="55">
        <f>_xll.EQNXTDZ($A$1,$B60,AR$5,$B$1)</f>
        <v>1.478</v>
      </c>
      <c r="AS60" s="55">
        <f>_xll.EQNXTDZ($A$1,$B60,AS$5,$B$1)</f>
        <v>0</v>
      </c>
      <c r="AT60" s="55">
        <f>_xll.EQNXTDZ($A$1,$B60,AT$5,$B$1)</f>
        <v>0.81799999999999995</v>
      </c>
      <c r="AU60" s="55">
        <f>_xll.EQNXTDZ($A$1,$B60,AU$5,$B$1)</f>
        <v>0</v>
      </c>
      <c r="AV60" s="55">
        <f>_xll.EQNXTDZ($A$1,$B60,AV$5,$B$1)</f>
        <v>5.97</v>
      </c>
      <c r="AW60" s="55">
        <f>_xll.EQNXTDZ($A$1,$B60,AW$5,$B$1)</f>
        <v>0</v>
      </c>
      <c r="AX60" s="55">
        <f>_xll.EQNXTDZ($A$1,$B60,AX$5,$B$1)</f>
        <v>5.782</v>
      </c>
      <c r="AY60" s="55">
        <f>_xll.EQNXTDZ($A$1,$B60,AY$5,$B$1)</f>
        <v>0</v>
      </c>
      <c r="AZ60" s="55">
        <f>_xll.EQNXTDZ($A$1,$B60,AZ$5,$B$1)</f>
        <v>2.6640000000000001</v>
      </c>
      <c r="BA60" s="55">
        <f>_xll.EQNXTDZ($A$1,$B60,BA$5,$B$1)</f>
        <v>0</v>
      </c>
      <c r="BB60" s="55">
        <f>_xll.EQNXTDZ($A$1,$B60,BB$5,$B$1)</f>
        <v>1.954</v>
      </c>
      <c r="BC60" s="55">
        <f>_xll.EQNXTDZ($A$1,$B60,BC$5,$B$1)</f>
        <v>0</v>
      </c>
      <c r="BD60" s="55">
        <f>_xll.EQNXTDZ($A$1,$B60,BD$5,$B$1)</f>
        <v>3.2679999999999998</v>
      </c>
      <c r="BE60" s="55">
        <f>_xll.EQNXTDZ($A$1,$B60,BE$5,$B$1)</f>
        <v>0</v>
      </c>
      <c r="BF60" s="55">
        <f>_xll.EQNXTDZ($A$1,$B60,BF$5,$B$1)</f>
        <v>1.4570000000000001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22.091000000000001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19.768999999999998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12.988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22.091000000000001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19.768999999999998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12.988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14.255000000000001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10.624000000000001</v>
      </c>
      <c r="AQ64" s="55">
        <f>_xll.EQNXTDZ($A$1,$B64,AQ$5,$B$1)</f>
        <v>0</v>
      </c>
      <c r="AR64" s="55">
        <f>_xll.EQNXTDZ($A$1,$B64,AR$5,$B$1)</f>
        <v>10.016</v>
      </c>
      <c r="AS64" s="55">
        <f>_xll.EQNXTDZ($A$1,$B64,AS$5,$B$1)</f>
        <v>0</v>
      </c>
      <c r="AT64" s="55">
        <f>_xll.EQNXTDZ($A$1,$B64,AT$5,$B$1)</f>
        <v>6.202</v>
      </c>
      <c r="AU64" s="55">
        <f>_xll.EQNXTDZ($A$1,$B64,AU$5,$B$1)</f>
        <v>0</v>
      </c>
      <c r="AV64" s="55">
        <f>_xll.EQNXTDZ($A$1,$B64,AV$5,$B$1)</f>
        <v>4.7759999999999998</v>
      </c>
      <c r="AW64" s="55">
        <f>_xll.EQNXTDZ($A$1,$B64,AW$5,$B$1)</f>
        <v>0</v>
      </c>
      <c r="AX64" s="55">
        <f>_xll.EQNXTDZ($A$1,$B64,AX$5,$B$1)</f>
        <v>2.911</v>
      </c>
      <c r="AY64" s="55">
        <f>_xll.EQNXTDZ($A$1,$B64,AY$5,$B$1)</f>
        <v>0</v>
      </c>
      <c r="AZ64" s="55">
        <f>_xll.EQNXTDZ($A$1,$B64,AZ$5,$B$1)</f>
        <v>7.85</v>
      </c>
      <c r="BA64" s="55">
        <f>_xll.EQNXTDZ($A$1,$B64,BA$5,$B$1)</f>
        <v>0</v>
      </c>
      <c r="BB64" s="55">
        <f>_xll.EQNXTDZ($A$1,$B64,BB$5,$B$1)</f>
        <v>8.4930000000000003</v>
      </c>
      <c r="BC64" s="55">
        <f>_xll.EQNXTDZ($A$1,$B64,BC$5,$B$1)</f>
        <v>0</v>
      </c>
      <c r="BD64" s="55">
        <f>_xll.EQNXTDZ($A$1,$B64,BD$5,$B$1)</f>
        <v>92.165000000000006</v>
      </c>
      <c r="BE64" s="55">
        <f>_xll.EQNXTDZ($A$1,$B64,BE$5,$B$1)</f>
        <v>0</v>
      </c>
      <c r="BF64" s="55">
        <f>_xll.EQNXTDZ($A$1,$B64,BF$5,$B$1)</f>
        <v>108.267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3.2650000000000001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2.7490000000000001</v>
      </c>
      <c r="AQ66" s="55">
        <f>_xll.EQNXTDZ($A$1,$B66,AQ$5,$B$1)</f>
        <v>0</v>
      </c>
      <c r="AR66" s="55">
        <f>_xll.EQNXTDZ($A$1,$B66,AR$5,$B$1)</f>
        <v>2.6869999999999998</v>
      </c>
      <c r="AS66" s="55">
        <f>_xll.EQNXTDZ($A$1,$B66,AS$5,$B$1)</f>
        <v>0</v>
      </c>
      <c r="AT66" s="55">
        <f>_xll.EQNXTDZ($A$1,$B66,AT$5,$B$1)</f>
        <v>2.7610000000000001</v>
      </c>
      <c r="AU66" s="55">
        <f>_xll.EQNXTDZ($A$1,$B66,AU$5,$B$1)</f>
        <v>0</v>
      </c>
      <c r="AV66" s="55">
        <f>_xll.EQNXTDZ($A$1,$B66,AV$5,$B$1)</f>
        <v>2.7290000000000001</v>
      </c>
      <c r="AW66" s="55">
        <f>_xll.EQNXTDZ($A$1,$B66,AW$5,$B$1)</f>
        <v>0</v>
      </c>
      <c r="AX66" s="55">
        <f>_xll.EQNXTDZ($A$1,$B66,AX$5,$B$1)</f>
        <v>2.5659999999999998</v>
      </c>
      <c r="AY66" s="55">
        <f>_xll.EQNXTDZ($A$1,$B66,AY$5,$B$1)</f>
        <v>0</v>
      </c>
      <c r="AZ66" s="55">
        <f>_xll.EQNXTDZ($A$1,$B66,AZ$5,$B$1)</f>
        <v>2.8780000000000001</v>
      </c>
      <c r="BA66" s="55">
        <f>_xll.EQNXTDZ($A$1,$B66,BA$5,$B$1)</f>
        <v>0</v>
      </c>
      <c r="BB66" s="55">
        <f>_xll.EQNXTDZ($A$1,$B66,BB$5,$B$1)</f>
        <v>3.5249999999999999</v>
      </c>
      <c r="BC66" s="55">
        <f>_xll.EQNXTDZ($A$1,$B66,BC$5,$B$1)</f>
        <v>0</v>
      </c>
      <c r="BD66" s="55">
        <f>_xll.EQNXTDZ($A$1,$B66,BD$5,$B$1)</f>
        <v>3.3319999999999999</v>
      </c>
      <c r="BE66" s="55">
        <f>_xll.EQNXTDZ($A$1,$B66,BE$5,$B$1)</f>
        <v>0</v>
      </c>
      <c r="BF66" s="55">
        <f>_xll.EQNXTDZ($A$1,$B66,BF$5,$B$1)</f>
        <v>5.12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156.22800000000001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187.244</v>
      </c>
      <c r="AQ67" s="55">
        <f>_xll.EQNXTDZ($A$1,$B67,AQ$5,$B$1)</f>
        <v>0</v>
      </c>
      <c r="AR67" s="55">
        <f>_xll.EQNXTDZ($A$1,$B67,AR$5,$B$1)</f>
        <v>378.86799999999999</v>
      </c>
      <c r="AS67" s="55">
        <f>_xll.EQNXTDZ($A$1,$B67,AS$5,$B$1)</f>
        <v>0</v>
      </c>
      <c r="AT67" s="55">
        <f>_xll.EQNXTDZ($A$1,$B67,AT$5,$B$1)</f>
        <v>401.37700000000001</v>
      </c>
      <c r="AU67" s="55">
        <f>_xll.EQNXTDZ($A$1,$B67,AU$5,$B$1)</f>
        <v>0</v>
      </c>
      <c r="AV67" s="55">
        <f>_xll.EQNXTDZ($A$1,$B67,AV$5,$B$1)</f>
        <v>431.71199999999999</v>
      </c>
      <c r="AW67" s="55">
        <f>_xll.EQNXTDZ($A$1,$B67,AW$5,$B$1)</f>
        <v>0</v>
      </c>
      <c r="AX67" s="55">
        <f>_xll.EQNXTDZ($A$1,$B67,AX$5,$B$1)</f>
        <v>667.55200000000002</v>
      </c>
      <c r="AY67" s="55">
        <f>_xll.EQNXTDZ($A$1,$B67,AY$5,$B$1)</f>
        <v>0</v>
      </c>
      <c r="AZ67" s="55">
        <f>_xll.EQNXTDZ($A$1,$B67,AZ$5,$B$1)</f>
        <v>703.03300000000002</v>
      </c>
      <c r="BA67" s="55">
        <f>_xll.EQNXTDZ($A$1,$B67,BA$5,$B$1)</f>
        <v>0</v>
      </c>
      <c r="BB67" s="55">
        <f>_xll.EQNXTDZ($A$1,$B67,BB$5,$B$1)</f>
        <v>759.298</v>
      </c>
      <c r="BC67" s="55">
        <f>_xll.EQNXTDZ($A$1,$B67,BC$5,$B$1)</f>
        <v>0</v>
      </c>
      <c r="BD67" s="55">
        <f>_xll.EQNXTDZ($A$1,$B67,BD$5,$B$1)</f>
        <v>911.68399999999997</v>
      </c>
      <c r="BE67" s="55">
        <f>_xll.EQNXTDZ($A$1,$B67,BE$5,$B$1)</f>
        <v>0</v>
      </c>
      <c r="BF67" s="55">
        <f>_xll.EQNXTDZ($A$1,$B67,BF$5,$B$1)</f>
        <v>1038.9649999999999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105.94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122.056</v>
      </c>
      <c r="AQ68" s="55">
        <f>_xll.EQNXTDZ($A$1,$B68,AQ$5,$B$1)</f>
        <v>0</v>
      </c>
      <c r="AR68" s="55">
        <f>_xll.EQNXTDZ($A$1,$B68,AR$5,$B$1)</f>
        <v>156.21799999999999</v>
      </c>
      <c r="AS68" s="55">
        <f>_xll.EQNXTDZ($A$1,$B68,AS$5,$B$1)</f>
        <v>0</v>
      </c>
      <c r="AT68" s="55">
        <f>_xll.EQNXTDZ($A$1,$B68,AT$5,$B$1)</f>
        <v>160.26900000000001</v>
      </c>
      <c r="AU68" s="55">
        <f>_xll.EQNXTDZ($A$1,$B68,AU$5,$B$1)</f>
        <v>0</v>
      </c>
      <c r="AV68" s="55">
        <f>_xll.EQNXTDZ($A$1,$B68,AV$5,$B$1)</f>
        <v>198.024</v>
      </c>
      <c r="AW68" s="55">
        <f>_xll.EQNXTDZ($A$1,$B68,AW$5,$B$1)</f>
        <v>0</v>
      </c>
      <c r="AX68" s="55">
        <f>_xll.EQNXTDZ($A$1,$B68,AX$5,$B$1)</f>
        <v>221.6</v>
      </c>
      <c r="AY68" s="55">
        <f>_xll.EQNXTDZ($A$1,$B68,AY$5,$B$1)</f>
        <v>0</v>
      </c>
      <c r="AZ68" s="55">
        <f>_xll.EQNXTDZ($A$1,$B68,AZ$5,$B$1)</f>
        <v>269.68400000000003</v>
      </c>
      <c r="BA68" s="55">
        <f>_xll.EQNXTDZ($A$1,$B68,BA$5,$B$1)</f>
        <v>0</v>
      </c>
      <c r="BB68" s="55">
        <f>_xll.EQNXTDZ($A$1,$B68,BB$5,$B$1)</f>
        <v>293.84500000000003</v>
      </c>
      <c r="BC68" s="55">
        <f>_xll.EQNXTDZ($A$1,$B68,BC$5,$B$1)</f>
        <v>0</v>
      </c>
      <c r="BD68" s="55">
        <f>_xll.EQNXTDZ($A$1,$B68,BD$5,$B$1)</f>
        <v>376.81799999999998</v>
      </c>
      <c r="BE68" s="55">
        <f>_xll.EQNXTDZ($A$1,$B68,BE$5,$B$1)</f>
        <v>0</v>
      </c>
      <c r="BF68" s="55">
        <f>_xll.EQNXTDZ($A$1,$B68,BF$5,$B$1)</f>
        <v>438.56400000000002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105.94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122.056</v>
      </c>
      <c r="AQ71" s="55">
        <f>_xll.EQNXTDZ($A$1,$B71,AQ$5,$B$1)</f>
        <v>0</v>
      </c>
      <c r="AR71" s="55">
        <f>_xll.EQNXTDZ($A$1,$B71,AR$5,$B$1)</f>
        <v>156.21799999999999</v>
      </c>
      <c r="AS71" s="55">
        <f>_xll.EQNXTDZ($A$1,$B71,AS$5,$B$1)</f>
        <v>0</v>
      </c>
      <c r="AT71" s="55">
        <f>_xll.EQNXTDZ($A$1,$B71,AT$5,$B$1)</f>
        <v>160.26900000000001</v>
      </c>
      <c r="AU71" s="55">
        <f>_xll.EQNXTDZ($A$1,$B71,AU$5,$B$1)</f>
        <v>0</v>
      </c>
      <c r="AV71" s="55">
        <f>_xll.EQNXTDZ($A$1,$B71,AV$5,$B$1)</f>
        <v>198.024</v>
      </c>
      <c r="AW71" s="55">
        <f>_xll.EQNXTDZ($A$1,$B71,AW$5,$B$1)</f>
        <v>0</v>
      </c>
      <c r="AX71" s="55">
        <f>_xll.EQNXTDZ($A$1,$B71,AX$5,$B$1)</f>
        <v>221.6</v>
      </c>
      <c r="AY71" s="55">
        <f>_xll.EQNXTDZ($A$1,$B71,AY$5,$B$1)</f>
        <v>0</v>
      </c>
      <c r="AZ71" s="55">
        <f>_xll.EQNXTDZ($A$1,$B71,AZ$5,$B$1)</f>
        <v>269.68400000000003</v>
      </c>
      <c r="BA71" s="55">
        <f>_xll.EQNXTDZ($A$1,$B71,BA$5,$B$1)</f>
        <v>0</v>
      </c>
      <c r="BB71" s="55">
        <f>_xll.EQNXTDZ($A$1,$B71,BB$5,$B$1)</f>
        <v>293.84500000000003</v>
      </c>
      <c r="BC71" s="55">
        <f>_xll.EQNXTDZ($A$1,$B71,BC$5,$B$1)</f>
        <v>0</v>
      </c>
      <c r="BD71" s="55">
        <f>_xll.EQNXTDZ($A$1,$B71,BD$5,$B$1)</f>
        <v>376.81799999999998</v>
      </c>
      <c r="BE71" s="55">
        <f>_xll.EQNXTDZ($A$1,$B71,BE$5,$B$1)</f>
        <v>0</v>
      </c>
      <c r="BF71" s="55">
        <f>_xll.EQNXTDZ($A$1,$B71,BF$5,$B$1)</f>
        <v>438.56400000000002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5.2910000000000004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2.9279999999999999</v>
      </c>
      <c r="AQ72" s="55">
        <f>_xll.EQNXTDZ($A$1,$B72,AQ$5,$B$1)</f>
        <v>0</v>
      </c>
      <c r="AR72" s="55">
        <f>_xll.EQNXTDZ($A$1,$B72,AR$5,$B$1)</f>
        <v>3.919</v>
      </c>
      <c r="AS72" s="55">
        <f>_xll.EQNXTDZ($A$1,$B72,AS$5,$B$1)</f>
        <v>0</v>
      </c>
      <c r="AT72" s="55">
        <f>_xll.EQNXTDZ($A$1,$B72,AT$5,$B$1)</f>
        <v>3.919</v>
      </c>
      <c r="AU72" s="55">
        <f>_xll.EQNXTDZ($A$1,$B72,AU$5,$B$1)</f>
        <v>0</v>
      </c>
      <c r="AV72" s="55">
        <f>_xll.EQNXTDZ($A$1,$B72,AV$5,$B$1)</f>
        <v>51.326000000000001</v>
      </c>
      <c r="AW72" s="55">
        <f>_xll.EQNXTDZ($A$1,$B72,AW$5,$B$1)</f>
        <v>0</v>
      </c>
      <c r="AX72" s="55">
        <f>_xll.EQNXTDZ($A$1,$B72,AX$5,$B$1)</f>
        <v>51.137999999999998</v>
      </c>
      <c r="AY72" s="55">
        <f>_xll.EQNXTDZ($A$1,$B72,AY$5,$B$1)</f>
        <v>0</v>
      </c>
      <c r="AZ72" s="55">
        <f>_xll.EQNXTDZ($A$1,$B72,AZ$5,$B$1)</f>
        <v>125.467</v>
      </c>
      <c r="BA72" s="55">
        <f>_xll.EQNXTDZ($A$1,$B72,BA$5,$B$1)</f>
        <v>0</v>
      </c>
      <c r="BB72" s="55">
        <f>_xll.EQNXTDZ($A$1,$B72,BB$5,$B$1)</f>
        <v>125.46</v>
      </c>
      <c r="BC72" s="55">
        <f>_xll.EQNXTDZ($A$1,$B72,BC$5,$B$1)</f>
        <v>0</v>
      </c>
      <c r="BD72" s="55">
        <f>_xll.EQNXTDZ($A$1,$B72,BD$5,$B$1)</f>
        <v>277.55799999999999</v>
      </c>
      <c r="BE72" s="55">
        <f>_xll.EQNXTDZ($A$1,$B72,BE$5,$B$1)</f>
        <v>0</v>
      </c>
      <c r="BF72" s="55">
        <f>_xll.EQNXTDZ($A$1,$B72,BF$5,$B$1)</f>
        <v>294.04599999999999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4.4980000000000002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24.934999999999999</v>
      </c>
      <c r="AQ74" s="55">
        <f>_xll.EQNXTDZ($A$1,$B74,AQ$5,$B$1)</f>
        <v>0</v>
      </c>
      <c r="AR74" s="55">
        <f>_xll.EQNXTDZ($A$1,$B74,AR$5,$B$1)</f>
        <v>13.784000000000001</v>
      </c>
      <c r="AS74" s="55">
        <f>_xll.EQNXTDZ($A$1,$B74,AS$5,$B$1)</f>
        <v>0</v>
      </c>
      <c r="AT74" s="55">
        <f>_xll.EQNXTDZ($A$1,$B74,AT$5,$B$1)</f>
        <v>36.604999999999997</v>
      </c>
      <c r="AU74" s="55">
        <f>_xll.EQNXTDZ($A$1,$B74,AU$5,$B$1)</f>
        <v>0</v>
      </c>
      <c r="AV74" s="55">
        <f>_xll.EQNXTDZ($A$1,$B74,AV$5,$B$1)</f>
        <v>15.502000000000001</v>
      </c>
      <c r="AW74" s="55">
        <f>_xll.EQNXTDZ($A$1,$B74,AW$5,$B$1)</f>
        <v>0</v>
      </c>
      <c r="AX74" s="55">
        <f>_xll.EQNXTDZ($A$1,$B74,AX$5,$B$1)</f>
        <v>30.334</v>
      </c>
      <c r="AY74" s="55">
        <f>_xll.EQNXTDZ($A$1,$B74,AY$5,$B$1)</f>
        <v>0</v>
      </c>
      <c r="AZ74" s="55">
        <f>_xll.EQNXTDZ($A$1,$B74,AZ$5,$B$1)</f>
        <v>16.530999999999999</v>
      </c>
      <c r="BA74" s="55">
        <f>_xll.EQNXTDZ($A$1,$B74,BA$5,$B$1)</f>
        <v>0</v>
      </c>
      <c r="BB74" s="55">
        <f>_xll.EQNXTDZ($A$1,$B74,BB$5,$B$1)</f>
        <v>17.143000000000001</v>
      </c>
      <c r="BC74" s="55">
        <f>_xll.EQNXTDZ($A$1,$B74,BC$5,$B$1)</f>
        <v>0</v>
      </c>
      <c r="BD74" s="55">
        <f>_xll.EQNXTDZ($A$1,$B74,BD$5,$B$1)</f>
        <v>19.613</v>
      </c>
      <c r="BE74" s="55">
        <f>_xll.EQNXTDZ($A$1,$B74,BE$5,$B$1)</f>
        <v>0</v>
      </c>
      <c r="BF74" s="55">
        <f>_xll.EQNXTDZ($A$1,$B74,BF$5,$B$1)</f>
        <v>18.584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13.787000000000001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1.643</v>
      </c>
      <c r="BC77" s="55">
        <f>_xll.EQNXTDZ($A$1,$B77,BC$5,$B$1)</f>
        <v>0</v>
      </c>
      <c r="BD77" s="55">
        <f>_xll.EQNXTDZ($A$1,$B77,BD$5,$B$1)</f>
        <v>1.7729999999999999</v>
      </c>
      <c r="BE77" s="55">
        <f>_xll.EQNXTDZ($A$1,$B77,BE$5,$B$1)</f>
        <v>0</v>
      </c>
      <c r="BF77" s="55">
        <f>_xll.EQNXTDZ($A$1,$B77,BF$5,$B$1)</f>
        <v>1.7949999999999999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17.126000000000001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18.356000000000002</v>
      </c>
      <c r="AQ79" s="55">
        <f>_xll.EQNXTDZ($A$1,$B79,AQ$5,$B$1)</f>
        <v>0</v>
      </c>
      <c r="AR79" s="55">
        <f>_xll.EQNXTDZ($A$1,$B79,AR$5,$B$1)</f>
        <v>15.395</v>
      </c>
      <c r="AS79" s="55">
        <f>_xll.EQNXTDZ($A$1,$B79,AS$5,$B$1)</f>
        <v>0</v>
      </c>
      <c r="AT79" s="55">
        <f>_xll.EQNXTDZ($A$1,$B79,AT$5,$B$1)</f>
        <v>10.835000000000001</v>
      </c>
      <c r="AU79" s="55">
        <f>_xll.EQNXTDZ($A$1,$B79,AU$5,$B$1)</f>
        <v>0</v>
      </c>
      <c r="AV79" s="55">
        <f>_xll.EQNXTDZ($A$1,$B79,AV$5,$B$1)</f>
        <v>10.071999999999999</v>
      </c>
      <c r="AW79" s="55">
        <f>_xll.EQNXTDZ($A$1,$B79,AW$5,$B$1)</f>
        <v>0</v>
      </c>
      <c r="AX79" s="55">
        <f>_xll.EQNXTDZ($A$1,$B79,AX$5,$B$1)</f>
        <v>7.4240000000000004</v>
      </c>
      <c r="AY79" s="55">
        <f>_xll.EQNXTDZ($A$1,$B79,AY$5,$B$1)</f>
        <v>0</v>
      </c>
      <c r="AZ79" s="55">
        <f>_xll.EQNXTDZ($A$1,$B79,AZ$5,$B$1)</f>
        <v>3.8</v>
      </c>
      <c r="BA79" s="55">
        <f>_xll.EQNXTDZ($A$1,$B79,BA$5,$B$1)</f>
        <v>0</v>
      </c>
      <c r="BB79" s="55">
        <f>_xll.EQNXTDZ($A$1,$B79,BB$5,$B$1)</f>
        <v>3.8370000000000002</v>
      </c>
      <c r="BC79" s="55">
        <f>_xll.EQNXTDZ($A$1,$B79,BC$5,$B$1)</f>
        <v>0</v>
      </c>
      <c r="BD79" s="55">
        <f>_xll.EQNXTDZ($A$1,$B79,BD$5,$B$1)</f>
        <v>3.6850000000000001</v>
      </c>
      <c r="BE79" s="55">
        <f>_xll.EQNXTDZ($A$1,$B79,BE$5,$B$1)</f>
        <v>0</v>
      </c>
      <c r="BF79" s="55">
        <f>_xll.EQNXTDZ($A$1,$B79,BF$5,$B$1)</f>
        <v>24.88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6.2E-2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20.946000000000002</v>
      </c>
      <c r="AU80" s="55">
        <f>_xll.EQNXTDZ($A$1,$B80,AU$5,$B$1)</f>
        <v>0</v>
      </c>
      <c r="AV80" s="55">
        <f>_xll.EQNXTDZ($A$1,$B80,AV$5,$B$1)</f>
        <v>15.568</v>
      </c>
      <c r="AW80" s="55">
        <f>_xll.EQNXTDZ($A$1,$B80,AW$5,$B$1)</f>
        <v>0</v>
      </c>
      <c r="AX80" s="55">
        <f>_xll.EQNXTDZ($A$1,$B80,AX$5,$B$1)</f>
        <v>4.0229999999999997</v>
      </c>
      <c r="AY80" s="55">
        <f>_xll.EQNXTDZ($A$1,$B80,AY$5,$B$1)</f>
        <v>0</v>
      </c>
      <c r="AZ80" s="55">
        <f>_xll.EQNXTDZ($A$1,$B80,AZ$5,$B$1)</f>
        <v>47.228999999999999</v>
      </c>
      <c r="BA80" s="55">
        <f>_xll.EQNXTDZ($A$1,$B80,BA$5,$B$1)</f>
        <v>0</v>
      </c>
      <c r="BB80" s="55">
        <f>_xll.EQNXTDZ($A$1,$B80,BB$5,$B$1)</f>
        <v>79.506</v>
      </c>
      <c r="BC80" s="55">
        <f>_xll.EQNXTDZ($A$1,$B80,BC$5,$B$1)</f>
        <v>0</v>
      </c>
      <c r="BD80" s="55">
        <f>_xll.EQNXTDZ($A$1,$B80,BD$5,$B$1)</f>
        <v>46.478999999999999</v>
      </c>
      <c r="BE80" s="55">
        <f>_xll.EQNXTDZ($A$1,$B80,BE$5,$B$1)</f>
        <v>0</v>
      </c>
      <c r="BF80" s="55">
        <f>_xll.EQNXTDZ($A$1,$B80,BF$5,$B$1)</f>
        <v>44.24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0.71399999999999997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2.1379999999999999</v>
      </c>
      <c r="AQ81" s="55">
        <f>_xll.EQNXTDZ($A$1,$B81,AQ$5,$B$1)</f>
        <v>0</v>
      </c>
      <c r="AR81" s="55">
        <f>_xll.EQNXTDZ($A$1,$B81,AR$5,$B$1)</f>
        <v>1.679</v>
      </c>
      <c r="AS81" s="55">
        <f>_xll.EQNXTDZ($A$1,$B81,AS$5,$B$1)</f>
        <v>0</v>
      </c>
      <c r="AT81" s="55">
        <f>_xll.EQNXTDZ($A$1,$B81,AT$5,$B$1)</f>
        <v>1.034</v>
      </c>
      <c r="AU81" s="55">
        <f>_xll.EQNXTDZ($A$1,$B81,AU$5,$B$1)</f>
        <v>0</v>
      </c>
      <c r="AV81" s="55">
        <f>_xll.EQNXTDZ($A$1,$B81,AV$5,$B$1)</f>
        <v>2.8</v>
      </c>
      <c r="AW81" s="55">
        <f>_xll.EQNXTDZ($A$1,$B81,AW$5,$B$1)</f>
        <v>0</v>
      </c>
      <c r="AX81" s="55">
        <f>_xll.EQNXTDZ($A$1,$B81,AX$5,$B$1)</f>
        <v>2.9359999999999999</v>
      </c>
      <c r="AY81" s="55">
        <f>_xll.EQNXTDZ($A$1,$B81,AY$5,$B$1)</f>
        <v>0</v>
      </c>
      <c r="AZ81" s="55">
        <f>_xll.EQNXTDZ($A$1,$B81,AZ$5,$B$1)</f>
        <v>1.597</v>
      </c>
      <c r="BA81" s="55">
        <f>_xll.EQNXTDZ($A$1,$B81,BA$5,$B$1)</f>
        <v>0</v>
      </c>
      <c r="BB81" s="55">
        <f>_xll.EQNXTDZ($A$1,$B81,BB$5,$B$1)</f>
        <v>1.399</v>
      </c>
      <c r="BC81" s="55">
        <f>_xll.EQNXTDZ($A$1,$B81,BC$5,$B$1)</f>
        <v>0</v>
      </c>
      <c r="BD81" s="55">
        <f>_xll.EQNXTDZ($A$1,$B81,BD$5,$B$1)</f>
        <v>4.34</v>
      </c>
      <c r="BE81" s="55">
        <f>_xll.EQNXTDZ($A$1,$B81,BE$5,$B$1)</f>
        <v>0</v>
      </c>
      <c r="BF81" s="55">
        <f>_xll.EQNXTDZ($A$1,$B81,BF$5,$B$1)</f>
        <v>3.9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14.91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44.222999999999999</v>
      </c>
      <c r="AQ82" s="55">
        <f>_xll.EQNXTDZ($A$1,$B82,AQ$5,$B$1)</f>
        <v>0</v>
      </c>
      <c r="AR82" s="55">
        <f>_xll.EQNXTDZ($A$1,$B82,AR$5,$B$1)</f>
        <v>61.442</v>
      </c>
      <c r="AS82" s="55">
        <f>_xll.EQNXTDZ($A$1,$B82,AS$5,$B$1)</f>
        <v>0</v>
      </c>
      <c r="AT82" s="55">
        <f>_xll.EQNXTDZ($A$1,$B82,AT$5,$B$1)</f>
        <v>67.224000000000004</v>
      </c>
      <c r="AU82" s="55">
        <f>_xll.EQNXTDZ($A$1,$B82,AU$5,$B$1)</f>
        <v>0</v>
      </c>
      <c r="AV82" s="55">
        <f>_xll.EQNXTDZ($A$1,$B82,AV$5,$B$1)</f>
        <v>104.092</v>
      </c>
      <c r="AW82" s="55">
        <f>_xll.EQNXTDZ($A$1,$B82,AW$5,$B$1)</f>
        <v>0</v>
      </c>
      <c r="AX82" s="55">
        <f>_xll.EQNXTDZ($A$1,$B82,AX$5,$B$1)</f>
        <v>103.288</v>
      </c>
      <c r="AY82" s="55">
        <f>_xll.EQNXTDZ($A$1,$B82,AY$5,$B$1)</f>
        <v>0</v>
      </c>
      <c r="AZ82" s="55">
        <f>_xll.EQNXTDZ($A$1,$B82,AZ$5,$B$1)</f>
        <v>118.783</v>
      </c>
      <c r="BA82" s="55">
        <f>_xll.EQNXTDZ($A$1,$B82,BA$5,$B$1)</f>
        <v>0</v>
      </c>
      <c r="BB82" s="55">
        <f>_xll.EQNXTDZ($A$1,$B82,BB$5,$B$1)</f>
        <v>145.46700000000001</v>
      </c>
      <c r="BC82" s="55">
        <f>_xll.EQNXTDZ($A$1,$B82,BC$5,$B$1)</f>
        <v>0</v>
      </c>
      <c r="BD82" s="55">
        <f>_xll.EQNXTDZ($A$1,$B82,BD$5,$B$1)</f>
        <v>172.375</v>
      </c>
      <c r="BE82" s="55">
        <f>_xll.EQNXTDZ($A$1,$B82,BE$5,$B$1)</f>
        <v>0</v>
      </c>
      <c r="BF82" s="55">
        <f>_xll.EQNXTDZ($A$1,$B82,BF$5,$B$1)</f>
        <v>189.21299999999999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7.7130000000000001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13.255000000000001</v>
      </c>
      <c r="AQ83" s="55">
        <f>_xll.EQNXTDZ($A$1,$B83,AQ$5,$B$1)</f>
        <v>0</v>
      </c>
      <c r="AR83" s="55">
        <f>_xll.EQNXTDZ($A$1,$B83,AR$5,$B$1)</f>
        <v>140.85400000000001</v>
      </c>
      <c r="AS83" s="55">
        <f>_xll.EQNXTDZ($A$1,$B83,AS$5,$B$1)</f>
        <v>0</v>
      </c>
      <c r="AT83" s="55">
        <f>_xll.EQNXTDZ($A$1,$B83,AT$5,$B$1)</f>
        <v>98.38</v>
      </c>
      <c r="AU83" s="55">
        <f>_xll.EQNXTDZ($A$1,$B83,AU$5,$B$1)</f>
        <v>0</v>
      </c>
      <c r="AV83" s="55">
        <f>_xll.EQNXTDZ($A$1,$B83,AV$5,$B$1)</f>
        <v>46.752000000000002</v>
      </c>
      <c r="AW83" s="55">
        <f>_xll.EQNXTDZ($A$1,$B83,AW$5,$B$1)</f>
        <v>0</v>
      </c>
      <c r="AX83" s="55">
        <f>_xll.EQNXTDZ($A$1,$B83,AX$5,$B$1)</f>
        <v>245.43600000000001</v>
      </c>
      <c r="AY83" s="55">
        <f>_xll.EQNXTDZ($A$1,$B83,AY$5,$B$1)</f>
        <v>0</v>
      </c>
      <c r="AZ83" s="55">
        <f>_xll.EQNXTDZ($A$1,$B83,AZ$5,$B$1)</f>
        <v>119.315</v>
      </c>
      <c r="BA83" s="55">
        <f>_xll.EQNXTDZ($A$1,$B83,BA$5,$B$1)</f>
        <v>0</v>
      </c>
      <c r="BB83" s="55">
        <f>_xll.EQNXTDZ($A$1,$B83,BB$5,$B$1)</f>
        <v>107.313</v>
      </c>
      <c r="BC83" s="55">
        <f>_xll.EQNXTDZ($A$1,$B83,BC$5,$B$1)</f>
        <v>0</v>
      </c>
      <c r="BD83" s="55">
        <f>_xll.EQNXTDZ($A$1,$B83,BD$5,$B$1)</f>
        <v>55.545999999999999</v>
      </c>
      <c r="BE83" s="55">
        <f>_xll.EQNXTDZ($A$1,$B83,BE$5,$B$1)</f>
        <v>0</v>
      </c>
      <c r="BF83" s="55">
        <f>_xll.EQNXTDZ($A$1,$B83,BF$5,$B$1)</f>
        <v>65.203999999999994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18.812000000000001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28.186</v>
      </c>
      <c r="AQ84" s="55">
        <f>_xll.EQNXTDZ($A$1,$B84,AQ$5,$B$1)</f>
        <v>0</v>
      </c>
      <c r="AR84" s="55">
        <f>_xll.EQNXTDZ($A$1,$B84,AR$5,$B$1)</f>
        <v>46.664000000000001</v>
      </c>
      <c r="AS84" s="55">
        <f>_xll.EQNXTDZ($A$1,$B84,AS$5,$B$1)</f>
        <v>0</v>
      </c>
      <c r="AT84" s="55">
        <f>_xll.EQNXTDZ($A$1,$B84,AT$5,$B$1)</f>
        <v>60.683999999999997</v>
      </c>
      <c r="AU84" s="55">
        <f>_xll.EQNXTDZ($A$1,$B84,AU$5,$B$1)</f>
        <v>0</v>
      </c>
      <c r="AV84" s="55">
        <f>_xll.EQNXTDZ($A$1,$B84,AV$5,$B$1)</f>
        <v>64.897999999999996</v>
      </c>
      <c r="AW84" s="55">
        <f>_xll.EQNXTDZ($A$1,$B84,AW$5,$B$1)</f>
        <v>0</v>
      </c>
      <c r="AX84" s="55">
        <f>_xll.EQNXTDZ($A$1,$B84,AX$5,$B$1)</f>
        <v>81.278999999999996</v>
      </c>
      <c r="AY84" s="55">
        <f>_xll.EQNXTDZ($A$1,$B84,AY$5,$B$1)</f>
        <v>0</v>
      </c>
      <c r="AZ84" s="55">
        <f>_xll.EQNXTDZ($A$1,$B84,AZ$5,$B$1)</f>
        <v>94.403000000000006</v>
      </c>
      <c r="BA84" s="55">
        <f>_xll.EQNXTDZ($A$1,$B84,BA$5,$B$1)</f>
        <v>0</v>
      </c>
      <c r="BB84" s="55">
        <f>_xll.EQNXTDZ($A$1,$B84,BB$5,$B$1)</f>
        <v>87.882000000000005</v>
      </c>
      <c r="BC84" s="55">
        <f>_xll.EQNXTDZ($A$1,$B84,BC$5,$B$1)</f>
        <v>0</v>
      </c>
      <c r="BD84" s="55">
        <f>_xll.EQNXTDZ($A$1,$B84,BD$5,$B$1)</f>
        <v>113.352</v>
      </c>
      <c r="BE84" s="55">
        <f>_xll.EQNXTDZ($A$1,$B84,BE$5,$B$1)</f>
        <v>0</v>
      </c>
      <c r="BF84" s="55">
        <f>_xll.EQNXTDZ($A$1,$B84,BF$5,$B$1)</f>
        <v>127.60899999999999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3.0609999999999999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3.0640000000000001</v>
      </c>
      <c r="AQ85" s="55">
        <f>_xll.EQNXTDZ($A$1,$B85,AQ$5,$B$1)</f>
        <v>0</v>
      </c>
      <c r="AR85" s="55">
        <f>_xll.EQNXTDZ($A$1,$B85,AR$5,$B$1)</f>
        <v>1.429</v>
      </c>
      <c r="AS85" s="55">
        <f>_xll.EQNXTDZ($A$1,$B85,AS$5,$B$1)</f>
        <v>0</v>
      </c>
      <c r="AT85" s="55">
        <f>_xll.EQNXTDZ($A$1,$B85,AT$5,$B$1)</f>
        <v>4.9000000000000002E-2</v>
      </c>
      <c r="AU85" s="55">
        <f>_xll.EQNXTDZ($A$1,$B85,AU$5,$B$1)</f>
        <v>0</v>
      </c>
      <c r="AV85" s="55">
        <f>_xll.EQNXTDZ($A$1,$B85,AV$5,$B$1)</f>
        <v>1.6830000000000001</v>
      </c>
      <c r="AW85" s="55">
        <f>_xll.EQNXTDZ($A$1,$B85,AW$5,$B$1)</f>
        <v>0</v>
      </c>
      <c r="AX85" s="55">
        <f>_xll.EQNXTDZ($A$1,$B85,AX$5,$B$1)</f>
        <v>2.5419999999999998</v>
      </c>
      <c r="AY85" s="55">
        <f>_xll.EQNXTDZ($A$1,$B85,AY$5,$B$1)</f>
        <v>0</v>
      </c>
      <c r="AZ85" s="55">
        <f>_xll.EQNXTDZ($A$1,$B85,AZ$5,$B$1)</f>
        <v>4.9139999999999997</v>
      </c>
      <c r="BA85" s="55">
        <f>_xll.EQNXTDZ($A$1,$B85,BA$5,$B$1)</f>
        <v>0</v>
      </c>
      <c r="BB85" s="55">
        <f>_xll.EQNXTDZ($A$1,$B85,BB$5,$B$1)</f>
        <v>4.6399999999999997</v>
      </c>
      <c r="BC85" s="55">
        <f>_xll.EQNXTDZ($A$1,$B85,BC$5,$B$1)</f>
        <v>0</v>
      </c>
      <c r="BD85" s="55">
        <f>_xll.EQNXTDZ($A$1,$B85,BD$5,$B$1)</f>
        <v>7.42</v>
      </c>
      <c r="BE85" s="55">
        <f>_xll.EQNXTDZ($A$1,$B85,BE$5,$B$1)</f>
        <v>0</v>
      </c>
      <c r="BF85" s="55">
        <f>_xll.EQNXTDZ($A$1,$B85,BF$5,$B$1)</f>
        <v>5.3979999999999997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45.271999999999998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90.866</v>
      </c>
      <c r="AQ86" s="55">
        <f>_xll.EQNXTDZ($A$1,$B86,AQ$5,$B$1)</f>
        <v>0</v>
      </c>
      <c r="AR86" s="55">
        <f>_xll.EQNXTDZ($A$1,$B86,AR$5,$B$1)</f>
        <v>252.06800000000001</v>
      </c>
      <c r="AS86" s="55">
        <f>_xll.EQNXTDZ($A$1,$B86,AS$5,$B$1)</f>
        <v>0</v>
      </c>
      <c r="AT86" s="55">
        <f>_xll.EQNXTDZ($A$1,$B86,AT$5,$B$1)</f>
        <v>248.31700000000001</v>
      </c>
      <c r="AU86" s="55">
        <f>_xll.EQNXTDZ($A$1,$B86,AU$5,$B$1)</f>
        <v>0</v>
      </c>
      <c r="AV86" s="55">
        <f>_xll.EQNXTDZ($A$1,$B86,AV$5,$B$1)</f>
        <v>235.79300000000001</v>
      </c>
      <c r="AW86" s="55">
        <f>_xll.EQNXTDZ($A$1,$B86,AW$5,$B$1)</f>
        <v>0</v>
      </c>
      <c r="AX86" s="55">
        <f>_xll.EQNXTDZ($A$1,$B86,AX$5,$B$1)</f>
        <v>439.50400000000002</v>
      </c>
      <c r="AY86" s="55">
        <f>_xll.EQNXTDZ($A$1,$B86,AY$5,$B$1)</f>
        <v>0</v>
      </c>
      <c r="AZ86" s="55">
        <f>_xll.EQNXTDZ($A$1,$B86,AZ$5,$B$1)</f>
        <v>386.24099999999999</v>
      </c>
      <c r="BA86" s="55">
        <f>_xll.EQNXTDZ($A$1,$B86,BA$5,$B$1)</f>
        <v>0</v>
      </c>
      <c r="BB86" s="55">
        <f>_xll.EQNXTDZ($A$1,$B86,BB$5,$B$1)</f>
        <v>426.20699999999999</v>
      </c>
      <c r="BC86" s="55">
        <f>_xll.EQNXTDZ($A$1,$B86,BC$5,$B$1)</f>
        <v>0</v>
      </c>
      <c r="BD86" s="55">
        <f>_xll.EQNXTDZ($A$1,$B86,BD$5,$B$1)</f>
        <v>399.512</v>
      </c>
      <c r="BE86" s="55">
        <f>_xll.EQNXTDZ($A$1,$B86,BE$5,$B$1)</f>
        <v>0</v>
      </c>
      <c r="BF86" s="55">
        <f>_xll.EQNXTDZ($A$1,$B86,BF$5,$B$1)</f>
        <v>435.56400000000002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8.7149999999999999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34.622</v>
      </c>
      <c r="AQ88" s="55">
        <f>_xll.EQNXTDZ($A$1,$B88,AQ$5,$B$1)</f>
        <v>0</v>
      </c>
      <c r="AR88" s="55">
        <f>_xll.EQNXTDZ($A$1,$B88,AR$5,$B$1)</f>
        <v>19.785</v>
      </c>
      <c r="AS88" s="55">
        <f>_xll.EQNXTDZ($A$1,$B88,AS$5,$B$1)</f>
        <v>0</v>
      </c>
      <c r="AT88" s="55">
        <f>_xll.EQNXTDZ($A$1,$B88,AT$5,$B$1)</f>
        <v>15.65</v>
      </c>
      <c r="AU88" s="55">
        <f>_xll.EQNXTDZ($A$1,$B88,AU$5,$B$1)</f>
        <v>0</v>
      </c>
      <c r="AV88" s="55">
        <f>_xll.EQNXTDZ($A$1,$B88,AV$5,$B$1)</f>
        <v>17.437000000000001</v>
      </c>
      <c r="AW88" s="55">
        <f>_xll.EQNXTDZ($A$1,$B88,AW$5,$B$1)</f>
        <v>0</v>
      </c>
      <c r="AX88" s="55">
        <f>_xll.EQNXTDZ($A$1,$B88,AX$5,$B$1)</f>
        <v>7.4710000000000001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16.475000000000001</v>
      </c>
      <c r="BE88" s="55">
        <f>_xll.EQNXTDZ($A$1,$B88,BE$5,$B$1)</f>
        <v>0</v>
      </c>
      <c r="BF88" s="55">
        <f>_xll.EQNXTDZ($A$1,$B88,BF$5,$B$1)</f>
        <v>10.885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3.4980000000000002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14.372</v>
      </c>
      <c r="AQ89" s="55">
        <f>_xll.EQNXTDZ($A$1,$B89,AQ$5,$B$1)</f>
        <v>0</v>
      </c>
      <c r="AR89" s="55">
        <f>_xll.EQNXTDZ($A$1,$B89,AR$5,$B$1)</f>
        <v>6.5640000000000001</v>
      </c>
      <c r="AS89" s="55">
        <f>_xll.EQNXTDZ($A$1,$B89,AS$5,$B$1)</f>
        <v>0</v>
      </c>
      <c r="AT89" s="55">
        <f>_xll.EQNXTDZ($A$1,$B89,AT$5,$B$1)</f>
        <v>18.213999999999999</v>
      </c>
      <c r="AU89" s="55">
        <f>_xll.EQNXTDZ($A$1,$B89,AU$5,$B$1)</f>
        <v>0</v>
      </c>
      <c r="AV89" s="55">
        <f>_xll.EQNXTDZ($A$1,$B89,AV$5,$B$1)</f>
        <v>14.061</v>
      </c>
      <c r="AW89" s="55">
        <f>_xll.EQNXTDZ($A$1,$B89,AW$5,$B$1)</f>
        <v>0</v>
      </c>
      <c r="AX89" s="55">
        <f>_xll.EQNXTDZ($A$1,$B89,AX$5,$B$1)</f>
        <v>23.962</v>
      </c>
      <c r="AY89" s="55">
        <f>_xll.EQNXTDZ($A$1,$B89,AY$5,$B$1)</f>
        <v>0</v>
      </c>
      <c r="AZ89" s="55">
        <f>_xll.EQNXTDZ($A$1,$B89,AZ$5,$B$1)</f>
        <v>34.459000000000003</v>
      </c>
      <c r="BA89" s="55">
        <f>_xll.EQNXTDZ($A$1,$B89,BA$5,$B$1)</f>
        <v>0</v>
      </c>
      <c r="BB89" s="55">
        <f>_xll.EQNXTDZ($A$1,$B89,BB$5,$B$1)</f>
        <v>31.434000000000001</v>
      </c>
      <c r="BC89" s="55">
        <f>_xll.EQNXTDZ($A$1,$B89,BC$5,$B$1)</f>
        <v>0</v>
      </c>
      <c r="BD89" s="55">
        <f>_xll.EQNXTDZ($A$1,$B89,BD$5,$B$1)</f>
        <v>46.13</v>
      </c>
      <c r="BE89" s="55">
        <f>_xll.EQNXTDZ($A$1,$B89,BE$5,$B$1)</f>
        <v>0</v>
      </c>
      <c r="BF89" s="55">
        <f>_xll.EQNXTDZ($A$1,$B89,BF$5,$B$1)</f>
        <v>60.091999999999999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12.849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16.707999999999998</v>
      </c>
      <c r="AQ91" s="55">
        <f>_xll.EQNXTDZ($A$1,$B91,AQ$5,$B$1)</f>
        <v>0</v>
      </c>
      <c r="AR91" s="55">
        <f>_xll.EQNXTDZ($A$1,$B91,AR$5,$B$1)</f>
        <v>19.518999999999998</v>
      </c>
      <c r="AS91" s="55">
        <f>_xll.EQNXTDZ($A$1,$B91,AS$5,$B$1)</f>
        <v>0</v>
      </c>
      <c r="AT91" s="55">
        <f>_xll.EQNXTDZ($A$1,$B91,AT$5,$B$1)</f>
        <v>18.18</v>
      </c>
      <c r="AU91" s="55">
        <f>_xll.EQNXTDZ($A$1,$B91,AU$5,$B$1)</f>
        <v>0</v>
      </c>
      <c r="AV91" s="55">
        <f>_xll.EQNXTDZ($A$1,$B91,AV$5,$B$1)</f>
        <v>25.63</v>
      </c>
      <c r="AW91" s="55">
        <f>_xll.EQNXTDZ($A$1,$B91,AW$5,$B$1)</f>
        <v>0</v>
      </c>
      <c r="AX91" s="55">
        <f>_xll.EQNXTDZ($A$1,$B91,AX$5,$B$1)</f>
        <v>26.677</v>
      </c>
      <c r="AY91" s="55">
        <f>_xll.EQNXTDZ($A$1,$B91,AY$5,$B$1)</f>
        <v>0</v>
      </c>
      <c r="AZ91" s="55">
        <f>_xll.EQNXTDZ($A$1,$B91,AZ$5,$B$1)</f>
        <v>34.710999999999999</v>
      </c>
      <c r="BA91" s="55">
        <f>_xll.EQNXTDZ($A$1,$B91,BA$5,$B$1)</f>
        <v>0</v>
      </c>
      <c r="BB91" s="55">
        <f>_xll.EQNXTDZ($A$1,$B91,BB$5,$B$1)</f>
        <v>46.125999999999998</v>
      </c>
      <c r="BC91" s="55">
        <f>_xll.EQNXTDZ($A$1,$B91,BC$5,$B$1)</f>
        <v>0</v>
      </c>
      <c r="BD91" s="55">
        <f>_xll.EQNXTDZ($A$1,$B91,BD$5,$B$1)</f>
        <v>67.709999999999994</v>
      </c>
      <c r="BE91" s="55">
        <f>_xll.EQNXTDZ($A$1,$B91,BE$5,$B$1)</f>
        <v>0</v>
      </c>
      <c r="BF91" s="55">
        <f>_xll.EQNXTDZ($A$1,$B91,BF$5,$B$1)</f>
        <v>66.259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9.26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4.4020000000000001</v>
      </c>
      <c r="AQ92" s="55">
        <f>_xll.EQNXTDZ($A$1,$B92,AQ$5,$B$1)</f>
        <v>0</v>
      </c>
      <c r="AR92" s="55">
        <f>_xll.EQNXTDZ($A$1,$B92,AR$5,$B$1)</f>
        <v>14.705</v>
      </c>
      <c r="AS92" s="55">
        <f>_xll.EQNXTDZ($A$1,$B92,AS$5,$B$1)</f>
        <v>0</v>
      </c>
      <c r="AT92" s="55">
        <f>_xll.EQNXTDZ($A$1,$B92,AT$5,$B$1)</f>
        <v>3.9590000000000001</v>
      </c>
      <c r="AU92" s="55">
        <f>_xll.EQNXTDZ($A$1,$B92,AU$5,$B$1)</f>
        <v>0</v>
      </c>
      <c r="AV92" s="55">
        <f>_xll.EQNXTDZ($A$1,$B92,AV$5,$B$1)</f>
        <v>17.276</v>
      </c>
      <c r="AW92" s="55">
        <f>_xll.EQNXTDZ($A$1,$B92,AW$5,$B$1)</f>
        <v>0</v>
      </c>
      <c r="AX92" s="55">
        <f>_xll.EQNXTDZ($A$1,$B92,AX$5,$B$1)</f>
        <v>17.616</v>
      </c>
      <c r="AY92" s="55">
        <f>_xll.EQNXTDZ($A$1,$B92,AY$5,$B$1)</f>
        <v>0</v>
      </c>
      <c r="AZ92" s="55">
        <f>_xll.EQNXTDZ($A$1,$B92,AZ$5,$B$1)</f>
        <v>21.789000000000001</v>
      </c>
      <c r="BA92" s="55">
        <f>_xll.EQNXTDZ($A$1,$B92,BA$5,$B$1)</f>
        <v>0</v>
      </c>
      <c r="BB92" s="55">
        <f>_xll.EQNXTDZ($A$1,$B92,BB$5,$B$1)</f>
        <v>19.800999999999998</v>
      </c>
      <c r="BC92" s="55">
        <f>_xll.EQNXTDZ($A$1,$B92,BC$5,$B$1)</f>
        <v>0</v>
      </c>
      <c r="BD92" s="55">
        <f>_xll.EQNXTDZ($A$1,$B92,BD$5,$B$1)</f>
        <v>23.363</v>
      </c>
      <c r="BE92" s="55">
        <f>_xll.EQNXTDZ($A$1,$B92,BE$5,$B$1)</f>
        <v>0</v>
      </c>
      <c r="BF92" s="55">
        <f>_xll.EQNXTDZ($A$1,$B92,BF$5,$B$1)</f>
        <v>20.564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34.322000000000003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70.103999999999999</v>
      </c>
      <c r="AQ93" s="55">
        <f>_xll.EQNXTDZ($A$1,$B93,AQ$5,$B$1)</f>
        <v>0</v>
      </c>
      <c r="AR93" s="55">
        <f>_xll.EQNXTDZ($A$1,$B93,AR$5,$B$1)</f>
        <v>60.573</v>
      </c>
      <c r="AS93" s="55">
        <f>_xll.EQNXTDZ($A$1,$B93,AS$5,$B$1)</f>
        <v>0</v>
      </c>
      <c r="AT93" s="55">
        <f>_xll.EQNXTDZ($A$1,$B93,AT$5,$B$1)</f>
        <v>56.003</v>
      </c>
      <c r="AU93" s="55">
        <f>_xll.EQNXTDZ($A$1,$B93,AU$5,$B$1)</f>
        <v>0</v>
      </c>
      <c r="AV93" s="55">
        <f>_xll.EQNXTDZ($A$1,$B93,AV$5,$B$1)</f>
        <v>74.403999999999996</v>
      </c>
      <c r="AW93" s="55">
        <f>_xll.EQNXTDZ($A$1,$B93,AW$5,$B$1)</f>
        <v>0</v>
      </c>
      <c r="AX93" s="55">
        <f>_xll.EQNXTDZ($A$1,$B93,AX$5,$B$1)</f>
        <v>75.725999999999999</v>
      </c>
      <c r="AY93" s="55">
        <f>_xll.EQNXTDZ($A$1,$B93,AY$5,$B$1)</f>
        <v>0</v>
      </c>
      <c r="AZ93" s="55">
        <f>_xll.EQNXTDZ($A$1,$B93,AZ$5,$B$1)</f>
        <v>90.959000000000003</v>
      </c>
      <c r="BA93" s="55">
        <f>_xll.EQNXTDZ($A$1,$B93,BA$5,$B$1)</f>
        <v>0</v>
      </c>
      <c r="BB93" s="55">
        <f>_xll.EQNXTDZ($A$1,$B93,BB$5,$B$1)</f>
        <v>97.361000000000004</v>
      </c>
      <c r="BC93" s="55">
        <f>_xll.EQNXTDZ($A$1,$B93,BC$5,$B$1)</f>
        <v>0</v>
      </c>
      <c r="BD93" s="55">
        <f>_xll.EQNXTDZ($A$1,$B93,BD$5,$B$1)</f>
        <v>153.678</v>
      </c>
      <c r="BE93" s="55">
        <f>_xll.EQNXTDZ($A$1,$B93,BE$5,$B$1)</f>
        <v>0</v>
      </c>
      <c r="BF93" s="55">
        <f>_xll.EQNXTDZ($A$1,$B93,BF$5,$B$1)</f>
        <v>157.80000000000001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10.95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20.762</v>
      </c>
      <c r="AQ94" s="55">
        <f>_xll.EQNXTDZ($A$1,$B94,AQ$5,$B$1)</f>
        <v>0</v>
      </c>
      <c r="AR94" s="55">
        <f>_xll.EQNXTDZ($A$1,$B94,AR$5,$B$1)</f>
        <v>191.495</v>
      </c>
      <c r="AS94" s="55">
        <f>_xll.EQNXTDZ($A$1,$B94,AS$5,$B$1)</f>
        <v>0</v>
      </c>
      <c r="AT94" s="55">
        <f>_xll.EQNXTDZ($A$1,$B94,AT$5,$B$1)</f>
        <v>192.31399999999999</v>
      </c>
      <c r="AU94" s="55">
        <f>_xll.EQNXTDZ($A$1,$B94,AU$5,$B$1)</f>
        <v>0</v>
      </c>
      <c r="AV94" s="55">
        <f>_xll.EQNXTDZ($A$1,$B94,AV$5,$B$1)</f>
        <v>161.38900000000001</v>
      </c>
      <c r="AW94" s="55">
        <f>_xll.EQNXTDZ($A$1,$B94,AW$5,$B$1)</f>
        <v>0</v>
      </c>
      <c r="AX94" s="55">
        <f>_xll.EQNXTDZ($A$1,$B94,AX$5,$B$1)</f>
        <v>363.77800000000002</v>
      </c>
      <c r="AY94" s="55">
        <f>_xll.EQNXTDZ($A$1,$B94,AY$5,$B$1)</f>
        <v>0</v>
      </c>
      <c r="AZ94" s="55">
        <f>_xll.EQNXTDZ($A$1,$B94,AZ$5,$B$1)</f>
        <v>295.28199999999998</v>
      </c>
      <c r="BA94" s="55">
        <f>_xll.EQNXTDZ($A$1,$B94,BA$5,$B$1)</f>
        <v>0</v>
      </c>
      <c r="BB94" s="55">
        <f>_xll.EQNXTDZ($A$1,$B94,BB$5,$B$1)</f>
        <v>328.846</v>
      </c>
      <c r="BC94" s="55">
        <f>_xll.EQNXTDZ($A$1,$B94,BC$5,$B$1)</f>
        <v>0</v>
      </c>
      <c r="BD94" s="55">
        <f>_xll.EQNXTDZ($A$1,$B94,BD$5,$B$1)</f>
        <v>245.834</v>
      </c>
      <c r="BE94" s="55">
        <f>_xll.EQNXTDZ($A$1,$B94,BE$5,$B$1)</f>
        <v>0</v>
      </c>
      <c r="BF94" s="55">
        <f>_xll.EQNXTDZ($A$1,$B94,BF$5,$B$1)</f>
        <v>277.76400000000001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-1.3640000000000001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-1.792</v>
      </c>
      <c r="AQ96" s="55">
        <f>_xll.EQNXTDZ($A$1,$B96,AQ$5,$B$1)</f>
        <v>0</v>
      </c>
      <c r="AR96" s="55">
        <f>_xll.EQNXTDZ($A$1,$B96,AR$5,$B$1)</f>
        <v>-1.9430000000000001</v>
      </c>
      <c r="AS96" s="55">
        <f>_xll.EQNXTDZ($A$1,$B96,AS$5,$B$1)</f>
        <v>0</v>
      </c>
      <c r="AT96" s="55">
        <f>_xll.EQNXTDZ($A$1,$B96,AT$5,$B$1)</f>
        <v>-2.5649999999999999</v>
      </c>
      <c r="AU96" s="55">
        <f>_xll.EQNXTDZ($A$1,$B96,AU$5,$B$1)</f>
        <v>0</v>
      </c>
      <c r="AV96" s="55">
        <f>_xll.EQNXTDZ($A$1,$B96,AV$5,$B$1)</f>
        <v>-4.601</v>
      </c>
      <c r="AW96" s="55">
        <f>_xll.EQNXTDZ($A$1,$B96,AW$5,$B$1)</f>
        <v>0</v>
      </c>
      <c r="AX96" s="55">
        <f>_xll.EQNXTDZ($A$1,$B96,AX$5,$B$1)</f>
        <v>-6.7220000000000004</v>
      </c>
      <c r="AY96" s="55">
        <f>_xll.EQNXTDZ($A$1,$B96,AY$5,$B$1)</f>
        <v>0</v>
      </c>
      <c r="AZ96" s="55">
        <f>_xll.EQNXTDZ($A$1,$B96,AZ$5,$B$1)</f>
        <v>-7.7320000000000002</v>
      </c>
      <c r="BA96" s="55">
        <f>_xll.EQNXTDZ($A$1,$B96,BA$5,$B$1)</f>
        <v>0</v>
      </c>
      <c r="BB96" s="55">
        <f>_xll.EQNXTDZ($A$1,$B96,BB$5,$B$1)</f>
        <v>-11.476000000000001</v>
      </c>
      <c r="BC96" s="55">
        <f>_xll.EQNXTDZ($A$1,$B96,BC$5,$B$1)</f>
        <v>0</v>
      </c>
      <c r="BD96" s="55">
        <f>_xll.EQNXTDZ($A$1,$B96,BD$5,$B$1)</f>
        <v>-13.597</v>
      </c>
      <c r="BE96" s="55">
        <f>_xll.EQNXTDZ($A$1,$B96,BE$5,$B$1)</f>
        <v>0</v>
      </c>
      <c r="BF96" s="55">
        <f>_xll.EQNXTDZ($A$1,$B96,BF$5,$B$1)</f>
        <v>-16.667999999999999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156.22800000000001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187.245</v>
      </c>
      <c r="AQ97" s="55">
        <f>_xll.EQNXTDZ($A$1,$B97,AQ$5,$B$1)</f>
        <v>0</v>
      </c>
      <c r="AR97" s="55">
        <f>_xll.EQNXTDZ($A$1,$B97,AR$5,$B$1)</f>
        <v>378.86799999999999</v>
      </c>
      <c r="AS97" s="55">
        <f>_xll.EQNXTDZ($A$1,$B97,AS$5,$B$1)</f>
        <v>0</v>
      </c>
      <c r="AT97" s="55">
        <f>_xll.EQNXTDZ($A$1,$B97,AT$5,$B$1)</f>
        <v>401.37700000000001</v>
      </c>
      <c r="AU97" s="55">
        <f>_xll.EQNXTDZ($A$1,$B97,AU$5,$B$1)</f>
        <v>0</v>
      </c>
      <c r="AV97" s="55">
        <f>_xll.EQNXTDZ($A$1,$B97,AV$5,$B$1)</f>
        <v>431.71199999999999</v>
      </c>
      <c r="AW97" s="55">
        <f>_xll.EQNXTDZ($A$1,$B97,AW$5,$B$1)</f>
        <v>0</v>
      </c>
      <c r="AX97" s="55">
        <f>_xll.EQNXTDZ($A$1,$B97,AX$5,$B$1)</f>
        <v>667.55200000000002</v>
      </c>
      <c r="AY97" s="55">
        <f>_xll.EQNXTDZ($A$1,$B97,AY$5,$B$1)</f>
        <v>0</v>
      </c>
      <c r="AZ97" s="55">
        <f>_xll.EQNXTDZ($A$1,$B97,AZ$5,$B$1)</f>
        <v>703.03200000000004</v>
      </c>
      <c r="BA97" s="55">
        <f>_xll.EQNXTDZ($A$1,$B97,BA$5,$B$1)</f>
        <v>0</v>
      </c>
      <c r="BB97" s="55">
        <f>_xll.EQNXTDZ($A$1,$B97,BB$5,$B$1)</f>
        <v>759.298</v>
      </c>
      <c r="BC97" s="55">
        <f>_xll.EQNXTDZ($A$1,$B97,BC$5,$B$1)</f>
        <v>0</v>
      </c>
      <c r="BD97" s="55">
        <f>_xll.EQNXTDZ($A$1,$B97,BD$5,$B$1)</f>
        <v>911.68399999999997</v>
      </c>
      <c r="BE97" s="55">
        <f>_xll.EQNXTDZ($A$1,$B97,BE$5,$B$1)</f>
        <v>0</v>
      </c>
      <c r="BF97" s="55">
        <f>_xll.EQNXTDZ($A$1,$B97,BF$5,$B$1)</f>
        <v>1038.9649999999999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235668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eMudhra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6.3286850000000001</v>
      </c>
      <c r="L6" s="100">
        <f>_xll.EQNXTDZ($A$1,$B6,L$1,$B$1)</f>
        <v>4.2517284000000002</v>
      </c>
      <c r="M6" s="100">
        <f>_xll.EQNXTDZ($A$1,$B6,M$1,$B$1)</f>
        <v>11.8521222</v>
      </c>
      <c r="N6" s="100">
        <f>_xll.EQNXTDZ($A$1,$B6,N$1,$B$1)</f>
        <v>10.4081964</v>
      </c>
      <c r="O6" s="100">
        <f>_xll.EQNXTDZ($A$1,$B6,O$1,$B$1)</f>
        <v>17.4125373</v>
      </c>
      <c r="P6" s="100">
        <f>_xll.EQNXTDZ($A$1,$B6,P$1,$B$1)</f>
        <v>16.2208629</v>
      </c>
      <c r="Q6" s="100">
        <f>_xll.EQNXTDZ($A$1,$B6,Q$1,$B$1)</f>
        <v>35.307439000000002</v>
      </c>
      <c r="R6" s="100">
        <f>_xll.EQNXTDZ($A$1,$B6,R$1,$B$1)</f>
        <v>47.256013600000003</v>
      </c>
      <c r="S6" s="100">
        <f>_xll.EQNXTDZ($A$1,$B6,S$1,$B$1)</f>
        <v>68.301184000000006</v>
      </c>
      <c r="T6" s="100">
        <f>_xll.EQNXTDZ($A$1,$B6,T$1,$B$1)</f>
        <v>76.253556200000006</v>
      </c>
      <c r="U6" s="100">
        <f>_xll.EQNXTDZ($A$1,$B6,U$1,$B$1)</f>
        <v>101.584</v>
      </c>
      <c r="V6" s="100">
        <f>_xll.EQNXTDZ($A$1,$B6,V$1,$B$1)</f>
        <v>116.45</v>
      </c>
      <c r="W6" s="100">
        <f>_xll.EQNXTDZ($A$1,$B6,W$1,$B$1)</f>
        <v>131.59299999999999</v>
      </c>
      <c r="X6" s="100">
        <f>_xll.EQNXTDZ($A$1,$B6,X$1,$B$1)</f>
        <v>182.637</v>
      </c>
      <c r="Y6" s="100">
        <f>_xll.EQNXTDZ($A$1,$B6,Y$1,$B$1)</f>
        <v>248.75700000000001</v>
      </c>
      <c r="Z6" s="100">
        <f>_xll.EQNXTDZ($A$1,$B6,Z$1,$B$1)</f>
        <v>373.11900000000003</v>
      </c>
      <c r="AA6" s="100">
        <f>_xll.EQNXTDZ($A$1,$B6,AA$1,$B$1)</f>
        <v>519.38499999999999</v>
      </c>
      <c r="AB6" s="100">
        <f>_xll.EQNXTDZ($A$1,$B6,AB$1,$B$1)</f>
        <v>701.58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6.3286850000000001</v>
      </c>
      <c r="L10" s="100">
        <f>_xll.EQNXTDZ($A$1,$B10,L$1,$B$1)</f>
        <v>4.2517284000000002</v>
      </c>
      <c r="M10" s="100">
        <f>_xll.EQNXTDZ($A$1,$B10,M$1,$B$1)</f>
        <v>11.8521222</v>
      </c>
      <c r="N10" s="100">
        <f>_xll.EQNXTDZ($A$1,$B10,N$1,$B$1)</f>
        <v>10.4081964</v>
      </c>
      <c r="O10" s="100">
        <f>_xll.EQNXTDZ($A$1,$B10,O$1,$B$1)</f>
        <v>17.4125373</v>
      </c>
      <c r="P10" s="100">
        <f>_xll.EQNXTDZ($A$1,$B10,P$1,$B$1)</f>
        <v>16.2208629</v>
      </c>
      <c r="Q10" s="100">
        <f>_xll.EQNXTDZ($A$1,$B10,Q$1,$B$1)</f>
        <v>35.307439000000002</v>
      </c>
      <c r="R10" s="100">
        <f>_xll.EQNXTDZ($A$1,$B10,R$1,$B$1)</f>
        <v>47.256013600000003</v>
      </c>
      <c r="S10" s="100">
        <f>_xll.EQNXTDZ($A$1,$B10,S$1,$B$1)</f>
        <v>68.301184000000006</v>
      </c>
      <c r="T10" s="100">
        <f>_xll.EQNXTDZ($A$1,$B10,T$1,$B$1)</f>
        <v>76.253556200000006</v>
      </c>
      <c r="U10" s="100">
        <f>_xll.EQNXTDZ($A$1,$B10,U$1,$B$1)</f>
        <v>101.584</v>
      </c>
      <c r="V10" s="100">
        <f>_xll.EQNXTDZ($A$1,$B10,V$1,$B$1)</f>
        <v>116.45</v>
      </c>
      <c r="W10" s="100">
        <f>_xll.EQNXTDZ($A$1,$B10,W$1,$B$1)</f>
        <v>131.59299999999999</v>
      </c>
      <c r="X10" s="100">
        <f>_xll.EQNXTDZ($A$1,$B10,X$1,$B$1)</f>
        <v>182.637</v>
      </c>
      <c r="Y10" s="100">
        <f>_xll.EQNXTDZ($A$1,$B10,Y$1,$B$1)</f>
        <v>248.75700000000001</v>
      </c>
      <c r="Z10" s="100">
        <f>_xll.EQNXTDZ($A$1,$B10,Z$1,$B$1)</f>
        <v>373.11900000000003</v>
      </c>
      <c r="AA10" s="100">
        <f>_xll.EQNXTDZ($A$1,$B10,AA$1,$B$1)</f>
        <v>519.38499999999999</v>
      </c>
      <c r="AB10" s="100">
        <f>_xll.EQNXTDZ($A$1,$B10,AB$1,$B$1)</f>
        <v>701.58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-8.9902999999999997E-3</v>
      </c>
      <c r="L11" s="100">
        <f>_xll.EQNXTDZ($A$1,$B11,L$1,$B$1)</f>
        <v>1.1364000000000001E-3</v>
      </c>
      <c r="M11" s="100">
        <f>_xll.EQNXTDZ($A$1,$B11,M$1,$B$1)</f>
        <v>-1.7310099999999998E-2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-0.40807179999999998</v>
      </c>
      <c r="R11" s="100">
        <f>_xll.EQNXTDZ($A$1,$B11,R$1,$B$1)</f>
        <v>-0.35099740000000001</v>
      </c>
      <c r="S11" s="100">
        <f>_xll.EQNXTDZ($A$1,$B11,S$1,$B$1)</f>
        <v>0.44245509999999999</v>
      </c>
      <c r="T11" s="100">
        <f>_xll.EQNXTDZ($A$1,$B11,T$1,$B$1)</f>
        <v>0.13932069999999999</v>
      </c>
      <c r="U11" s="100">
        <f>_xll.EQNXTDZ($A$1,$B11,U$1,$B$1)</f>
        <v>5.8000000000000003E-2</v>
      </c>
      <c r="V11" s="100">
        <f>_xll.EQNXTDZ($A$1,$B11,V$1,$B$1)</f>
        <v>-1.1830000000000001</v>
      </c>
      <c r="W11" s="100">
        <f>_xll.EQNXTDZ($A$1,$B11,W$1,$B$1)</f>
        <v>0.75</v>
      </c>
      <c r="X11" s="100">
        <f>_xll.EQNXTDZ($A$1,$B11,X$1,$B$1)</f>
        <v>-1.425</v>
      </c>
      <c r="Y11" s="100">
        <f>_xll.EQNXTDZ($A$1,$B11,Y$1,$B$1)</f>
        <v>1.1040000000000001</v>
      </c>
      <c r="Z11" s="100">
        <f>_xll.EQNXTDZ($A$1,$B11,Z$1,$B$1)</f>
        <v>-1.901</v>
      </c>
      <c r="AA11" s="100">
        <f>_xll.EQNXTDZ($A$1,$B11,AA$1,$B$1)</f>
        <v>1.5369999999999999</v>
      </c>
      <c r="AB11" s="100">
        <f>_xll.EQNXTDZ($A$1,$B11,AB$1,$B$1)</f>
        <v>-2.5009999999999999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0.38649250000000002</v>
      </c>
      <c r="L12" s="100">
        <f>_xll.EQNXTDZ($A$1,$B12,L$1,$B$1)</f>
        <v>0.39121620000000001</v>
      </c>
      <c r="M12" s="100">
        <f>_xll.EQNXTDZ($A$1,$B12,M$1,$B$1)</f>
        <v>1.2349000000000001</v>
      </c>
      <c r="N12" s="100">
        <f>_xll.EQNXTDZ($A$1,$B12,N$1,$B$1)</f>
        <v>3.4115327</v>
      </c>
      <c r="O12" s="100">
        <f>_xll.EQNXTDZ($A$1,$B12,O$1,$B$1)</f>
        <v>5.9066421</v>
      </c>
      <c r="P12" s="100">
        <f>_xll.EQNXTDZ($A$1,$B12,P$1,$B$1)</f>
        <v>5.9350912999999998</v>
      </c>
      <c r="Q12" s="100">
        <f>_xll.EQNXTDZ($A$1,$B12,Q$1,$B$1)</f>
        <v>13.868462900000001</v>
      </c>
      <c r="R12" s="100">
        <f>_xll.EQNXTDZ($A$1,$B12,R$1,$B$1)</f>
        <v>18.349396299999999</v>
      </c>
      <c r="S12" s="100">
        <f>_xll.EQNXTDZ($A$1,$B12,S$1,$B$1)</f>
        <v>22.7111044</v>
      </c>
      <c r="T12" s="100">
        <f>_xll.EQNXTDZ($A$1,$B12,T$1,$B$1)</f>
        <v>20.359333199999998</v>
      </c>
      <c r="U12" s="100">
        <f>_xll.EQNXTDZ($A$1,$B12,U$1,$B$1)</f>
        <v>20.373999999999999</v>
      </c>
      <c r="V12" s="100">
        <f>_xll.EQNXTDZ($A$1,$B12,V$1,$B$1)</f>
        <v>25.86</v>
      </c>
      <c r="W12" s="100">
        <f>_xll.EQNXTDZ($A$1,$B12,W$1,$B$1)</f>
        <v>17.956</v>
      </c>
      <c r="X12" s="100">
        <f>_xll.EQNXTDZ($A$1,$B12,X$1,$B$1)</f>
        <v>31.132000000000001</v>
      </c>
      <c r="Y12" s="100">
        <f>_xll.EQNXTDZ($A$1,$B12,Y$1,$B$1)</f>
        <v>28.762</v>
      </c>
      <c r="Z12" s="100">
        <f>_xll.EQNXTDZ($A$1,$B12,Z$1,$B$1)</f>
        <v>35.442</v>
      </c>
      <c r="AA12" s="100">
        <f>_xll.EQNXTDZ($A$1,$B12,AA$1,$B$1)</f>
        <v>30.507000000000001</v>
      </c>
      <c r="AB12" s="100">
        <f>_xll.EQNXTDZ($A$1,$B12,AB$1,$B$1)</f>
        <v>54.746000000000002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2.5000000000000001E-2</v>
      </c>
      <c r="L13" s="100">
        <f>_xll.EQNXTDZ($A$1,$B13,L$1,$B$1)</f>
        <v>0.16257969999999999</v>
      </c>
      <c r="M13" s="100">
        <f>_xll.EQNXTDZ($A$1,$B13,M$1,$B$1)</f>
        <v>0.23543349999999999</v>
      </c>
      <c r="N13" s="100">
        <f>_xll.EQNXTDZ($A$1,$B13,N$1,$B$1)</f>
        <v>0.44224239999999998</v>
      </c>
      <c r="O13" s="100">
        <f>_xll.EQNXTDZ($A$1,$B13,O$1,$B$1)</f>
        <v>0.24353759999999999</v>
      </c>
      <c r="P13" s="100">
        <f>_xll.EQNXTDZ($A$1,$B13,P$1,$B$1)</f>
        <v>0.35799409999999998</v>
      </c>
      <c r="Q13" s="100">
        <f>_xll.EQNXTDZ($A$1,$B13,Q$1,$B$1)</f>
        <v>0.45562649999999999</v>
      </c>
      <c r="R13" s="100">
        <f>_xll.EQNXTDZ($A$1,$B13,R$1,$B$1)</f>
        <v>0.48364360000000001</v>
      </c>
      <c r="S13" s="100">
        <f>_xll.EQNXTDZ($A$1,$B13,S$1,$B$1)</f>
        <v>0.59168889999999996</v>
      </c>
      <c r="T13" s="100">
        <f>_xll.EQNXTDZ($A$1,$B13,T$1,$B$1)</f>
        <v>0.69146759999999996</v>
      </c>
      <c r="U13" s="100">
        <f>_xll.EQNXTDZ($A$1,$B13,U$1,$B$1)</f>
        <v>0.77600000000000002</v>
      </c>
      <c r="V13" s="100">
        <f>_xll.EQNXTDZ($A$1,$B13,V$1,$B$1)</f>
        <v>0.89</v>
      </c>
      <c r="W13" s="100">
        <f>_xll.EQNXTDZ($A$1,$B13,W$1,$B$1)</f>
        <v>0.71299999999999997</v>
      </c>
      <c r="X13" s="100">
        <f>_xll.EQNXTDZ($A$1,$B13,X$1,$B$1)</f>
        <v>0.93899999999999995</v>
      </c>
      <c r="Y13" s="100">
        <f>_xll.EQNXTDZ($A$1,$B13,Y$1,$B$1)</f>
        <v>1.3819999999999999</v>
      </c>
      <c r="Z13" s="100">
        <f>_xll.EQNXTDZ($A$1,$B13,Z$1,$B$1)</f>
        <v>1.905</v>
      </c>
      <c r="AA13" s="100">
        <f>_xll.EQNXTDZ($A$1,$B13,AA$1,$B$1)</f>
        <v>1.6020000000000001</v>
      </c>
      <c r="AB13" s="100">
        <f>_xll.EQNXTDZ($A$1,$B13,AB$1,$B$1)</f>
        <v>1.724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1.2263797000000001</v>
      </c>
      <c r="L14" s="100">
        <f>_xll.EQNXTDZ($A$1,$B14,L$1,$B$1)</f>
        <v>3.5728276000000001</v>
      </c>
      <c r="M14" s="100">
        <f>_xll.EQNXTDZ($A$1,$B14,M$1,$B$1)</f>
        <v>5.9969784549999998</v>
      </c>
      <c r="N14" s="100">
        <f>_xll.EQNXTDZ($A$1,$B14,N$1,$B$1)</f>
        <v>5.9006673999999997</v>
      </c>
      <c r="O14" s="100">
        <f>_xll.EQNXTDZ($A$1,$B14,O$1,$B$1)</f>
        <v>5.1395645999999999</v>
      </c>
      <c r="P14" s="100">
        <f>_xll.EQNXTDZ($A$1,$B14,P$1,$B$1)</f>
        <v>4.2396399999999996</v>
      </c>
      <c r="Q14" s="100">
        <f>_xll.EQNXTDZ($A$1,$B14,Q$1,$B$1)</f>
        <v>8.0713445000000004</v>
      </c>
      <c r="R14" s="100">
        <f>_xll.EQNXTDZ($A$1,$B14,R$1,$B$1)</f>
        <v>10.3369483</v>
      </c>
      <c r="S14" s="100">
        <f>_xll.EQNXTDZ($A$1,$B14,S$1,$B$1)</f>
        <v>16.855986399999999</v>
      </c>
      <c r="T14" s="100">
        <f>_xll.EQNXTDZ($A$1,$B14,T$1,$B$1)</f>
        <v>18.566130000000001</v>
      </c>
      <c r="U14" s="100">
        <f>_xll.EQNXTDZ($A$1,$B14,U$1,$B$1)</f>
        <v>25.852</v>
      </c>
      <c r="V14" s="100">
        <f>_xll.EQNXTDZ($A$1,$B14,V$1,$B$1)</f>
        <v>29.216999999999999</v>
      </c>
      <c r="W14" s="100">
        <f>_xll.EQNXTDZ($A$1,$B14,W$1,$B$1)</f>
        <v>41.710999999999999</v>
      </c>
      <c r="X14" s="100">
        <f>_xll.EQNXTDZ($A$1,$B14,X$1,$B$1)</f>
        <v>47.796999999999997</v>
      </c>
      <c r="Y14" s="100">
        <f>_xll.EQNXTDZ($A$1,$B14,Y$1,$B$1)</f>
        <v>64.361000000000004</v>
      </c>
      <c r="Z14" s="100">
        <f>_xll.EQNXTDZ($A$1,$B14,Z$1,$B$1)</f>
        <v>81.287999999999997</v>
      </c>
      <c r="AA14" s="100">
        <f>_xll.EQNXTDZ($A$1,$B14,AA$1,$B$1)</f>
        <v>92.963999999999999</v>
      </c>
      <c r="AB14" s="100">
        <f>_xll.EQNXTDZ($A$1,$B14,AB$1,$B$1)</f>
        <v>138.80600000000001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4.2356999999999999E-2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0.1816596</v>
      </c>
      <c r="O15" s="100">
        <f>_xll.EQNXTDZ($A$1,$B15,O$1,$B$1)</f>
        <v>0.34810770000000002</v>
      </c>
      <c r="P15" s="100">
        <f>_xll.EQNXTDZ($A$1,$B15,P$1,$B$1)</f>
        <v>0.18602489999999999</v>
      </c>
      <c r="Q15" s="100">
        <f>_xll.EQNXTDZ($A$1,$B15,Q$1,$B$1)</f>
        <v>0.1238553</v>
      </c>
      <c r="R15" s="100">
        <f>_xll.EQNXTDZ($A$1,$B15,R$1,$B$1)</f>
        <v>0.17872660000000001</v>
      </c>
      <c r="S15" s="100">
        <f>_xll.EQNXTDZ($A$1,$B15,S$1,$B$1)</f>
        <v>0.50924340000000001</v>
      </c>
      <c r="T15" s="100">
        <f>_xll.EQNXTDZ($A$1,$B15,T$1,$B$1)</f>
        <v>2.8371392000000002</v>
      </c>
      <c r="U15" s="100">
        <f>_xll.EQNXTDZ($A$1,$B15,U$1,$B$1)</f>
        <v>5.3019999999999996</v>
      </c>
      <c r="V15" s="100">
        <f>_xll.EQNXTDZ($A$1,$B15,V$1,$B$1)</f>
        <v>7.5049999999999999</v>
      </c>
      <c r="W15" s="100">
        <f>_xll.EQNXTDZ($A$1,$B15,W$1,$B$1)</f>
        <v>5.5529999999999999</v>
      </c>
      <c r="X15" s="100">
        <f>_xll.EQNXTDZ($A$1,$B15,X$1,$B$1)</f>
        <v>5.125</v>
      </c>
      <c r="Y15" s="100">
        <f>_xll.EQNXTDZ($A$1,$B15,Y$1,$B$1)</f>
        <v>27.838999999999999</v>
      </c>
      <c r="Z15" s="100">
        <f>_xll.EQNXTDZ($A$1,$B15,Z$1,$B$1)</f>
        <v>86.46</v>
      </c>
      <c r="AA15" s="100">
        <f>_xll.EQNXTDZ($A$1,$B15,AA$1,$B$1)</f>
        <v>190.61699999999999</v>
      </c>
      <c r="AB15" s="100">
        <f>_xll.EQNXTDZ($A$1,$B15,AB$1,$B$1)</f>
        <v>240.959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0.1123769</v>
      </c>
      <c r="L16" s="100">
        <f>_xll.EQNXTDZ($A$1,$B16,L$1,$B$1)</f>
        <v>1.1962957999999999</v>
      </c>
      <c r="M16" s="100">
        <f>_xll.EQNXTDZ($A$1,$B16,M$1,$B$1)</f>
        <v>3.7933537789999998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1.6809483000000001</v>
      </c>
      <c r="L17" s="100">
        <f>_xll.EQNXTDZ($A$1,$B17,L$1,$B$1)</f>
        <v>2.4666021319999998</v>
      </c>
      <c r="M17" s="100">
        <f>_xll.EQNXTDZ($A$1,$B17,M$1,$B$1)</f>
        <v>3.286924092</v>
      </c>
      <c r="N17" s="100">
        <f>_xll.EQNXTDZ($A$1,$B17,N$1,$B$1)</f>
        <v>2.9505857999999998</v>
      </c>
      <c r="O17" s="100">
        <f>_xll.EQNXTDZ($A$1,$B17,O$1,$B$1)</f>
        <v>2.6047088</v>
      </c>
      <c r="P17" s="100">
        <f>_xll.EQNXTDZ($A$1,$B17,P$1,$B$1)</f>
        <v>2.3424493000000002</v>
      </c>
      <c r="Q17" s="100">
        <f>_xll.EQNXTDZ($A$1,$B17,Q$1,$B$1)</f>
        <v>4.7103431999999996</v>
      </c>
      <c r="R17" s="100">
        <f>_xll.EQNXTDZ($A$1,$B17,R$1,$B$1)</f>
        <v>5.4203232999999997</v>
      </c>
      <c r="S17" s="100">
        <f>_xll.EQNXTDZ($A$1,$B17,S$1,$B$1)</f>
        <v>6.8645449999999997</v>
      </c>
      <c r="T17" s="100">
        <f>_xll.EQNXTDZ($A$1,$B17,T$1,$B$1)</f>
        <v>11.289022299999999</v>
      </c>
      <c r="U17" s="100">
        <f>_xll.EQNXTDZ($A$1,$B17,U$1,$B$1)</f>
        <v>9.2289999999999992</v>
      </c>
      <c r="V17" s="100">
        <f>_xll.EQNXTDZ($A$1,$B17,V$1,$B$1)</f>
        <v>13.170999999999999</v>
      </c>
      <c r="W17" s="100">
        <f>_xll.EQNXTDZ($A$1,$B17,W$1,$B$1)</f>
        <v>14.965</v>
      </c>
      <c r="X17" s="100">
        <f>_xll.EQNXTDZ($A$1,$B17,X$1,$B$1)</f>
        <v>18.093</v>
      </c>
      <c r="Y17" s="100">
        <f>_xll.EQNXTDZ($A$1,$B17,Y$1,$B$1)</f>
        <v>23.202999999999999</v>
      </c>
      <c r="Z17" s="100">
        <f>_xll.EQNXTDZ($A$1,$B17,Z$1,$B$1)</f>
        <v>39.79</v>
      </c>
      <c r="AA17" s="100">
        <f>_xll.EQNXTDZ($A$1,$B17,AA$1,$B$1)</f>
        <v>40.881999999999998</v>
      </c>
      <c r="AB17" s="100">
        <f>_xll.EQNXTDZ($A$1,$B17,AB$1,$B$1)</f>
        <v>50.414999999999999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1.3407575</v>
      </c>
      <c r="L18" s="100">
        <f>_xll.EQNXTDZ($A$1,$B18,L$1,$B$1)</f>
        <v>0.55229099999999998</v>
      </c>
      <c r="M18" s="100">
        <f>_xll.EQNXTDZ($A$1,$B18,M$1,$B$1)</f>
        <v>0.55482526300000001</v>
      </c>
      <c r="N18" s="100">
        <f>_xll.EQNXTDZ($A$1,$B18,N$1,$B$1)</f>
        <v>0.13859389999999999</v>
      </c>
      <c r="O18" s="100">
        <f>_xll.EQNXTDZ($A$1,$B18,O$1,$B$1)</f>
        <v>0.52534499999999995</v>
      </c>
      <c r="P18" s="100">
        <f>_xll.EQNXTDZ($A$1,$B18,P$1,$B$1)</f>
        <v>0.40537000000000001</v>
      </c>
      <c r="Q18" s="100">
        <f>_xll.EQNXTDZ($A$1,$B18,Q$1,$B$1)</f>
        <v>1.9773763</v>
      </c>
      <c r="R18" s="100">
        <f>_xll.EQNXTDZ($A$1,$B18,R$1,$B$1)</f>
        <v>1.4931531</v>
      </c>
      <c r="S18" s="100">
        <f>_xll.EQNXTDZ($A$1,$B18,S$1,$B$1)</f>
        <v>1.5041921</v>
      </c>
      <c r="T18" s="100">
        <f>_xll.EQNXTDZ($A$1,$B18,T$1,$B$1)</f>
        <v>7.2668641000000003</v>
      </c>
      <c r="U18" s="100">
        <f>_xll.EQNXTDZ($A$1,$B18,U$1,$B$1)</f>
        <v>7.25</v>
      </c>
      <c r="V18" s="100">
        <f>_xll.EQNXTDZ($A$1,$B18,V$1,$B$1)</f>
        <v>8.1129999999999995</v>
      </c>
      <c r="W18" s="100">
        <f>_xll.EQNXTDZ($A$1,$B18,W$1,$B$1)</f>
        <v>9.7650000000000006</v>
      </c>
      <c r="X18" s="100">
        <f>_xll.EQNXTDZ($A$1,$B18,X$1,$B$1)</f>
        <v>13.221</v>
      </c>
      <c r="Y18" s="100">
        <f>_xll.EQNXTDZ($A$1,$B18,Y$1,$B$1)</f>
        <v>13.186</v>
      </c>
      <c r="Z18" s="100">
        <f>_xll.EQNXTDZ($A$1,$B18,Z$1,$B$1)</f>
        <v>11.098000000000001</v>
      </c>
      <c r="AA18" s="100">
        <f>_xll.EQNXTDZ($A$1,$B18,AA$1,$B$1)</f>
        <v>33.771999999999998</v>
      </c>
      <c r="AB18" s="100">
        <f>_xll.EQNXTDZ($A$1,$B18,AB$1,$B$1)</f>
        <v>49.978000000000002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0.2650286</v>
      </c>
      <c r="L19" s="100">
        <f>_xll.EQNXTDZ($A$1,$B19,L$1,$B$1)</f>
        <v>0</v>
      </c>
      <c r="M19" s="100">
        <f>_xll.EQNXTDZ($A$1,$B19,M$1,$B$1)</f>
        <v>3.5999999999999997E-2</v>
      </c>
      <c r="N19" s="100">
        <f>_xll.EQNXTDZ($A$1,$B19,N$1,$B$1)</f>
        <v>2.3407475</v>
      </c>
      <c r="O19" s="100">
        <f>_xll.EQNXTDZ($A$1,$B19,O$1,$B$1)</f>
        <v>1.3169196999999999</v>
      </c>
      <c r="P19" s="100">
        <f>_xll.EQNXTDZ($A$1,$B19,P$1,$B$1)</f>
        <v>1.4815805</v>
      </c>
      <c r="Q19" s="100">
        <f>_xll.EQNXTDZ($A$1,$B19,Q$1,$B$1)</f>
        <v>0.35277550000000002</v>
      </c>
      <c r="R19" s="100">
        <f>_xll.EQNXTDZ($A$1,$B19,R$1,$B$1)</f>
        <v>0.19948389999999999</v>
      </c>
      <c r="S19" s="100">
        <f>_xll.EQNXTDZ($A$1,$B19,S$1,$B$1)</f>
        <v>0.29970479999999999</v>
      </c>
      <c r="T19" s="100">
        <f>_xll.EQNXTDZ($A$1,$B19,T$1,$B$1)</f>
        <v>0.19777690000000001</v>
      </c>
      <c r="U19" s="100">
        <f>_xll.EQNXTDZ($A$1,$B19,U$1,$B$1)</f>
        <v>0.52900000000000003</v>
      </c>
      <c r="V19" s="100">
        <f>_xll.EQNXTDZ($A$1,$B19,V$1,$B$1)</f>
        <v>0.93899999999999995</v>
      </c>
      <c r="W19" s="100">
        <f>_xll.EQNXTDZ($A$1,$B19,W$1,$B$1)</f>
        <v>0.253</v>
      </c>
      <c r="X19" s="100">
        <f>_xll.EQNXTDZ($A$1,$B19,X$1,$B$1)</f>
        <v>0.76500000000000001</v>
      </c>
      <c r="Y19" s="100">
        <f>_xll.EQNXTDZ($A$1,$B19,Y$1,$B$1)</f>
        <v>1.61</v>
      </c>
      <c r="Z19" s="100">
        <f>_xll.EQNXTDZ($A$1,$B19,Z$1,$B$1)</f>
        <v>9.4819999999999993</v>
      </c>
      <c r="AA19" s="100">
        <f>_xll.EQNXTDZ($A$1,$B19,AA$1,$B$1)</f>
        <v>3.573</v>
      </c>
      <c r="AB19" s="100">
        <f>_xll.EQNXTDZ($A$1,$B19,AB$1,$B$1)</f>
        <v>11.778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5.0703502</v>
      </c>
      <c r="L21" s="100">
        <f>_xll.EQNXTDZ($A$1,$B21,L$1,$B$1)</f>
        <v>8.3429488319999994</v>
      </c>
      <c r="M21" s="100">
        <f>_xll.EQNXTDZ($A$1,$B21,M$1,$B$1)</f>
        <v>15.121104989000001</v>
      </c>
      <c r="N21" s="100">
        <f>_xll.EQNXTDZ($A$1,$B21,N$1,$B$1)</f>
        <v>15.366029299999999</v>
      </c>
      <c r="O21" s="100">
        <f>_xll.EQNXTDZ($A$1,$B21,O$1,$B$1)</f>
        <v>16.084825500000001</v>
      </c>
      <c r="P21" s="100">
        <f>_xll.EQNXTDZ($A$1,$B21,P$1,$B$1)</f>
        <v>14.948150099999999</v>
      </c>
      <c r="Q21" s="100">
        <f>_xll.EQNXTDZ($A$1,$B21,Q$1,$B$1)</f>
        <v>29.151712400000001</v>
      </c>
      <c r="R21" s="100">
        <f>_xll.EQNXTDZ($A$1,$B21,R$1,$B$1)</f>
        <v>36.110677699999997</v>
      </c>
      <c r="S21" s="100">
        <f>_xll.EQNXTDZ($A$1,$B21,S$1,$B$1)</f>
        <v>49.778920100000001</v>
      </c>
      <c r="T21" s="100">
        <f>_xll.EQNXTDZ($A$1,$B21,T$1,$B$1)</f>
        <v>61.347054</v>
      </c>
      <c r="U21" s="100">
        <f>_xll.EQNXTDZ($A$1,$B21,U$1,$B$1)</f>
        <v>69.37</v>
      </c>
      <c r="V21" s="100">
        <f>_xll.EQNXTDZ($A$1,$B21,V$1,$B$1)</f>
        <v>84.512</v>
      </c>
      <c r="W21" s="100">
        <f>_xll.EQNXTDZ($A$1,$B21,W$1,$B$1)</f>
        <v>91.665999999999997</v>
      </c>
      <c r="X21" s="100">
        <f>_xll.EQNXTDZ($A$1,$B21,X$1,$B$1)</f>
        <v>115.64700000000001</v>
      </c>
      <c r="Y21" s="100">
        <f>_xll.EQNXTDZ($A$1,$B21,Y$1,$B$1)</f>
        <v>161.447</v>
      </c>
      <c r="Z21" s="100">
        <f>_xll.EQNXTDZ($A$1,$B21,Z$1,$B$1)</f>
        <v>263.56400000000002</v>
      </c>
      <c r="AA21" s="100">
        <f>_xll.EQNXTDZ($A$1,$B21,AA$1,$B$1)</f>
        <v>395.45400000000001</v>
      </c>
      <c r="AB21" s="100">
        <f>_xll.EQNXTDZ($A$1,$B21,AB$1,$B$1)</f>
        <v>545.90499999999997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1.2583348000000001</v>
      </c>
      <c r="L22" s="100">
        <f>_xll.EQNXTDZ($A$1,$B22,L$1,$B$1)</f>
        <v>-4.0912204320000001</v>
      </c>
      <c r="M22" s="100">
        <f>_xll.EQNXTDZ($A$1,$B22,M$1,$B$1)</f>
        <v>-3.2689827889999998</v>
      </c>
      <c r="N22" s="100">
        <f>_xll.EQNXTDZ($A$1,$B22,N$1,$B$1)</f>
        <v>-4.9578328999999997</v>
      </c>
      <c r="O22" s="100">
        <f>_xll.EQNXTDZ($A$1,$B22,O$1,$B$1)</f>
        <v>1.3277118000000001</v>
      </c>
      <c r="P22" s="100">
        <f>_xll.EQNXTDZ($A$1,$B22,P$1,$B$1)</f>
        <v>1.2727128000000001</v>
      </c>
      <c r="Q22" s="100">
        <f>_xll.EQNXTDZ($A$1,$B22,Q$1,$B$1)</f>
        <v>6.1557266000000004</v>
      </c>
      <c r="R22" s="100">
        <f>_xll.EQNXTDZ($A$1,$B22,R$1,$B$1)</f>
        <v>11.145335899999999</v>
      </c>
      <c r="S22" s="100">
        <f>_xll.EQNXTDZ($A$1,$B22,S$1,$B$1)</f>
        <v>18.522263899999999</v>
      </c>
      <c r="T22" s="100">
        <f>_xll.EQNXTDZ($A$1,$B22,T$1,$B$1)</f>
        <v>14.9065022</v>
      </c>
      <c r="U22" s="100">
        <f>_xll.EQNXTDZ($A$1,$B22,U$1,$B$1)</f>
        <v>32.213999999999999</v>
      </c>
      <c r="V22" s="100">
        <f>_xll.EQNXTDZ($A$1,$B22,V$1,$B$1)</f>
        <v>31.937999999999999</v>
      </c>
      <c r="W22" s="100">
        <f>_xll.EQNXTDZ($A$1,$B22,W$1,$B$1)</f>
        <v>39.927</v>
      </c>
      <c r="X22" s="100">
        <f>_xll.EQNXTDZ($A$1,$B22,X$1,$B$1)</f>
        <v>66.989999999999995</v>
      </c>
      <c r="Y22" s="100">
        <f>_xll.EQNXTDZ($A$1,$B22,Y$1,$B$1)</f>
        <v>87.31</v>
      </c>
      <c r="Z22" s="100">
        <f>_xll.EQNXTDZ($A$1,$B22,Z$1,$B$1)</f>
        <v>109.55500000000001</v>
      </c>
      <c r="AA22" s="100">
        <f>_xll.EQNXTDZ($A$1,$B22,AA$1,$B$1)</f>
        <v>123.931</v>
      </c>
      <c r="AB22" s="100">
        <f>_xll.EQNXTDZ($A$1,$B22,AB$1,$B$1)</f>
        <v>155.67500000000001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0.1451558</v>
      </c>
      <c r="L23" s="100">
        <f>_xll.EQNXTDZ($A$1,$B23,L$1,$B$1)</f>
        <v>1.3573584000000001</v>
      </c>
      <c r="M23" s="100">
        <f>_xll.EQNXTDZ($A$1,$B23,M$1,$B$1)</f>
        <v>6.2193195189999999</v>
      </c>
      <c r="N23" s="100">
        <f>_xll.EQNXTDZ($A$1,$B23,N$1,$B$1)</f>
        <v>2.0457078000000002</v>
      </c>
      <c r="O23" s="100">
        <f>_xll.EQNXTDZ($A$1,$B23,O$1,$B$1)</f>
        <v>2.1556958000000002</v>
      </c>
      <c r="P23" s="100">
        <f>_xll.EQNXTDZ($A$1,$B23,P$1,$B$1)</f>
        <v>1.4473822999999999</v>
      </c>
      <c r="Q23" s="100">
        <f>_xll.EQNXTDZ($A$1,$B23,Q$1,$B$1)</f>
        <v>2.1267445999999999</v>
      </c>
      <c r="R23" s="100">
        <f>_xll.EQNXTDZ($A$1,$B23,R$1,$B$1)</f>
        <v>0.38786860000000001</v>
      </c>
      <c r="S23" s="100">
        <f>_xll.EQNXTDZ($A$1,$B23,S$1,$B$1)</f>
        <v>0.61711000000000005</v>
      </c>
      <c r="T23" s="100">
        <f>_xll.EQNXTDZ($A$1,$B23,T$1,$B$1)</f>
        <v>0.59668429999999995</v>
      </c>
      <c r="U23" s="100">
        <f>_xll.EQNXTDZ($A$1,$B23,U$1,$B$1)</f>
        <v>9.6000000000000002E-2</v>
      </c>
      <c r="V23" s="100">
        <f>_xll.EQNXTDZ($A$1,$B23,V$1,$B$1)</f>
        <v>0.34899999999999998</v>
      </c>
      <c r="W23" s="100">
        <f>_xll.EQNXTDZ($A$1,$B23,W$1,$B$1)</f>
        <v>0.86099999999999999</v>
      </c>
      <c r="X23" s="100">
        <f>_xll.EQNXTDZ($A$1,$B23,X$1,$B$1)</f>
        <v>1.0980000000000001</v>
      </c>
      <c r="Y23" s="100">
        <f>_xll.EQNXTDZ($A$1,$B23,Y$1,$B$1)</f>
        <v>5.2990000000000004</v>
      </c>
      <c r="Z23" s="100">
        <f>_xll.EQNXTDZ($A$1,$B23,Z$1,$B$1)</f>
        <v>6.9210000000000003</v>
      </c>
      <c r="AA23" s="100">
        <f>_xll.EQNXTDZ($A$1,$B23,AA$1,$B$1)</f>
        <v>8.4510000000000005</v>
      </c>
      <c r="AB23" s="100">
        <f>_xll.EQNXTDZ($A$1,$B23,AB$1,$B$1)</f>
        <v>14.958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1.4034906</v>
      </c>
      <c r="L24" s="100">
        <f>_xll.EQNXTDZ($A$1,$B24,L$1,$B$1)</f>
        <v>-2.7338620320000002</v>
      </c>
      <c r="M24" s="100">
        <f>_xll.EQNXTDZ($A$1,$B24,M$1,$B$1)</f>
        <v>2.9503367300000001</v>
      </c>
      <c r="N24" s="100">
        <f>_xll.EQNXTDZ($A$1,$B24,N$1,$B$1)</f>
        <v>-2.9121250999999999</v>
      </c>
      <c r="O24" s="100">
        <f>_xll.EQNXTDZ($A$1,$B24,O$1,$B$1)</f>
        <v>3.4834076</v>
      </c>
      <c r="P24" s="100">
        <f>_xll.EQNXTDZ($A$1,$B24,P$1,$B$1)</f>
        <v>2.7200951</v>
      </c>
      <c r="Q24" s="100">
        <f>_xll.EQNXTDZ($A$1,$B24,Q$1,$B$1)</f>
        <v>8.2824711999999998</v>
      </c>
      <c r="R24" s="100">
        <f>_xll.EQNXTDZ($A$1,$B24,R$1,$B$1)</f>
        <v>11.5332045</v>
      </c>
      <c r="S24" s="100">
        <f>_xll.EQNXTDZ($A$1,$B24,S$1,$B$1)</f>
        <v>19.139373899999999</v>
      </c>
      <c r="T24" s="100">
        <f>_xll.EQNXTDZ($A$1,$B24,T$1,$B$1)</f>
        <v>15.5031865</v>
      </c>
      <c r="U24" s="100">
        <f>_xll.EQNXTDZ($A$1,$B24,U$1,$B$1)</f>
        <v>32.31</v>
      </c>
      <c r="V24" s="100">
        <f>_xll.EQNXTDZ($A$1,$B24,V$1,$B$1)</f>
        <v>32.286999999999999</v>
      </c>
      <c r="W24" s="100">
        <f>_xll.EQNXTDZ($A$1,$B24,W$1,$B$1)</f>
        <v>40.787999999999997</v>
      </c>
      <c r="X24" s="100">
        <f>_xll.EQNXTDZ($A$1,$B24,X$1,$B$1)</f>
        <v>68.087999999999994</v>
      </c>
      <c r="Y24" s="100">
        <f>_xll.EQNXTDZ($A$1,$B24,Y$1,$B$1)</f>
        <v>92.608999999999995</v>
      </c>
      <c r="Z24" s="100">
        <f>_xll.EQNXTDZ($A$1,$B24,Z$1,$B$1)</f>
        <v>116.476</v>
      </c>
      <c r="AA24" s="100">
        <f>_xll.EQNXTDZ($A$1,$B24,AA$1,$B$1)</f>
        <v>132.38200000000001</v>
      </c>
      <c r="AB24" s="100">
        <f>_xll.EQNXTDZ($A$1,$B24,AB$1,$B$1)</f>
        <v>170.63300000000001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4.3348600000000001E-2</v>
      </c>
      <c r="L25" s="100">
        <f>_xll.EQNXTDZ($A$1,$B25,L$1,$B$1)</f>
        <v>7.2559299999999993E-2</v>
      </c>
      <c r="M25" s="100">
        <f>_xll.EQNXTDZ($A$1,$B25,M$1,$B$1)</f>
        <v>2.6737321000000001E-2</v>
      </c>
      <c r="N25" s="100">
        <f>_xll.EQNXTDZ($A$1,$B25,N$1,$B$1)</f>
        <v>4.4825900000000002E-2</v>
      </c>
      <c r="O25" s="100">
        <f>_xll.EQNXTDZ($A$1,$B25,O$1,$B$1)</f>
        <v>8.4835599999999997E-2</v>
      </c>
      <c r="P25" s="100">
        <f>_xll.EQNXTDZ($A$1,$B25,P$1,$B$1)</f>
        <v>0.12593670000000001</v>
      </c>
      <c r="Q25" s="100">
        <f>_xll.EQNXTDZ($A$1,$B25,Q$1,$B$1)</f>
        <v>0.16622700000000001</v>
      </c>
      <c r="R25" s="100">
        <f>_xll.EQNXTDZ($A$1,$B25,R$1,$B$1)</f>
        <v>4.7700800000000002E-2</v>
      </c>
      <c r="S25" s="100">
        <f>_xll.EQNXTDZ($A$1,$B25,S$1,$B$1)</f>
        <v>0.1228186</v>
      </c>
      <c r="T25" s="100">
        <f>_xll.EQNXTDZ($A$1,$B25,T$1,$B$1)</f>
        <v>0.1171238</v>
      </c>
      <c r="U25" s="100">
        <f>_xll.EQNXTDZ($A$1,$B25,U$1,$B$1)</f>
        <v>0.26400000000000001</v>
      </c>
      <c r="V25" s="100">
        <f>_xll.EQNXTDZ($A$1,$B25,V$1,$B$1)</f>
        <v>0.66800000000000004</v>
      </c>
      <c r="W25" s="100">
        <f>_xll.EQNXTDZ($A$1,$B25,W$1,$B$1)</f>
        <v>0.84099999999999997</v>
      </c>
      <c r="X25" s="100">
        <f>_xll.EQNXTDZ($A$1,$B25,X$1,$B$1)</f>
        <v>4.5599999999999996</v>
      </c>
      <c r="Y25" s="100">
        <f>_xll.EQNXTDZ($A$1,$B25,Y$1,$B$1)</f>
        <v>3.3849999999999998</v>
      </c>
      <c r="Z25" s="100">
        <f>_xll.EQNXTDZ($A$1,$B25,Z$1,$B$1)</f>
        <v>3.0049999999999999</v>
      </c>
      <c r="AA25" s="100">
        <f>_xll.EQNXTDZ($A$1,$B25,AA$1,$B$1)</f>
        <v>1.1579999999999999</v>
      </c>
      <c r="AB25" s="100">
        <f>_xll.EQNXTDZ($A$1,$B25,AB$1,$B$1)</f>
        <v>5.069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1.360142</v>
      </c>
      <c r="L26" s="100">
        <f>_xll.EQNXTDZ($A$1,$B26,L$1,$B$1)</f>
        <v>-2.8064213320000002</v>
      </c>
      <c r="M26" s="100">
        <f>_xll.EQNXTDZ($A$1,$B26,M$1,$B$1)</f>
        <v>2.9235994089999999</v>
      </c>
      <c r="N26" s="100">
        <f>_xll.EQNXTDZ($A$1,$B26,N$1,$B$1)</f>
        <v>-2.9569510000000001</v>
      </c>
      <c r="O26" s="100">
        <f>_xll.EQNXTDZ($A$1,$B26,O$1,$B$1)</f>
        <v>3.3985720000000001</v>
      </c>
      <c r="P26" s="100">
        <f>_xll.EQNXTDZ($A$1,$B26,P$1,$B$1)</f>
        <v>2.5941584</v>
      </c>
      <c r="Q26" s="100">
        <f>_xll.EQNXTDZ($A$1,$B26,Q$1,$B$1)</f>
        <v>8.1162442000000006</v>
      </c>
      <c r="R26" s="100">
        <f>_xll.EQNXTDZ($A$1,$B26,R$1,$B$1)</f>
        <v>11.485503700000001</v>
      </c>
      <c r="S26" s="100">
        <f>_xll.EQNXTDZ($A$1,$B26,S$1,$B$1)</f>
        <v>19.0165553</v>
      </c>
      <c r="T26" s="100">
        <f>_xll.EQNXTDZ($A$1,$B26,T$1,$B$1)</f>
        <v>15.3860627</v>
      </c>
      <c r="U26" s="100">
        <f>_xll.EQNXTDZ($A$1,$B26,U$1,$B$1)</f>
        <v>32.045999999999999</v>
      </c>
      <c r="V26" s="100">
        <f>_xll.EQNXTDZ($A$1,$B26,V$1,$B$1)</f>
        <v>31.619</v>
      </c>
      <c r="W26" s="100">
        <f>_xll.EQNXTDZ($A$1,$B26,W$1,$B$1)</f>
        <v>39.947000000000003</v>
      </c>
      <c r="X26" s="100">
        <f>_xll.EQNXTDZ($A$1,$B26,X$1,$B$1)</f>
        <v>63.527999999999999</v>
      </c>
      <c r="Y26" s="100">
        <f>_xll.EQNXTDZ($A$1,$B26,Y$1,$B$1)</f>
        <v>89.224000000000004</v>
      </c>
      <c r="Z26" s="100">
        <f>_xll.EQNXTDZ($A$1,$B26,Z$1,$B$1)</f>
        <v>113.471</v>
      </c>
      <c r="AA26" s="100">
        <f>_xll.EQNXTDZ($A$1,$B26,AA$1,$B$1)</f>
        <v>131.22399999999999</v>
      </c>
      <c r="AB26" s="100">
        <f>_xll.EQNXTDZ($A$1,$B26,AB$1,$B$1)</f>
        <v>165.56399999999999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0.27027430000000002</v>
      </c>
      <c r="L27" s="100">
        <f>_xll.EQNXTDZ($A$1,$B27,L$1,$B$1)</f>
        <v>1.2679019</v>
      </c>
      <c r="M27" s="100">
        <f>_xll.EQNXTDZ($A$1,$B27,M$1,$B$1)</f>
        <v>1.6611598000000001</v>
      </c>
      <c r="N27" s="100">
        <f>_xll.EQNXTDZ($A$1,$B27,N$1,$B$1)</f>
        <v>1.8827107999999999</v>
      </c>
      <c r="O27" s="100">
        <f>_xll.EQNXTDZ($A$1,$B27,O$1,$B$1)</f>
        <v>1.6165653</v>
      </c>
      <c r="P27" s="100">
        <f>_xll.EQNXTDZ($A$1,$B27,P$1,$B$1)</f>
        <v>1.3709207000000001</v>
      </c>
      <c r="Q27" s="100">
        <f>_xll.EQNXTDZ($A$1,$B27,Q$1,$B$1)</f>
        <v>2.5611896999999999</v>
      </c>
      <c r="R27" s="100">
        <f>_xll.EQNXTDZ($A$1,$B27,R$1,$B$1)</f>
        <v>4.6256708</v>
      </c>
      <c r="S27" s="100">
        <f>_xll.EQNXTDZ($A$1,$B27,S$1,$B$1)</f>
        <v>5.4512242999999998</v>
      </c>
      <c r="T27" s="100">
        <f>_xll.EQNXTDZ($A$1,$B27,T$1,$B$1)</f>
        <v>6.0891719000000002</v>
      </c>
      <c r="U27" s="100">
        <f>_xll.EQNXTDZ($A$1,$B27,U$1,$B$1)</f>
        <v>8.5</v>
      </c>
      <c r="V27" s="100">
        <f>_xll.EQNXTDZ($A$1,$B27,V$1,$B$1)</f>
        <v>8.6010000000000009</v>
      </c>
      <c r="W27" s="100">
        <f>_xll.EQNXTDZ($A$1,$B27,W$1,$B$1)</f>
        <v>8.7669999999999995</v>
      </c>
      <c r="X27" s="100">
        <f>_xll.EQNXTDZ($A$1,$B27,X$1,$B$1)</f>
        <v>13.07</v>
      </c>
      <c r="Y27" s="100">
        <f>_xll.EQNXTDZ($A$1,$B27,Y$1,$B$1)</f>
        <v>15.845000000000001</v>
      </c>
      <c r="Z27" s="100">
        <f>_xll.EQNXTDZ($A$1,$B27,Z$1,$B$1)</f>
        <v>20.809000000000001</v>
      </c>
      <c r="AA27" s="100">
        <f>_xll.EQNXTDZ($A$1,$B27,AA$1,$B$1)</f>
        <v>23.826000000000001</v>
      </c>
      <c r="AB27" s="100">
        <f>_xll.EQNXTDZ($A$1,$B27,AB$1,$B$1)</f>
        <v>34.250999999999998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8.25</v>
      </c>
      <c r="O29" s="100">
        <f>_xll.EQNXTDZ($A$1,$B29,O$1,$B$1)</f>
        <v>-1.22235E-2</v>
      </c>
      <c r="P29" s="100">
        <f>_xll.EQNXTDZ($A$1,$B29,P$1,$B$1)</f>
        <v>-8.1385546000000009</v>
      </c>
      <c r="Q29" s="100">
        <f>_xll.EQNXTDZ($A$1,$B29,Q$1,$B$1)</f>
        <v>-13.792242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-1.899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0.38362740000000001</v>
      </c>
      <c r="L30" s="100">
        <f>_xll.EQNXTDZ($A$1,$B30,L$1,$B$1)</f>
        <v>-1.2816217999999999</v>
      </c>
      <c r="M30" s="100">
        <f>_xll.EQNXTDZ($A$1,$B30,M$1,$B$1)</f>
        <v>1.2222999999999999</v>
      </c>
      <c r="N30" s="100">
        <f>_xll.EQNXTDZ($A$1,$B30,N$1,$B$1)</f>
        <v>-2.33388E-2</v>
      </c>
      <c r="O30" s="100">
        <f>_xll.EQNXTDZ($A$1,$B30,O$1,$B$1)</f>
        <v>0.57431399999999999</v>
      </c>
      <c r="P30" s="100">
        <f>_xll.EQNXTDZ($A$1,$B30,P$1,$B$1)</f>
        <v>0.4738851</v>
      </c>
      <c r="Q30" s="100">
        <f>_xll.EQNXTDZ($A$1,$B30,Q$1,$B$1)</f>
        <v>0.84994539999999996</v>
      </c>
      <c r="R30" s="100">
        <f>_xll.EQNXTDZ($A$1,$B30,R$1,$B$1)</f>
        <v>1.5431115</v>
      </c>
      <c r="S30" s="100">
        <f>_xll.EQNXTDZ($A$1,$B30,S$1,$B$1)</f>
        <v>3.5547849999999999</v>
      </c>
      <c r="T30" s="100">
        <f>_xll.EQNXTDZ($A$1,$B30,T$1,$B$1)</f>
        <v>1.3968048</v>
      </c>
      <c r="U30" s="100">
        <f>_xll.EQNXTDZ($A$1,$B30,U$1,$B$1)</f>
        <v>4.2110000000000003</v>
      </c>
      <c r="V30" s="100">
        <f>_xll.EQNXTDZ($A$1,$B30,V$1,$B$1)</f>
        <v>4.6020000000000003</v>
      </c>
      <c r="W30" s="100">
        <f>_xll.EQNXTDZ($A$1,$B30,W$1,$B$1)</f>
        <v>5.8209999999999997</v>
      </c>
      <c r="X30" s="100">
        <f>_xll.EQNXTDZ($A$1,$B30,X$1,$B$1)</f>
        <v>9.3219999999999992</v>
      </c>
      <c r="Y30" s="100">
        <f>_xll.EQNXTDZ($A$1,$B30,Y$1,$B$1)</f>
        <v>12.180999999999999</v>
      </c>
      <c r="Z30" s="100">
        <f>_xll.EQNXTDZ($A$1,$B30,Z$1,$B$1)</f>
        <v>16.309999999999999</v>
      </c>
      <c r="AA30" s="100">
        <f>_xll.EQNXTDZ($A$1,$B30,AA$1,$B$1)</f>
        <v>20.164000000000001</v>
      </c>
      <c r="AB30" s="100">
        <f>_xll.EQNXTDZ($A$1,$B30,AB$1,$B$1)</f>
        <v>21.265999999999998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-1.77</v>
      </c>
      <c r="W32" s="100">
        <f>_xll.EQNXTDZ($A$1,$B32,W$1,$B$1)</f>
        <v>-7.899</v>
      </c>
      <c r="X32" s="100">
        <f>_xll.EQNXTDZ($A$1,$B32,X$1,$B$1)</f>
        <v>0.26800000000000002</v>
      </c>
      <c r="Y32" s="100">
        <f>_xll.EQNXTDZ($A$1,$B32,Y$1,$B$1)</f>
        <v>0.47899999999999998</v>
      </c>
      <c r="Z32" s="100">
        <f>_xll.EQNXTDZ($A$1,$B32,Z$1,$B$1)</f>
        <v>-1.288</v>
      </c>
      <c r="AA32" s="100">
        <f>_xll.EQNXTDZ($A$1,$B32,AA$1,$B$1)</f>
        <v>-2.5960000000000001</v>
      </c>
      <c r="AB32" s="100">
        <f>_xll.EQNXTDZ($A$1,$B32,AB$1,$B$1)</f>
        <v>-2.246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-8.9999999999999993E-3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0.70624030000000004</v>
      </c>
      <c r="L35" s="100">
        <f>_xll.EQNXTDZ($A$1,$B35,L$1,$B$1)</f>
        <v>-2.7927014319999999</v>
      </c>
      <c r="M35" s="100">
        <f>_xll.EQNXTDZ($A$1,$B35,M$1,$B$1)</f>
        <v>4.0139609E-2</v>
      </c>
      <c r="N35" s="100">
        <f>_xll.EQNXTDZ($A$1,$B35,N$1,$B$1)</f>
        <v>3.4336769999999999</v>
      </c>
      <c r="O35" s="100">
        <f>_xll.EQNXTDZ($A$1,$B35,O$1,$B$1)</f>
        <v>1.1954692</v>
      </c>
      <c r="P35" s="100">
        <f>_xll.EQNXTDZ($A$1,$B35,P$1,$B$1)</f>
        <v>-7.389202</v>
      </c>
      <c r="Q35" s="100">
        <f>_xll.EQNXTDZ($A$1,$B35,Q$1,$B$1)</f>
        <v>-9.0871329000000003</v>
      </c>
      <c r="R35" s="100">
        <f>_xll.EQNXTDZ($A$1,$B35,R$1,$B$1)</f>
        <v>5.3167213999999996</v>
      </c>
      <c r="S35" s="100">
        <f>_xll.EQNXTDZ($A$1,$B35,S$1,$B$1)</f>
        <v>9.5409214999999996</v>
      </c>
      <c r="T35" s="100">
        <f>_xll.EQNXTDZ($A$1,$B35,T$1,$B$1)</f>
        <v>7.6706082999999996</v>
      </c>
      <c r="U35" s="100">
        <f>_xll.EQNXTDZ($A$1,$B35,U$1,$B$1)</f>
        <v>17.436</v>
      </c>
      <c r="V35" s="100">
        <f>_xll.EQNXTDZ($A$1,$B35,V$1,$B$1)</f>
        <v>16.646000000000001</v>
      </c>
      <c r="W35" s="100">
        <f>_xll.EQNXTDZ($A$1,$B35,W$1,$B$1)</f>
        <v>17.46</v>
      </c>
      <c r="X35" s="100">
        <f>_xll.EQNXTDZ($A$1,$B35,X$1,$B$1)</f>
        <v>41.404000000000003</v>
      </c>
      <c r="Y35" s="100">
        <f>_xll.EQNXTDZ($A$1,$B35,Y$1,$B$1)</f>
        <v>61.677</v>
      </c>
      <c r="Z35" s="100">
        <f>_xll.EQNXTDZ($A$1,$B35,Z$1,$B$1)</f>
        <v>75.063999999999993</v>
      </c>
      <c r="AA35" s="100">
        <f>_xll.EQNXTDZ($A$1,$B35,AA$1,$B$1)</f>
        <v>84.638000000000005</v>
      </c>
      <c r="AB35" s="100">
        <f>_xll.EQNXTDZ($A$1,$B35,AB$1,$B$1)</f>
        <v>107.792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-0.4696245</v>
      </c>
      <c r="T36" s="100">
        <f>_xll.EQNXTDZ($A$1,$B36,T$1,$B$1)</f>
        <v>-0.22947770000000001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5</v>
      </c>
      <c r="L41" s="55">
        <f>_xll.EQNXTDZ($A$1,$B41,L$1,$B$1)</f>
        <v>29.877551</v>
      </c>
      <c r="M41" s="55">
        <f>_xll.EQNXTDZ($A$1,$B41,M$1,$B$1)</f>
        <v>54.877550999999997</v>
      </c>
      <c r="N41" s="55">
        <f>_xll.EQNXTDZ($A$1,$B41,N$1,$B$1)</f>
        <v>54.877550999999997</v>
      </c>
      <c r="O41" s="55">
        <f>_xll.EQNXTDZ($A$1,$B41,O$1,$B$1)</f>
        <v>54.877550999999997</v>
      </c>
      <c r="P41" s="55">
        <f>_xll.EQNXTDZ($A$1,$B41,P$1,$B$1)</f>
        <v>54.877550999999997</v>
      </c>
      <c r="Q41" s="55">
        <f>_xll.EQNXTDZ($A$1,$B41,Q$1,$B$1)</f>
        <v>55.664003000000001</v>
      </c>
      <c r="R41" s="55">
        <f>_xll.EQNXTDZ($A$1,$B41,R$1,$B$1)</f>
        <v>55.664003000000001</v>
      </c>
      <c r="S41" s="55">
        <f>_xll.EQNXTDZ($A$1,$B41,S$1,$B$1)</f>
        <v>55.589846000000001</v>
      </c>
      <c r="T41" s="55">
        <f>_xll.EQNXTDZ($A$1,$B41,T$1,$B$1)</f>
        <v>51.189846000000003</v>
      </c>
      <c r="U41" s="55">
        <f>_xll.EQNXTDZ($A$1,$B41,U$1,$B$1)</f>
        <v>43.69</v>
      </c>
      <c r="V41" s="55">
        <f>_xll.EQNXTDZ($A$1,$B41,V$1,$B$1)</f>
        <v>43.69</v>
      </c>
      <c r="W41" s="55">
        <f>_xll.EQNXTDZ($A$1,$B41,W$1,$B$1)</f>
        <v>43.69</v>
      </c>
      <c r="X41" s="55">
        <f>_xll.EQNXTDZ($A$1,$B41,X$1,$B$1)</f>
        <v>43.69</v>
      </c>
      <c r="Y41" s="55">
        <f>_xll.EQNXTDZ($A$1,$B41,Y$1,$B$1)</f>
        <v>37.487000000000002</v>
      </c>
      <c r="Z41" s="55">
        <f>_xll.EQNXTDZ($A$1,$B41,Z$1,$B$1)</f>
        <v>40.42</v>
      </c>
      <c r="AA41" s="55">
        <f>_xll.EQNXTDZ($A$1,$B41,AA$1,$B$1)</f>
        <v>40.661999999999999</v>
      </c>
      <c r="AB41" s="55">
        <f>_xll.EQNXTDZ($A$1,$B41,AB$1,$B$1)</f>
        <v>41.021999999999998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11.7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0.52400000000000002</v>
      </c>
      <c r="Y42" s="55">
        <f>_xll.EQNXTDZ($A$1,$B42,Y$1,$B$1)</f>
        <v>2.7189999999999999</v>
      </c>
      <c r="Z42" s="55">
        <f>_xll.EQNXTDZ($A$1,$B42,Z$1,$B$1)</f>
        <v>6.23</v>
      </c>
      <c r="AA42" s="55">
        <f>_xll.EQNXTDZ($A$1,$B42,AA$1,$B$1)</f>
        <v>11.632</v>
      </c>
      <c r="AB42" s="55">
        <f>_xll.EQNXTDZ($A$1,$B42,AB$1,$B$1)</f>
        <v>18.658999999999999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0.70624030000000004</v>
      </c>
      <c r="L43" s="55">
        <f>_xll.EQNXTDZ($A$1,$B43,L$1,$B$1)</f>
        <v>-2.0864611320000002</v>
      </c>
      <c r="M43" s="55">
        <f>_xll.EQNXTDZ($A$1,$B43,M$1,$B$1)</f>
        <v>-2.0463216910000002</v>
      </c>
      <c r="N43" s="55">
        <f>_xll.EQNXTDZ($A$1,$B43,N$1,$B$1)</f>
        <v>1.3873553999999999</v>
      </c>
      <c r="O43" s="55">
        <f>_xll.EQNXTDZ($A$1,$B43,O$1,$B$1)</f>
        <v>2.5828245999999999</v>
      </c>
      <c r="P43" s="55">
        <f>_xll.EQNXTDZ($A$1,$B43,P$1,$B$1)</f>
        <v>-4.8063773999999997</v>
      </c>
      <c r="Q43" s="55">
        <f>_xll.EQNXTDZ($A$1,$B43,Q$1,$B$1)</f>
        <v>-5.0450745000000001</v>
      </c>
      <c r="R43" s="55">
        <f>_xll.EQNXTDZ($A$1,$B43,R$1,$B$1)</f>
        <v>-1.2087737000000001</v>
      </c>
      <c r="S43" s="55">
        <f>_xll.EQNXTDZ($A$1,$B43,S$1,$B$1)</f>
        <v>7.5180736000000001</v>
      </c>
      <c r="T43" s="55">
        <f>_xll.EQNXTDZ($A$1,$B43,T$1,$B$1)</f>
        <v>15.148860000000001</v>
      </c>
      <c r="U43" s="55">
        <f>_xll.EQNXTDZ($A$1,$B43,U$1,$B$1)</f>
        <v>31.952999999999999</v>
      </c>
      <c r="V43" s="55">
        <f>_xll.EQNXTDZ($A$1,$B43,V$1,$B$1)</f>
        <v>48.45</v>
      </c>
      <c r="W43" s="55">
        <f>_xll.EQNXTDZ($A$1,$B43,W$1,$B$1)</f>
        <v>63.667999999999999</v>
      </c>
      <c r="X43" s="55">
        <f>_xll.EQNXTDZ($A$1,$B43,X$1,$B$1)</f>
        <v>108.592</v>
      </c>
      <c r="Y43" s="55">
        <f>_xll.EQNXTDZ($A$1,$B43,Y$1,$B$1)</f>
        <v>351.39</v>
      </c>
      <c r="Z43" s="55">
        <f>_xll.EQNXTDZ($A$1,$B43,Z$1,$B$1)</f>
        <v>609.64300000000003</v>
      </c>
      <c r="AA43" s="55">
        <f>_xll.EQNXTDZ($A$1,$B43,AA$1,$B$1)</f>
        <v>693.03200000000004</v>
      </c>
      <c r="AB43" s="55">
        <f>_xll.EQNXTDZ($A$1,$B43,AB$1,$B$1)</f>
        <v>851.452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17.4062403</v>
      </c>
      <c r="L44" s="55">
        <f>_xll.EQNXTDZ($A$1,$B44,L$1,$B$1)</f>
        <v>27.791089868</v>
      </c>
      <c r="M44" s="55">
        <f>_xll.EQNXTDZ($A$1,$B44,M$1,$B$1)</f>
        <v>52.831229309000001</v>
      </c>
      <c r="N44" s="55">
        <f>_xll.EQNXTDZ($A$1,$B44,N$1,$B$1)</f>
        <v>56.264906400000001</v>
      </c>
      <c r="O44" s="55">
        <f>_xll.EQNXTDZ($A$1,$B44,O$1,$B$1)</f>
        <v>57.460375599999999</v>
      </c>
      <c r="P44" s="55">
        <f>_xll.EQNXTDZ($A$1,$B44,P$1,$B$1)</f>
        <v>50.071173600000002</v>
      </c>
      <c r="Q44" s="55">
        <f>_xll.EQNXTDZ($A$1,$B44,Q$1,$B$1)</f>
        <v>50.618928500000003</v>
      </c>
      <c r="R44" s="55">
        <f>_xll.EQNXTDZ($A$1,$B44,R$1,$B$1)</f>
        <v>54.455229299999999</v>
      </c>
      <c r="S44" s="55">
        <f>_xll.EQNXTDZ($A$1,$B44,S$1,$B$1)</f>
        <v>63.107919600000002</v>
      </c>
      <c r="T44" s="55">
        <f>_xll.EQNXTDZ($A$1,$B44,T$1,$B$1)</f>
        <v>66.338706000000002</v>
      </c>
      <c r="U44" s="55">
        <f>_xll.EQNXTDZ($A$1,$B44,U$1,$B$1)</f>
        <v>75.643000000000001</v>
      </c>
      <c r="V44" s="55">
        <f>_xll.EQNXTDZ($A$1,$B44,V$1,$B$1)</f>
        <v>92.14</v>
      </c>
      <c r="W44" s="55">
        <f>_xll.EQNXTDZ($A$1,$B44,W$1,$B$1)</f>
        <v>107.358</v>
      </c>
      <c r="X44" s="55">
        <f>_xll.EQNXTDZ($A$1,$B44,X$1,$B$1)</f>
        <v>152.80600000000001</v>
      </c>
      <c r="Y44" s="55">
        <f>_xll.EQNXTDZ($A$1,$B44,Y$1,$B$1)</f>
        <v>391.596</v>
      </c>
      <c r="Z44" s="55">
        <f>_xll.EQNXTDZ($A$1,$B44,Z$1,$B$1)</f>
        <v>656.29300000000001</v>
      </c>
      <c r="AA44" s="55">
        <f>_xll.EQNXTDZ($A$1,$B44,AA$1,$B$1)</f>
        <v>745.32600000000002</v>
      </c>
      <c r="AB44" s="55">
        <f>_xll.EQNXTDZ($A$1,$B44,AB$1,$B$1)</f>
        <v>911.13300000000004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0.93700000000000006</v>
      </c>
      <c r="W45" s="55">
        <f>_xll.EQNXTDZ($A$1,$B45,W$1,$B$1)</f>
        <v>9.2590000000000003</v>
      </c>
      <c r="X45" s="55">
        <f>_xll.EQNXTDZ($A$1,$B45,X$1,$B$1)</f>
        <v>1.296</v>
      </c>
      <c r="Y45" s="55">
        <f>_xll.EQNXTDZ($A$1,$B45,Y$1,$B$1)</f>
        <v>0.81799999999999995</v>
      </c>
      <c r="Z45" s="55">
        <f>_xll.EQNXTDZ($A$1,$B45,Z$1,$B$1)</f>
        <v>5.782</v>
      </c>
      <c r="AA45" s="55">
        <f>_xll.EQNXTDZ($A$1,$B45,AA$1,$B$1)</f>
        <v>1.954</v>
      </c>
      <c r="AB45" s="55">
        <f>_xll.EQNXTDZ($A$1,$B45,AB$1,$B$1)</f>
        <v>1.4570000000000001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0.19510189999999999</v>
      </c>
      <c r="O47" s="55">
        <f>_xll.EQNXTDZ($A$1,$B47,O$1,$B$1)</f>
        <v>0.1240919</v>
      </c>
      <c r="P47" s="55">
        <f>_xll.EQNXTDZ($A$1,$B47,P$1,$B$1)</f>
        <v>0.21843799999999999</v>
      </c>
      <c r="Q47" s="55">
        <f>_xll.EQNXTDZ($A$1,$B47,Q$1,$B$1)</f>
        <v>0.13839090000000001</v>
      </c>
      <c r="R47" s="55">
        <f>_xll.EQNXTDZ($A$1,$B47,R$1,$B$1)</f>
        <v>8.8702299999999998E-2</v>
      </c>
      <c r="S47" s="55">
        <f>_xll.EQNXTDZ($A$1,$B47,S$1,$B$1)</f>
        <v>0</v>
      </c>
      <c r="T47" s="55">
        <f>_xll.EQNXTDZ($A$1,$B47,T$1,$B$1)</f>
        <v>3.4125999999999999</v>
      </c>
      <c r="U47" s="55">
        <f>_xll.EQNXTDZ($A$1,$B47,U$1,$B$1)</f>
        <v>18.577999999999999</v>
      </c>
      <c r="V47" s="55">
        <f>_xll.EQNXTDZ($A$1,$B47,V$1,$B$1)</f>
        <v>26.940999999999999</v>
      </c>
      <c r="W47" s="55">
        <f>_xll.EQNXTDZ($A$1,$B47,W$1,$B$1)</f>
        <v>22.091000000000001</v>
      </c>
      <c r="X47" s="55">
        <f>_xll.EQNXTDZ($A$1,$B47,X$1,$B$1)</f>
        <v>19.768999999999998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12.988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5.9325000000000003E-2</v>
      </c>
      <c r="O48" s="55">
        <f>_xll.EQNXTDZ($A$1,$B48,O$1,$B$1)</f>
        <v>2.2125905000000001</v>
      </c>
      <c r="P48" s="55">
        <f>_xll.EQNXTDZ($A$1,$B48,P$1,$B$1)</f>
        <v>3.2608481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0.30969999999999998</v>
      </c>
      <c r="L49" s="55">
        <f>_xll.EQNXTDZ($A$1,$B49,L$1,$B$1)</f>
        <v>-0.97389999999999999</v>
      </c>
      <c r="M49" s="55">
        <f>_xll.EQNXTDZ($A$1,$B49,M$1,$B$1)</f>
        <v>0.24840000000000001</v>
      </c>
      <c r="N49" s="55">
        <f>_xll.EQNXTDZ($A$1,$B49,N$1,$B$1)</f>
        <v>0.1191</v>
      </c>
      <c r="O49" s="55">
        <f>_xll.EQNXTDZ($A$1,$B49,O$1,$B$1)</f>
        <v>-0.1356</v>
      </c>
      <c r="P49" s="55">
        <f>_xll.EQNXTDZ($A$1,$B49,P$1,$B$1)</f>
        <v>-0.35099999999999998</v>
      </c>
      <c r="Q49" s="55">
        <f>_xll.EQNXTDZ($A$1,$B49,Q$1,$B$1)</f>
        <v>0.9244</v>
      </c>
      <c r="R49" s="55">
        <f>_xll.EQNXTDZ($A$1,$B49,R$1,$B$1)</f>
        <v>0.77110000000000001</v>
      </c>
      <c r="S49" s="55">
        <f>_xll.EQNXTDZ($A$1,$B49,S$1,$B$1)</f>
        <v>1.09494</v>
      </c>
      <c r="T49" s="55">
        <f>_xll.EQNXTDZ($A$1,$B49,T$1,$B$1)</f>
        <v>0.18384010000000001</v>
      </c>
      <c r="U49" s="55">
        <f>_xll.EQNXTDZ($A$1,$B49,U$1,$B$1)</f>
        <v>0.31</v>
      </c>
      <c r="V49" s="55">
        <f>_xll.EQNXTDZ($A$1,$B49,V$1,$B$1)</f>
        <v>0.75800000000000001</v>
      </c>
      <c r="W49" s="55">
        <f>_xll.EQNXTDZ($A$1,$B49,W$1,$B$1)</f>
        <v>1.3640000000000001</v>
      </c>
      <c r="X49" s="55">
        <f>_xll.EQNXTDZ($A$1,$B49,X$1,$B$1)</f>
        <v>1.792</v>
      </c>
      <c r="Y49" s="55">
        <f>_xll.EQNXTDZ($A$1,$B49,Y$1,$B$1)</f>
        <v>2.5649999999999999</v>
      </c>
      <c r="Z49" s="55">
        <f>_xll.EQNXTDZ($A$1,$B49,Z$1,$B$1)</f>
        <v>6.7220000000000004</v>
      </c>
      <c r="AA49" s="55">
        <f>_xll.EQNXTDZ($A$1,$B49,AA$1,$B$1)</f>
        <v>11.476000000000001</v>
      </c>
      <c r="AB49" s="55">
        <f>_xll.EQNXTDZ($A$1,$B49,AB$1,$B$1)</f>
        <v>16.667999999999999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0.4886143</v>
      </c>
      <c r="R50" s="55">
        <f>_xll.EQNXTDZ($A$1,$B50,R$1,$B$1)</f>
        <v>0.67482560000000003</v>
      </c>
      <c r="S50" s="55">
        <f>_xll.EQNXTDZ($A$1,$B50,S$1,$B$1)</f>
        <v>1.676267</v>
      </c>
      <c r="T50" s="55">
        <f>_xll.EQNXTDZ($A$1,$B50,T$1,$B$1)</f>
        <v>1.1238798000000001</v>
      </c>
      <c r="U50" s="55">
        <f>_xll.EQNXTDZ($A$1,$B50,U$1,$B$1)</f>
        <v>1.843</v>
      </c>
      <c r="V50" s="55">
        <f>_xll.EQNXTDZ($A$1,$B50,V$1,$B$1)</f>
        <v>1.617</v>
      </c>
      <c r="W50" s="55">
        <f>_xll.EQNXTDZ($A$1,$B50,W$1,$B$1)</f>
        <v>14.255000000000001</v>
      </c>
      <c r="X50" s="55">
        <f>_xll.EQNXTDZ($A$1,$B50,X$1,$B$1)</f>
        <v>10.625</v>
      </c>
      <c r="Y50" s="55">
        <f>_xll.EQNXTDZ($A$1,$B50,Y$1,$B$1)</f>
        <v>6.202</v>
      </c>
      <c r="Z50" s="55">
        <f>_xll.EQNXTDZ($A$1,$B50,Z$1,$B$1)</f>
        <v>2.911</v>
      </c>
      <c r="AA50" s="55">
        <f>_xll.EQNXTDZ($A$1,$B50,AA$1,$B$1)</f>
        <v>8.4930000000000003</v>
      </c>
      <c r="AB50" s="55">
        <f>_xll.EQNXTDZ($A$1,$B50,AB$1,$B$1)</f>
        <v>108.267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0.27969339999999998</v>
      </c>
      <c r="O52" s="55">
        <f>_xll.EQNXTDZ($A$1,$B52,O$1,$B$1)</f>
        <v>0.48047020000000001</v>
      </c>
      <c r="P52" s="55">
        <f>_xll.EQNXTDZ($A$1,$B52,P$1,$B$1)</f>
        <v>0.37546659999999998</v>
      </c>
      <c r="Q52" s="55">
        <f>_xll.EQNXTDZ($A$1,$B52,Q$1,$B$1)</f>
        <v>0.37326219999999999</v>
      </c>
      <c r="R52" s="55">
        <f>_xll.EQNXTDZ($A$1,$B52,R$1,$B$1)</f>
        <v>0.57651830000000004</v>
      </c>
      <c r="S52" s="55">
        <f>_xll.EQNXTDZ($A$1,$B52,S$1,$B$1)</f>
        <v>1.1209487</v>
      </c>
      <c r="T52" s="55">
        <f>_xll.EQNXTDZ($A$1,$B52,T$1,$B$1)</f>
        <v>1.2311057999999999</v>
      </c>
      <c r="U52" s="55">
        <f>_xll.EQNXTDZ($A$1,$B52,U$1,$B$1)</f>
        <v>1.8720000000000001</v>
      </c>
      <c r="V52" s="55">
        <f>_xll.EQNXTDZ($A$1,$B52,V$1,$B$1)</f>
        <v>2.1680000000000001</v>
      </c>
      <c r="W52" s="55">
        <f>_xll.EQNXTDZ($A$1,$B52,W$1,$B$1)</f>
        <v>3.2650000000000001</v>
      </c>
      <c r="X52" s="55">
        <f>_xll.EQNXTDZ($A$1,$B52,X$1,$B$1)</f>
        <v>2.7490000000000001</v>
      </c>
      <c r="Y52" s="55">
        <f>_xll.EQNXTDZ($A$1,$B52,Y$1,$B$1)</f>
        <v>2.7610000000000001</v>
      </c>
      <c r="Z52" s="55">
        <f>_xll.EQNXTDZ($A$1,$B52,Z$1,$B$1)</f>
        <v>2.5659999999999998</v>
      </c>
      <c r="AA52" s="55">
        <f>_xll.EQNXTDZ($A$1,$B52,AA$1,$B$1)</f>
        <v>3.5249999999999999</v>
      </c>
      <c r="AB52" s="55">
        <f>_xll.EQNXTDZ($A$1,$B52,AB$1,$B$1)</f>
        <v>5.12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0.30969999999999998</v>
      </c>
      <c r="L53" s="55">
        <f>_xll.EQNXTDZ($A$1,$B53,L$1,$B$1)</f>
        <v>-0.97389999999999999</v>
      </c>
      <c r="M53" s="55">
        <f>_xll.EQNXTDZ($A$1,$B53,M$1,$B$1)</f>
        <v>0.24840000000000001</v>
      </c>
      <c r="N53" s="55">
        <f>_xll.EQNXTDZ($A$1,$B53,N$1,$B$1)</f>
        <v>0.65322029999999998</v>
      </c>
      <c r="O53" s="55">
        <f>_xll.EQNXTDZ($A$1,$B53,O$1,$B$1)</f>
        <v>2.6815525999999998</v>
      </c>
      <c r="P53" s="55">
        <f>_xll.EQNXTDZ($A$1,$B53,P$1,$B$1)</f>
        <v>3.5037527000000002</v>
      </c>
      <c r="Q53" s="55">
        <f>_xll.EQNXTDZ($A$1,$B53,Q$1,$B$1)</f>
        <v>1.9246673999999999</v>
      </c>
      <c r="R53" s="55">
        <f>_xll.EQNXTDZ($A$1,$B53,R$1,$B$1)</f>
        <v>2.1111461999999999</v>
      </c>
      <c r="S53" s="55">
        <f>_xll.EQNXTDZ($A$1,$B53,S$1,$B$1)</f>
        <v>3.8921557</v>
      </c>
      <c r="T53" s="55">
        <f>_xll.EQNXTDZ($A$1,$B53,T$1,$B$1)</f>
        <v>5.9514256999999997</v>
      </c>
      <c r="U53" s="55">
        <f>_xll.EQNXTDZ($A$1,$B53,U$1,$B$1)</f>
        <v>22.603000000000002</v>
      </c>
      <c r="V53" s="55">
        <f>_xll.EQNXTDZ($A$1,$B53,V$1,$B$1)</f>
        <v>31.484000000000002</v>
      </c>
      <c r="W53" s="55">
        <f>_xll.EQNXTDZ($A$1,$B53,W$1,$B$1)</f>
        <v>40.975000000000001</v>
      </c>
      <c r="X53" s="55">
        <f>_xll.EQNXTDZ($A$1,$B53,X$1,$B$1)</f>
        <v>34.935000000000002</v>
      </c>
      <c r="Y53" s="55">
        <f>_xll.EQNXTDZ($A$1,$B53,Y$1,$B$1)</f>
        <v>11.528</v>
      </c>
      <c r="Z53" s="55">
        <f>_xll.EQNXTDZ($A$1,$B53,Z$1,$B$1)</f>
        <v>12.199</v>
      </c>
      <c r="AA53" s="55">
        <f>_xll.EQNXTDZ($A$1,$B53,AA$1,$B$1)</f>
        <v>23.494</v>
      </c>
      <c r="AB53" s="55">
        <f>_xll.EQNXTDZ($A$1,$B53,AB$1,$B$1)</f>
        <v>143.04300000000001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3.1418461</v>
      </c>
      <c r="L54" s="55">
        <f>_xll.EQNXTDZ($A$1,$B54,L$1,$B$1)</f>
        <v>1.3872910000000001</v>
      </c>
      <c r="M54" s="55">
        <f>_xll.EQNXTDZ($A$1,$B54,M$1,$B$1)</f>
        <v>2.2833082</v>
      </c>
      <c r="N54" s="55">
        <f>_xll.EQNXTDZ($A$1,$B54,N$1,$B$1)</f>
        <v>0.52671109999999999</v>
      </c>
      <c r="O54" s="55">
        <f>_xll.EQNXTDZ($A$1,$B54,O$1,$B$1)</f>
        <v>0.42475639999999998</v>
      </c>
      <c r="P54" s="55">
        <f>_xll.EQNXTDZ($A$1,$B54,P$1,$B$1)</f>
        <v>1.3415169</v>
      </c>
      <c r="Q54" s="55">
        <f>_xll.EQNXTDZ($A$1,$B54,Q$1,$B$1)</f>
        <v>1.0830675000000001</v>
      </c>
      <c r="R54" s="55">
        <f>_xll.EQNXTDZ($A$1,$B54,R$1,$B$1)</f>
        <v>1.8064366999999999</v>
      </c>
      <c r="S54" s="55">
        <f>_xll.EQNXTDZ($A$1,$B54,S$1,$B$1)</f>
        <v>0.38135019999999997</v>
      </c>
      <c r="T54" s="55">
        <f>_xll.EQNXTDZ($A$1,$B54,T$1,$B$1)</f>
        <v>1.3794198</v>
      </c>
      <c r="U54" s="55">
        <f>_xll.EQNXTDZ($A$1,$B54,U$1,$B$1)</f>
        <v>4.625</v>
      </c>
      <c r="V54" s="55">
        <f>_xll.EQNXTDZ($A$1,$B54,V$1,$B$1)</f>
        <v>7.7859999999999996</v>
      </c>
      <c r="W54" s="55">
        <f>_xll.EQNXTDZ($A$1,$B54,W$1,$B$1)</f>
        <v>3.4980000000000002</v>
      </c>
      <c r="X54" s="55">
        <f>_xll.EQNXTDZ($A$1,$B54,X$1,$B$1)</f>
        <v>14.372</v>
      </c>
      <c r="Y54" s="55">
        <f>_xll.EQNXTDZ($A$1,$B54,Y$1,$B$1)</f>
        <v>18.213999999999999</v>
      </c>
      <c r="Z54" s="55">
        <f>_xll.EQNXTDZ($A$1,$B54,Z$1,$B$1)</f>
        <v>23.962</v>
      </c>
      <c r="AA54" s="55">
        <f>_xll.EQNXTDZ($A$1,$B54,AA$1,$B$1)</f>
        <v>31.434000000000001</v>
      </c>
      <c r="AB54" s="55">
        <f>_xll.EQNXTDZ($A$1,$B54,AB$1,$B$1)</f>
        <v>60.091999999999999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1.3821205999999999</v>
      </c>
      <c r="L55" s="55">
        <f>_xll.EQNXTDZ($A$1,$B55,L$1,$B$1)</f>
        <v>4.2846188999999999</v>
      </c>
      <c r="M55" s="55">
        <f>_xll.EQNXTDZ($A$1,$B55,M$1,$B$1)</f>
        <v>1.7408926</v>
      </c>
      <c r="N55" s="55">
        <f>_xll.EQNXTDZ($A$1,$B55,N$1,$B$1)</f>
        <v>1.5224723</v>
      </c>
      <c r="O55" s="55">
        <f>_xll.EQNXTDZ($A$1,$B55,O$1,$B$1)</f>
        <v>2.2674158000000002</v>
      </c>
      <c r="P55" s="55">
        <f>_xll.EQNXTDZ($A$1,$B55,P$1,$B$1)</f>
        <v>1.9644504</v>
      </c>
      <c r="Q55" s="55">
        <f>_xll.EQNXTDZ($A$1,$B55,Q$1,$B$1)</f>
        <v>1.9857402</v>
      </c>
      <c r="R55" s="55">
        <f>_xll.EQNXTDZ($A$1,$B55,R$1,$B$1)</f>
        <v>3.1299290000000002</v>
      </c>
      <c r="S55" s="55">
        <f>_xll.EQNXTDZ($A$1,$B55,S$1,$B$1)</f>
        <v>7.6109752999999998</v>
      </c>
      <c r="T55" s="55">
        <f>_xll.EQNXTDZ($A$1,$B55,T$1,$B$1)</f>
        <v>6.0275039000000001</v>
      </c>
      <c r="U55" s="55">
        <f>_xll.EQNXTDZ($A$1,$B55,U$1,$B$1)</f>
        <v>5.6909999999999998</v>
      </c>
      <c r="V55" s="55">
        <f>_xll.EQNXTDZ($A$1,$B55,V$1,$B$1)</f>
        <v>7.7610000000000001</v>
      </c>
      <c r="W55" s="55">
        <f>_xll.EQNXTDZ($A$1,$B55,W$1,$B$1)</f>
        <v>12.849</v>
      </c>
      <c r="X55" s="55">
        <f>_xll.EQNXTDZ($A$1,$B55,X$1,$B$1)</f>
        <v>18.995000000000001</v>
      </c>
      <c r="Y55" s="55">
        <f>_xll.EQNXTDZ($A$1,$B55,Y$1,$B$1)</f>
        <v>15.46</v>
      </c>
      <c r="Z55" s="55">
        <f>_xll.EQNXTDZ($A$1,$B55,Z$1,$B$1)</f>
        <v>21.584</v>
      </c>
      <c r="AA55" s="55">
        <f>_xll.EQNXTDZ($A$1,$B55,AA$1,$B$1)</f>
        <v>34.491999999999997</v>
      </c>
      <c r="AB55" s="55">
        <f>_xll.EQNXTDZ($A$1,$B55,AB$1,$B$1)</f>
        <v>54.332999999999998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2.0147073999999998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1.5641388000000001</v>
      </c>
      <c r="R56" s="55">
        <f>_xll.EQNXTDZ($A$1,$B56,R$1,$B$1)</f>
        <v>0</v>
      </c>
      <c r="S56" s="55">
        <f>_xll.EQNXTDZ($A$1,$B56,S$1,$B$1)</f>
        <v>5.6726296999999999</v>
      </c>
      <c r="T56" s="55">
        <f>_xll.EQNXTDZ($A$1,$B56,T$1,$B$1)</f>
        <v>4.8745400999999999</v>
      </c>
      <c r="U56" s="55">
        <f>_xll.EQNXTDZ($A$1,$B56,U$1,$B$1)</f>
        <v>7.6959999999999997</v>
      </c>
      <c r="V56" s="55">
        <f>_xll.EQNXTDZ($A$1,$B56,V$1,$B$1)</f>
        <v>12.502000000000001</v>
      </c>
      <c r="W56" s="55">
        <f>_xll.EQNXTDZ($A$1,$B56,W$1,$B$1)</f>
        <v>8.7149999999999999</v>
      </c>
      <c r="X56" s="55">
        <f>_xll.EQNXTDZ($A$1,$B56,X$1,$B$1)</f>
        <v>25.588000000000001</v>
      </c>
      <c r="Y56" s="55">
        <f>_xll.EQNXTDZ($A$1,$B56,Y$1,$B$1)</f>
        <v>15.65</v>
      </c>
      <c r="Z56" s="55">
        <f>_xll.EQNXTDZ($A$1,$B56,Z$1,$B$1)</f>
        <v>7.4710000000000001</v>
      </c>
      <c r="AA56" s="55">
        <f>_xll.EQNXTDZ($A$1,$B56,AA$1,$B$1)</f>
        <v>0</v>
      </c>
      <c r="AB56" s="55">
        <f>_xll.EQNXTDZ($A$1,$B56,AB$1,$B$1)</f>
        <v>8.2870000000000008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0.3307215</v>
      </c>
      <c r="L57" s="55">
        <f>_xll.EQNXTDZ($A$1,$B57,L$1,$B$1)</f>
        <v>0.40731020000000001</v>
      </c>
      <c r="M57" s="55">
        <f>_xll.EQNXTDZ($A$1,$B57,M$1,$B$1)</f>
        <v>0.2391923</v>
      </c>
      <c r="N57" s="55">
        <f>_xll.EQNXTDZ($A$1,$B57,N$1,$B$1)</f>
        <v>1.3184277</v>
      </c>
      <c r="O57" s="55">
        <f>_xll.EQNXTDZ($A$1,$B57,O$1,$B$1)</f>
        <v>1.7135457999999999</v>
      </c>
      <c r="P57" s="55">
        <f>_xll.EQNXTDZ($A$1,$B57,P$1,$B$1)</f>
        <v>1.3315165</v>
      </c>
      <c r="Q57" s="55">
        <f>_xll.EQNXTDZ($A$1,$B57,Q$1,$B$1)</f>
        <v>0.1375026</v>
      </c>
      <c r="R57" s="55">
        <f>_xll.EQNXTDZ($A$1,$B57,R$1,$B$1)</f>
        <v>0.1516854</v>
      </c>
      <c r="S57" s="55">
        <f>_xll.EQNXTDZ($A$1,$B57,S$1,$B$1)</f>
        <v>0.16506580000000001</v>
      </c>
      <c r="T57" s="55">
        <f>_xll.EQNXTDZ($A$1,$B57,T$1,$B$1)</f>
        <v>0.2116671</v>
      </c>
      <c r="U57" s="55">
        <f>_xll.EQNXTDZ($A$1,$B57,U$1,$B$1)</f>
        <v>3.2570000000000001</v>
      </c>
      <c r="V57" s="55">
        <f>_xll.EQNXTDZ($A$1,$B57,V$1,$B$1)</f>
        <v>6.101</v>
      </c>
      <c r="W57" s="55">
        <f>_xll.EQNXTDZ($A$1,$B57,W$1,$B$1)</f>
        <v>9.26</v>
      </c>
      <c r="X57" s="55">
        <f>_xll.EQNXTDZ($A$1,$B57,X$1,$B$1)</f>
        <v>11.148999999999999</v>
      </c>
      <c r="Y57" s="55">
        <f>_xll.EQNXTDZ($A$1,$B57,Y$1,$B$1)</f>
        <v>6.6790000000000003</v>
      </c>
      <c r="Z57" s="55">
        <f>_xll.EQNXTDZ($A$1,$B57,Z$1,$B$1)</f>
        <v>22.709</v>
      </c>
      <c r="AA57" s="55">
        <f>_xll.EQNXTDZ($A$1,$B57,AA$1,$B$1)</f>
        <v>31.434999999999999</v>
      </c>
      <c r="AB57" s="55">
        <f>_xll.EQNXTDZ($A$1,$B57,AB$1,$B$1)</f>
        <v>35.088000000000001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4.8546882</v>
      </c>
      <c r="L59" s="55">
        <f>_xll.EQNXTDZ($A$1,$B59,L$1,$B$1)</f>
        <v>6.0792200999999997</v>
      </c>
      <c r="M59" s="55">
        <f>_xll.EQNXTDZ($A$1,$B59,M$1,$B$1)</f>
        <v>4.2633931</v>
      </c>
      <c r="N59" s="55">
        <f>_xll.EQNXTDZ($A$1,$B59,N$1,$B$1)</f>
        <v>5.3823185000000002</v>
      </c>
      <c r="O59" s="55">
        <f>_xll.EQNXTDZ($A$1,$B59,O$1,$B$1)</f>
        <v>4.4057180000000002</v>
      </c>
      <c r="P59" s="55">
        <f>_xll.EQNXTDZ($A$1,$B59,P$1,$B$1)</f>
        <v>4.6374838</v>
      </c>
      <c r="Q59" s="55">
        <f>_xll.EQNXTDZ($A$1,$B59,Q$1,$B$1)</f>
        <v>4.7704491000000004</v>
      </c>
      <c r="R59" s="55">
        <f>_xll.EQNXTDZ($A$1,$B59,R$1,$B$1)</f>
        <v>5.0880511000000004</v>
      </c>
      <c r="S59" s="55">
        <f>_xll.EQNXTDZ($A$1,$B59,S$1,$B$1)</f>
        <v>13.830021</v>
      </c>
      <c r="T59" s="55">
        <f>_xll.EQNXTDZ($A$1,$B59,T$1,$B$1)</f>
        <v>12.493130900000001</v>
      </c>
      <c r="U59" s="55">
        <f>_xll.EQNXTDZ($A$1,$B59,U$1,$B$1)</f>
        <v>21.268999999999998</v>
      </c>
      <c r="V59" s="55">
        <f>_xll.EQNXTDZ($A$1,$B59,V$1,$B$1)</f>
        <v>34.15</v>
      </c>
      <c r="W59" s="55">
        <f>_xll.EQNXTDZ($A$1,$B59,W$1,$B$1)</f>
        <v>34.322000000000003</v>
      </c>
      <c r="X59" s="55">
        <f>_xll.EQNXTDZ($A$1,$B59,X$1,$B$1)</f>
        <v>70.103999999999999</v>
      </c>
      <c r="Y59" s="55">
        <f>_xll.EQNXTDZ($A$1,$B59,Y$1,$B$1)</f>
        <v>56.003</v>
      </c>
      <c r="Z59" s="55">
        <f>_xll.EQNXTDZ($A$1,$B59,Z$1,$B$1)</f>
        <v>75.725999999999999</v>
      </c>
      <c r="AA59" s="55">
        <f>_xll.EQNXTDZ($A$1,$B59,AA$1,$B$1)</f>
        <v>97.361000000000004</v>
      </c>
      <c r="AB59" s="55">
        <f>_xll.EQNXTDZ($A$1,$B59,AB$1,$B$1)</f>
        <v>157.80000000000001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22.570628500000002</v>
      </c>
      <c r="L60" s="55">
        <f>_xll.EQNXTDZ($A$1,$B60,L$1,$B$1)</f>
        <v>32.896409968</v>
      </c>
      <c r="M60" s="55">
        <f>_xll.EQNXTDZ($A$1,$B60,M$1,$B$1)</f>
        <v>57.343022409</v>
      </c>
      <c r="N60" s="55">
        <f>_xll.EQNXTDZ($A$1,$B60,N$1,$B$1)</f>
        <v>62.300445199999999</v>
      </c>
      <c r="O60" s="55">
        <f>_xll.EQNXTDZ($A$1,$B60,O$1,$B$1)</f>
        <v>64.547646200000003</v>
      </c>
      <c r="P60" s="55">
        <f>_xll.EQNXTDZ($A$1,$B60,P$1,$B$1)</f>
        <v>58.2124101</v>
      </c>
      <c r="Q60" s="55">
        <f>_xll.EQNXTDZ($A$1,$B60,Q$1,$B$1)</f>
        <v>57.314045</v>
      </c>
      <c r="R60" s="55">
        <f>_xll.EQNXTDZ($A$1,$B60,R$1,$B$1)</f>
        <v>61.654426600000001</v>
      </c>
      <c r="S60" s="55">
        <f>_xll.EQNXTDZ($A$1,$B60,S$1,$B$1)</f>
        <v>80.830096299999994</v>
      </c>
      <c r="T60" s="55">
        <f>_xll.EQNXTDZ($A$1,$B60,T$1,$B$1)</f>
        <v>84.7832626</v>
      </c>
      <c r="U60" s="55">
        <f>_xll.EQNXTDZ($A$1,$B60,U$1,$B$1)</f>
        <v>119.515</v>
      </c>
      <c r="V60" s="55">
        <f>_xll.EQNXTDZ($A$1,$B60,V$1,$B$1)</f>
        <v>158.71100000000001</v>
      </c>
      <c r="W60" s="55">
        <f>_xll.EQNXTDZ($A$1,$B60,W$1,$B$1)</f>
        <v>191.91399999999999</v>
      </c>
      <c r="X60" s="55">
        <f>_xll.EQNXTDZ($A$1,$B60,X$1,$B$1)</f>
        <v>259.14100000000002</v>
      </c>
      <c r="Y60" s="55">
        <f>_xll.EQNXTDZ($A$1,$B60,Y$1,$B$1)</f>
        <v>459.94499999999999</v>
      </c>
      <c r="Z60" s="55">
        <f>_xll.EQNXTDZ($A$1,$B60,Z$1,$B$1)</f>
        <v>750</v>
      </c>
      <c r="AA60" s="55">
        <f>_xll.EQNXTDZ($A$1,$B60,AA$1,$B$1)</f>
        <v>868.13499999999999</v>
      </c>
      <c r="AB60" s="55">
        <f>_xll.EQNXTDZ($A$1,$B60,AB$1,$B$1)</f>
        <v>1213.433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5.8046800000000003</v>
      </c>
      <c r="L62" s="55">
        <f>_xll.EQNXTDZ($A$1,$B62,L$1,$B$1)</f>
        <v>9.8561674999999997</v>
      </c>
      <c r="M62" s="55">
        <f>_xll.EQNXTDZ($A$1,$B62,M$1,$B$1)</f>
        <v>10.6077253</v>
      </c>
      <c r="N62" s="55">
        <f>_xll.EQNXTDZ($A$1,$B62,N$1,$B$1)</f>
        <v>11.9383465</v>
      </c>
      <c r="O62" s="55">
        <f>_xll.EQNXTDZ($A$1,$B62,O$1,$B$1)</f>
        <v>12.098907000000001</v>
      </c>
      <c r="P62" s="55">
        <f>_xll.EQNXTDZ($A$1,$B62,P$1,$B$1)</f>
        <v>12.271446600000001</v>
      </c>
      <c r="Q62" s="55">
        <f>_xll.EQNXTDZ($A$1,$B62,Q$1,$B$1)</f>
        <v>43.184381999999999</v>
      </c>
      <c r="R62" s="55">
        <f>_xll.EQNXTDZ($A$1,$B62,R$1,$B$1)</f>
        <v>61.845527300000001</v>
      </c>
      <c r="S62" s="55">
        <f>_xll.EQNXTDZ($A$1,$B62,S$1,$B$1)</f>
        <v>87.926426399999997</v>
      </c>
      <c r="T62" s="55">
        <f>_xll.EQNXTDZ($A$1,$B62,T$1,$B$1)</f>
        <v>88.998145600000001</v>
      </c>
      <c r="U62" s="55">
        <f>_xll.EQNXTDZ($A$1,$B62,U$1,$B$1)</f>
        <v>102.47199999999999</v>
      </c>
      <c r="V62" s="55">
        <f>_xll.EQNXTDZ($A$1,$B62,V$1,$B$1)</f>
        <v>112.383</v>
      </c>
      <c r="W62" s="55">
        <f>_xll.EQNXTDZ($A$1,$B62,W$1,$B$1)</f>
        <v>181.15899999999999</v>
      </c>
      <c r="X62" s="55">
        <f>_xll.EQNXTDZ($A$1,$B62,X$1,$B$1)</f>
        <v>185.279</v>
      </c>
      <c r="Y62" s="55">
        <f>_xll.EQNXTDZ($A$1,$B62,Y$1,$B$1)</f>
        <v>246.21700000000001</v>
      </c>
      <c r="Z62" s="55">
        <f>_xll.EQNXTDZ($A$1,$B62,Z$1,$B$1)</f>
        <v>348.98</v>
      </c>
      <c r="AA62" s="55">
        <f>_xll.EQNXTDZ($A$1,$B62,AA$1,$B$1)</f>
        <v>526.93100000000004</v>
      </c>
      <c r="AB62" s="55">
        <f>_xll.EQNXTDZ($A$1,$B62,AB$1,$B$1)</f>
        <v>897.79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0.2703372</v>
      </c>
      <c r="L63" s="55">
        <f>_xll.EQNXTDZ($A$1,$B63,L$1,$B$1)</f>
        <v>1.6230251</v>
      </c>
      <c r="M63" s="55">
        <f>_xll.EQNXTDZ($A$1,$B63,M$1,$B$1)</f>
        <v>3.2976356</v>
      </c>
      <c r="N63" s="55">
        <f>_xll.EQNXTDZ($A$1,$B63,N$1,$B$1)</f>
        <v>5.1803464000000004</v>
      </c>
      <c r="O63" s="55">
        <f>_xll.EQNXTDZ($A$1,$B63,O$1,$B$1)</f>
        <v>6.7969115999999996</v>
      </c>
      <c r="P63" s="55">
        <f>_xll.EQNXTDZ($A$1,$B63,P$1,$B$1)</f>
        <v>8.1678323000000006</v>
      </c>
      <c r="Q63" s="55">
        <f>_xll.EQNXTDZ($A$1,$B63,Q$1,$B$1)</f>
        <v>17.242103400000001</v>
      </c>
      <c r="R63" s="55">
        <f>_xll.EQNXTDZ($A$1,$B63,R$1,$B$1)</f>
        <v>22.748681399999999</v>
      </c>
      <c r="S63" s="55">
        <f>_xll.EQNXTDZ($A$1,$B63,S$1,$B$1)</f>
        <v>29.330005799999999</v>
      </c>
      <c r="T63" s="55">
        <f>_xll.EQNXTDZ($A$1,$B63,T$1,$B$1)</f>
        <v>35.346571300000001</v>
      </c>
      <c r="U63" s="55">
        <f>_xll.EQNXTDZ($A$1,$B63,U$1,$B$1)</f>
        <v>40.869999999999997</v>
      </c>
      <c r="V63" s="55">
        <f>_xll.EQNXTDZ($A$1,$B63,V$1,$B$1)</f>
        <v>49.904000000000003</v>
      </c>
      <c r="W63" s="55">
        <f>_xll.EQNXTDZ($A$1,$B63,W$1,$B$1)</f>
        <v>56.548999999999999</v>
      </c>
      <c r="X63" s="55">
        <f>_xll.EQNXTDZ($A$1,$B63,X$1,$B$1)</f>
        <v>67.811000000000007</v>
      </c>
      <c r="Y63" s="55">
        <f>_xll.EQNXTDZ($A$1,$B63,Y$1,$B$1)</f>
        <v>84.174999999999997</v>
      </c>
      <c r="Z63" s="55">
        <f>_xll.EQNXTDZ($A$1,$B63,Z$1,$B$1)</f>
        <v>96.316999999999993</v>
      </c>
      <c r="AA63" s="55">
        <f>_xll.EQNXTDZ($A$1,$B63,AA$1,$B$1)</f>
        <v>107.869</v>
      </c>
      <c r="AB63" s="55">
        <f>_xll.EQNXTDZ($A$1,$B63,AB$1,$B$1)</f>
        <v>170.92699999999999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5.5343428000000001</v>
      </c>
      <c r="L65" s="55">
        <f>_xll.EQNXTDZ($A$1,$B65,L$1,$B$1)</f>
        <v>8.2331424000000002</v>
      </c>
      <c r="M65" s="55">
        <f>_xll.EQNXTDZ($A$1,$B65,M$1,$B$1)</f>
        <v>7.3100896999999998</v>
      </c>
      <c r="N65" s="55">
        <f>_xll.EQNXTDZ($A$1,$B65,N$1,$B$1)</f>
        <v>6.7580001000000003</v>
      </c>
      <c r="O65" s="55">
        <f>_xll.EQNXTDZ($A$1,$B65,O$1,$B$1)</f>
        <v>5.3019954</v>
      </c>
      <c r="P65" s="55">
        <f>_xll.EQNXTDZ($A$1,$B65,P$1,$B$1)</f>
        <v>4.1036143000000003</v>
      </c>
      <c r="Q65" s="55">
        <f>_xll.EQNXTDZ($A$1,$B65,Q$1,$B$1)</f>
        <v>25.942278600000002</v>
      </c>
      <c r="R65" s="55">
        <f>_xll.EQNXTDZ($A$1,$B65,R$1,$B$1)</f>
        <v>39.096845899999998</v>
      </c>
      <c r="S65" s="55">
        <f>_xll.EQNXTDZ($A$1,$B65,S$1,$B$1)</f>
        <v>58.596420600000002</v>
      </c>
      <c r="T65" s="55">
        <f>_xll.EQNXTDZ($A$1,$B65,T$1,$B$1)</f>
        <v>53.6515743</v>
      </c>
      <c r="U65" s="55">
        <f>_xll.EQNXTDZ($A$1,$B65,U$1,$B$1)</f>
        <v>61.601999999999997</v>
      </c>
      <c r="V65" s="55">
        <f>_xll.EQNXTDZ($A$1,$B65,V$1,$B$1)</f>
        <v>62.478999999999999</v>
      </c>
      <c r="W65" s="55">
        <f>_xll.EQNXTDZ($A$1,$B65,W$1,$B$1)</f>
        <v>124.61</v>
      </c>
      <c r="X65" s="55">
        <f>_xll.EQNXTDZ($A$1,$B65,X$1,$B$1)</f>
        <v>117.468</v>
      </c>
      <c r="Y65" s="55">
        <f>_xll.EQNXTDZ($A$1,$B65,Y$1,$B$1)</f>
        <v>162.042</v>
      </c>
      <c r="Z65" s="55">
        <f>_xll.EQNXTDZ($A$1,$B65,Z$1,$B$1)</f>
        <v>252.66300000000001</v>
      </c>
      <c r="AA65" s="55">
        <f>_xll.EQNXTDZ($A$1,$B65,AA$1,$B$1)</f>
        <v>419.06200000000001</v>
      </c>
      <c r="AB65" s="55">
        <f>_xll.EQNXTDZ($A$1,$B65,AB$1,$B$1)</f>
        <v>726.86300000000006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2.4406653999999999</v>
      </c>
      <c r="L67" s="55">
        <f>_xll.EQNXTDZ($A$1,$B67,L$1,$B$1)</f>
        <v>4.2585199999999999</v>
      </c>
      <c r="M67" s="55">
        <f>_xll.EQNXTDZ($A$1,$B67,M$1,$B$1)</f>
        <v>6.8682382999999998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0.20674629999999999</v>
      </c>
      <c r="R67" s="55">
        <f>_xll.EQNXTDZ($A$1,$B67,R$1,$B$1)</f>
        <v>7.5</v>
      </c>
      <c r="S67" s="55">
        <f>_xll.EQNXTDZ($A$1,$B67,S$1,$B$1)</f>
        <v>0.6916137</v>
      </c>
      <c r="T67" s="55">
        <f>_xll.EQNXTDZ($A$1,$B67,T$1,$B$1)</f>
        <v>3.7895287</v>
      </c>
      <c r="U67" s="55">
        <f>_xll.EQNXTDZ($A$1,$B67,U$1,$B$1)</f>
        <v>21.765000000000001</v>
      </c>
      <c r="V67" s="55">
        <f>_xll.EQNXTDZ($A$1,$B67,V$1,$B$1)</f>
        <v>40.469000000000001</v>
      </c>
      <c r="W67" s="55">
        <f>_xll.EQNXTDZ($A$1,$B67,W$1,$B$1)</f>
        <v>4.4980000000000002</v>
      </c>
      <c r="X67" s="55">
        <f>_xll.EQNXTDZ($A$1,$B67,X$1,$B$1)</f>
        <v>24.934999999999999</v>
      </c>
      <c r="Y67" s="55">
        <f>_xll.EQNXTDZ($A$1,$B67,Y$1,$B$1)</f>
        <v>36.604999999999997</v>
      </c>
      <c r="Z67" s="55">
        <f>_xll.EQNXTDZ($A$1,$B67,Z$1,$B$1)</f>
        <v>30.334</v>
      </c>
      <c r="AA67" s="55">
        <f>_xll.EQNXTDZ($A$1,$B67,AA$1,$B$1)</f>
        <v>17.143000000000001</v>
      </c>
      <c r="AB67" s="55">
        <f>_xll.EQNXTDZ($A$1,$B67,AB$1,$B$1)</f>
        <v>18.584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5.3347924000000004</v>
      </c>
      <c r="O68" s="55">
        <f>_xll.EQNXTDZ($A$1,$B68,O$1,$B$1)</f>
        <v>5.8823961999999996</v>
      </c>
      <c r="P68" s="55">
        <f>_xll.EQNXTDZ($A$1,$B68,P$1,$B$1)</f>
        <v>10.3981133</v>
      </c>
      <c r="Q68" s="55">
        <f>_xll.EQNXTDZ($A$1,$B68,Q$1,$B$1)</f>
        <v>3.3779691000000001</v>
      </c>
      <c r="R68" s="55">
        <f>_xll.EQNXTDZ($A$1,$B68,R$1,$B$1)</f>
        <v>0.74760729999999997</v>
      </c>
      <c r="S68" s="55">
        <f>_xll.EQNXTDZ($A$1,$B68,S$1,$B$1)</f>
        <v>0</v>
      </c>
      <c r="T68" s="55">
        <f>_xll.EQNXTDZ($A$1,$B68,T$1,$B$1)</f>
        <v>2.6593838000000001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17.981000000000002</v>
      </c>
      <c r="Y68" s="55">
        <f>_xll.EQNXTDZ($A$1,$B68,Y$1,$B$1)</f>
        <v>10.624000000000001</v>
      </c>
      <c r="Z68" s="55">
        <f>_xll.EQNXTDZ($A$1,$B68,Z$1,$B$1)</f>
        <v>20.260999999999999</v>
      </c>
      <c r="AA68" s="55">
        <f>_xll.EQNXTDZ($A$1,$B68,AA$1,$B$1)</f>
        <v>0.24299999999999999</v>
      </c>
      <c r="AB68" s="55">
        <f>_xll.EQNXTDZ($A$1,$B68,AB$1,$B$1)</f>
        <v>10.592000000000001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8.0359999999999996</v>
      </c>
      <c r="M71" s="55">
        <f>_xll.EQNXTDZ($A$1,$B71,M$1,$B$1)</f>
        <v>0</v>
      </c>
      <c r="N71" s="55">
        <f>_xll.EQNXTDZ($A$1,$B71,N$1,$B$1)</f>
        <v>25.587662300000002</v>
      </c>
      <c r="O71" s="55">
        <f>_xll.EQNXTDZ($A$1,$B71,O$1,$B$1)</f>
        <v>31.344534400000001</v>
      </c>
      <c r="P71" s="55">
        <f>_xll.EQNXTDZ($A$1,$B71,P$1,$B$1)</f>
        <v>25.968853500000002</v>
      </c>
      <c r="Q71" s="55">
        <f>_xll.EQNXTDZ($A$1,$B71,Q$1,$B$1)</f>
        <v>14.777790700000001</v>
      </c>
      <c r="R71" s="55">
        <f>_xll.EQNXTDZ($A$1,$B71,R$1,$B$1)</f>
        <v>1.5</v>
      </c>
      <c r="S71" s="55">
        <f>_xll.EQNXTDZ($A$1,$B71,S$1,$B$1)</f>
        <v>0</v>
      </c>
      <c r="T71" s="55">
        <f>_xll.EQNXTDZ($A$1,$B71,T$1,$B$1)</f>
        <v>0.15</v>
      </c>
      <c r="U71" s="55">
        <f>_xll.EQNXTDZ($A$1,$B71,U$1,$B$1)</f>
        <v>0.15</v>
      </c>
      <c r="V71" s="55">
        <f>_xll.EQNXTDZ($A$1,$B71,V$1,$B$1)</f>
        <v>0.05</v>
      </c>
      <c r="W71" s="55">
        <f>_xll.EQNXTDZ($A$1,$B71,W$1,$B$1)</f>
        <v>13.787000000000001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1.643</v>
      </c>
      <c r="AB71" s="55">
        <f>_xll.EQNXTDZ($A$1,$B71,AB$1,$B$1)</f>
        <v>1.7949999999999999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8.8097974000000008</v>
      </c>
      <c r="O72" s="55">
        <f>_xll.EQNXTDZ($A$1,$B72,O$1,$B$1)</f>
        <v>8.5883248000000005</v>
      </c>
      <c r="P72" s="55">
        <f>_xll.EQNXTDZ($A$1,$B72,P$1,$B$1)</f>
        <v>6.9413248000000003</v>
      </c>
      <c r="Q72" s="55">
        <f>_xll.EQNXTDZ($A$1,$B72,Q$1,$B$1)</f>
        <v>2.5093409000000002</v>
      </c>
      <c r="R72" s="55">
        <f>_xll.EQNXTDZ($A$1,$B72,R$1,$B$1)</f>
        <v>2.4590013000000002</v>
      </c>
      <c r="S72" s="55">
        <f>_xll.EQNXTDZ($A$1,$B72,S$1,$B$1)</f>
        <v>5.9863264999999997</v>
      </c>
      <c r="T72" s="55">
        <f>_xll.EQNXTDZ($A$1,$B72,T$1,$B$1)</f>
        <v>5.2961368000000002</v>
      </c>
      <c r="U72" s="55">
        <f>_xll.EQNXTDZ($A$1,$B72,U$1,$B$1)</f>
        <v>3.6999999999999998E-2</v>
      </c>
      <c r="V72" s="55">
        <f>_xll.EQNXTDZ($A$1,$B72,V$1,$B$1)</f>
        <v>0.24199999999999999</v>
      </c>
      <c r="W72" s="55">
        <f>_xll.EQNXTDZ($A$1,$B72,W$1,$B$1)</f>
        <v>0.11</v>
      </c>
      <c r="X72" s="55">
        <f>_xll.EQNXTDZ($A$1,$B72,X$1,$B$1)</f>
        <v>1.819</v>
      </c>
      <c r="Y72" s="55">
        <f>_xll.EQNXTDZ($A$1,$B72,Y$1,$B$1)</f>
        <v>0.85</v>
      </c>
      <c r="Z72" s="55">
        <f>_xll.EQNXTDZ($A$1,$B72,Z$1,$B$1)</f>
        <v>3.1230000000000002</v>
      </c>
      <c r="AA72" s="55">
        <f>_xll.EQNXTDZ($A$1,$B72,AA$1,$B$1)</f>
        <v>5.5E-2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0.79326220000000003</v>
      </c>
      <c r="R73" s="55">
        <f>_xll.EQNXTDZ($A$1,$B73,R$1,$B$1)</f>
        <v>2.2334244000000001</v>
      </c>
      <c r="S73" s="55">
        <f>_xll.EQNXTDZ($A$1,$B73,S$1,$B$1)</f>
        <v>0</v>
      </c>
      <c r="T73" s="55">
        <f>_xll.EQNXTDZ($A$1,$B73,T$1,$B$1)</f>
        <v>1.22743</v>
      </c>
      <c r="U73" s="55">
        <f>_xll.EQNXTDZ($A$1,$B73,U$1,$B$1)</f>
        <v>0.96499999999999997</v>
      </c>
      <c r="V73" s="55">
        <f>_xll.EQNXTDZ($A$1,$B73,V$1,$B$1)</f>
        <v>2.0209999999999999</v>
      </c>
      <c r="W73" s="55">
        <f>_xll.EQNXTDZ($A$1,$B73,W$1,$B$1)</f>
        <v>3.637</v>
      </c>
      <c r="X73" s="55">
        <f>_xll.EQNXTDZ($A$1,$B73,X$1,$B$1)</f>
        <v>6.0720000000000001</v>
      </c>
      <c r="Y73" s="55">
        <f>_xll.EQNXTDZ($A$1,$B73,Y$1,$B$1)</f>
        <v>1.5069999999999999</v>
      </c>
      <c r="Z73" s="55">
        <f>_xll.EQNXTDZ($A$1,$B73,Z$1,$B$1)</f>
        <v>4.1150000000000002</v>
      </c>
      <c r="AA73" s="55">
        <f>_xll.EQNXTDZ($A$1,$B73,AA$1,$B$1)</f>
        <v>3.782</v>
      </c>
      <c r="AB73" s="55">
        <f>_xll.EQNXTDZ($A$1,$B73,AB$1,$B$1)</f>
        <v>20.035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7.9750082000000004</v>
      </c>
      <c r="L74" s="55">
        <f>_xll.EQNXTDZ($A$1,$B74,L$1,$B$1)</f>
        <v>20.527662400000001</v>
      </c>
      <c r="M74" s="55">
        <f>_xll.EQNXTDZ($A$1,$B74,M$1,$B$1)</f>
        <v>14.178328</v>
      </c>
      <c r="N74" s="55">
        <f>_xll.EQNXTDZ($A$1,$B74,N$1,$B$1)</f>
        <v>46.4902522</v>
      </c>
      <c r="O74" s="55">
        <f>_xll.EQNXTDZ($A$1,$B74,O$1,$B$1)</f>
        <v>51.117250800000001</v>
      </c>
      <c r="P74" s="55">
        <f>_xll.EQNXTDZ($A$1,$B74,P$1,$B$1)</f>
        <v>47.411905900000001</v>
      </c>
      <c r="Q74" s="55">
        <f>_xll.EQNXTDZ($A$1,$B74,Q$1,$B$1)</f>
        <v>47.607387799999998</v>
      </c>
      <c r="R74" s="55">
        <f>_xll.EQNXTDZ($A$1,$B74,R$1,$B$1)</f>
        <v>53.536878899999998</v>
      </c>
      <c r="S74" s="55">
        <f>_xll.EQNXTDZ($A$1,$B74,S$1,$B$1)</f>
        <v>65.274360799999997</v>
      </c>
      <c r="T74" s="55">
        <f>_xll.EQNXTDZ($A$1,$B74,T$1,$B$1)</f>
        <v>66.774053600000002</v>
      </c>
      <c r="U74" s="55">
        <f>_xll.EQNXTDZ($A$1,$B74,U$1,$B$1)</f>
        <v>84.519000000000005</v>
      </c>
      <c r="V74" s="55">
        <f>_xll.EQNXTDZ($A$1,$B74,V$1,$B$1)</f>
        <v>105.261</v>
      </c>
      <c r="W74" s="55">
        <f>_xll.EQNXTDZ($A$1,$B74,W$1,$B$1)</f>
        <v>146.642</v>
      </c>
      <c r="X74" s="55">
        <f>_xll.EQNXTDZ($A$1,$B74,X$1,$B$1)</f>
        <v>168.27500000000001</v>
      </c>
      <c r="Y74" s="55">
        <f>_xll.EQNXTDZ($A$1,$B74,Y$1,$B$1)</f>
        <v>211.62799999999999</v>
      </c>
      <c r="Z74" s="55">
        <f>_xll.EQNXTDZ($A$1,$B74,Z$1,$B$1)</f>
        <v>310.49599999999998</v>
      </c>
      <c r="AA74" s="55">
        <f>_xll.EQNXTDZ($A$1,$B74,AA$1,$B$1)</f>
        <v>441.928</v>
      </c>
      <c r="AB74" s="55">
        <f>_xll.EQNXTDZ($A$1,$B74,AB$1,$B$1)</f>
        <v>777.86900000000003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0.1</v>
      </c>
      <c r="W75" s="55">
        <f>_xll.EQNXTDZ($A$1,$B75,W$1,$B$1)</f>
        <v>6.2E-2</v>
      </c>
      <c r="X75" s="55">
        <f>_xll.EQNXTDZ($A$1,$B75,X$1,$B$1)</f>
        <v>0</v>
      </c>
      <c r="Y75" s="55">
        <f>_xll.EQNXTDZ($A$1,$B75,Y$1,$B$1)</f>
        <v>20.946000000000002</v>
      </c>
      <c r="Z75" s="55">
        <f>_xll.EQNXTDZ($A$1,$B75,Z$1,$B$1)</f>
        <v>4.0229999999999997</v>
      </c>
      <c r="AA75" s="55">
        <f>_xll.EQNXTDZ($A$1,$B75,AA$1,$B$1)</f>
        <v>79.506</v>
      </c>
      <c r="AB75" s="55">
        <f>_xll.EQNXTDZ($A$1,$B75,AB$1,$B$1)</f>
        <v>44.24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8.9902999999999997E-3</v>
      </c>
      <c r="L76" s="55">
        <f>_xll.EQNXTDZ($A$1,$B76,L$1,$B$1)</f>
        <v>7.8539000000000005E-3</v>
      </c>
      <c r="M76" s="55">
        <f>_xll.EQNXTDZ($A$1,$B76,M$1,$B$1)</f>
        <v>2.5163999999999999E-2</v>
      </c>
      <c r="N76" s="55">
        <f>_xll.EQNXTDZ($A$1,$B76,N$1,$B$1)</f>
        <v>1.88708E-2</v>
      </c>
      <c r="O76" s="55">
        <f>_xll.EQNXTDZ($A$1,$B76,O$1,$B$1)</f>
        <v>0.1917229</v>
      </c>
      <c r="P76" s="55">
        <f>_xll.EQNXTDZ($A$1,$B76,P$1,$B$1)</f>
        <v>0.16038379999999999</v>
      </c>
      <c r="Q76" s="55">
        <f>_xll.EQNXTDZ($A$1,$B76,Q$1,$B$1)</f>
        <v>0.56845559999999995</v>
      </c>
      <c r="R76" s="55">
        <f>_xll.EQNXTDZ($A$1,$B76,R$1,$B$1)</f>
        <v>0.91945299999999996</v>
      </c>
      <c r="S76" s="55">
        <f>_xll.EQNXTDZ($A$1,$B76,S$1,$B$1)</f>
        <v>0.47699780000000003</v>
      </c>
      <c r="T76" s="55">
        <f>_xll.EQNXTDZ($A$1,$B76,T$1,$B$1)</f>
        <v>0.33767710000000001</v>
      </c>
      <c r="U76" s="55">
        <f>_xll.EQNXTDZ($A$1,$B76,U$1,$B$1)</f>
        <v>0.28000000000000003</v>
      </c>
      <c r="V76" s="55">
        <f>_xll.EQNXTDZ($A$1,$B76,V$1,$B$1)</f>
        <v>1.464</v>
      </c>
      <c r="W76" s="55">
        <f>_xll.EQNXTDZ($A$1,$B76,W$1,$B$1)</f>
        <v>0.71399999999999997</v>
      </c>
      <c r="X76" s="55">
        <f>_xll.EQNXTDZ($A$1,$B76,X$1,$B$1)</f>
        <v>2.1379999999999999</v>
      </c>
      <c r="Y76" s="55">
        <f>_xll.EQNXTDZ($A$1,$B76,Y$1,$B$1)</f>
        <v>1.034</v>
      </c>
      <c r="Z76" s="55">
        <f>_xll.EQNXTDZ($A$1,$B76,Z$1,$B$1)</f>
        <v>2.9359999999999999</v>
      </c>
      <c r="AA76" s="55">
        <f>_xll.EQNXTDZ($A$1,$B76,AA$1,$B$1)</f>
        <v>1.399</v>
      </c>
      <c r="AB76" s="55">
        <f>_xll.EQNXTDZ($A$1,$B76,AB$1,$B$1)</f>
        <v>3.9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6.1325951999999999</v>
      </c>
      <c r="L77" s="55">
        <f>_xll.EQNXTDZ($A$1,$B77,L$1,$B$1)</f>
        <v>0.79170739999999995</v>
      </c>
      <c r="M77" s="55">
        <f>_xll.EQNXTDZ($A$1,$B77,M$1,$B$1)</f>
        <v>13.0049536</v>
      </c>
      <c r="N77" s="55">
        <f>_xll.EQNXTDZ($A$1,$B77,N$1,$B$1)</f>
        <v>0.14377219999999999</v>
      </c>
      <c r="O77" s="55">
        <f>_xll.EQNXTDZ($A$1,$B77,O$1,$B$1)</f>
        <v>0.54817890000000002</v>
      </c>
      <c r="P77" s="55">
        <f>_xll.EQNXTDZ($A$1,$B77,P$1,$B$1)</f>
        <v>1.6208043000000001</v>
      </c>
      <c r="Q77" s="55">
        <f>_xll.EQNXTDZ($A$1,$B77,Q$1,$B$1)</f>
        <v>2.5699957000000002</v>
      </c>
      <c r="R77" s="55">
        <f>_xll.EQNXTDZ($A$1,$B77,R$1,$B$1)</f>
        <v>2.9623263</v>
      </c>
      <c r="S77" s="55">
        <f>_xll.EQNXTDZ($A$1,$B77,S$1,$B$1)</f>
        <v>2.6297050999999998</v>
      </c>
      <c r="T77" s="55">
        <f>_xll.EQNXTDZ($A$1,$B77,T$1,$B$1)</f>
        <v>5.4657632999999999</v>
      </c>
      <c r="U77" s="55">
        <f>_xll.EQNXTDZ($A$1,$B77,U$1,$B$1)</f>
        <v>21.335999999999999</v>
      </c>
      <c r="V77" s="55">
        <f>_xll.EQNXTDZ($A$1,$B77,V$1,$B$1)</f>
        <v>23.399000000000001</v>
      </c>
      <c r="W77" s="55">
        <f>_xll.EQNXTDZ($A$1,$B77,W$1,$B$1)</f>
        <v>14.91</v>
      </c>
      <c r="X77" s="55">
        <f>_xll.EQNXTDZ($A$1,$B77,X$1,$B$1)</f>
        <v>44.222999999999999</v>
      </c>
      <c r="Y77" s="55">
        <f>_xll.EQNXTDZ($A$1,$B77,Y$1,$B$1)</f>
        <v>67.224000000000004</v>
      </c>
      <c r="Z77" s="55">
        <f>_xll.EQNXTDZ($A$1,$B77,Z$1,$B$1)</f>
        <v>103.288</v>
      </c>
      <c r="AA77" s="55">
        <f>_xll.EQNXTDZ($A$1,$B77,AA$1,$B$1)</f>
        <v>145.46700000000001</v>
      </c>
      <c r="AB77" s="55">
        <f>_xll.EQNXTDZ($A$1,$B77,AB$1,$B$1)</f>
        <v>189.21299999999999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3.8075378</v>
      </c>
      <c r="L78" s="55">
        <f>_xll.EQNXTDZ($A$1,$B78,L$1,$B$1)</f>
        <v>1.5937222</v>
      </c>
      <c r="M78" s="55">
        <f>_xll.EQNXTDZ($A$1,$B78,M$1,$B$1)</f>
        <v>4.8017875999999999</v>
      </c>
      <c r="N78" s="55">
        <f>_xll.EQNXTDZ($A$1,$B78,N$1,$B$1)</f>
        <v>1.3616337000000001</v>
      </c>
      <c r="O78" s="55">
        <f>_xll.EQNXTDZ($A$1,$B78,O$1,$B$1)</f>
        <v>0.83992420000000001</v>
      </c>
      <c r="P78" s="55">
        <f>_xll.EQNXTDZ($A$1,$B78,P$1,$B$1)</f>
        <v>6.1933202999999999</v>
      </c>
      <c r="Q78" s="55">
        <f>_xll.EQNXTDZ($A$1,$B78,Q$1,$B$1)</f>
        <v>3.2656928000000001</v>
      </c>
      <c r="R78" s="55">
        <f>_xll.EQNXTDZ($A$1,$B78,R$1,$B$1)</f>
        <v>3.6882172999999998</v>
      </c>
      <c r="S78" s="55">
        <f>_xll.EQNXTDZ($A$1,$B78,S$1,$B$1)</f>
        <v>10.7708504</v>
      </c>
      <c r="T78" s="55">
        <f>_xll.EQNXTDZ($A$1,$B78,T$1,$B$1)</f>
        <v>6.5581791000000003</v>
      </c>
      <c r="U78" s="55">
        <f>_xll.EQNXTDZ($A$1,$B78,U$1,$B$1)</f>
        <v>2.331</v>
      </c>
      <c r="V78" s="55">
        <f>_xll.EQNXTDZ($A$1,$B78,V$1,$B$1)</f>
        <v>9.1859999999999999</v>
      </c>
      <c r="W78" s="55">
        <f>_xll.EQNXTDZ($A$1,$B78,W$1,$B$1)</f>
        <v>7.7130000000000001</v>
      </c>
      <c r="X78" s="55">
        <f>_xll.EQNXTDZ($A$1,$B78,X$1,$B$1)</f>
        <v>13.255000000000001</v>
      </c>
      <c r="Y78" s="55">
        <f>_xll.EQNXTDZ($A$1,$B78,Y$1,$B$1)</f>
        <v>98.38</v>
      </c>
      <c r="Z78" s="55">
        <f>_xll.EQNXTDZ($A$1,$B78,Z$1,$B$1)</f>
        <v>245.43600000000001</v>
      </c>
      <c r="AA78" s="55">
        <f>_xll.EQNXTDZ($A$1,$B78,AA$1,$B$1)</f>
        <v>107.313</v>
      </c>
      <c r="AB78" s="55">
        <f>_xll.EQNXTDZ($A$1,$B78,AB$1,$B$1)</f>
        <v>65.203999999999994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1.90507E-2</v>
      </c>
      <c r="L79" s="55">
        <f>_xll.EQNXTDZ($A$1,$B79,L$1,$B$1)</f>
        <v>0.21276906800000001</v>
      </c>
      <c r="M79" s="55">
        <f>_xll.EQNXTDZ($A$1,$B79,M$1,$B$1)</f>
        <v>0.42277850900000002</v>
      </c>
      <c r="N79" s="55">
        <f>_xll.EQNXTDZ($A$1,$B79,N$1,$B$1)</f>
        <v>0.2583164</v>
      </c>
      <c r="O79" s="55">
        <f>_xll.EQNXTDZ($A$1,$B79,O$1,$B$1)</f>
        <v>0.16669629999999999</v>
      </c>
      <c r="P79" s="55">
        <f>_xll.EQNXTDZ($A$1,$B79,P$1,$B$1)</f>
        <v>0.25624390000000002</v>
      </c>
      <c r="Q79" s="55">
        <f>_xll.EQNXTDZ($A$1,$B79,Q$1,$B$1)</f>
        <v>0.2043876</v>
      </c>
      <c r="R79" s="55">
        <f>_xll.EQNXTDZ($A$1,$B79,R$1,$B$1)</f>
        <v>0.25811519999999999</v>
      </c>
      <c r="S79" s="55">
        <f>_xll.EQNXTDZ($A$1,$B79,S$1,$B$1)</f>
        <v>0.75490760000000001</v>
      </c>
      <c r="T79" s="55">
        <f>_xll.EQNXTDZ($A$1,$B79,T$1,$B$1)</f>
        <v>1.3296616999999999</v>
      </c>
      <c r="U79" s="55">
        <f>_xll.EQNXTDZ($A$1,$B79,U$1,$B$1)</f>
        <v>1.2649999999999999</v>
      </c>
      <c r="V79" s="55">
        <f>_xll.EQNXTDZ($A$1,$B79,V$1,$B$1)</f>
        <v>1.5649999999999999</v>
      </c>
      <c r="W79" s="55">
        <f>_xll.EQNXTDZ($A$1,$B79,W$1,$B$1)</f>
        <v>1.1259999999999999</v>
      </c>
      <c r="X79" s="55">
        <f>_xll.EQNXTDZ($A$1,$B79,X$1,$B$1)</f>
        <v>2.0830000000000002</v>
      </c>
      <c r="Y79" s="55">
        <f>_xll.EQNXTDZ($A$1,$B79,Y$1,$B$1)</f>
        <v>2.2919999999999998</v>
      </c>
      <c r="Z79" s="55">
        <f>_xll.EQNXTDZ($A$1,$B79,Z$1,$B$1)</f>
        <v>4.5469999999999997</v>
      </c>
      <c r="AA79" s="55">
        <f>_xll.EQNXTDZ($A$1,$B79,AA$1,$B$1)</f>
        <v>5.0389999999999997</v>
      </c>
      <c r="AB79" s="55">
        <f>_xll.EQNXTDZ($A$1,$B79,AB$1,$B$1)</f>
        <v>6.9390000000000001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4.6274462999999999</v>
      </c>
      <c r="L80" s="55">
        <f>_xll.EQNXTDZ($A$1,$B80,L$1,$B$1)</f>
        <v>9.7626950000000008</v>
      </c>
      <c r="M80" s="55">
        <f>_xll.EQNXTDZ($A$1,$B80,M$1,$B$1)</f>
        <v>24.910010700000001</v>
      </c>
      <c r="N80" s="55">
        <f>_xll.EQNXTDZ($A$1,$B80,N$1,$B$1)</f>
        <v>14.0275999</v>
      </c>
      <c r="O80" s="55">
        <f>_xll.EQNXTDZ($A$1,$B80,O$1,$B$1)</f>
        <v>11.6838731</v>
      </c>
      <c r="P80" s="55">
        <f>_xll.EQNXTDZ($A$1,$B80,P$1,$B$1)</f>
        <v>2.5697519</v>
      </c>
      <c r="Q80" s="55">
        <f>_xll.EQNXTDZ($A$1,$B80,Q$1,$B$1)</f>
        <v>3.0981255000000001</v>
      </c>
      <c r="R80" s="55">
        <f>_xll.EQNXTDZ($A$1,$B80,R$1,$B$1)</f>
        <v>0.28943590000000002</v>
      </c>
      <c r="S80" s="55">
        <f>_xll.EQNXTDZ($A$1,$B80,S$1,$B$1)</f>
        <v>0.92327459999999995</v>
      </c>
      <c r="T80" s="55">
        <f>_xll.EQNXTDZ($A$1,$B80,T$1,$B$1)</f>
        <v>4.3179277999999996</v>
      </c>
      <c r="U80" s="55">
        <f>_xll.EQNXTDZ($A$1,$B80,U$1,$B$1)</f>
        <v>9.7840000000000007</v>
      </c>
      <c r="V80" s="55">
        <f>_xll.EQNXTDZ($A$1,$B80,V$1,$B$1)</f>
        <v>17.736000000000001</v>
      </c>
      <c r="W80" s="55">
        <f>_xll.EQNXTDZ($A$1,$B80,W$1,$B$1)</f>
        <v>20.747</v>
      </c>
      <c r="X80" s="55">
        <f>_xll.EQNXTDZ($A$1,$B80,X$1,$B$1)</f>
        <v>29.167000000000002</v>
      </c>
      <c r="Y80" s="55">
        <f>_xll.EQNXTDZ($A$1,$B80,Y$1,$B$1)</f>
        <v>58.441000000000003</v>
      </c>
      <c r="Z80" s="55">
        <f>_xll.EQNXTDZ($A$1,$B80,Z$1,$B$1)</f>
        <v>79.274000000000001</v>
      </c>
      <c r="AA80" s="55">
        <f>_xll.EQNXTDZ($A$1,$B80,AA$1,$B$1)</f>
        <v>87.483000000000004</v>
      </c>
      <c r="AB80" s="55">
        <f>_xll.EQNXTDZ($A$1,$B80,AB$1,$B$1)</f>
        <v>126.068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14.5956203</v>
      </c>
      <c r="L82" s="55">
        <f>_xll.EQNXTDZ($A$1,$B82,L$1,$B$1)</f>
        <v>12.368747568</v>
      </c>
      <c r="M82" s="55">
        <f>_xll.EQNXTDZ($A$1,$B82,M$1,$B$1)</f>
        <v>43.164694408999999</v>
      </c>
      <c r="N82" s="55">
        <f>_xll.EQNXTDZ($A$1,$B82,N$1,$B$1)</f>
        <v>15.810193</v>
      </c>
      <c r="O82" s="55">
        <f>_xll.EQNXTDZ($A$1,$B82,O$1,$B$1)</f>
        <v>13.4303954</v>
      </c>
      <c r="P82" s="55">
        <f>_xll.EQNXTDZ($A$1,$B82,P$1,$B$1)</f>
        <v>10.800504200000001</v>
      </c>
      <c r="Q82" s="55">
        <f>_xll.EQNXTDZ($A$1,$B82,Q$1,$B$1)</f>
        <v>9.7066572000000004</v>
      </c>
      <c r="R82" s="55">
        <f>_xll.EQNXTDZ($A$1,$B82,R$1,$B$1)</f>
        <v>8.1175476999999994</v>
      </c>
      <c r="S82" s="55">
        <f>_xll.EQNXTDZ($A$1,$B82,S$1,$B$1)</f>
        <v>15.555735500000001</v>
      </c>
      <c r="T82" s="55">
        <f>_xll.EQNXTDZ($A$1,$B82,T$1,$B$1)</f>
        <v>18.009208999999998</v>
      </c>
      <c r="U82" s="55">
        <f>_xll.EQNXTDZ($A$1,$B82,U$1,$B$1)</f>
        <v>34.996000000000002</v>
      </c>
      <c r="V82" s="55">
        <f>_xll.EQNXTDZ($A$1,$B82,V$1,$B$1)</f>
        <v>53.45</v>
      </c>
      <c r="W82" s="55">
        <f>_xll.EQNXTDZ($A$1,$B82,W$1,$B$1)</f>
        <v>45.271999999999998</v>
      </c>
      <c r="X82" s="55">
        <f>_xll.EQNXTDZ($A$1,$B82,X$1,$B$1)</f>
        <v>90.866</v>
      </c>
      <c r="Y82" s="55">
        <f>_xll.EQNXTDZ($A$1,$B82,Y$1,$B$1)</f>
        <v>248.31700000000001</v>
      </c>
      <c r="Z82" s="55">
        <f>_xll.EQNXTDZ($A$1,$B82,Z$1,$B$1)</f>
        <v>439.50400000000002</v>
      </c>
      <c r="AA82" s="55">
        <f>_xll.EQNXTDZ($A$1,$B82,AA$1,$B$1)</f>
        <v>426.20699999999999</v>
      </c>
      <c r="AB82" s="55">
        <f>_xll.EQNXTDZ($A$1,$B82,AB$1,$B$1)</f>
        <v>435.56400000000002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22.570628500000002</v>
      </c>
      <c r="L84" s="55">
        <f>_xll.EQNXTDZ($A$1,$B84,L$1,$B$1)</f>
        <v>32.896409968</v>
      </c>
      <c r="M84" s="55">
        <f>_xll.EQNXTDZ($A$1,$B84,M$1,$B$1)</f>
        <v>57.343022409</v>
      </c>
      <c r="N84" s="55">
        <f>_xll.EQNXTDZ($A$1,$B84,N$1,$B$1)</f>
        <v>62.300445199999999</v>
      </c>
      <c r="O84" s="55">
        <f>_xll.EQNXTDZ($A$1,$B84,O$1,$B$1)</f>
        <v>64.547646200000003</v>
      </c>
      <c r="P84" s="55">
        <f>_xll.EQNXTDZ($A$1,$B84,P$1,$B$1)</f>
        <v>58.2124101</v>
      </c>
      <c r="Q84" s="55">
        <f>_xll.EQNXTDZ($A$1,$B84,Q$1,$B$1)</f>
        <v>57.314045</v>
      </c>
      <c r="R84" s="55">
        <f>_xll.EQNXTDZ($A$1,$B84,R$1,$B$1)</f>
        <v>61.654426600000001</v>
      </c>
      <c r="S84" s="55">
        <f>_xll.EQNXTDZ($A$1,$B84,S$1,$B$1)</f>
        <v>80.830096299999994</v>
      </c>
      <c r="T84" s="55">
        <f>_xll.EQNXTDZ($A$1,$B84,T$1,$B$1)</f>
        <v>84.7832626</v>
      </c>
      <c r="U84" s="55">
        <f>_xll.EQNXTDZ($A$1,$B84,U$1,$B$1)</f>
        <v>119.515</v>
      </c>
      <c r="V84" s="55">
        <f>_xll.EQNXTDZ($A$1,$B84,V$1,$B$1)</f>
        <v>158.71100000000001</v>
      </c>
      <c r="W84" s="55">
        <f>_xll.EQNXTDZ($A$1,$B84,W$1,$B$1)</f>
        <v>191.91399999999999</v>
      </c>
      <c r="X84" s="55">
        <f>_xll.EQNXTDZ($A$1,$B84,X$1,$B$1)</f>
        <v>259.14100000000002</v>
      </c>
      <c r="Y84" s="55">
        <f>_xll.EQNXTDZ($A$1,$B84,Y$1,$B$1)</f>
        <v>459.94499999999999</v>
      </c>
      <c r="Z84" s="55">
        <f>_xll.EQNXTDZ($A$1,$B84,Z$1,$B$1)</f>
        <v>750</v>
      </c>
      <c r="AA84" s="55">
        <f>_xll.EQNXTDZ($A$1,$B84,AA$1,$B$1)</f>
        <v>868.13499999999999</v>
      </c>
      <c r="AB84" s="55">
        <f>_xll.EQNXTDZ($A$1,$B84,AB$1,$B$1)</f>
        <v>1213.433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0.62709409999999999</v>
      </c>
      <c r="R85" s="55">
        <f>_xll.EQNXTDZ($A$1,$B85,R$1,$B$1)</f>
        <v>1.08</v>
      </c>
      <c r="S85" s="55">
        <f>_xll.EQNXTDZ($A$1,$B85,S$1,$B$1)</f>
        <v>1.1973716000000001</v>
      </c>
      <c r="T85" s="55">
        <f>_xll.EQNXTDZ($A$1,$B85,T$1,$B$1)</f>
        <v>1.7104299999999999</v>
      </c>
      <c r="U85" s="55">
        <f>_xll.EQNXTDZ($A$1,$B85,U$1,$B$1)</f>
        <v>2.528</v>
      </c>
      <c r="V85" s="55">
        <f>_xll.EQNXTDZ($A$1,$B85,V$1,$B$1)</f>
        <v>4.3029999999999999</v>
      </c>
      <c r="W85" s="55">
        <f>_xll.EQNXTDZ($A$1,$B85,W$1,$B$1)</f>
        <v>5.8049999999999997</v>
      </c>
      <c r="X85" s="55">
        <f>_xll.EQNXTDZ($A$1,$B85,X$1,$B$1)</f>
        <v>3.2290000000000001</v>
      </c>
      <c r="Y85" s="55">
        <f>_xll.EQNXTDZ($A$1,$B85,Y$1,$B$1)</f>
        <v>3.2290000000000001</v>
      </c>
      <c r="Z85" s="55">
        <f>_xll.EQNXTDZ($A$1,$B85,Z$1,$B$1)</f>
        <v>3.2290000000000001</v>
      </c>
      <c r="AA85" s="55">
        <f>_xll.EQNXTDZ($A$1,$B85,AA$1,$B$1)</f>
        <v>21.058</v>
      </c>
      <c r="AB85" s="55">
        <f>_xll.EQNXTDZ($A$1,$B85,AB$1,$B$1)</f>
        <v>3.3769999999999998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0.70451920000000001</v>
      </c>
      <c r="T86" s="55">
        <f>_xll.EQNXTDZ($A$1,$B86,T$1,$B$1)</f>
        <v>0.26828940000000001</v>
      </c>
      <c r="U86" s="55">
        <f>_xll.EQNXTDZ($A$1,$B86,U$1,$B$1)</f>
        <v>0</v>
      </c>
      <c r="V86" s="55">
        <f>_xll.EQNXTDZ($A$1,$B86,V$1,$B$1)</f>
        <v>5.1859999999999999</v>
      </c>
      <c r="W86" s="55">
        <f>_xll.EQNXTDZ($A$1,$B86,W$1,$B$1)</f>
        <v>5.2910000000000004</v>
      </c>
      <c r="X86" s="55">
        <f>_xll.EQNXTDZ($A$1,$B86,X$1,$B$1)</f>
        <v>2.9279999999999999</v>
      </c>
      <c r="Y86" s="55">
        <f>_xll.EQNXTDZ($A$1,$B86,Y$1,$B$1)</f>
        <v>3.919</v>
      </c>
      <c r="Z86" s="55">
        <f>_xll.EQNXTDZ($A$1,$B86,Z$1,$B$1)</f>
        <v>51.137999999999998</v>
      </c>
      <c r="AA86" s="55">
        <f>_xll.EQNXTDZ($A$1,$B86,AA$1,$B$1)</f>
        <v>125.46</v>
      </c>
      <c r="AB86" s="55">
        <f>_xll.EQNXTDZ($A$1,$B86,AB$1,$B$1)</f>
        <v>294.04599999999999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4.2468100000000002E-2</v>
      </c>
      <c r="R88" s="55">
        <f>_xll.EQNXTDZ($A$1,$B88,R$1,$B$1)</f>
        <v>4.9423300000000003E-2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1.2869999999999999</v>
      </c>
      <c r="V88" s="55">
        <f>_xll.EQNXTDZ($A$1,$B88,V$1,$B$1)</f>
        <v>2.016</v>
      </c>
      <c r="W88" s="55">
        <f>_xll.EQNXTDZ($A$1,$B88,W$1,$B$1)</f>
        <v>5.0940000000000003</v>
      </c>
      <c r="X88" s="55">
        <f>_xll.EQNXTDZ($A$1,$B88,X$1,$B$1)</f>
        <v>9.0340000000000007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2.5979999999999999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0.70451920000000001</v>
      </c>
      <c r="T91" s="55">
        <f>_xll.EQNXTDZ($A$1,$B91,T$1,$B$1)</f>
        <v>0.26828940000000001</v>
      </c>
      <c r="U91" s="55">
        <f>_xll.EQNXTDZ($A$1,$B91,U$1,$B$1)</f>
        <v>0</v>
      </c>
      <c r="V91" s="55">
        <f>_xll.EQNXTDZ($A$1,$B91,V$1,$B$1)</f>
        <v>5.1859999999999999</v>
      </c>
      <c r="W91" s="55">
        <f>_xll.EQNXTDZ($A$1,$B91,W$1,$B$1)</f>
        <v>5.2910000000000004</v>
      </c>
      <c r="X91" s="55">
        <f>_xll.EQNXTDZ($A$1,$B91,X$1,$B$1)</f>
        <v>2.9279999999999999</v>
      </c>
      <c r="Y91" s="55">
        <f>_xll.EQNXTDZ($A$1,$B91,Y$1,$B$1)</f>
        <v>3.919</v>
      </c>
      <c r="Z91" s="55">
        <f>_xll.EQNXTDZ($A$1,$B91,Z$1,$B$1)</f>
        <v>51.137999999999998</v>
      </c>
      <c r="AA91" s="55">
        <f>_xll.EQNXTDZ($A$1,$B91,AA$1,$B$1)</f>
        <v>125.46</v>
      </c>
      <c r="AB91" s="55">
        <f>_xll.EQNXTDZ($A$1,$B91,AB$1,$B$1)</f>
        <v>294.04599999999999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1.5149999999999999</v>
      </c>
      <c r="V93" s="55">
        <f>_xll.EQNXTDZ($A$1,$B93,V$1,$B$1)</f>
        <v>3.2290000000000001</v>
      </c>
      <c r="W93" s="55">
        <f>_xll.EQNXTDZ($A$1,$B93,W$1,$B$1)</f>
        <v>3.2290000000000001</v>
      </c>
      <c r="X93" s="55">
        <f>_xll.EQNXTDZ($A$1,$B93,X$1,$B$1)</f>
        <v>3.2290000000000001</v>
      </c>
      <c r="Y93" s="55">
        <f>_xll.EQNXTDZ($A$1,$B93,Y$1,$B$1)</f>
        <v>3.2290000000000001</v>
      </c>
      <c r="Z93" s="55">
        <f>_xll.EQNXTDZ($A$1,$B93,Z$1,$B$1)</f>
        <v>3.2290000000000001</v>
      </c>
      <c r="AA93" s="55">
        <f>_xll.EQNXTDZ($A$1,$B93,AA$1,$B$1)</f>
        <v>3.3079999999999998</v>
      </c>
      <c r="AB93" s="55">
        <f>_xll.EQNXTDZ($A$1,$B93,AB$1,$B$1)</f>
        <v>3.3769999999999998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0.62709409999999999</v>
      </c>
      <c r="R95" s="55">
        <f>_xll.EQNXTDZ($A$1,$B95,R$1,$B$1)</f>
        <v>1.08</v>
      </c>
      <c r="S95" s="55">
        <f>_xll.EQNXTDZ($A$1,$B95,S$1,$B$1)</f>
        <v>1.1973716000000001</v>
      </c>
      <c r="T95" s="55">
        <f>_xll.EQNXTDZ($A$1,$B95,T$1,$B$1)</f>
        <v>1.22743</v>
      </c>
      <c r="U95" s="55">
        <f>_xll.EQNXTDZ($A$1,$B95,U$1,$B$1)</f>
        <v>1.0129999999999999</v>
      </c>
      <c r="V95" s="55">
        <f>_xll.EQNXTDZ($A$1,$B95,V$1,$B$1)</f>
        <v>1.0740000000000001</v>
      </c>
      <c r="W95" s="55">
        <f>_xll.EQNXTDZ($A$1,$B95,W$1,$B$1)</f>
        <v>2.5760000000000001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0.48299999999999998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17.75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5</v>
      </c>
      <c r="L104" s="55">
        <f>_xll.EQNXTDZ($A$1,$B104,L$1,$B$1)</f>
        <v>29.877551</v>
      </c>
      <c r="M104" s="55">
        <f>_xll.EQNXTDZ($A$1,$B104,M$1,$B$1)</f>
        <v>29.877551</v>
      </c>
      <c r="N104" s="55">
        <f>_xll.EQNXTDZ($A$1,$B104,N$1,$B$1)</f>
        <v>29.877551</v>
      </c>
      <c r="O104" s="55">
        <f>_xll.EQNXTDZ($A$1,$B104,O$1,$B$1)</f>
        <v>29.877551</v>
      </c>
      <c r="P104" s="55">
        <f>_xll.EQNXTDZ($A$1,$B104,P$1,$B$1)</f>
        <v>29.877551</v>
      </c>
      <c r="Q104" s="55">
        <f>_xll.EQNXTDZ($A$1,$B104,Q$1,$B$1)</f>
        <v>30.664003000000001</v>
      </c>
      <c r="R104" s="55">
        <f>_xll.EQNXTDZ($A$1,$B104,R$1,$B$1)</f>
        <v>30.664003000000001</v>
      </c>
      <c r="S104" s="55">
        <f>_xll.EQNXTDZ($A$1,$B104,S$1,$B$1)</f>
        <v>35.089846000000001</v>
      </c>
      <c r="T104" s="55">
        <f>_xll.EQNXTDZ($A$1,$B104,T$1,$B$1)</f>
        <v>35.089846000000001</v>
      </c>
      <c r="U104" s="55">
        <f>_xll.EQNXTDZ($A$1,$B104,U$1,$B$1)</f>
        <v>35.090000000000003</v>
      </c>
      <c r="V104" s="55">
        <f>_xll.EQNXTDZ($A$1,$B104,V$1,$B$1)</f>
        <v>35.090000000000003</v>
      </c>
      <c r="W104" s="55">
        <f>_xll.EQNXTDZ($A$1,$B104,W$1,$B$1)</f>
        <v>35.090000000000003</v>
      </c>
      <c r="X104" s="55">
        <f>_xll.EQNXTDZ($A$1,$B104,X$1,$B$1)</f>
        <v>35.090000000000003</v>
      </c>
      <c r="Y104" s="55">
        <f>_xll.EQNXTDZ($A$1,$B104,Y$1,$B$1)</f>
        <v>37.487000000000002</v>
      </c>
      <c r="Z104" s="55">
        <f>_xll.EQNXTDZ($A$1,$B104,Z$1,$B$1)</f>
        <v>40.42</v>
      </c>
      <c r="AA104" s="55">
        <f>_xll.EQNXTDZ($A$1,$B104,AA$1,$B$1)</f>
        <v>40.661999999999999</v>
      </c>
      <c r="AB104" s="55">
        <f>_xll.EQNXTDZ($A$1,$B104,AB$1,$B$1)</f>
        <v>41.021999999999998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5</v>
      </c>
      <c r="S105" s="55">
        <f>_xll.EQNXTDZ($A$1,$B105,S$1,$B$1)</f>
        <v>5</v>
      </c>
      <c r="T105" s="55">
        <f>_xll.EQNXTDZ($A$1,$B105,T$1,$B$1)</f>
        <v>5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215.7</v>
      </c>
      <c r="Z106" s="55">
        <f>_xll.EQNXTDZ($A$1,$B106,Z$1,$B$1)</f>
        <v>754.45</v>
      </c>
      <c r="AA106" s="55">
        <f>_xll.EQNXTDZ($A$1,$B106,AA$1,$B$1)</f>
        <v>849.1</v>
      </c>
      <c r="AB106" s="55">
        <f>_xll.EQNXTDZ($A$1,$B106,AB$1,$B$1)</f>
        <v>370.05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399.7</v>
      </c>
      <c r="Z107" s="55">
        <f>_xll.EQNXTDZ($A$1,$B107,Z$1,$B$1)</f>
        <v>869.95</v>
      </c>
      <c r="AA107" s="55">
        <f>_xll.EQNXTDZ($A$1,$B107,AA$1,$B$1)</f>
        <v>1023.55</v>
      </c>
      <c r="AB107" s="55">
        <f>_xll.EQNXTDZ($A$1,$B107,AB$1,$B$1)</f>
        <v>907.9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206.9</v>
      </c>
      <c r="Z108" s="55">
        <f>_xll.EQNXTDZ($A$1,$B108,Z$1,$B$1)</f>
        <v>216.15</v>
      </c>
      <c r="AA108" s="55">
        <f>_xll.EQNXTDZ($A$1,$B108,AA$1,$B$1)</f>
        <v>651.6</v>
      </c>
      <c r="AB108" s="55">
        <f>_xll.EQNXTDZ($A$1,$B108,AB$1,$B$1)</f>
        <v>365.75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1617.1891800000001</v>
      </c>
      <c r="Z109" s="55">
        <f>_xll.EQNXTDZ($A$1,$B109,Z$1,$B$1)</f>
        <v>6098.9737999999998</v>
      </c>
      <c r="AA109" s="55">
        <f>_xll.EQNXTDZ($A$1,$B109,AA$1,$B$1)</f>
        <v>6905.22084</v>
      </c>
      <c r="AB109" s="55">
        <f>_xll.EQNXTDZ($A$1,$B109,AB$1,$B$1)</f>
        <v>3036.0382199999999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1.25</v>
      </c>
      <c r="Y110" s="55">
        <f>_xll.EQNXTDZ($A$1,$B110,Y$1,$B$1)</f>
        <v>1.25</v>
      </c>
      <c r="Z110" s="55">
        <f>_xll.EQNXTDZ($A$1,$B110,Z$1,$B$1)</f>
        <v>1.25</v>
      </c>
      <c r="AA110" s="55">
        <f>_xll.EQNXTDZ($A$1,$B110,AA$1,$B$1)</f>
        <v>1.25</v>
      </c>
      <c r="AB110" s="55">
        <f>_xll.EQNXTDZ($A$1,$B110,AB$1,$B$1)</f>
        <v>1.25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100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57.7</v>
      </c>
      <c r="Z112" s="56">
        <f>_xll.EQNXTDZ($A$1,$B112,Z$5)</f>
        <v>54.4</v>
      </c>
      <c r="AA112" s="56">
        <f>_xll.EQNXTDZ($A$1,$B112,AA$5)</f>
        <v>54.4</v>
      </c>
      <c r="AB112" s="56">
        <f>_xll.EQNXTDZ($A$1,$B112,AB$5)</f>
        <v>54.4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235668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270</v>
      </c>
      <c r="DT6" cm="1">
        <f t="array" ref="DT6">_xll.EQNXTDZ($A$1,$B6,DT$1)</f>
        <v>247.5</v>
      </c>
      <c r="DU6" cm="1">
        <f t="array" ref="DU6">_xll.EQNXTDZ($A$1,$B6,DU$1)</f>
        <v>347</v>
      </c>
      <c r="DV6" cm="1">
        <f t="array" ref="DV6">_xll.EQNXTDZ($A$1,$B6,DV$1)</f>
        <v>358</v>
      </c>
      <c r="DW6" cm="1">
        <f t="array" ref="DW6">_xll.EQNXTDZ($A$1,$B6,DW$1)</f>
        <v>324</v>
      </c>
      <c r="DX6" cm="1">
        <f t="array" ref="DX6">_xll.EQNXTDZ($A$1,$B6,DX$1)</f>
        <v>329.7</v>
      </c>
      <c r="DY6" cm="1">
        <f t="array" ref="DY6">_xll.EQNXTDZ($A$1,$B6,DY$1)</f>
        <v>307.14999999999998</v>
      </c>
      <c r="DZ6" cm="1">
        <f t="array" ref="DZ6">_xll.EQNXTDZ($A$1,$B6,DZ$1)</f>
        <v>317.89999999999998</v>
      </c>
      <c r="EA6" cm="1">
        <f t="array" ref="EA6">_xll.EQNXTDZ($A$1,$B6,EA$1)</f>
        <v>276</v>
      </c>
      <c r="EB6" cm="1">
        <f t="array" ref="EB6">_xll.EQNXTDZ($A$1,$B6,EB$1)</f>
        <v>256.89999999999998</v>
      </c>
      <c r="EC6" cm="1">
        <f t="array" ref="EC6">_xll.EQNXTDZ($A$1,$B6,EC$1)</f>
        <v>220</v>
      </c>
      <c r="ED6" cm="1">
        <f t="array" ref="ED6">_xll.EQNXTDZ($A$1,$B6,ED$1)</f>
        <v>278.95</v>
      </c>
      <c r="EE6" cm="1">
        <f t="array" ref="EE6">_xll.EQNXTDZ($A$1,$B6,EE$1)</f>
        <v>432.65</v>
      </c>
      <c r="EF6" cm="1">
        <f t="array" ref="EF6">_xll.EQNXTDZ($A$1,$B6,EF$1)</f>
        <v>434.45</v>
      </c>
      <c r="EG6" cm="1">
        <f t="array" ref="EG6">_xll.EQNXTDZ($A$1,$B6,EG$1)</f>
        <v>459</v>
      </c>
      <c r="EH6" cm="1">
        <f t="array" ref="EH6">_xll.EQNXTDZ($A$1,$B6,EH$1)</f>
        <v>499.75</v>
      </c>
      <c r="EI6" cm="1">
        <f t="array" ref="EI6">_xll.EQNXTDZ($A$1,$B6,EI$1)</f>
        <v>467.45</v>
      </c>
      <c r="EJ6" cm="1">
        <f t="array" ref="EJ6">_xll.EQNXTDZ($A$1,$B6,EJ$1)</f>
        <v>459.6</v>
      </c>
      <c r="EK6" cm="1">
        <f t="array" ref="EK6">_xll.EQNXTDZ($A$1,$B6,EK$1)</f>
        <v>463.4</v>
      </c>
      <c r="EL6" cm="1">
        <f t="array" ref="EL6">_xll.EQNXTDZ($A$1,$B6,EL$1)</f>
        <v>451.95</v>
      </c>
      <c r="EM6" cm="1">
        <f t="array" ref="EM6">_xll.EQNXTDZ($A$1,$B6,EM$1)</f>
        <v>455</v>
      </c>
      <c r="EN6" cm="1">
        <f t="array" ref="EN6">_xll.EQNXTDZ($A$1,$B6,EN$1)</f>
        <v>591.9</v>
      </c>
      <c r="EO6" cm="1">
        <f t="array" ref="EO6">_xll.EQNXTDZ($A$1,$B6,EO$1)</f>
        <v>759.7</v>
      </c>
      <c r="EP6" cm="1">
        <f t="array" ref="EP6">_xll.EQNXTDZ($A$1,$B6,EP$1)</f>
        <v>778.9</v>
      </c>
      <c r="EQ6" cm="1">
        <f t="array" ref="EQ6">_xll.EQNXTDZ($A$1,$B6,EQ$1)</f>
        <v>779.85</v>
      </c>
      <c r="ER6" cm="1">
        <f t="array" ref="ER6">_xll.EQNXTDZ($A$1,$B6,ER$1)</f>
        <v>882.55</v>
      </c>
      <c r="ES6" cm="1">
        <f t="array" ref="ES6">_xll.EQNXTDZ($A$1,$B6,ES$1)</f>
        <v>875</v>
      </c>
      <c r="ET6" cm="1">
        <f t="array" ref="ET6">_xll.EQNXTDZ($A$1,$B6,ET$1)</f>
        <v>829</v>
      </c>
      <c r="EU6" cm="1">
        <f t="array" ref="EU6">_xll.EQNXTDZ($A$1,$B6,EU$1)</f>
        <v>882</v>
      </c>
      <c r="EV6" cm="1">
        <f t="array" ref="EV6">_xll.EQNXTDZ($A$1,$B6,EV$1)</f>
        <v>912</v>
      </c>
      <c r="EW6" cm="1">
        <f t="array" ref="EW6">_xll.EQNXTDZ($A$1,$B6,EW$1)</f>
        <v>880</v>
      </c>
      <c r="EX6" cm="1">
        <f t="array" ref="EX6">_xll.EQNXTDZ($A$1,$B6,EX$1)</f>
        <v>935.35</v>
      </c>
      <c r="EY6" cm="1">
        <f t="array" ref="EY6">_xll.EQNXTDZ($A$1,$B6,EY$1)</f>
        <v>696.7</v>
      </c>
      <c r="EZ6" cm="1">
        <f t="array" ref="EZ6">_xll.EQNXTDZ($A$1,$B6,EZ$1)</f>
        <v>830.2</v>
      </c>
      <c r="FA6" cm="1">
        <f t="array" ref="FA6">_xll.EQNXTDZ($A$1,$B6,FA$1)</f>
        <v>850</v>
      </c>
      <c r="FB6" cm="1">
        <f t="array" ref="FB6">_xll.EQNXTDZ($A$1,$B6,FB$1)</f>
        <v>765.5</v>
      </c>
      <c r="FC6" cm="1">
        <f t="array" ref="FC6">_xll.EQNXTDZ($A$1,$B6,FC$1)</f>
        <v>775.7</v>
      </c>
      <c r="FD6" cm="1">
        <f t="array" ref="FD6">_xll.EQNXTDZ($A$1,$B6,FD$1)</f>
        <v>772</v>
      </c>
      <c r="FE6" cm="1">
        <f t="array" ref="FE6">_xll.EQNXTDZ($A$1,$B6,FE$1)</f>
        <v>769</v>
      </c>
      <c r="FF6" cm="1">
        <f t="array" ref="FF6">_xll.EQNXTDZ($A$1,$B6,FF$1)</f>
        <v>717.05</v>
      </c>
      <c r="FG6" cm="1">
        <f t="array" ref="FG6">_xll.EQNXTDZ($A$1,$B6,FG$1)</f>
        <v>683.1</v>
      </c>
      <c r="FH6" cm="1">
        <f t="array" ref="FH6">_xll.EQNXTDZ($A$1,$B6,FH$1)</f>
        <v>645</v>
      </c>
      <c r="FI6" cm="1">
        <f t="array" ref="FI6">_xll.EQNXTDZ($A$1,$B6,FI$1)</f>
        <v>620.70000000000005</v>
      </c>
      <c r="FJ6" cm="1">
        <f t="array" ref="FJ6">_xll.EQNXTDZ($A$1,$B6,FJ$1)</f>
        <v>570</v>
      </c>
      <c r="FK6" cm="1">
        <f t="array" ref="FK6">_xll.EQNXTDZ($A$1,$B6,FK$1)</f>
        <v>537.4</v>
      </c>
      <c r="FL6" cm="1">
        <f t="array" ref="FL6">_xll.EQNXTDZ($A$1,$B6,FL$1)</f>
        <v>401</v>
      </c>
      <c r="FM6" cm="1">
        <f t="array" ref="FM6">_xll.EQNXTDZ($A$1,$B6,FM$1)</f>
        <v>379.9</v>
      </c>
      <c r="FN6" cm="1">
        <f t="array" ref="FN6">_xll.EQNXTDZ($A$1,$B6,FN$1)</f>
        <v>491</v>
      </c>
      <c r="FO6" cm="1">
        <f t="array" ref="FO6">_xll.EQNXTDZ($A$1,$B6,FO$1)</f>
        <v>465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279</v>
      </c>
      <c r="DT7" s="116" cm="1">
        <f t="array" ref="DT7">_xll.EQNXTDZ($A$1,$B7,DT$1)</f>
        <v>373.45</v>
      </c>
      <c r="DU7" s="116" cm="1">
        <f t="array" ref="DU7">_xll.EQNXTDZ($A$1,$B7,DU$1)</f>
        <v>398.9</v>
      </c>
      <c r="DV7" s="116" cm="1">
        <f t="array" ref="DV7">_xll.EQNXTDZ($A$1,$B7,DV$1)</f>
        <v>370.95</v>
      </c>
      <c r="DW7" s="116" cm="1">
        <f t="array" ref="DW7">_xll.EQNXTDZ($A$1,$B7,DW$1)</f>
        <v>339</v>
      </c>
      <c r="DX7" s="116" cm="1">
        <f t="array" ref="DX7">_xll.EQNXTDZ($A$1,$B7,DX$1)</f>
        <v>357.7</v>
      </c>
      <c r="DY7" s="116" cm="1">
        <f t="array" ref="DY7">_xll.EQNXTDZ($A$1,$B7,DY$1)</f>
        <v>336.8</v>
      </c>
      <c r="DZ7" s="116" cm="1">
        <f t="array" ref="DZ7">_xll.EQNXTDZ($A$1,$B7,DZ$1)</f>
        <v>318.75</v>
      </c>
      <c r="EA7" s="116" cm="1">
        <f t="array" ref="EA7">_xll.EQNXTDZ($A$1,$B7,EA$1)</f>
        <v>281.2</v>
      </c>
      <c r="EB7" s="116" cm="1">
        <f t="array" ref="EB7">_xll.EQNXTDZ($A$1,$B7,EB$1)</f>
        <v>264.5</v>
      </c>
      <c r="EC7" s="116" cm="1">
        <f t="array" ref="EC7">_xll.EQNXTDZ($A$1,$B7,EC$1)</f>
        <v>279.05</v>
      </c>
      <c r="ED7" s="116" cm="1">
        <f t="array" ref="ED7">_xll.EQNXTDZ($A$1,$B7,ED$1)</f>
        <v>435</v>
      </c>
      <c r="EE7" s="116" cm="1">
        <f t="array" ref="EE7">_xll.EQNXTDZ($A$1,$B7,EE$1)</f>
        <v>448</v>
      </c>
      <c r="EF7" s="116" cm="1">
        <f t="array" ref="EF7">_xll.EQNXTDZ($A$1,$B7,EF$1)</f>
        <v>510.9</v>
      </c>
      <c r="EG7" s="116" cm="1">
        <f t="array" ref="EG7">_xll.EQNXTDZ($A$1,$B7,EG$1)</f>
        <v>534.79999999999995</v>
      </c>
      <c r="EH7" s="116" cm="1">
        <f t="array" ref="EH7">_xll.EQNXTDZ($A$1,$B7,EH$1)</f>
        <v>528.9</v>
      </c>
      <c r="EI7" s="116" cm="1">
        <f t="array" ref="EI7">_xll.EQNXTDZ($A$1,$B7,EI$1)</f>
        <v>494.45</v>
      </c>
      <c r="EJ7" s="116" cm="1">
        <f t="array" ref="EJ7">_xll.EQNXTDZ($A$1,$B7,EJ$1)</f>
        <v>491</v>
      </c>
      <c r="EK7" s="116" cm="1">
        <f t="array" ref="EK7">_xll.EQNXTDZ($A$1,$B7,EK$1)</f>
        <v>470</v>
      </c>
      <c r="EL7" s="116" cm="1">
        <f t="array" ref="EL7">_xll.EQNXTDZ($A$1,$B7,EL$1)</f>
        <v>508</v>
      </c>
      <c r="EM7" s="116" cm="1">
        <f t="array" ref="EM7">_xll.EQNXTDZ($A$1,$B7,EM$1)</f>
        <v>606.9</v>
      </c>
      <c r="EN7" s="116" cm="1">
        <f t="array" ref="EN7">_xll.EQNXTDZ($A$1,$B7,EN$1)</f>
        <v>833.5</v>
      </c>
      <c r="EO7" s="116" cm="1">
        <f t="array" ref="EO7">_xll.EQNXTDZ($A$1,$B7,EO$1)</f>
        <v>843.95</v>
      </c>
      <c r="EP7" s="116" cm="1">
        <f t="array" ref="EP7">_xll.EQNXTDZ($A$1,$B7,EP$1)</f>
        <v>831.85</v>
      </c>
      <c r="EQ7" s="116" cm="1">
        <f t="array" ref="EQ7">_xll.EQNXTDZ($A$1,$B7,EQ$1)</f>
        <v>915.9</v>
      </c>
      <c r="ER7" s="116" cm="1">
        <f t="array" ref="ER7">_xll.EQNXTDZ($A$1,$B7,ER$1)</f>
        <v>927.7</v>
      </c>
      <c r="ES7" s="116" cm="1">
        <f t="array" ref="ES7">_xll.EQNXTDZ($A$1,$B7,ES$1)</f>
        <v>881.45</v>
      </c>
      <c r="ET7" s="116" cm="1">
        <f t="array" ref="ET7">_xll.EQNXTDZ($A$1,$B7,ET$1)</f>
        <v>899.9</v>
      </c>
      <c r="EU7" s="116" cm="1">
        <f t="array" ref="EU7">_xll.EQNXTDZ($A$1,$B7,EU$1)</f>
        <v>992.95</v>
      </c>
      <c r="EV7" s="116" cm="1">
        <f t="array" ref="EV7">_xll.EQNXTDZ($A$1,$B7,EV$1)</f>
        <v>933</v>
      </c>
      <c r="EW7" s="116" cm="1">
        <f t="array" ref="EW7">_xll.EQNXTDZ($A$1,$B7,EW$1)</f>
        <v>1024</v>
      </c>
      <c r="EX7" s="116" cm="1">
        <f t="array" ref="EX7">_xll.EQNXTDZ($A$1,$B7,EX$1)</f>
        <v>990</v>
      </c>
      <c r="EY7" s="116" cm="1">
        <f t="array" ref="EY7">_xll.EQNXTDZ($A$1,$B7,EY$1)</f>
        <v>864.15</v>
      </c>
      <c r="EZ7" s="116" cm="1">
        <f t="array" ref="EZ7">_xll.EQNXTDZ($A$1,$B7,EZ$1)</f>
        <v>894.1</v>
      </c>
      <c r="FA7" s="116" cm="1">
        <f t="array" ref="FA7">_xll.EQNXTDZ($A$1,$B7,FA$1)</f>
        <v>883.95</v>
      </c>
      <c r="FB7" s="116" cm="1">
        <f t="array" ref="FB7">_xll.EQNXTDZ($A$1,$B7,FB$1)</f>
        <v>779.5</v>
      </c>
      <c r="FC7" s="116" cm="1">
        <f t="array" ref="FC7">_xll.EQNXTDZ($A$1,$B7,FC$1)</f>
        <v>793.1</v>
      </c>
      <c r="FD7" s="116" cm="1">
        <f t="array" ref="FD7">_xll.EQNXTDZ($A$1,$B7,FD$1)</f>
        <v>836.55</v>
      </c>
      <c r="FE7" s="116" cm="1">
        <f t="array" ref="FE7">_xll.EQNXTDZ($A$1,$B7,FE$1)</f>
        <v>795</v>
      </c>
      <c r="FF7" s="116" cm="1">
        <f t="array" ref="FF7">_xll.EQNXTDZ($A$1,$B7,FF$1)</f>
        <v>735</v>
      </c>
      <c r="FG7" s="116" cm="1">
        <f t="array" ref="FG7">_xll.EQNXTDZ($A$1,$B7,FG$1)</f>
        <v>688.35</v>
      </c>
      <c r="FH7" s="116" cm="1">
        <f t="array" ref="FH7">_xll.EQNXTDZ($A$1,$B7,FH$1)</f>
        <v>656.35</v>
      </c>
      <c r="FI7" s="116" cm="1">
        <f t="array" ref="FI7">_xll.EQNXTDZ($A$1,$B7,FI$1)</f>
        <v>640.6</v>
      </c>
      <c r="FJ7" s="116" cm="1">
        <f t="array" ref="FJ7">_xll.EQNXTDZ($A$1,$B7,FJ$1)</f>
        <v>581.20000000000005</v>
      </c>
      <c r="FK7" s="116" cm="1">
        <f t="array" ref="FK7">_xll.EQNXTDZ($A$1,$B7,FK$1)</f>
        <v>590.75</v>
      </c>
      <c r="FL7" s="116" cm="1">
        <f t="array" ref="FL7">_xll.EQNXTDZ($A$1,$B7,FL$1)</f>
        <v>447</v>
      </c>
      <c r="FM7" s="116" cm="1">
        <f t="array" ref="FM7">_xll.EQNXTDZ($A$1,$B7,FM$1)</f>
        <v>540</v>
      </c>
      <c r="FN7" s="116" cm="1">
        <f t="array" ref="FN7">_xll.EQNXTDZ($A$1,$B7,FN$1)</f>
        <v>547.45000000000005</v>
      </c>
      <c r="FO7" s="116" cm="1">
        <f t="array" ref="FO7">_xll.EQNXTDZ($A$1,$B7,FO$1)</f>
        <v>487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279</v>
      </c>
      <c r="JD7" s="116">
        <f>+MAX(DT7:DV7)</f>
        <v>398.9</v>
      </c>
      <c r="JE7" s="116">
        <f>+MAX(DW7:DY7)</f>
        <v>357.7</v>
      </c>
      <c r="JF7" s="116">
        <f>+MAX(DZ7:EB7)</f>
        <v>318.75</v>
      </c>
      <c r="JG7" s="116">
        <f>+MAX(EC7:EE7)</f>
        <v>448</v>
      </c>
      <c r="JH7" s="116">
        <f>+MAX(EF7:EH7)</f>
        <v>534.79999999999995</v>
      </c>
      <c r="JI7" s="116">
        <f>+MAX(EI7:EK7)</f>
        <v>494.45</v>
      </c>
      <c r="JJ7" s="116">
        <f>+MAX(EL7:EN7)</f>
        <v>833.5</v>
      </c>
      <c r="JK7" s="116">
        <f>MAX(EO7:EQ7)</f>
        <v>915.9</v>
      </c>
      <c r="JL7" s="116">
        <f>MAX(ER7:ET7)</f>
        <v>927.7</v>
      </c>
      <c r="JM7" s="116">
        <f>MAX(EU7:EW7)</f>
        <v>1024</v>
      </c>
      <c r="JN7" s="116">
        <f>MAX(EX7:EZ7)</f>
        <v>990</v>
      </c>
      <c r="JO7" s="116">
        <f>MAX(FA7:FC7)</f>
        <v>883.95</v>
      </c>
      <c r="JP7" s="116">
        <f>MAX(FD7:FF7)</f>
        <v>836.55</v>
      </c>
      <c r="JQ7" s="116">
        <f>MAX(FG7:FI7)</f>
        <v>688.35</v>
      </c>
      <c r="JR7" s="116">
        <f>MAX(FJ7:FL7)</f>
        <v>590.75</v>
      </c>
      <c r="JS7" s="116">
        <f>MAX(FM7:FO7)</f>
        <v>547.45000000000005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236.3</v>
      </c>
      <c r="DT8" s="116" cm="1">
        <f t="array" ref="DT8">_xll.EQNXTDZ($A$1,$B8,DT$1)</f>
        <v>244.3</v>
      </c>
      <c r="DU8" s="116" cm="1">
        <f t="array" ref="DU8">_xll.EQNXTDZ($A$1,$B8,DU$1)</f>
        <v>332.85</v>
      </c>
      <c r="DV8" s="116" cm="1">
        <f t="array" ref="DV8">_xll.EQNXTDZ($A$1,$B8,DV$1)</f>
        <v>287.8</v>
      </c>
      <c r="DW8" s="116" cm="1">
        <f t="array" ref="DW8">_xll.EQNXTDZ($A$1,$B8,DW$1)</f>
        <v>305</v>
      </c>
      <c r="DX8" s="116" cm="1">
        <f t="array" ref="DX8">_xll.EQNXTDZ($A$1,$B8,DX$1)</f>
        <v>301.14999999999998</v>
      </c>
      <c r="DY8" s="116" cm="1">
        <f t="array" ref="DY8">_xll.EQNXTDZ($A$1,$B8,DY$1)</f>
        <v>297.35000000000002</v>
      </c>
      <c r="DZ8" s="116" cm="1">
        <f t="array" ref="DZ8">_xll.EQNXTDZ($A$1,$B8,DZ$1)</f>
        <v>266.60000000000002</v>
      </c>
      <c r="EA8" s="116" cm="1">
        <f t="array" ref="EA8">_xll.EQNXTDZ($A$1,$B8,EA$1)</f>
        <v>251.05</v>
      </c>
      <c r="EB8" s="116" cm="1">
        <f t="array" ref="EB8">_xll.EQNXTDZ($A$1,$B8,EB$1)</f>
        <v>206.8</v>
      </c>
      <c r="EC8" s="116" cm="1">
        <f t="array" ref="EC8">_xll.EQNXTDZ($A$1,$B8,EC$1)</f>
        <v>217.75</v>
      </c>
      <c r="ED8" s="116" cm="1">
        <f t="array" ref="ED8">_xll.EQNXTDZ($A$1,$B8,ED$1)</f>
        <v>274</v>
      </c>
      <c r="EE8" s="116" cm="1">
        <f t="array" ref="EE8">_xll.EQNXTDZ($A$1,$B8,EE$1)</f>
        <v>360.65</v>
      </c>
      <c r="EF8" s="116" cm="1">
        <f t="array" ref="EF8">_xll.EQNXTDZ($A$1,$B8,EF$1)</f>
        <v>405</v>
      </c>
      <c r="EG8" s="116" cm="1">
        <f t="array" ref="EG8">_xll.EQNXTDZ($A$1,$B8,EG$1)</f>
        <v>430.2</v>
      </c>
      <c r="EH8" s="116" cm="1">
        <f t="array" ref="EH8">_xll.EQNXTDZ($A$1,$B8,EH$1)</f>
        <v>452.1</v>
      </c>
      <c r="EI8" s="116" cm="1">
        <f t="array" ref="EI8">_xll.EQNXTDZ($A$1,$B8,EI$1)</f>
        <v>416</v>
      </c>
      <c r="EJ8" s="116" cm="1">
        <f t="array" ref="EJ8">_xll.EQNXTDZ($A$1,$B8,EJ$1)</f>
        <v>448.1</v>
      </c>
      <c r="EK8" s="116" cm="1">
        <f t="array" ref="EK8">_xll.EQNXTDZ($A$1,$B8,EK$1)</f>
        <v>417.6</v>
      </c>
      <c r="EL8" s="116" cm="1">
        <f t="array" ref="EL8">_xll.EQNXTDZ($A$1,$B8,EL$1)</f>
        <v>415</v>
      </c>
      <c r="EM8" s="116" cm="1">
        <f t="array" ref="EM8">_xll.EQNXTDZ($A$1,$B8,EM$1)</f>
        <v>454.55</v>
      </c>
      <c r="EN8" s="116" cm="1">
        <f t="array" ref="EN8">_xll.EQNXTDZ($A$1,$B8,EN$1)</f>
        <v>544.6</v>
      </c>
      <c r="EO8" s="116" cm="1">
        <f t="array" ref="EO8">_xll.EQNXTDZ($A$1,$B8,EO$1)</f>
        <v>675</v>
      </c>
      <c r="EP8" s="116" cm="1">
        <f t="array" ref="EP8">_xll.EQNXTDZ($A$1,$B8,EP$1)</f>
        <v>706.7</v>
      </c>
      <c r="EQ8" s="116" cm="1">
        <f t="array" ref="EQ8">_xll.EQNXTDZ($A$1,$B8,EQ$1)</f>
        <v>673.85</v>
      </c>
      <c r="ER8" s="116" cm="1">
        <f t="array" ref="ER8">_xll.EQNXTDZ($A$1,$B8,ER$1)</f>
        <v>835.05</v>
      </c>
      <c r="ES8" s="116" cm="1">
        <f t="array" ref="ES8">_xll.EQNXTDZ($A$1,$B8,ES$1)</f>
        <v>716.05</v>
      </c>
      <c r="ET8" s="116" cm="1">
        <f t="array" ref="ET8">_xll.EQNXTDZ($A$1,$B8,ET$1)</f>
        <v>787</v>
      </c>
      <c r="EU8" s="116" cm="1">
        <f t="array" ref="EU8">_xll.EQNXTDZ($A$1,$B8,EU$1)</f>
        <v>830</v>
      </c>
      <c r="EV8" s="116" cm="1">
        <f t="array" ref="EV8">_xll.EQNXTDZ($A$1,$B8,EV$1)</f>
        <v>847</v>
      </c>
      <c r="EW8" s="116" cm="1">
        <f t="array" ref="EW8">_xll.EQNXTDZ($A$1,$B8,EW$1)</f>
        <v>868</v>
      </c>
      <c r="EX8" s="116" cm="1">
        <f t="array" ref="EX8">_xll.EQNXTDZ($A$1,$B8,EX$1)</f>
        <v>652.29999999999995</v>
      </c>
      <c r="EY8" s="116" cm="1">
        <f t="array" ref="EY8">_xll.EQNXTDZ($A$1,$B8,EY$1)</f>
        <v>653</v>
      </c>
      <c r="EZ8" s="116" cm="1">
        <f t="array" ref="EZ8">_xll.EQNXTDZ($A$1,$B8,EZ$1)</f>
        <v>785.5</v>
      </c>
      <c r="FA8" s="116" cm="1">
        <f t="array" ref="FA8">_xll.EQNXTDZ($A$1,$B8,FA$1)</f>
        <v>690.25</v>
      </c>
      <c r="FB8" s="116" cm="1">
        <f t="array" ref="FB8">_xll.EQNXTDZ($A$1,$B8,FB$1)</f>
        <v>711.05</v>
      </c>
      <c r="FC8" s="116" cm="1">
        <f t="array" ref="FC8">_xll.EQNXTDZ($A$1,$B8,FC$1)</f>
        <v>707.3</v>
      </c>
      <c r="FD8" s="116" cm="1">
        <f t="array" ref="FD8">_xll.EQNXTDZ($A$1,$B8,FD$1)</f>
        <v>746.4</v>
      </c>
      <c r="FE8" s="116" cm="1">
        <f t="array" ref="FE8">_xll.EQNXTDZ($A$1,$B8,FE$1)</f>
        <v>714.5</v>
      </c>
      <c r="FF8" s="116" cm="1">
        <f t="array" ref="FF8">_xll.EQNXTDZ($A$1,$B8,FF$1)</f>
        <v>625.15</v>
      </c>
      <c r="FG8" s="116" cm="1">
        <f t="array" ref="FG8">_xll.EQNXTDZ($A$1,$B8,FG$1)</f>
        <v>641.29999999999995</v>
      </c>
      <c r="FH8" s="116" cm="1">
        <f t="array" ref="FH8">_xll.EQNXTDZ($A$1,$B8,FH$1)</f>
        <v>603.9</v>
      </c>
      <c r="FI8" s="116" cm="1">
        <f t="array" ref="FI8">_xll.EQNXTDZ($A$1,$B8,FI$1)</f>
        <v>556.29999999999995</v>
      </c>
      <c r="FJ8" s="116" cm="1">
        <f t="array" ref="FJ8">_xll.EQNXTDZ($A$1,$B8,FJ$1)</f>
        <v>494</v>
      </c>
      <c r="FK8" s="116" cm="1">
        <f t="array" ref="FK8">_xll.EQNXTDZ($A$1,$B8,FK$1)</f>
        <v>420.05</v>
      </c>
      <c r="FL8" s="116" cm="1">
        <f t="array" ref="FL8">_xll.EQNXTDZ($A$1,$B8,FL$1)</f>
        <v>364.55</v>
      </c>
      <c r="FM8" s="116" cm="1">
        <f t="array" ref="FM8">_xll.EQNXTDZ($A$1,$B8,FM$1)</f>
        <v>376.2</v>
      </c>
      <c r="FN8" s="116" cm="1">
        <f t="array" ref="FN8">_xll.EQNXTDZ($A$1,$B8,FN$1)</f>
        <v>452.55</v>
      </c>
      <c r="FO8" s="116" cm="1">
        <f t="array" ref="FO8">_xll.EQNXTDZ($A$1,$B8,FO$1)</f>
        <v>452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244.3</v>
      </c>
      <c r="JE8" s="116">
        <f>+MIN(DW8:DY8)</f>
        <v>297.35000000000002</v>
      </c>
      <c r="JF8" s="116">
        <f>+MIN(DZ8:EB8)</f>
        <v>206.8</v>
      </c>
      <c r="JG8" s="116">
        <f>+MIN(EC8:EE8)</f>
        <v>217.75</v>
      </c>
      <c r="JH8" s="116">
        <f>+MIN(EF8:EH8)</f>
        <v>405</v>
      </c>
      <c r="JI8" s="116">
        <f>+MIN(EI8:EK8)</f>
        <v>416</v>
      </c>
      <c r="JJ8" s="116">
        <f>+MIN(EL8:EN8)</f>
        <v>415</v>
      </c>
      <c r="JK8" s="116">
        <f>MIN(EO8:EQ8)</f>
        <v>673.85</v>
      </c>
      <c r="JL8" s="116">
        <f>MIN(ER8:ET8)</f>
        <v>716.05</v>
      </c>
      <c r="JM8" s="116">
        <f>MIN(EU8:EW8)</f>
        <v>830</v>
      </c>
      <c r="JN8" s="116">
        <f>MIN(EX8:EZ8)</f>
        <v>652.29999999999995</v>
      </c>
      <c r="JO8" s="116">
        <f>MIN(FA8:FC8)</f>
        <v>690.25</v>
      </c>
      <c r="JP8" s="116">
        <f>MIN(FD8:FF8)</f>
        <v>625.15</v>
      </c>
      <c r="JQ8" s="116">
        <f>MIN(FG8:FI8)</f>
        <v>556.29999999999995</v>
      </c>
      <c r="JR8" s="116">
        <f>MIN(FJ8:FL8)</f>
        <v>364.55</v>
      </c>
      <c r="JS8" s="116">
        <f>MIN(FM8:FO8)</f>
        <v>376.2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252.9</v>
      </c>
      <c r="DT9" s="116" cm="1">
        <f t="array" ref="DT9">_xll.EQNXTDZ($A$1,$B9,DT$1)</f>
        <v>341.1</v>
      </c>
      <c r="DU9" s="116" cm="1">
        <f t="array" ref="DU9">_xll.EQNXTDZ($A$1,$B9,DU$1)</f>
        <v>359.35</v>
      </c>
      <c r="DV9" s="116" cm="1">
        <f t="array" ref="DV9">_xll.EQNXTDZ($A$1,$B9,DV$1)</f>
        <v>325</v>
      </c>
      <c r="DW9" s="116" cm="1">
        <f t="array" ref="DW9">_xll.EQNXTDZ($A$1,$B9,DW$1)</f>
        <v>319.45</v>
      </c>
      <c r="DX9" s="116" cm="1">
        <f t="array" ref="DX9">_xll.EQNXTDZ($A$1,$B9,DX$1)</f>
        <v>309.10000000000002</v>
      </c>
      <c r="DY9" s="116" cm="1">
        <f t="array" ref="DY9">_xll.EQNXTDZ($A$1,$B9,DY$1)</f>
        <v>316.35000000000002</v>
      </c>
      <c r="DZ9" s="116" cm="1">
        <f t="array" ref="DZ9">_xll.EQNXTDZ($A$1,$B9,DZ$1)</f>
        <v>275.89999999999998</v>
      </c>
      <c r="EA9" s="116" cm="1">
        <f t="array" ref="EA9">_xll.EQNXTDZ($A$1,$B9,EA$1)</f>
        <v>253.4</v>
      </c>
      <c r="EB9" s="116" cm="1">
        <f t="array" ref="EB9">_xll.EQNXTDZ($A$1,$B9,EB$1)</f>
        <v>214.85</v>
      </c>
      <c r="EC9" s="116" cm="1">
        <f t="array" ref="EC9">_xll.EQNXTDZ($A$1,$B9,EC$1)</f>
        <v>270.7</v>
      </c>
      <c r="ED9" s="116" cm="1">
        <f t="array" ref="ED9">_xll.EQNXTDZ($A$1,$B9,ED$1)</f>
        <v>431.7</v>
      </c>
      <c r="EE9" s="116" cm="1">
        <f t="array" ref="EE9">_xll.EQNXTDZ($A$1,$B9,EE$1)</f>
        <v>429.85</v>
      </c>
      <c r="EF9" s="116" cm="1">
        <f t="array" ref="EF9">_xll.EQNXTDZ($A$1,$B9,EF$1)</f>
        <v>450.9</v>
      </c>
      <c r="EG9" s="116" cm="1">
        <f t="array" ref="EG9">_xll.EQNXTDZ($A$1,$B9,EG$1)</f>
        <v>498.85</v>
      </c>
      <c r="EH9" s="116" cm="1">
        <f t="array" ref="EH9">_xll.EQNXTDZ($A$1,$B9,EH$1)</f>
        <v>467.4</v>
      </c>
      <c r="EI9" s="116" cm="1">
        <f t="array" ref="EI9">_xll.EQNXTDZ($A$1,$B9,EI$1)</f>
        <v>456.3</v>
      </c>
      <c r="EJ9" s="116" cm="1">
        <f t="array" ref="EJ9">_xll.EQNXTDZ($A$1,$B9,EJ$1)</f>
        <v>458.9</v>
      </c>
      <c r="EK9" s="116" cm="1">
        <f t="array" ref="EK9">_xll.EQNXTDZ($A$1,$B9,EK$1)</f>
        <v>451.5</v>
      </c>
      <c r="EL9" s="116" cm="1">
        <f t="array" ref="EL9">_xll.EQNXTDZ($A$1,$B9,EL$1)</f>
        <v>457.15</v>
      </c>
      <c r="EM9" s="116" cm="1">
        <f t="array" ref="EM9">_xll.EQNXTDZ($A$1,$B9,EM$1)</f>
        <v>591.45000000000005</v>
      </c>
      <c r="EN9" s="116" cm="1">
        <f t="array" ref="EN9">_xll.EQNXTDZ($A$1,$B9,EN$1)</f>
        <v>756.9</v>
      </c>
      <c r="EO9" s="116" cm="1">
        <f t="array" ref="EO9">_xll.EQNXTDZ($A$1,$B9,EO$1)</f>
        <v>758.2</v>
      </c>
      <c r="EP9" s="116" cm="1">
        <f t="array" ref="EP9">_xll.EQNXTDZ($A$1,$B9,EP$1)</f>
        <v>761.55</v>
      </c>
      <c r="EQ9" s="116" cm="1">
        <f t="array" ref="EQ9">_xll.EQNXTDZ($A$1,$B9,EQ$1)</f>
        <v>856.45</v>
      </c>
      <c r="ER9" s="116" cm="1">
        <f t="array" ref="ER9">_xll.EQNXTDZ($A$1,$B9,ER$1)</f>
        <v>876.8</v>
      </c>
      <c r="ES9" s="116" cm="1">
        <f t="array" ref="ES9">_xll.EQNXTDZ($A$1,$B9,ES$1)</f>
        <v>814.25</v>
      </c>
      <c r="ET9" s="116" cm="1">
        <f t="array" ref="ET9">_xll.EQNXTDZ($A$1,$B9,ET$1)</f>
        <v>880</v>
      </c>
      <c r="EU9" s="116" cm="1">
        <f t="array" ref="EU9">_xll.EQNXTDZ($A$1,$B9,EU$1)</f>
        <v>908.35</v>
      </c>
      <c r="EV9" s="116" cm="1">
        <f t="array" ref="EV9">_xll.EQNXTDZ($A$1,$B9,EV$1)</f>
        <v>882.35</v>
      </c>
      <c r="EW9" s="116" cm="1">
        <f t="array" ref="EW9">_xll.EQNXTDZ($A$1,$B9,EW$1)</f>
        <v>935.35</v>
      </c>
      <c r="EX9" s="116" cm="1">
        <f t="array" ref="EX9">_xll.EQNXTDZ($A$1,$B9,EX$1)</f>
        <v>696.7</v>
      </c>
      <c r="EY9" s="116" cm="1">
        <f t="array" ref="EY9">_xll.EQNXTDZ($A$1,$B9,EY$1)</f>
        <v>849.3</v>
      </c>
      <c r="EZ9" s="116" cm="1">
        <f t="array" ref="EZ9">_xll.EQNXTDZ($A$1,$B9,EZ$1)</f>
        <v>852.35</v>
      </c>
      <c r="FA9" s="116" cm="1">
        <f t="array" ref="FA9">_xll.EQNXTDZ($A$1,$B9,FA$1)</f>
        <v>775.5</v>
      </c>
      <c r="FB9" s="116" cm="1">
        <f t="array" ref="FB9">_xll.EQNXTDZ($A$1,$B9,FB$1)</f>
        <v>775.7</v>
      </c>
      <c r="FC9" s="116" cm="1">
        <f t="array" ref="FC9">_xll.EQNXTDZ($A$1,$B9,FC$1)</f>
        <v>767.85</v>
      </c>
      <c r="FD9" s="116" cm="1">
        <f t="array" ref="FD9">_xll.EQNXTDZ($A$1,$B9,FD$1)</f>
        <v>776.3</v>
      </c>
      <c r="FE9" s="116" cm="1">
        <f t="array" ref="FE9">_xll.EQNXTDZ($A$1,$B9,FE$1)</f>
        <v>719.75</v>
      </c>
      <c r="FF9" s="116" cm="1">
        <f t="array" ref="FF9">_xll.EQNXTDZ($A$1,$B9,FF$1)</f>
        <v>683.45</v>
      </c>
      <c r="FG9" s="116" cm="1">
        <f t="array" ref="FG9">_xll.EQNXTDZ($A$1,$B9,FG$1)</f>
        <v>644.65</v>
      </c>
      <c r="FH9" s="116" cm="1">
        <f t="array" ref="FH9">_xll.EQNXTDZ($A$1,$B9,FH$1)</f>
        <v>617.45000000000005</v>
      </c>
      <c r="FI9" s="116" cm="1">
        <f t="array" ref="FI9">_xll.EQNXTDZ($A$1,$B9,FI$1)</f>
        <v>566.54999999999995</v>
      </c>
      <c r="FJ9" s="116" cm="1">
        <f t="array" ref="FJ9">_xll.EQNXTDZ($A$1,$B9,FJ$1)</f>
        <v>534.6</v>
      </c>
      <c r="FK9" s="116" cm="1">
        <f t="array" ref="FK9">_xll.EQNXTDZ($A$1,$B9,FK$1)</f>
        <v>428.1</v>
      </c>
      <c r="FL9" s="116" cm="1">
        <f t="array" ref="FL9">_xll.EQNXTDZ($A$1,$B9,FL$1)</f>
        <v>374.1</v>
      </c>
      <c r="FM9" s="116" cm="1">
        <f t="array" ref="FM9">_xll.EQNXTDZ($A$1,$B9,FM$1)</f>
        <v>489.4</v>
      </c>
      <c r="FN9" s="116" cm="1">
        <f t="array" ref="FN9">_xll.EQNXTDZ($A$1,$B9,FN$1)</f>
        <v>469.05</v>
      </c>
      <c r="FO9" s="116" cm="1">
        <f t="array" ref="FO9">_xll.EQNXTDZ($A$1,$B9,FO$1)</f>
        <v>468.4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252.9</v>
      </c>
      <c r="JD9" s="116">
        <f>+DV9</f>
        <v>325</v>
      </c>
      <c r="JE9" s="116">
        <f>+DY9</f>
        <v>316.35000000000002</v>
      </c>
      <c r="JF9" s="116">
        <f>+EB9</f>
        <v>214.85</v>
      </c>
      <c r="JG9" s="116">
        <f>+EE9</f>
        <v>429.85</v>
      </c>
      <c r="JH9" s="116">
        <f>+EH9</f>
        <v>467.4</v>
      </c>
      <c r="JI9" s="116">
        <f>+EK9</f>
        <v>451.5</v>
      </c>
      <c r="JJ9" s="116">
        <f>+EN9</f>
        <v>756.9</v>
      </c>
      <c r="JK9" s="116">
        <f>EQ9</f>
        <v>856.45</v>
      </c>
      <c r="JL9" s="116">
        <f>ET9</f>
        <v>880</v>
      </c>
      <c r="JM9" s="116">
        <f>EW9</f>
        <v>935.35</v>
      </c>
      <c r="JN9" s="116">
        <f>EZ9</f>
        <v>852.35</v>
      </c>
      <c r="JO9" s="116">
        <f>FC9</f>
        <v>767.85</v>
      </c>
      <c r="JP9" s="116">
        <f>FF9</f>
        <v>683.45</v>
      </c>
      <c r="JQ9" s="116">
        <f>FI9</f>
        <v>566.54999999999995</v>
      </c>
      <c r="JR9" s="116">
        <f>FL9</f>
        <v>374.1</v>
      </c>
      <c r="JS9" s="116">
        <f>FO9</f>
        <v>468.4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271</v>
      </c>
      <c r="DT13" cm="1">
        <f t="array" ref="DT13">_xll.EQNXTDZ($A$1,$B13,DT$1)</f>
        <v>248.8</v>
      </c>
      <c r="DU13" cm="1">
        <f t="array" ref="DU13">_xll.EQNXTDZ($A$1,$B13,DU$1)</f>
        <v>348.5</v>
      </c>
      <c r="DV13" cm="1">
        <f t="array" ref="DV13">_xll.EQNXTDZ($A$1,$B13,DV$1)</f>
        <v>359</v>
      </c>
      <c r="DW13" cm="1">
        <f t="array" ref="DW13">_xll.EQNXTDZ($A$1,$B13,DW$1)</f>
        <v>320.35000000000002</v>
      </c>
      <c r="DX13" cm="1">
        <f t="array" ref="DX13">_xll.EQNXTDZ($A$1,$B13,DX$1)</f>
        <v>326.10000000000002</v>
      </c>
      <c r="DY13" cm="1">
        <f t="array" ref="DY13">_xll.EQNXTDZ($A$1,$B13,DY$1)</f>
        <v>302.95</v>
      </c>
      <c r="DZ13" cm="1">
        <f t="array" ref="DZ13">_xll.EQNXTDZ($A$1,$B13,DZ$1)</f>
        <v>316.05</v>
      </c>
      <c r="EA13" cm="1">
        <f t="array" ref="EA13">_xll.EQNXTDZ($A$1,$B13,EA$1)</f>
        <v>274.05</v>
      </c>
      <c r="EB13" cm="1">
        <f t="array" ref="EB13">_xll.EQNXTDZ($A$1,$B13,EB$1)</f>
        <v>255.9</v>
      </c>
      <c r="EC13" cm="1">
        <f t="array" ref="EC13">_xll.EQNXTDZ($A$1,$B13,EC$1)</f>
        <v>216.15</v>
      </c>
      <c r="ED13" cm="1">
        <f t="array" ref="ED13">_xll.EQNXTDZ($A$1,$B13,ED$1)</f>
        <v>275.3</v>
      </c>
      <c r="EE13" cm="1">
        <f t="array" ref="EE13">_xll.EQNXTDZ($A$1,$B13,EE$1)</f>
        <v>434.65</v>
      </c>
      <c r="EF13" cm="1">
        <f t="array" ref="EF13">_xll.EQNXTDZ($A$1,$B13,EF$1)</f>
        <v>431.05</v>
      </c>
      <c r="EG13" cm="1">
        <f t="array" ref="EG13">_xll.EQNXTDZ($A$1,$B13,EG$1)</f>
        <v>452.45</v>
      </c>
      <c r="EH13" cm="1">
        <f t="array" ref="EH13">_xll.EQNXTDZ($A$1,$B13,EH$1)</f>
        <v>499.5</v>
      </c>
      <c r="EI13" cm="1">
        <f t="array" ref="EI13">_xll.EQNXTDZ($A$1,$B13,EI$1)</f>
        <v>469.65</v>
      </c>
      <c r="EJ13" cm="1">
        <f t="array" ref="EJ13">_xll.EQNXTDZ($A$1,$B13,EJ$1)</f>
        <v>464.65</v>
      </c>
      <c r="EK13" cm="1">
        <f t="array" ref="EK13">_xll.EQNXTDZ($A$1,$B13,EK$1)</f>
        <v>459.25</v>
      </c>
      <c r="EL13" cm="1">
        <f t="array" ref="EL13">_xll.EQNXTDZ($A$1,$B13,EL$1)</f>
        <v>450.05</v>
      </c>
      <c r="EM13" cm="1">
        <f t="array" ref="EM13">_xll.EQNXTDZ($A$1,$B13,EM$1)</f>
        <v>457.4</v>
      </c>
      <c r="EN13" cm="1">
        <f t="array" ref="EN13">_xll.EQNXTDZ($A$1,$B13,EN$1)</f>
        <v>599.95000000000005</v>
      </c>
      <c r="EO13" cm="1">
        <f t="array" ref="EO13">_xll.EQNXTDZ($A$1,$B13,EO$1)</f>
        <v>764.5</v>
      </c>
      <c r="EP13" cm="1">
        <f t="array" ref="EP13">_xll.EQNXTDZ($A$1,$B13,EP$1)</f>
        <v>775.05</v>
      </c>
      <c r="EQ13" cm="1">
        <f t="array" ref="EQ13">_xll.EQNXTDZ($A$1,$B13,EQ$1)</f>
        <v>770.35</v>
      </c>
      <c r="ER13" cm="1">
        <f t="array" ref="ER13">_xll.EQNXTDZ($A$1,$B13,ER$1)</f>
        <v>876</v>
      </c>
      <c r="ES13" cm="1">
        <f t="array" ref="ES13">_xll.EQNXTDZ($A$1,$B13,ES$1)</f>
        <v>877.7</v>
      </c>
      <c r="ET13" cm="1">
        <f t="array" ref="ET13">_xll.EQNXTDZ($A$1,$B13,ET$1)</f>
        <v>834.5</v>
      </c>
      <c r="EU13" cm="1">
        <f t="array" ref="EU13">_xll.EQNXTDZ($A$1,$B13,EU$1)</f>
        <v>879.85</v>
      </c>
      <c r="EV13" cm="1">
        <f t="array" ref="EV13">_xll.EQNXTDZ($A$1,$B13,EV$1)</f>
        <v>919.75</v>
      </c>
      <c r="EW13" cm="1">
        <f t="array" ref="EW13">_xll.EQNXTDZ($A$1,$B13,EW$1)</f>
        <v>865.65</v>
      </c>
      <c r="EX13" cm="1">
        <f t="array" ref="EX13">_xll.EQNXTDZ($A$1,$B13,EX$1)</f>
        <v>930</v>
      </c>
      <c r="EY13" cm="1">
        <f t="array" ref="EY13">_xll.EQNXTDZ($A$1,$B13,EY$1)</f>
        <v>710.05</v>
      </c>
      <c r="EZ13" cm="1">
        <f t="array" ref="EZ13">_xll.EQNXTDZ($A$1,$B13,EZ$1)</f>
        <v>839.45</v>
      </c>
      <c r="FA13" cm="1">
        <f t="array" ref="FA13">_xll.EQNXTDZ($A$1,$B13,FA$1)</f>
        <v>846.05</v>
      </c>
      <c r="FB13" cm="1">
        <f t="array" ref="FB13">_xll.EQNXTDZ($A$1,$B13,FB$1)</f>
        <v>769.95</v>
      </c>
      <c r="FC13" cm="1">
        <f t="array" ref="FC13">_xll.EQNXTDZ($A$1,$B13,FC$1)</f>
        <v>770.8</v>
      </c>
      <c r="FD13" cm="1">
        <f t="array" ref="FD13">_xll.EQNXTDZ($A$1,$B13,FD$1)</f>
        <v>767.75</v>
      </c>
      <c r="FE13" cm="1">
        <f t="array" ref="FE13">_xll.EQNXTDZ($A$1,$B13,FE$1)</f>
        <v>768.2</v>
      </c>
      <c r="FF13" cm="1">
        <f t="array" ref="FF13">_xll.EQNXTDZ($A$1,$B13,FF$1)</f>
        <v>722.55</v>
      </c>
      <c r="FG13" cm="1">
        <f t="array" ref="FG13">_xll.EQNXTDZ($A$1,$B13,FG$1)</f>
        <v>687.6</v>
      </c>
      <c r="FH13" cm="1">
        <f t="array" ref="FH13">_xll.EQNXTDZ($A$1,$B13,FH$1)</f>
        <v>653.35</v>
      </c>
      <c r="FI13" cm="1">
        <f t="array" ref="FI13">_xll.EQNXTDZ($A$1,$B13,FI$1)</f>
        <v>618.20000000000005</v>
      </c>
      <c r="FJ13" cm="1">
        <f t="array" ref="FJ13">_xll.EQNXTDZ($A$1,$B13,FJ$1)</f>
        <v>567.6</v>
      </c>
      <c r="FK13" cm="1">
        <f t="array" ref="FK13">_xll.EQNXTDZ($A$1,$B13,FK$1)</f>
        <v>533.79999999999995</v>
      </c>
      <c r="FL13" cm="1">
        <f t="array" ref="FL13">_xll.EQNXTDZ($A$1,$B13,FL$1)</f>
        <v>395.5</v>
      </c>
      <c r="FM13" cm="1">
        <f t="array" ref="FM13">_xll.EQNXTDZ($A$1,$B13,FM$1)</f>
        <v>390</v>
      </c>
      <c r="FN13" cm="1">
        <f t="array" ref="FN13">_xll.EQNXTDZ($A$1,$B13,FN$1)</f>
        <v>487</v>
      </c>
      <c r="FO13" cm="1">
        <f t="array" ref="FO13">_xll.EQNXTDZ($A$1,$B13,FO$1)</f>
        <v>479.75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279</v>
      </c>
      <c r="DT14" s="116" cm="1">
        <f t="array" ref="DT14">_xll.EQNXTDZ($A$1,$B14,DT$1)</f>
        <v>373.5</v>
      </c>
      <c r="DU14" s="116" cm="1">
        <f t="array" ref="DU14">_xll.EQNXTDZ($A$1,$B14,DU$1)</f>
        <v>399.7</v>
      </c>
      <c r="DV14" s="116" cm="1">
        <f t="array" ref="DV14">_xll.EQNXTDZ($A$1,$B14,DV$1)</f>
        <v>370</v>
      </c>
      <c r="DW14" s="116" cm="1">
        <f t="array" ref="DW14">_xll.EQNXTDZ($A$1,$B14,DW$1)</f>
        <v>337.9</v>
      </c>
      <c r="DX14" s="116" cm="1">
        <f t="array" ref="DX14">_xll.EQNXTDZ($A$1,$B14,DX$1)</f>
        <v>357.15</v>
      </c>
      <c r="DY14" s="116" cm="1">
        <f t="array" ref="DY14">_xll.EQNXTDZ($A$1,$B14,DY$1)</f>
        <v>336.25</v>
      </c>
      <c r="DZ14" s="116" cm="1">
        <f t="array" ref="DZ14">_xll.EQNXTDZ($A$1,$B14,DZ$1)</f>
        <v>316.60000000000002</v>
      </c>
      <c r="EA14" s="116" cm="1">
        <f t="array" ref="EA14">_xll.EQNXTDZ($A$1,$B14,EA$1)</f>
        <v>281.10000000000002</v>
      </c>
      <c r="EB14" s="116" cm="1">
        <f t="array" ref="EB14">_xll.EQNXTDZ($A$1,$B14,EB$1)</f>
        <v>264.2</v>
      </c>
      <c r="EC14" s="116" cm="1">
        <f t="array" ref="EC14">_xll.EQNXTDZ($A$1,$B14,EC$1)</f>
        <v>278.8</v>
      </c>
      <c r="ED14" s="116" cm="1">
        <f t="array" ref="ED14">_xll.EQNXTDZ($A$1,$B14,ED$1)</f>
        <v>444</v>
      </c>
      <c r="EE14" s="116" cm="1">
        <f t="array" ref="EE14">_xll.EQNXTDZ($A$1,$B14,EE$1)</f>
        <v>445</v>
      </c>
      <c r="EF14" s="116" cm="1">
        <f t="array" ref="EF14">_xll.EQNXTDZ($A$1,$B14,EF$1)</f>
        <v>510</v>
      </c>
      <c r="EG14" s="116" cm="1">
        <f t="array" ref="EG14">_xll.EQNXTDZ($A$1,$B14,EG$1)</f>
        <v>535.35</v>
      </c>
      <c r="EH14" s="116" cm="1">
        <f t="array" ref="EH14">_xll.EQNXTDZ($A$1,$B14,EH$1)</f>
        <v>517.20000000000005</v>
      </c>
      <c r="EI14" s="116" cm="1">
        <f t="array" ref="EI14">_xll.EQNXTDZ($A$1,$B14,EI$1)</f>
        <v>494</v>
      </c>
      <c r="EJ14" s="116" cm="1">
        <f t="array" ref="EJ14">_xll.EQNXTDZ($A$1,$B14,EJ$1)</f>
        <v>490.55</v>
      </c>
      <c r="EK14" s="116" cm="1">
        <f t="array" ref="EK14">_xll.EQNXTDZ($A$1,$B14,EK$1)</f>
        <v>469.5</v>
      </c>
      <c r="EL14" s="116" cm="1">
        <f t="array" ref="EL14">_xll.EQNXTDZ($A$1,$B14,EL$1)</f>
        <v>507.2</v>
      </c>
      <c r="EM14" s="116" cm="1">
        <f t="array" ref="EM14">_xll.EQNXTDZ($A$1,$B14,EM$1)</f>
        <v>608.70000000000005</v>
      </c>
      <c r="EN14" s="116" cm="1">
        <f t="array" ref="EN14">_xll.EQNXTDZ($A$1,$B14,EN$1)</f>
        <v>869.95</v>
      </c>
      <c r="EO14" s="116" cm="1">
        <f t="array" ref="EO14">_xll.EQNXTDZ($A$1,$B14,EO$1)</f>
        <v>844.15</v>
      </c>
      <c r="EP14" s="116" cm="1">
        <f t="array" ref="EP14">_xll.EQNXTDZ($A$1,$B14,EP$1)</f>
        <v>831.95</v>
      </c>
      <c r="EQ14" s="116" cm="1">
        <f t="array" ref="EQ14">_xll.EQNXTDZ($A$1,$B14,EQ$1)</f>
        <v>915.15</v>
      </c>
      <c r="ER14" s="116" cm="1">
        <f t="array" ref="ER14">_xll.EQNXTDZ($A$1,$B14,ER$1)</f>
        <v>925.45</v>
      </c>
      <c r="ES14" s="116" cm="1">
        <f t="array" ref="ES14">_xll.EQNXTDZ($A$1,$B14,ES$1)</f>
        <v>879.8</v>
      </c>
      <c r="ET14" s="116" cm="1">
        <f t="array" ref="ET14">_xll.EQNXTDZ($A$1,$B14,ET$1)</f>
        <v>897.95</v>
      </c>
      <c r="EU14" s="116" cm="1">
        <f t="array" ref="EU14">_xll.EQNXTDZ($A$1,$B14,EU$1)</f>
        <v>990.9</v>
      </c>
      <c r="EV14" s="116" cm="1">
        <f t="array" ref="EV14">_xll.EQNXTDZ($A$1,$B14,EV$1)</f>
        <v>932</v>
      </c>
      <c r="EW14" s="116" cm="1">
        <f t="array" ref="EW14">_xll.EQNXTDZ($A$1,$B14,EW$1)</f>
        <v>1023.55</v>
      </c>
      <c r="EX14" s="116" cm="1">
        <f t="array" ref="EX14">_xll.EQNXTDZ($A$1,$B14,EX$1)</f>
        <v>990</v>
      </c>
      <c r="EY14" s="116" cm="1">
        <f t="array" ref="EY14">_xll.EQNXTDZ($A$1,$B14,EY$1)</f>
        <v>864</v>
      </c>
      <c r="EZ14" s="116" cm="1">
        <f t="array" ref="EZ14">_xll.EQNXTDZ($A$1,$B14,EZ$1)</f>
        <v>893</v>
      </c>
      <c r="FA14" s="116" cm="1">
        <f t="array" ref="FA14">_xll.EQNXTDZ($A$1,$B14,FA$1)</f>
        <v>907.9</v>
      </c>
      <c r="FB14" s="116" cm="1">
        <f t="array" ref="FB14">_xll.EQNXTDZ($A$1,$B14,FB$1)</f>
        <v>778.8</v>
      </c>
      <c r="FC14" s="116" cm="1">
        <f t="array" ref="FC14">_xll.EQNXTDZ($A$1,$B14,FC$1)</f>
        <v>793.75</v>
      </c>
      <c r="FD14" s="116" cm="1">
        <f t="array" ref="FD14">_xll.EQNXTDZ($A$1,$B14,FD$1)</f>
        <v>842.25</v>
      </c>
      <c r="FE14" s="116" cm="1">
        <f t="array" ref="FE14">_xll.EQNXTDZ($A$1,$B14,FE$1)</f>
        <v>794.95</v>
      </c>
      <c r="FF14" s="116" cm="1">
        <f t="array" ref="FF14">_xll.EQNXTDZ($A$1,$B14,FF$1)</f>
        <v>735.95</v>
      </c>
      <c r="FG14" s="116" cm="1">
        <f t="array" ref="FG14">_xll.EQNXTDZ($A$1,$B14,FG$1)</f>
        <v>687.6</v>
      </c>
      <c r="FH14" s="116" cm="1">
        <f t="array" ref="FH14">_xll.EQNXTDZ($A$1,$B14,FH$1)</f>
        <v>664.35</v>
      </c>
      <c r="FI14" s="116" cm="1">
        <f t="array" ref="FI14">_xll.EQNXTDZ($A$1,$B14,FI$1)</f>
        <v>640</v>
      </c>
      <c r="FJ14" s="116" cm="1">
        <f t="array" ref="FJ14">_xll.EQNXTDZ($A$1,$B14,FJ$1)</f>
        <v>616.35</v>
      </c>
      <c r="FK14" s="116" cm="1">
        <f t="array" ref="FK14">_xll.EQNXTDZ($A$1,$B14,FK$1)</f>
        <v>583.29999999999995</v>
      </c>
      <c r="FL14" s="116" cm="1">
        <f t="array" ref="FL14">_xll.EQNXTDZ($A$1,$B14,FL$1)</f>
        <v>441</v>
      </c>
      <c r="FM14" s="116" cm="1">
        <f t="array" ref="FM14">_xll.EQNXTDZ($A$1,$B14,FM$1)</f>
        <v>539.79999999999995</v>
      </c>
      <c r="FN14" s="116" cm="1">
        <f t="array" ref="FN14">_xll.EQNXTDZ($A$1,$B14,FN$1)</f>
        <v>546.79999999999995</v>
      </c>
      <c r="FO14" s="116" cm="1">
        <f t="array" ref="FO14">_xll.EQNXTDZ($A$1,$B14,FO$1)</f>
        <v>485.8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279</v>
      </c>
      <c r="JD14" s="116">
        <f>+MAX(DT14:DV14)</f>
        <v>399.7</v>
      </c>
      <c r="JE14" s="116">
        <f>+MAX(DW14:DY14)</f>
        <v>357.15</v>
      </c>
      <c r="JF14" s="116">
        <f>+MAX(DZ14:EB14)</f>
        <v>316.60000000000002</v>
      </c>
      <c r="JG14" s="116">
        <f>+MAX(EC14:EE14)</f>
        <v>445</v>
      </c>
      <c r="JH14" s="116">
        <f>+MAX(EF14:EH14)</f>
        <v>535.35</v>
      </c>
      <c r="JI14" s="116">
        <f>+MAX(EI14:EK14)</f>
        <v>494</v>
      </c>
      <c r="JJ14" s="116">
        <f>+MAX(EL14:EN14)</f>
        <v>869.95</v>
      </c>
      <c r="JK14" s="116">
        <f>MAX(EO14:EQ14)</f>
        <v>915.15</v>
      </c>
      <c r="JL14" s="116">
        <f>MAX(ER14:ET14)</f>
        <v>925.45</v>
      </c>
      <c r="JM14" s="116">
        <f>MAX(EU14:EW14)</f>
        <v>1023.55</v>
      </c>
      <c r="JN14" s="116">
        <f>MAX(EX14:EZ14)</f>
        <v>990</v>
      </c>
      <c r="JO14" s="116">
        <f>MAX(FA14:FC14)</f>
        <v>907.9</v>
      </c>
      <c r="JP14" s="116">
        <f>MAX(FD14:FF14)</f>
        <v>842.25</v>
      </c>
      <c r="JQ14" s="116">
        <f>MAX(FG14:FI14)</f>
        <v>687.6</v>
      </c>
      <c r="JR14" s="116">
        <f>MAX(FJ14:FL14)</f>
        <v>616.35</v>
      </c>
      <c r="JS14" s="116">
        <f>MAX(FM14:FO14)</f>
        <v>546.79999999999995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236.3</v>
      </c>
      <c r="DT15" s="116" cm="1">
        <f t="array" ref="DT15">_xll.EQNXTDZ($A$1,$B15,DT$1)</f>
        <v>244.05</v>
      </c>
      <c r="DU15" s="116" cm="1">
        <f t="array" ref="DU15">_xll.EQNXTDZ($A$1,$B15,DU$1)</f>
        <v>333.15</v>
      </c>
      <c r="DV15" s="116" cm="1">
        <f t="array" ref="DV15">_xll.EQNXTDZ($A$1,$B15,DV$1)</f>
        <v>287.95</v>
      </c>
      <c r="DW15" s="116" cm="1">
        <f t="array" ref="DW15">_xll.EQNXTDZ($A$1,$B15,DW$1)</f>
        <v>304.85000000000002</v>
      </c>
      <c r="DX15" s="116" cm="1">
        <f t="array" ref="DX15">_xll.EQNXTDZ($A$1,$B15,DX$1)</f>
        <v>302.5</v>
      </c>
      <c r="DY15" s="116" cm="1">
        <f t="array" ref="DY15">_xll.EQNXTDZ($A$1,$B15,DY$1)</f>
        <v>296.14999999999998</v>
      </c>
      <c r="DZ15" s="116" cm="1">
        <f t="array" ref="DZ15">_xll.EQNXTDZ($A$1,$B15,DZ$1)</f>
        <v>267.5</v>
      </c>
      <c r="EA15" s="116" cm="1">
        <f t="array" ref="EA15">_xll.EQNXTDZ($A$1,$B15,EA$1)</f>
        <v>247.25</v>
      </c>
      <c r="EB15" s="116" cm="1">
        <f t="array" ref="EB15">_xll.EQNXTDZ($A$1,$B15,EB$1)</f>
        <v>206.9</v>
      </c>
      <c r="EC15" s="116" cm="1">
        <f t="array" ref="EC15">_xll.EQNXTDZ($A$1,$B15,EC$1)</f>
        <v>216.15</v>
      </c>
      <c r="ED15" s="116" cm="1">
        <f t="array" ref="ED15">_xll.EQNXTDZ($A$1,$B15,ED$1)</f>
        <v>273.64999999999998</v>
      </c>
      <c r="EE15" s="116" cm="1">
        <f t="array" ref="EE15">_xll.EQNXTDZ($A$1,$B15,EE$1)</f>
        <v>366.6</v>
      </c>
      <c r="EF15" s="116" cm="1">
        <f t="array" ref="EF15">_xll.EQNXTDZ($A$1,$B15,EF$1)</f>
        <v>406.65</v>
      </c>
      <c r="EG15" s="116" cm="1">
        <f t="array" ref="EG15">_xll.EQNXTDZ($A$1,$B15,EG$1)</f>
        <v>430</v>
      </c>
      <c r="EH15" s="116" cm="1">
        <f t="array" ref="EH15">_xll.EQNXTDZ($A$1,$B15,EH$1)</f>
        <v>451.9</v>
      </c>
      <c r="EI15" s="116" cm="1">
        <f t="array" ref="EI15">_xll.EQNXTDZ($A$1,$B15,EI$1)</f>
        <v>415.95</v>
      </c>
      <c r="EJ15" s="116" cm="1">
        <f t="array" ref="EJ15">_xll.EQNXTDZ($A$1,$B15,EJ$1)</f>
        <v>445.35</v>
      </c>
      <c r="EK15" s="116" cm="1">
        <f t="array" ref="EK15">_xll.EQNXTDZ($A$1,$B15,EK$1)</f>
        <v>420.05</v>
      </c>
      <c r="EL15" s="116" cm="1">
        <f t="array" ref="EL15">_xll.EQNXTDZ($A$1,$B15,EL$1)</f>
        <v>416.5</v>
      </c>
      <c r="EM15" s="116" cm="1">
        <f t="array" ref="EM15">_xll.EQNXTDZ($A$1,$B15,EM$1)</f>
        <v>453.35</v>
      </c>
      <c r="EN15" s="116" cm="1">
        <f t="array" ref="EN15">_xll.EQNXTDZ($A$1,$B15,EN$1)</f>
        <v>547.75</v>
      </c>
      <c r="EO15" s="116" cm="1">
        <f t="array" ref="EO15">_xll.EQNXTDZ($A$1,$B15,EO$1)</f>
        <v>674.5</v>
      </c>
      <c r="EP15" s="116" cm="1">
        <f t="array" ref="EP15">_xll.EQNXTDZ($A$1,$B15,EP$1)</f>
        <v>706.35</v>
      </c>
      <c r="EQ15" s="116" cm="1">
        <f t="array" ref="EQ15">_xll.EQNXTDZ($A$1,$B15,EQ$1)</f>
        <v>675</v>
      </c>
      <c r="ER15" s="116" cm="1">
        <f t="array" ref="ER15">_xll.EQNXTDZ($A$1,$B15,ER$1)</f>
        <v>835.8</v>
      </c>
      <c r="ES15" s="116" cm="1">
        <f t="array" ref="ES15">_xll.EQNXTDZ($A$1,$B15,ES$1)</f>
        <v>716.95</v>
      </c>
      <c r="ET15" s="116" cm="1">
        <f t="array" ref="ET15">_xll.EQNXTDZ($A$1,$B15,ET$1)</f>
        <v>790</v>
      </c>
      <c r="EU15" s="116" cm="1">
        <f t="array" ref="EU15">_xll.EQNXTDZ($A$1,$B15,EU$1)</f>
        <v>831.05</v>
      </c>
      <c r="EV15" s="116" cm="1">
        <f t="array" ref="EV15">_xll.EQNXTDZ($A$1,$B15,EV$1)</f>
        <v>847</v>
      </c>
      <c r="EW15" s="116" cm="1">
        <f t="array" ref="EW15">_xll.EQNXTDZ($A$1,$B15,EW$1)</f>
        <v>865.65</v>
      </c>
      <c r="EX15" s="116" cm="1">
        <f t="array" ref="EX15">_xll.EQNXTDZ($A$1,$B15,EX$1)</f>
        <v>651.6</v>
      </c>
      <c r="EY15" s="116" cm="1">
        <f t="array" ref="EY15">_xll.EQNXTDZ($A$1,$B15,EY$1)</f>
        <v>654.4</v>
      </c>
      <c r="EZ15" s="116" cm="1">
        <f t="array" ref="EZ15">_xll.EQNXTDZ($A$1,$B15,EZ$1)</f>
        <v>788.5</v>
      </c>
      <c r="FA15" s="116" cm="1">
        <f t="array" ref="FA15">_xll.EQNXTDZ($A$1,$B15,FA$1)</f>
        <v>685</v>
      </c>
      <c r="FB15" s="116" cm="1">
        <f t="array" ref="FB15">_xll.EQNXTDZ($A$1,$B15,FB$1)</f>
        <v>711.85</v>
      </c>
      <c r="FC15" s="116" cm="1">
        <f t="array" ref="FC15">_xll.EQNXTDZ($A$1,$B15,FC$1)</f>
        <v>711.7</v>
      </c>
      <c r="FD15" s="116" cm="1">
        <f t="array" ref="FD15">_xll.EQNXTDZ($A$1,$B15,FD$1)</f>
        <v>746.4</v>
      </c>
      <c r="FE15" s="116" cm="1">
        <f t="array" ref="FE15">_xll.EQNXTDZ($A$1,$B15,FE$1)</f>
        <v>715</v>
      </c>
      <c r="FF15" s="116" cm="1">
        <f t="array" ref="FF15">_xll.EQNXTDZ($A$1,$B15,FF$1)</f>
        <v>626</v>
      </c>
      <c r="FG15" s="116" cm="1">
        <f t="array" ref="FG15">_xll.EQNXTDZ($A$1,$B15,FG$1)</f>
        <v>639</v>
      </c>
      <c r="FH15" s="116" cm="1">
        <f t="array" ref="FH15">_xll.EQNXTDZ($A$1,$B15,FH$1)</f>
        <v>602.5</v>
      </c>
      <c r="FI15" s="116" cm="1">
        <f t="array" ref="FI15">_xll.EQNXTDZ($A$1,$B15,FI$1)</f>
        <v>563.54999999999995</v>
      </c>
      <c r="FJ15" s="116" cm="1">
        <f t="array" ref="FJ15">_xll.EQNXTDZ($A$1,$B15,FJ$1)</f>
        <v>494.45</v>
      </c>
      <c r="FK15" s="116" cm="1">
        <f t="array" ref="FK15">_xll.EQNXTDZ($A$1,$B15,FK$1)</f>
        <v>420.25</v>
      </c>
      <c r="FL15" s="116" cm="1">
        <f t="array" ref="FL15">_xll.EQNXTDZ($A$1,$B15,FL$1)</f>
        <v>365.75</v>
      </c>
      <c r="FM15" s="116" cm="1">
        <f t="array" ref="FM15">_xll.EQNXTDZ($A$1,$B15,FM$1)</f>
        <v>377.9</v>
      </c>
      <c r="FN15" s="116" cm="1">
        <f t="array" ref="FN15">_xll.EQNXTDZ($A$1,$B15,FN$1)</f>
        <v>454.4</v>
      </c>
      <c r="FO15" s="116" cm="1">
        <f t="array" ref="FO15">_xll.EQNXTDZ($A$1,$B15,FO$1)</f>
        <v>454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244.05</v>
      </c>
      <c r="JE15" s="116">
        <f>+MIN(DW15:DY15)</f>
        <v>296.14999999999998</v>
      </c>
      <c r="JF15" s="116">
        <f>+MIN(DZ15:EB15)</f>
        <v>206.9</v>
      </c>
      <c r="JG15" s="116">
        <f>+MIN(EC15:EE15)</f>
        <v>216.15</v>
      </c>
      <c r="JH15" s="116">
        <f>+MIN(EF15:EH15)</f>
        <v>406.65</v>
      </c>
      <c r="JI15" s="116">
        <f>+MIN(EI15:EK15)</f>
        <v>415.95</v>
      </c>
      <c r="JJ15" s="116">
        <f>+MIN(EL15:EN15)</f>
        <v>416.5</v>
      </c>
      <c r="JK15" s="116">
        <f>MIN(EO15:EQ15)</f>
        <v>674.5</v>
      </c>
      <c r="JL15" s="116">
        <f>MIN(ER15:ET15)</f>
        <v>716.95</v>
      </c>
      <c r="JM15" s="116">
        <f>MIN(EU15:EW15)</f>
        <v>831.05</v>
      </c>
      <c r="JN15" s="116">
        <f>MIN(EX15:EZ15)</f>
        <v>651.6</v>
      </c>
      <c r="JO15" s="116">
        <f>MIN(FA15:FC15)</f>
        <v>685</v>
      </c>
      <c r="JP15" s="116">
        <f>MIN(FD15:FF15)</f>
        <v>626</v>
      </c>
      <c r="JQ15" s="116">
        <f>MIN(FG15:FI15)</f>
        <v>563.54999999999995</v>
      </c>
      <c r="JR15" s="116">
        <f>MIN(FJ15:FL15)</f>
        <v>365.75</v>
      </c>
      <c r="JS15" s="116">
        <f>MIN(FM15:FO15)</f>
        <v>377.9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252.1</v>
      </c>
      <c r="DT16" s="116" cm="1">
        <f t="array" ref="DT16">_xll.EQNXTDZ($A$1,$B16,DT$1)</f>
        <v>342.05</v>
      </c>
      <c r="DU16" s="116" cm="1">
        <f t="array" ref="DU16">_xll.EQNXTDZ($A$1,$B16,DU$1)</f>
        <v>359.3</v>
      </c>
      <c r="DV16" s="116" cm="1">
        <f t="array" ref="DV16">_xll.EQNXTDZ($A$1,$B16,DV$1)</f>
        <v>325.10000000000002</v>
      </c>
      <c r="DW16" s="116" cm="1">
        <f t="array" ref="DW16">_xll.EQNXTDZ($A$1,$B16,DW$1)</f>
        <v>319</v>
      </c>
      <c r="DX16" s="116" cm="1">
        <f t="array" ref="DX16">_xll.EQNXTDZ($A$1,$B16,DX$1)</f>
        <v>309.05</v>
      </c>
      <c r="DY16" s="116" cm="1">
        <f t="array" ref="DY16">_xll.EQNXTDZ($A$1,$B16,DY$1)</f>
        <v>315.8</v>
      </c>
      <c r="DZ16" s="116" cm="1">
        <f t="array" ref="DZ16">_xll.EQNXTDZ($A$1,$B16,DZ$1)</f>
        <v>276.64999999999998</v>
      </c>
      <c r="EA16" s="116" cm="1">
        <f t="array" ref="EA16">_xll.EQNXTDZ($A$1,$B16,EA$1)</f>
        <v>253.05</v>
      </c>
      <c r="EB16" s="116" cm="1">
        <f t="array" ref="EB16">_xll.EQNXTDZ($A$1,$B16,EB$1)</f>
        <v>215.7</v>
      </c>
      <c r="EC16" s="116" cm="1">
        <f t="array" ref="EC16">_xll.EQNXTDZ($A$1,$B16,EC$1)</f>
        <v>271.3</v>
      </c>
      <c r="ED16" s="116" cm="1">
        <f t="array" ref="ED16">_xll.EQNXTDZ($A$1,$B16,ED$1)</f>
        <v>430.95</v>
      </c>
      <c r="EE16" s="116" cm="1">
        <f t="array" ref="EE16">_xll.EQNXTDZ($A$1,$B16,EE$1)</f>
        <v>431.5</v>
      </c>
      <c r="EF16" s="116" cm="1">
        <f t="array" ref="EF16">_xll.EQNXTDZ($A$1,$B16,EF$1)</f>
        <v>450.8</v>
      </c>
      <c r="EG16" s="116" cm="1">
        <f t="array" ref="EG16">_xll.EQNXTDZ($A$1,$B16,EG$1)</f>
        <v>499.5</v>
      </c>
      <c r="EH16" s="116" cm="1">
        <f t="array" ref="EH16">_xll.EQNXTDZ($A$1,$B16,EH$1)</f>
        <v>467.65</v>
      </c>
      <c r="EI16" s="116" cm="1">
        <f t="array" ref="EI16">_xll.EQNXTDZ($A$1,$B16,EI$1)</f>
        <v>455.5</v>
      </c>
      <c r="EJ16" s="116" cm="1">
        <f t="array" ref="EJ16">_xll.EQNXTDZ($A$1,$B16,EJ$1)</f>
        <v>459.15</v>
      </c>
      <c r="EK16" s="116" cm="1">
        <f t="array" ref="EK16">_xll.EQNXTDZ($A$1,$B16,EK$1)</f>
        <v>455.75</v>
      </c>
      <c r="EL16" s="116" cm="1">
        <f t="array" ref="EL16">_xll.EQNXTDZ($A$1,$B16,EL$1)</f>
        <v>457.6</v>
      </c>
      <c r="EM16" s="116" cm="1">
        <f t="array" ref="EM16">_xll.EQNXTDZ($A$1,$B16,EM$1)</f>
        <v>591.70000000000005</v>
      </c>
      <c r="EN16" s="116" cm="1">
        <f t="array" ref="EN16">_xll.EQNXTDZ($A$1,$B16,EN$1)</f>
        <v>754.45</v>
      </c>
      <c r="EO16" s="116" cm="1">
        <f t="array" ref="EO16">_xll.EQNXTDZ($A$1,$B16,EO$1)</f>
        <v>759.45</v>
      </c>
      <c r="EP16" s="116" cm="1">
        <f t="array" ref="EP16">_xll.EQNXTDZ($A$1,$B16,EP$1)</f>
        <v>770.1</v>
      </c>
      <c r="EQ16" s="116" cm="1">
        <f t="array" ref="EQ16">_xll.EQNXTDZ($A$1,$B16,EQ$1)</f>
        <v>857.3</v>
      </c>
      <c r="ER16" s="116" cm="1">
        <f t="array" ref="ER16">_xll.EQNXTDZ($A$1,$B16,ER$1)</f>
        <v>876.65</v>
      </c>
      <c r="ES16" s="116" cm="1">
        <f t="array" ref="ES16">_xll.EQNXTDZ($A$1,$B16,ES$1)</f>
        <v>819.55</v>
      </c>
      <c r="ET16" s="116" cm="1">
        <f t="array" ref="ET16">_xll.EQNXTDZ($A$1,$B16,ET$1)</f>
        <v>878.55</v>
      </c>
      <c r="EU16" s="116" cm="1">
        <f t="array" ref="EU16">_xll.EQNXTDZ($A$1,$B16,EU$1)</f>
        <v>906.7</v>
      </c>
      <c r="EV16" s="116" cm="1">
        <f t="array" ref="EV16">_xll.EQNXTDZ($A$1,$B16,EV$1)</f>
        <v>883.3</v>
      </c>
      <c r="EW16" s="116" cm="1">
        <f t="array" ref="EW16">_xll.EQNXTDZ($A$1,$B16,EW$1)</f>
        <v>935</v>
      </c>
      <c r="EX16" s="116" cm="1">
        <f t="array" ref="EX16">_xll.EQNXTDZ($A$1,$B16,EX$1)</f>
        <v>696.1</v>
      </c>
      <c r="EY16" s="116" cm="1">
        <f t="array" ref="EY16">_xll.EQNXTDZ($A$1,$B16,EY$1)</f>
        <v>842.55</v>
      </c>
      <c r="EZ16" s="116" cm="1">
        <f t="array" ref="EZ16">_xll.EQNXTDZ($A$1,$B16,EZ$1)</f>
        <v>849.1</v>
      </c>
      <c r="FA16" s="116" cm="1">
        <f t="array" ref="FA16">_xll.EQNXTDZ($A$1,$B16,FA$1)</f>
        <v>776.2</v>
      </c>
      <c r="FB16" s="116" cm="1">
        <f t="array" ref="FB16">_xll.EQNXTDZ($A$1,$B16,FB$1)</f>
        <v>776.1</v>
      </c>
      <c r="FC16" s="116" cm="1">
        <f t="array" ref="FC16">_xll.EQNXTDZ($A$1,$B16,FC$1)</f>
        <v>767.7</v>
      </c>
      <c r="FD16" s="116" cm="1">
        <f t="array" ref="FD16">_xll.EQNXTDZ($A$1,$B16,FD$1)</f>
        <v>778.1</v>
      </c>
      <c r="FE16" s="116" cm="1">
        <f t="array" ref="FE16">_xll.EQNXTDZ($A$1,$B16,FE$1)</f>
        <v>718.15</v>
      </c>
      <c r="FF16" s="116" cm="1">
        <f t="array" ref="FF16">_xll.EQNXTDZ($A$1,$B16,FF$1)</f>
        <v>682.6</v>
      </c>
      <c r="FG16" s="116" cm="1">
        <f t="array" ref="FG16">_xll.EQNXTDZ($A$1,$B16,FG$1)</f>
        <v>645.35</v>
      </c>
      <c r="FH16" s="116" cm="1">
        <f t="array" ref="FH16">_xll.EQNXTDZ($A$1,$B16,FH$1)</f>
        <v>618.20000000000005</v>
      </c>
      <c r="FI16" s="116" cm="1">
        <f t="array" ref="FI16">_xll.EQNXTDZ($A$1,$B16,FI$1)</f>
        <v>567.5</v>
      </c>
      <c r="FJ16" s="116" cm="1">
        <f t="array" ref="FJ16">_xll.EQNXTDZ($A$1,$B16,FJ$1)</f>
        <v>533.70000000000005</v>
      </c>
      <c r="FK16" s="116" cm="1">
        <f t="array" ref="FK16">_xll.EQNXTDZ($A$1,$B16,FK$1)</f>
        <v>428.9</v>
      </c>
      <c r="FL16" s="116" cm="1">
        <f t="array" ref="FL16">_xll.EQNXTDZ($A$1,$B16,FL$1)</f>
        <v>370.05</v>
      </c>
      <c r="FM16" s="116" cm="1">
        <f t="array" ref="FM16">_xll.EQNXTDZ($A$1,$B16,FM$1)</f>
        <v>489.65</v>
      </c>
      <c r="FN16" s="116" cm="1">
        <f t="array" ref="FN16">_xll.EQNXTDZ($A$1,$B16,FN$1)</f>
        <v>466.6</v>
      </c>
      <c r="FO16" s="116" cm="1">
        <f t="array" ref="FO16">_xll.EQNXTDZ($A$1,$B16,FO$1)</f>
        <v>468.45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252.1</v>
      </c>
      <c r="JD16" s="116">
        <f>+DV16</f>
        <v>325.10000000000002</v>
      </c>
      <c r="JE16" s="116">
        <f>+DY16</f>
        <v>315.8</v>
      </c>
      <c r="JF16" s="116">
        <f>+EB16</f>
        <v>215.7</v>
      </c>
      <c r="JG16" s="116">
        <f>+EE16</f>
        <v>431.5</v>
      </c>
      <c r="JH16" s="116">
        <f>+EH16</f>
        <v>467.65</v>
      </c>
      <c r="JI16" s="116">
        <f>+EK16</f>
        <v>455.75</v>
      </c>
      <c r="JJ16" s="116">
        <f>+EN16</f>
        <v>754.45</v>
      </c>
      <c r="JK16" s="116">
        <f>EQ16</f>
        <v>857.3</v>
      </c>
      <c r="JL16" s="116">
        <f>ET16</f>
        <v>878.55</v>
      </c>
      <c r="JM16" s="116">
        <f>EW16</f>
        <v>935</v>
      </c>
      <c r="JN16" s="116">
        <f>EZ16</f>
        <v>849.1</v>
      </c>
      <c r="JO16" s="116">
        <f>FC16</f>
        <v>767.7</v>
      </c>
      <c r="JP16" s="116">
        <f>FF16</f>
        <v>682.6</v>
      </c>
      <c r="JQ16" s="116">
        <f>FI16</f>
        <v>567.5</v>
      </c>
      <c r="JR16" s="116">
        <f>FL16</f>
        <v>370.05</v>
      </c>
      <c r="JS16" s="116">
        <f>FO16</f>
        <v>468.45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279</v>
      </c>
      <c r="JD19" s="116">
        <f t="shared" si="1"/>
        <v>399.7</v>
      </c>
      <c r="JE19" s="116">
        <f t="shared" si="1"/>
        <v>357.15</v>
      </c>
      <c r="JF19" s="116">
        <f t="shared" si="1"/>
        <v>316.60000000000002</v>
      </c>
      <c r="JG19" s="116">
        <f t="shared" si="1"/>
        <v>445</v>
      </c>
      <c r="JH19" s="116">
        <f t="shared" si="1"/>
        <v>535.35</v>
      </c>
      <c r="JI19" s="116">
        <f t="shared" si="1"/>
        <v>494</v>
      </c>
      <c r="JJ19" s="116">
        <f t="shared" ref="JJ19:JJ21" si="2">+IF(JJ14=0,JJ7,JJ14)</f>
        <v>869.95</v>
      </c>
      <c r="JK19" s="116">
        <f t="shared" ref="JK19" si="3">+IF(JK14=0,JK7,JK14)</f>
        <v>915.15</v>
      </c>
      <c r="JL19" s="116">
        <f t="shared" ref="JL19:JM19" si="4">+IF(JL14=0,JL7,JL14)</f>
        <v>925.45</v>
      </c>
      <c r="JM19" s="116">
        <f t="shared" si="4"/>
        <v>1023.55</v>
      </c>
      <c r="JN19" s="116">
        <f t="shared" ref="JN19:JO19" si="5">+IF(JN14=0,JN7,JN14)</f>
        <v>990</v>
      </c>
      <c r="JO19" s="116">
        <f t="shared" si="5"/>
        <v>907.9</v>
      </c>
      <c r="JP19" s="116">
        <f t="shared" ref="JP19" si="6">+IF(JP14=0,JP7,JP14)</f>
        <v>842.25</v>
      </c>
      <c r="JQ19" s="116">
        <f t="shared" ref="JQ19:KH19" si="7">+IF(JQ14=0,JQ7,JQ14)</f>
        <v>687.6</v>
      </c>
      <c r="JR19" s="116">
        <f t="shared" si="7"/>
        <v>616.35</v>
      </c>
      <c r="JS19" s="116">
        <f t="shared" si="7"/>
        <v>546.79999999999995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244.05</v>
      </c>
      <c r="JE20" s="116">
        <f t="shared" si="1"/>
        <v>296.14999999999998</v>
      </c>
      <c r="JF20" s="116">
        <f t="shared" si="1"/>
        <v>206.9</v>
      </c>
      <c r="JG20" s="116">
        <f t="shared" si="1"/>
        <v>216.15</v>
      </c>
      <c r="JH20" s="116">
        <f t="shared" si="1"/>
        <v>406.65</v>
      </c>
      <c r="JI20" s="116">
        <f t="shared" si="1"/>
        <v>415.95</v>
      </c>
      <c r="JJ20" s="116">
        <f t="shared" si="2"/>
        <v>416.5</v>
      </c>
      <c r="JK20" s="116">
        <f t="shared" ref="JK20" si="9">+IF(JK15=0,JK8,JK15)</f>
        <v>674.5</v>
      </c>
      <c r="JL20" s="116">
        <f t="shared" ref="JL20:JM20" si="10">+IF(JL15=0,JL8,JL15)</f>
        <v>716.95</v>
      </c>
      <c r="JM20" s="116">
        <f t="shared" si="10"/>
        <v>831.05</v>
      </c>
      <c r="JN20" s="116">
        <f t="shared" ref="JN20:JO20" si="11">+IF(JN15=0,JN8,JN15)</f>
        <v>651.6</v>
      </c>
      <c r="JO20" s="116">
        <f t="shared" si="11"/>
        <v>685</v>
      </c>
      <c r="JP20" s="116">
        <f t="shared" ref="JP20" si="12">+IF(JP15=0,JP8,JP15)</f>
        <v>626</v>
      </c>
      <c r="JQ20" s="116">
        <f t="shared" ref="JQ20:KH20" si="13">+IF(JQ15=0,JQ8,JQ15)</f>
        <v>563.54999999999995</v>
      </c>
      <c r="JR20" s="116">
        <f t="shared" si="13"/>
        <v>365.75</v>
      </c>
      <c r="JS20" s="116">
        <f t="shared" si="13"/>
        <v>377.9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252.1</v>
      </c>
      <c r="JD21" s="116">
        <f t="shared" si="1"/>
        <v>325.10000000000002</v>
      </c>
      <c r="JE21" s="116">
        <f t="shared" si="1"/>
        <v>315.8</v>
      </c>
      <c r="JF21" s="116">
        <f t="shared" si="1"/>
        <v>215.7</v>
      </c>
      <c r="JG21" s="116">
        <f t="shared" si="1"/>
        <v>431.5</v>
      </c>
      <c r="JH21" s="116">
        <f t="shared" si="1"/>
        <v>467.65</v>
      </c>
      <c r="JI21" s="116">
        <f t="shared" si="1"/>
        <v>455.75</v>
      </c>
      <c r="JJ21" s="116">
        <f t="shared" si="2"/>
        <v>754.45</v>
      </c>
      <c r="JK21" s="116">
        <f t="shared" ref="JK21" si="14">+IF(JK16=0,JK9,JK16)</f>
        <v>857.3</v>
      </c>
      <c r="JL21" s="116">
        <f t="shared" ref="JL21:JM21" si="15">+IF(JL16=0,JL9,JL16)</f>
        <v>878.55</v>
      </c>
      <c r="JM21" s="116">
        <f t="shared" si="15"/>
        <v>935</v>
      </c>
      <c r="JN21" s="116">
        <f t="shared" ref="JN21:JO21" si="16">+IF(JN16=0,JN9,JN16)</f>
        <v>849.1</v>
      </c>
      <c r="JO21" s="116">
        <f t="shared" si="16"/>
        <v>767.7</v>
      </c>
      <c r="JP21" s="116">
        <f t="shared" ref="JP21" si="17">+IF(JP16=0,JP9,JP16)</f>
        <v>682.6</v>
      </c>
      <c r="JQ21" s="116">
        <f t="shared" ref="JQ21:KH21" si="18">+IF(JQ16=0,JQ9,JQ16)</f>
        <v>567.5</v>
      </c>
      <c r="JR21" s="116">
        <f t="shared" si="18"/>
        <v>370.05</v>
      </c>
      <c r="JS21" s="116">
        <f t="shared" si="18"/>
        <v>468.45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235668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201512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29877551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29877551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29877551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61328006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78072371</v>
      </c>
      <c r="AR6" cm="1">
        <f t="array" ref="AR6">_xll.EQNXTDZ($A$1,$B6,AR$1)</f>
        <v>78072371</v>
      </c>
      <c r="AS6" cm="1">
        <f t="array" ref="AS6">_xll.EQNXTDZ($A$1,$B6,AS$1)</f>
        <v>78072371</v>
      </c>
      <c r="AT6" cm="1">
        <f t="array" ref="AT6">_xll.EQNXTDZ($A$1,$B6,AT$1)</f>
        <v>78072371</v>
      </c>
      <c r="AU6" cm="1">
        <f t="array" ref="AU6">_xll.EQNXTDZ($A$1,$B6,AU$1)</f>
        <v>78072371</v>
      </c>
      <c r="AV6" cm="1">
        <f t="array" ref="AV6">_xll.EQNXTDZ($A$1,$B6,AV$1)</f>
        <v>78072371</v>
      </c>
      <c r="AW6" cm="1">
        <f t="array" ref="AW6">_xll.EQNXTDZ($A$1,$B6,AW$1)</f>
        <v>78072371</v>
      </c>
      <c r="AX6" cm="1">
        <f t="array" ref="AX6">_xll.EQNXTDZ($A$1,$B6,AX$1)</f>
        <v>82811707</v>
      </c>
      <c r="AY6" cm="1">
        <f t="array" ref="AY6">_xll.EQNXTDZ($A$1,$B6,AY$1)</f>
        <v>82811707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2.9877551000000002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2.9877551000000002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2.9877551000000002</v>
      </c>
      <c r="R7" s="100">
        <f t="shared" si="0"/>
        <v>0</v>
      </c>
      <c r="S7" s="100">
        <f t="shared" si="0"/>
        <v>0</v>
      </c>
      <c r="T7" s="100">
        <f t="shared" si="0"/>
        <v>6.1328006000000004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7.8072371</v>
      </c>
      <c r="AR7" s="100">
        <f t="shared" si="1"/>
        <v>7.8072371</v>
      </c>
      <c r="AS7" s="100">
        <f t="shared" si="1"/>
        <v>7.8072371</v>
      </c>
      <c r="AT7" s="100">
        <f t="shared" ref="AT7:AX7" si="2">+AT6/10^7</f>
        <v>7.8072371</v>
      </c>
      <c r="AU7" s="100">
        <f t="shared" si="2"/>
        <v>7.8072371</v>
      </c>
      <c r="AV7" s="100">
        <f t="shared" si="2"/>
        <v>7.8072371</v>
      </c>
      <c r="AW7" s="100">
        <f t="shared" si="2"/>
        <v>7.8072371</v>
      </c>
      <c r="AX7" s="100">
        <f t="shared" si="2"/>
        <v>8.2811707000000006</v>
      </c>
      <c r="AY7" s="100">
        <f t="shared" ref="AY7" si="3">+AY6/10^7</f>
        <v>8.2811707000000006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235668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44713</v>
      </c>
      <c r="B4" s="116">
        <v>279</v>
      </c>
      <c r="C4" s="116">
        <v>258.85000000000002</v>
      </c>
      <c r="D4" s="116">
        <v>255.4</v>
      </c>
      <c r="E4" s="116">
        <v>271</v>
      </c>
      <c r="F4" s="116">
        <v>258.85000000000002</v>
      </c>
      <c r="G4">
        <v>553693</v>
      </c>
      <c r="H4" s="116"/>
      <c r="I4" s="116"/>
      <c r="L4" s="170">
        <v>44713</v>
      </c>
      <c r="M4" s="116">
        <v>257.89999999999998</v>
      </c>
      <c r="N4" s="116">
        <v>279</v>
      </c>
      <c r="O4" s="116">
        <v>256</v>
      </c>
      <c r="P4" s="116">
        <v>270</v>
      </c>
      <c r="Q4" s="116">
        <v>257.89999999999998</v>
      </c>
      <c r="R4">
        <v>7383750</v>
      </c>
    </row>
    <row r="5" spans="1:18" x14ac:dyDescent="0.25">
      <c r="A5" s="170">
        <v>44714</v>
      </c>
      <c r="B5" s="116">
        <v>258.95</v>
      </c>
      <c r="C5" s="116">
        <v>255.8</v>
      </c>
      <c r="D5" s="116">
        <v>253.5</v>
      </c>
      <c r="E5" s="116">
        <v>255</v>
      </c>
      <c r="F5" s="116">
        <v>255.8</v>
      </c>
      <c r="G5">
        <v>118663</v>
      </c>
      <c r="H5" s="116"/>
      <c r="I5" s="116"/>
      <c r="L5" s="170">
        <v>44714</v>
      </c>
      <c r="M5" s="116">
        <v>255.9</v>
      </c>
      <c r="N5" s="116">
        <v>259</v>
      </c>
      <c r="O5" s="116">
        <v>253.75</v>
      </c>
      <c r="P5" s="116">
        <v>255.9</v>
      </c>
      <c r="Q5" s="116">
        <v>255.9</v>
      </c>
      <c r="R5">
        <v>965938</v>
      </c>
    </row>
    <row r="6" spans="1:18" x14ac:dyDescent="0.25">
      <c r="A6" s="170">
        <v>44715</v>
      </c>
      <c r="B6" s="116">
        <v>261</v>
      </c>
      <c r="C6" s="116">
        <v>256.14999999999998</v>
      </c>
      <c r="D6" s="116">
        <v>255.1</v>
      </c>
      <c r="E6" s="116">
        <v>257</v>
      </c>
      <c r="F6" s="116">
        <v>256.14999999999998</v>
      </c>
      <c r="G6">
        <v>48672</v>
      </c>
      <c r="H6" s="116"/>
      <c r="I6" s="116"/>
      <c r="L6" s="170">
        <v>44715</v>
      </c>
      <c r="M6" s="116">
        <v>256.2</v>
      </c>
      <c r="N6" s="116">
        <v>261</v>
      </c>
      <c r="O6" s="116">
        <v>255.15</v>
      </c>
      <c r="P6" s="116">
        <v>256.10000000000002</v>
      </c>
      <c r="Q6" s="116">
        <v>256.2</v>
      </c>
      <c r="R6">
        <v>871504</v>
      </c>
    </row>
    <row r="7" spans="1:18" x14ac:dyDescent="0.25">
      <c r="A7" s="170">
        <v>44718</v>
      </c>
      <c r="B7" s="116">
        <v>259.5</v>
      </c>
      <c r="C7" s="116">
        <v>257.35000000000002</v>
      </c>
      <c r="D7" s="116">
        <v>253.05</v>
      </c>
      <c r="E7" s="116">
        <v>253.05</v>
      </c>
      <c r="F7" s="116">
        <v>257.35000000000002</v>
      </c>
      <c r="G7">
        <v>22620</v>
      </c>
      <c r="H7" s="116"/>
      <c r="I7" s="116"/>
      <c r="L7" s="170">
        <v>44718</v>
      </c>
      <c r="M7" s="116">
        <v>257.5</v>
      </c>
      <c r="N7" s="116">
        <v>259.60000000000002</v>
      </c>
      <c r="O7" s="116">
        <v>254.05</v>
      </c>
      <c r="P7" s="116">
        <v>256.2</v>
      </c>
      <c r="Q7" s="116">
        <v>257.5</v>
      </c>
      <c r="R7">
        <v>325169</v>
      </c>
    </row>
    <row r="8" spans="1:18" x14ac:dyDescent="0.25">
      <c r="A8" s="170">
        <v>44719</v>
      </c>
      <c r="B8" s="116">
        <v>260.35000000000002</v>
      </c>
      <c r="C8" s="116">
        <v>257.85000000000002</v>
      </c>
      <c r="D8" s="116">
        <v>253</v>
      </c>
      <c r="E8" s="116">
        <v>253</v>
      </c>
      <c r="F8" s="116">
        <v>257.85000000000002</v>
      </c>
      <c r="G8">
        <v>32689</v>
      </c>
      <c r="H8" s="116"/>
      <c r="I8" s="116"/>
      <c r="L8" s="170">
        <v>44719</v>
      </c>
      <c r="M8" s="116">
        <v>258.85000000000002</v>
      </c>
      <c r="N8" s="116">
        <v>260.39999999999998</v>
      </c>
      <c r="O8" s="116">
        <v>253.3</v>
      </c>
      <c r="P8" s="116">
        <v>253.3</v>
      </c>
      <c r="Q8" s="116">
        <v>258.85000000000002</v>
      </c>
      <c r="R8">
        <v>333655</v>
      </c>
    </row>
    <row r="9" spans="1:18" x14ac:dyDescent="0.25">
      <c r="A9" s="170">
        <v>44720</v>
      </c>
      <c r="B9" s="116">
        <v>259.10000000000002</v>
      </c>
      <c r="C9" s="116">
        <v>255.6</v>
      </c>
      <c r="D9" s="116">
        <v>253.15</v>
      </c>
      <c r="E9" s="116">
        <v>253.15</v>
      </c>
      <c r="F9" s="116">
        <v>255.6</v>
      </c>
      <c r="G9">
        <v>18097</v>
      </c>
      <c r="H9" s="116"/>
      <c r="I9" s="116"/>
      <c r="L9" s="170">
        <v>44720</v>
      </c>
      <c r="M9" s="116">
        <v>255.35</v>
      </c>
      <c r="N9" s="116">
        <v>259</v>
      </c>
      <c r="O9" s="116">
        <v>253.05</v>
      </c>
      <c r="P9" s="116">
        <v>256</v>
      </c>
      <c r="Q9" s="116">
        <v>255.35</v>
      </c>
      <c r="R9">
        <v>178072</v>
      </c>
    </row>
    <row r="10" spans="1:18" x14ac:dyDescent="0.25">
      <c r="A10" s="170">
        <v>44721</v>
      </c>
      <c r="B10" s="116">
        <v>258</v>
      </c>
      <c r="C10" s="116">
        <v>255.9</v>
      </c>
      <c r="D10" s="116">
        <v>250.25</v>
      </c>
      <c r="E10" s="116">
        <v>250.25</v>
      </c>
      <c r="F10" s="116">
        <v>255.9</v>
      </c>
      <c r="G10">
        <v>22442</v>
      </c>
      <c r="H10" s="116"/>
      <c r="I10" s="116"/>
      <c r="L10" s="170">
        <v>44721</v>
      </c>
      <c r="M10" s="116">
        <v>255.95</v>
      </c>
      <c r="N10" s="116">
        <v>258</v>
      </c>
      <c r="O10" s="116">
        <v>254.45</v>
      </c>
      <c r="P10" s="116">
        <v>255.35</v>
      </c>
      <c r="Q10" s="116">
        <v>255.95</v>
      </c>
      <c r="R10">
        <v>164921</v>
      </c>
    </row>
    <row r="11" spans="1:18" x14ac:dyDescent="0.25">
      <c r="A11" s="170">
        <v>44722</v>
      </c>
      <c r="B11" s="116">
        <v>255.45</v>
      </c>
      <c r="C11" s="116">
        <v>253.2</v>
      </c>
      <c r="D11" s="116">
        <v>251.95</v>
      </c>
      <c r="E11" s="116">
        <v>255.45</v>
      </c>
      <c r="F11" s="116">
        <v>253.2</v>
      </c>
      <c r="G11">
        <v>8891</v>
      </c>
      <c r="H11" s="116"/>
      <c r="I11" s="116"/>
      <c r="L11" s="170">
        <v>44722</v>
      </c>
      <c r="M11" s="116">
        <v>253.2</v>
      </c>
      <c r="N11" s="116">
        <v>255</v>
      </c>
      <c r="O11" s="116">
        <v>252</v>
      </c>
      <c r="P11" s="116">
        <v>253.9</v>
      </c>
      <c r="Q11" s="116">
        <v>253.2</v>
      </c>
      <c r="R11">
        <v>132439</v>
      </c>
    </row>
    <row r="12" spans="1:18" x14ac:dyDescent="0.25">
      <c r="A12" s="170">
        <v>44725</v>
      </c>
      <c r="B12" s="116">
        <v>253</v>
      </c>
      <c r="C12" s="116">
        <v>247.7</v>
      </c>
      <c r="D12" s="116">
        <v>245.25</v>
      </c>
      <c r="E12" s="116">
        <v>253</v>
      </c>
      <c r="F12" s="116">
        <v>247.7</v>
      </c>
      <c r="G12">
        <v>32481</v>
      </c>
      <c r="H12" s="116"/>
      <c r="I12" s="116"/>
      <c r="L12" s="170">
        <v>44725</v>
      </c>
      <c r="M12" s="116">
        <v>247.55</v>
      </c>
      <c r="N12" s="116">
        <v>253</v>
      </c>
      <c r="O12" s="116">
        <v>245.1</v>
      </c>
      <c r="P12" s="116">
        <v>253</v>
      </c>
      <c r="Q12" s="116">
        <v>247.55</v>
      </c>
      <c r="R12">
        <v>260250</v>
      </c>
    </row>
    <row r="13" spans="1:18" x14ac:dyDescent="0.25">
      <c r="A13" s="170">
        <v>44726</v>
      </c>
      <c r="B13" s="116">
        <v>255.85</v>
      </c>
      <c r="C13" s="116">
        <v>254.75</v>
      </c>
      <c r="D13" s="116">
        <v>244.35</v>
      </c>
      <c r="E13" s="116">
        <v>248.8</v>
      </c>
      <c r="F13" s="116">
        <v>254.75</v>
      </c>
      <c r="G13">
        <v>42949</v>
      </c>
      <c r="H13" s="116"/>
      <c r="I13" s="116"/>
      <c r="L13" s="170">
        <v>44726</v>
      </c>
      <c r="M13" s="116">
        <v>255</v>
      </c>
      <c r="N13" s="116">
        <v>256</v>
      </c>
      <c r="O13" s="116">
        <v>244.1</v>
      </c>
      <c r="P13" s="116">
        <v>245</v>
      </c>
      <c r="Q13" s="116">
        <v>255</v>
      </c>
      <c r="R13">
        <v>235625</v>
      </c>
    </row>
    <row r="14" spans="1:18" x14ac:dyDescent="0.25">
      <c r="A14" s="170">
        <v>44727</v>
      </c>
      <c r="B14" s="116">
        <v>258.64999999999998</v>
      </c>
      <c r="C14" s="116">
        <v>256.14999999999998</v>
      </c>
      <c r="D14" s="116">
        <v>254.1</v>
      </c>
      <c r="E14" s="116">
        <v>257</v>
      </c>
      <c r="F14" s="116">
        <v>256.14999999999998</v>
      </c>
      <c r="G14">
        <v>11247</v>
      </c>
      <c r="H14" s="116"/>
      <c r="I14" s="116"/>
      <c r="L14" s="170">
        <v>44727</v>
      </c>
      <c r="M14" s="116">
        <v>256.60000000000002</v>
      </c>
      <c r="N14" s="116">
        <v>258.8</v>
      </c>
      <c r="O14" s="116">
        <v>253.9</v>
      </c>
      <c r="P14" s="116">
        <v>257.89999999999998</v>
      </c>
      <c r="Q14" s="116">
        <v>256.60000000000002</v>
      </c>
      <c r="R14">
        <v>219168</v>
      </c>
    </row>
    <row r="15" spans="1:18" x14ac:dyDescent="0.25">
      <c r="A15" s="170">
        <v>44728</v>
      </c>
      <c r="B15" s="116">
        <v>258.60000000000002</v>
      </c>
      <c r="C15" s="116">
        <v>256.75</v>
      </c>
      <c r="D15" s="116">
        <v>253</v>
      </c>
      <c r="E15" s="116">
        <v>253</v>
      </c>
      <c r="F15" s="116">
        <v>256.75</v>
      </c>
      <c r="G15">
        <v>13876</v>
      </c>
      <c r="H15" s="116"/>
      <c r="I15" s="116"/>
      <c r="L15" s="170">
        <v>44728</v>
      </c>
      <c r="M15" s="116">
        <v>256.85000000000002</v>
      </c>
      <c r="N15" s="116">
        <v>258.75</v>
      </c>
      <c r="O15" s="116">
        <v>253.75</v>
      </c>
      <c r="P15" s="116">
        <v>256.10000000000002</v>
      </c>
      <c r="Q15" s="116">
        <v>256.85000000000002</v>
      </c>
      <c r="R15">
        <v>301391</v>
      </c>
    </row>
    <row r="16" spans="1:18" x14ac:dyDescent="0.25">
      <c r="A16" s="170">
        <v>44729</v>
      </c>
      <c r="B16" s="116">
        <v>257.55</v>
      </c>
      <c r="C16" s="116">
        <v>255.25</v>
      </c>
      <c r="D16" s="116">
        <v>250</v>
      </c>
      <c r="E16" s="116">
        <v>250</v>
      </c>
      <c r="F16" s="116">
        <v>255.25</v>
      </c>
      <c r="G16">
        <v>6761</v>
      </c>
      <c r="H16" s="116"/>
      <c r="I16" s="116"/>
      <c r="L16" s="170">
        <v>44729</v>
      </c>
      <c r="M16" s="116">
        <v>255.65</v>
      </c>
      <c r="N16" s="116">
        <v>257.5</v>
      </c>
      <c r="O16" s="116">
        <v>251.85</v>
      </c>
      <c r="P16" s="116">
        <v>253.1</v>
      </c>
      <c r="Q16" s="116">
        <v>255.65</v>
      </c>
      <c r="R16">
        <v>197431</v>
      </c>
    </row>
    <row r="17" spans="1:18" x14ac:dyDescent="0.25">
      <c r="A17" s="170">
        <v>44732</v>
      </c>
      <c r="B17" s="116">
        <v>254.35</v>
      </c>
      <c r="C17" s="116">
        <v>250.75</v>
      </c>
      <c r="D17" s="116">
        <v>248.1</v>
      </c>
      <c r="E17" s="116">
        <v>254</v>
      </c>
      <c r="F17" s="116">
        <v>250.75</v>
      </c>
      <c r="G17">
        <v>6933</v>
      </c>
      <c r="H17" s="116"/>
      <c r="I17" s="116"/>
      <c r="L17" s="170">
        <v>44732</v>
      </c>
      <c r="M17" s="116">
        <v>251.25</v>
      </c>
      <c r="N17" s="116">
        <v>254.3</v>
      </c>
      <c r="O17" s="116">
        <v>248.05</v>
      </c>
      <c r="P17" s="116">
        <v>252.25</v>
      </c>
      <c r="Q17" s="116">
        <v>251.25</v>
      </c>
      <c r="R17">
        <v>118670</v>
      </c>
    </row>
    <row r="18" spans="1:18" x14ac:dyDescent="0.25">
      <c r="A18" s="170">
        <v>44733</v>
      </c>
      <c r="B18" s="116">
        <v>255.45</v>
      </c>
      <c r="C18" s="116">
        <v>243.6</v>
      </c>
      <c r="D18" s="116">
        <v>237.6</v>
      </c>
      <c r="E18" s="116">
        <v>255.45</v>
      </c>
      <c r="F18" s="116">
        <v>243.6</v>
      </c>
      <c r="G18">
        <v>5228</v>
      </c>
      <c r="H18" s="116"/>
      <c r="I18" s="116"/>
      <c r="L18" s="170">
        <v>44733</v>
      </c>
      <c r="M18" s="116">
        <v>243.65</v>
      </c>
      <c r="N18" s="116">
        <v>253.9</v>
      </c>
      <c r="O18" s="116">
        <v>236.55</v>
      </c>
      <c r="P18" s="116">
        <v>251.55</v>
      </c>
      <c r="Q18" s="116">
        <v>243.65</v>
      </c>
      <c r="R18">
        <v>64248</v>
      </c>
    </row>
    <row r="19" spans="1:18" x14ac:dyDescent="0.25">
      <c r="A19" s="170">
        <v>44734</v>
      </c>
      <c r="B19" s="116">
        <v>253.1</v>
      </c>
      <c r="C19" s="116">
        <v>246.9</v>
      </c>
      <c r="D19" s="116">
        <v>236.3</v>
      </c>
      <c r="E19" s="116">
        <v>243</v>
      </c>
      <c r="F19" s="116">
        <v>246.9</v>
      </c>
      <c r="G19">
        <v>8712</v>
      </c>
      <c r="H19" s="116"/>
      <c r="I19" s="116"/>
      <c r="L19" s="170">
        <v>44734</v>
      </c>
      <c r="M19" s="116">
        <v>246.45</v>
      </c>
      <c r="N19" s="116">
        <v>253.2</v>
      </c>
      <c r="O19" s="116">
        <v>236.3</v>
      </c>
      <c r="P19" s="116">
        <v>240.95</v>
      </c>
      <c r="Q19" s="116">
        <v>246.45</v>
      </c>
      <c r="R19">
        <v>119991</v>
      </c>
    </row>
    <row r="20" spans="1:18" x14ac:dyDescent="0.25">
      <c r="A20" s="170">
        <v>44735</v>
      </c>
      <c r="B20" s="116">
        <v>249.95</v>
      </c>
      <c r="C20" s="116">
        <v>241</v>
      </c>
      <c r="D20" s="116">
        <v>240.05</v>
      </c>
      <c r="E20" s="116">
        <v>240.5</v>
      </c>
      <c r="F20" s="116">
        <v>241</v>
      </c>
      <c r="G20">
        <v>10365</v>
      </c>
      <c r="H20" s="116"/>
      <c r="I20" s="116"/>
      <c r="L20" s="170">
        <v>44735</v>
      </c>
      <c r="M20" s="116">
        <v>240.8</v>
      </c>
      <c r="N20" s="116">
        <v>249.8</v>
      </c>
      <c r="O20" s="116">
        <v>239.5</v>
      </c>
      <c r="P20" s="116">
        <v>246.4</v>
      </c>
      <c r="Q20" s="116">
        <v>240.8</v>
      </c>
      <c r="R20">
        <v>43188</v>
      </c>
    </row>
    <row r="21" spans="1:18" x14ac:dyDescent="0.25">
      <c r="A21" s="170">
        <v>44736</v>
      </c>
      <c r="B21" s="116">
        <v>244.6</v>
      </c>
      <c r="C21" s="116">
        <v>239.45</v>
      </c>
      <c r="D21" s="116">
        <v>238</v>
      </c>
      <c r="E21" s="116">
        <v>238</v>
      </c>
      <c r="F21" s="116">
        <v>239.45</v>
      </c>
      <c r="G21">
        <v>6937</v>
      </c>
      <c r="H21" s="116"/>
      <c r="I21" s="116"/>
      <c r="L21" s="170">
        <v>44736</v>
      </c>
      <c r="M21" s="116">
        <v>239.45</v>
      </c>
      <c r="N21" s="116">
        <v>244.75</v>
      </c>
      <c r="O21" s="116">
        <v>239</v>
      </c>
      <c r="P21" s="116">
        <v>243.8</v>
      </c>
      <c r="Q21" s="116">
        <v>239.45</v>
      </c>
      <c r="R21">
        <v>35442</v>
      </c>
    </row>
    <row r="22" spans="1:18" x14ac:dyDescent="0.25">
      <c r="A22" s="170">
        <v>44739</v>
      </c>
      <c r="B22" s="116">
        <v>243.75</v>
      </c>
      <c r="C22" s="116">
        <v>239.85</v>
      </c>
      <c r="D22" s="116">
        <v>238.5</v>
      </c>
      <c r="E22" s="116">
        <v>242.9</v>
      </c>
      <c r="F22" s="116">
        <v>239.85</v>
      </c>
      <c r="G22">
        <v>4719</v>
      </c>
      <c r="H22" s="116"/>
      <c r="I22" s="116"/>
      <c r="L22" s="170">
        <v>44739</v>
      </c>
      <c r="M22" s="116">
        <v>239.5</v>
      </c>
      <c r="N22" s="116">
        <v>243.4</v>
      </c>
      <c r="O22" s="116">
        <v>238</v>
      </c>
      <c r="P22" s="116">
        <v>240.1</v>
      </c>
      <c r="Q22" s="116">
        <v>239.5</v>
      </c>
      <c r="R22">
        <v>31530</v>
      </c>
    </row>
    <row r="23" spans="1:18" x14ac:dyDescent="0.25">
      <c r="A23" s="170">
        <v>44740</v>
      </c>
      <c r="B23" s="116">
        <v>250.95</v>
      </c>
      <c r="C23" s="116">
        <v>246.8</v>
      </c>
      <c r="D23" s="116">
        <v>237.2</v>
      </c>
      <c r="E23" s="116">
        <v>239</v>
      </c>
      <c r="F23" s="116">
        <v>246.8</v>
      </c>
      <c r="G23">
        <v>12038</v>
      </c>
      <c r="H23" s="116"/>
      <c r="I23" s="116"/>
      <c r="L23" s="170">
        <v>44740</v>
      </c>
      <c r="M23" s="116">
        <v>246.3</v>
      </c>
      <c r="N23" s="116">
        <v>251</v>
      </c>
      <c r="O23" s="116">
        <v>237.2</v>
      </c>
      <c r="P23" s="116">
        <v>238.55</v>
      </c>
      <c r="Q23" s="116">
        <v>246.3</v>
      </c>
      <c r="R23">
        <v>115028</v>
      </c>
    </row>
    <row r="24" spans="1:18" x14ac:dyDescent="0.25">
      <c r="A24" s="170">
        <v>44741</v>
      </c>
      <c r="B24" s="116">
        <v>254.95</v>
      </c>
      <c r="C24" s="116">
        <v>253.15</v>
      </c>
      <c r="D24" s="116">
        <v>243.8</v>
      </c>
      <c r="E24" s="116">
        <v>247</v>
      </c>
      <c r="F24" s="116">
        <v>253.15</v>
      </c>
      <c r="G24">
        <v>11800</v>
      </c>
      <c r="H24" s="116"/>
      <c r="I24" s="116"/>
      <c r="L24" s="170">
        <v>44741</v>
      </c>
      <c r="M24" s="116">
        <v>253.5</v>
      </c>
      <c r="N24" s="116">
        <v>255</v>
      </c>
      <c r="O24" s="116">
        <v>243.9</v>
      </c>
      <c r="P24" s="116">
        <v>246.05</v>
      </c>
      <c r="Q24" s="116">
        <v>253.5</v>
      </c>
      <c r="R24">
        <v>96624</v>
      </c>
    </row>
    <row r="25" spans="1:18" x14ac:dyDescent="0.25">
      <c r="A25" s="170">
        <v>44742</v>
      </c>
      <c r="B25" s="116">
        <v>255.85</v>
      </c>
      <c r="C25" s="116">
        <v>252.1</v>
      </c>
      <c r="D25" s="116">
        <v>248.15</v>
      </c>
      <c r="E25" s="116">
        <v>252.35</v>
      </c>
      <c r="F25" s="116">
        <v>252.1</v>
      </c>
      <c r="G25">
        <v>3728</v>
      </c>
      <c r="H25" s="116"/>
      <c r="I25" s="116"/>
      <c r="L25" s="170">
        <v>44742</v>
      </c>
      <c r="M25" s="116">
        <v>252.9</v>
      </c>
      <c r="N25" s="116">
        <v>256</v>
      </c>
      <c r="O25" s="116">
        <v>248.25</v>
      </c>
      <c r="P25" s="116">
        <v>252</v>
      </c>
      <c r="Q25" s="116">
        <v>252.9</v>
      </c>
      <c r="R25">
        <v>54832</v>
      </c>
    </row>
    <row r="26" spans="1:18" x14ac:dyDescent="0.25">
      <c r="A26" s="170">
        <v>44743</v>
      </c>
      <c r="B26" s="116">
        <v>254.65</v>
      </c>
      <c r="C26" s="116">
        <v>252.75</v>
      </c>
      <c r="D26" s="116">
        <v>246.05</v>
      </c>
      <c r="E26" s="116">
        <v>248.8</v>
      </c>
      <c r="F26" s="116">
        <v>252.75</v>
      </c>
      <c r="G26">
        <v>4132</v>
      </c>
      <c r="H26" s="116"/>
      <c r="I26" s="116"/>
      <c r="L26" s="170">
        <v>44743</v>
      </c>
      <c r="M26" s="116">
        <v>252.5</v>
      </c>
      <c r="N26" s="116">
        <v>254.4</v>
      </c>
      <c r="O26" s="116">
        <v>246</v>
      </c>
      <c r="P26" s="116">
        <v>247.5</v>
      </c>
      <c r="Q26" s="116">
        <v>252.5</v>
      </c>
      <c r="R26">
        <v>44487</v>
      </c>
    </row>
    <row r="27" spans="1:18" x14ac:dyDescent="0.25">
      <c r="A27" s="170">
        <v>44746</v>
      </c>
      <c r="B27" s="116">
        <v>252.15</v>
      </c>
      <c r="C27" s="116">
        <v>247.15</v>
      </c>
      <c r="D27" s="116">
        <v>245.95</v>
      </c>
      <c r="E27" s="116">
        <v>247.55</v>
      </c>
      <c r="F27" s="116">
        <v>247.15</v>
      </c>
      <c r="G27">
        <v>4330</v>
      </c>
      <c r="H27" s="116"/>
      <c r="I27" s="116"/>
      <c r="L27" s="170">
        <v>44746</v>
      </c>
      <c r="M27" s="116">
        <v>246.95</v>
      </c>
      <c r="N27" s="116">
        <v>252</v>
      </c>
      <c r="O27" s="116">
        <v>246</v>
      </c>
      <c r="P27" s="116">
        <v>250</v>
      </c>
      <c r="Q27" s="116">
        <v>246.95</v>
      </c>
      <c r="R27">
        <v>18303</v>
      </c>
    </row>
    <row r="28" spans="1:18" x14ac:dyDescent="0.25">
      <c r="A28" s="170">
        <v>44747</v>
      </c>
      <c r="B28" s="116">
        <v>251</v>
      </c>
      <c r="C28" s="116">
        <v>248.65</v>
      </c>
      <c r="D28" s="116">
        <v>245.05</v>
      </c>
      <c r="E28" s="116">
        <v>245.05</v>
      </c>
      <c r="F28" s="116">
        <v>248.65</v>
      </c>
      <c r="G28">
        <v>4457</v>
      </c>
      <c r="H28" s="116"/>
      <c r="I28" s="116"/>
      <c r="L28" s="170">
        <v>44747</v>
      </c>
      <c r="M28" s="116">
        <v>248.6</v>
      </c>
      <c r="N28" s="116">
        <v>251.1</v>
      </c>
      <c r="O28" s="116">
        <v>246</v>
      </c>
      <c r="P28" s="116">
        <v>246</v>
      </c>
      <c r="Q28" s="116">
        <v>248.6</v>
      </c>
      <c r="R28">
        <v>35405</v>
      </c>
    </row>
    <row r="29" spans="1:18" x14ac:dyDescent="0.25">
      <c r="A29" s="170">
        <v>44748</v>
      </c>
      <c r="B29" s="116">
        <v>251.95</v>
      </c>
      <c r="C29" s="116">
        <v>250.6</v>
      </c>
      <c r="D29" s="116">
        <v>244.05</v>
      </c>
      <c r="E29" s="116">
        <v>248.65</v>
      </c>
      <c r="F29" s="116">
        <v>250.6</v>
      </c>
      <c r="G29">
        <v>9106</v>
      </c>
      <c r="H29" s="116"/>
      <c r="I29" s="116"/>
      <c r="L29" s="170">
        <v>44748</v>
      </c>
      <c r="M29" s="116">
        <v>250.2</v>
      </c>
      <c r="N29" s="116">
        <v>251.95</v>
      </c>
      <c r="O29" s="116">
        <v>244.3</v>
      </c>
      <c r="P29" s="116">
        <v>249</v>
      </c>
      <c r="Q29" s="116">
        <v>250.2</v>
      </c>
      <c r="R29">
        <v>80759</v>
      </c>
    </row>
    <row r="30" spans="1:18" x14ac:dyDescent="0.25">
      <c r="A30" s="170">
        <v>44749</v>
      </c>
      <c r="B30" s="116">
        <v>252.8</v>
      </c>
      <c r="C30" s="116">
        <v>248.6</v>
      </c>
      <c r="D30" s="116">
        <v>247.15</v>
      </c>
      <c r="E30" s="116">
        <v>247.15</v>
      </c>
      <c r="F30" s="116">
        <v>248.6</v>
      </c>
      <c r="G30">
        <v>4702</v>
      </c>
      <c r="H30" s="116"/>
      <c r="I30" s="116"/>
      <c r="L30" s="170">
        <v>44749</v>
      </c>
      <c r="M30" s="116">
        <v>248.5</v>
      </c>
      <c r="N30" s="116">
        <v>252.95</v>
      </c>
      <c r="O30" s="116">
        <v>248</v>
      </c>
      <c r="P30" s="116">
        <v>252</v>
      </c>
      <c r="Q30" s="116">
        <v>248.5</v>
      </c>
      <c r="R30">
        <v>26330</v>
      </c>
    </row>
    <row r="31" spans="1:18" x14ac:dyDescent="0.25">
      <c r="A31" s="170">
        <v>44750</v>
      </c>
      <c r="B31" s="116">
        <v>255.5</v>
      </c>
      <c r="C31" s="116">
        <v>248.45</v>
      </c>
      <c r="D31" s="116">
        <v>246</v>
      </c>
      <c r="E31" s="116">
        <v>246</v>
      </c>
      <c r="F31" s="116">
        <v>248.45</v>
      </c>
      <c r="G31">
        <v>3635</v>
      </c>
      <c r="H31" s="116"/>
      <c r="I31" s="116"/>
      <c r="L31" s="170">
        <v>44750</v>
      </c>
      <c r="M31" s="116">
        <v>248.35</v>
      </c>
      <c r="N31" s="116">
        <v>250.7</v>
      </c>
      <c r="O31" s="116">
        <v>247.1</v>
      </c>
      <c r="P31" s="116">
        <v>248.4</v>
      </c>
      <c r="Q31" s="116">
        <v>248.35</v>
      </c>
      <c r="R31">
        <v>21802</v>
      </c>
    </row>
    <row r="32" spans="1:18" x14ac:dyDescent="0.25">
      <c r="A32" s="170">
        <v>44753</v>
      </c>
      <c r="B32" s="116">
        <v>259.89999999999998</v>
      </c>
      <c r="C32" s="116">
        <v>256.95</v>
      </c>
      <c r="D32" s="116">
        <v>246.4</v>
      </c>
      <c r="E32" s="116">
        <v>247.65</v>
      </c>
      <c r="F32" s="116">
        <v>256.95</v>
      </c>
      <c r="G32">
        <v>20869</v>
      </c>
      <c r="H32" s="116"/>
      <c r="I32" s="116"/>
      <c r="L32" s="170">
        <v>44753</v>
      </c>
      <c r="M32" s="116">
        <v>257.3</v>
      </c>
      <c r="N32" s="116">
        <v>260</v>
      </c>
      <c r="O32" s="116">
        <v>245.1</v>
      </c>
      <c r="P32" s="116">
        <v>245.1</v>
      </c>
      <c r="Q32" s="116">
        <v>257.3</v>
      </c>
      <c r="R32">
        <v>153313</v>
      </c>
    </row>
    <row r="33" spans="1:18" x14ac:dyDescent="0.25">
      <c r="A33" s="170">
        <v>44754</v>
      </c>
      <c r="B33" s="116">
        <v>256.75</v>
      </c>
      <c r="C33" s="116">
        <v>250.25</v>
      </c>
      <c r="D33" s="116">
        <v>248.75</v>
      </c>
      <c r="E33" s="116">
        <v>249.5</v>
      </c>
      <c r="F33" s="116">
        <v>250.25</v>
      </c>
      <c r="G33">
        <v>2683</v>
      </c>
      <c r="H33" s="116"/>
      <c r="I33" s="116"/>
      <c r="L33" s="170">
        <v>44754</v>
      </c>
      <c r="M33" s="116">
        <v>249.9</v>
      </c>
      <c r="N33" s="116">
        <v>256.60000000000002</v>
      </c>
      <c r="O33" s="116">
        <v>248.1</v>
      </c>
      <c r="P33" s="116">
        <v>253.1</v>
      </c>
      <c r="Q33" s="116">
        <v>249.9</v>
      </c>
      <c r="R33">
        <v>39063</v>
      </c>
    </row>
    <row r="34" spans="1:18" x14ac:dyDescent="0.25">
      <c r="A34" s="170">
        <v>44755</v>
      </c>
      <c r="B34" s="116">
        <v>255.85</v>
      </c>
      <c r="C34" s="116">
        <v>251.25</v>
      </c>
      <c r="D34" s="116">
        <v>249.5</v>
      </c>
      <c r="E34" s="116">
        <v>252.55</v>
      </c>
      <c r="F34" s="116">
        <v>251.25</v>
      </c>
      <c r="G34">
        <v>4736</v>
      </c>
      <c r="H34" s="116"/>
      <c r="I34" s="116"/>
      <c r="L34" s="170">
        <v>44755</v>
      </c>
      <c r="M34" s="116">
        <v>251.2</v>
      </c>
      <c r="N34" s="116">
        <v>256</v>
      </c>
      <c r="O34" s="116">
        <v>250</v>
      </c>
      <c r="P34" s="116">
        <v>251</v>
      </c>
      <c r="Q34" s="116">
        <v>251.2</v>
      </c>
      <c r="R34">
        <v>24824</v>
      </c>
    </row>
    <row r="35" spans="1:18" x14ac:dyDescent="0.25">
      <c r="A35" s="170">
        <v>44756</v>
      </c>
      <c r="B35" s="116">
        <v>256</v>
      </c>
      <c r="C35" s="116">
        <v>249.8</v>
      </c>
      <c r="D35" s="116">
        <v>245.5</v>
      </c>
      <c r="E35" s="116">
        <v>256</v>
      </c>
      <c r="F35" s="116">
        <v>249.8</v>
      </c>
      <c r="G35">
        <v>8672</v>
      </c>
      <c r="H35" s="116"/>
      <c r="I35" s="116"/>
      <c r="L35" s="170">
        <v>44756</v>
      </c>
      <c r="M35" s="116">
        <v>250.2</v>
      </c>
      <c r="N35" s="116">
        <v>252.05</v>
      </c>
      <c r="O35" s="116">
        <v>246.1</v>
      </c>
      <c r="P35" s="116">
        <v>250</v>
      </c>
      <c r="Q35" s="116">
        <v>250.2</v>
      </c>
      <c r="R35">
        <v>25879</v>
      </c>
    </row>
    <row r="36" spans="1:18" x14ac:dyDescent="0.25">
      <c r="A36" s="170">
        <v>44757</v>
      </c>
      <c r="B36" s="116">
        <v>254.7</v>
      </c>
      <c r="C36" s="116">
        <v>248.3</v>
      </c>
      <c r="D36" s="116">
        <v>247.05</v>
      </c>
      <c r="E36" s="116">
        <v>254.7</v>
      </c>
      <c r="F36" s="116">
        <v>248.3</v>
      </c>
      <c r="G36">
        <v>2488</v>
      </c>
      <c r="H36" s="116"/>
      <c r="I36" s="116"/>
      <c r="L36" s="170">
        <v>44757</v>
      </c>
      <c r="M36" s="116">
        <v>247.65</v>
      </c>
      <c r="N36" s="116">
        <v>255</v>
      </c>
      <c r="O36" s="116">
        <v>246.2</v>
      </c>
      <c r="P36" s="116">
        <v>255</v>
      </c>
      <c r="Q36" s="116">
        <v>247.65</v>
      </c>
      <c r="R36">
        <v>22348</v>
      </c>
    </row>
    <row r="37" spans="1:18" x14ac:dyDescent="0.25">
      <c r="A37" s="170">
        <v>44760</v>
      </c>
      <c r="B37" s="116">
        <v>253.3</v>
      </c>
      <c r="C37" s="116">
        <v>249.5</v>
      </c>
      <c r="D37" s="116">
        <v>247.85</v>
      </c>
      <c r="E37" s="116">
        <v>253.3</v>
      </c>
      <c r="F37" s="116">
        <v>249.5</v>
      </c>
      <c r="G37">
        <v>8939</v>
      </c>
      <c r="H37" s="116"/>
      <c r="I37" s="116"/>
      <c r="L37" s="170">
        <v>44760</v>
      </c>
      <c r="M37" s="116">
        <v>248.95</v>
      </c>
      <c r="N37" s="116">
        <v>250.95</v>
      </c>
      <c r="O37" s="116">
        <v>248</v>
      </c>
      <c r="P37" s="116">
        <v>248</v>
      </c>
      <c r="Q37" s="116">
        <v>248.95</v>
      </c>
      <c r="R37">
        <v>20217</v>
      </c>
    </row>
    <row r="38" spans="1:18" x14ac:dyDescent="0.25">
      <c r="A38" s="170">
        <v>44761</v>
      </c>
      <c r="B38" s="116">
        <v>251.05</v>
      </c>
      <c r="C38" s="116">
        <v>246.65</v>
      </c>
      <c r="D38" s="116">
        <v>245.25</v>
      </c>
      <c r="E38" s="116">
        <v>248.55</v>
      </c>
      <c r="F38" s="116">
        <v>246.65</v>
      </c>
      <c r="G38">
        <v>7417</v>
      </c>
      <c r="H38" s="116"/>
      <c r="I38" s="116"/>
      <c r="L38" s="170">
        <v>44761</v>
      </c>
      <c r="M38" s="116">
        <v>246.2</v>
      </c>
      <c r="N38" s="116">
        <v>251.45</v>
      </c>
      <c r="O38" s="116">
        <v>245.1</v>
      </c>
      <c r="P38" s="116">
        <v>248.05</v>
      </c>
      <c r="Q38" s="116">
        <v>246.2</v>
      </c>
      <c r="R38">
        <v>37091</v>
      </c>
    </row>
    <row r="39" spans="1:18" x14ac:dyDescent="0.25">
      <c r="A39" s="170">
        <v>44762</v>
      </c>
      <c r="B39" s="116">
        <v>254</v>
      </c>
      <c r="C39" s="116">
        <v>246.7</v>
      </c>
      <c r="D39" s="116">
        <v>245.4</v>
      </c>
      <c r="E39" s="116">
        <v>254</v>
      </c>
      <c r="F39" s="116">
        <v>246.7</v>
      </c>
      <c r="G39">
        <v>7201</v>
      </c>
      <c r="H39" s="116"/>
      <c r="I39" s="116"/>
      <c r="L39" s="170">
        <v>44762</v>
      </c>
      <c r="M39" s="116">
        <v>246.95</v>
      </c>
      <c r="N39" s="116">
        <v>250.9</v>
      </c>
      <c r="O39" s="116">
        <v>245.05</v>
      </c>
      <c r="P39" s="116">
        <v>248.35</v>
      </c>
      <c r="Q39" s="116">
        <v>246.95</v>
      </c>
      <c r="R39">
        <v>40012</v>
      </c>
    </row>
    <row r="40" spans="1:18" x14ac:dyDescent="0.25">
      <c r="A40" s="170">
        <v>44763</v>
      </c>
      <c r="B40" s="116">
        <v>250.8</v>
      </c>
      <c r="C40" s="116">
        <v>248.95</v>
      </c>
      <c r="D40" s="116">
        <v>246</v>
      </c>
      <c r="E40" s="116">
        <v>247</v>
      </c>
      <c r="F40" s="116">
        <v>248.95</v>
      </c>
      <c r="G40">
        <v>5401</v>
      </c>
      <c r="H40" s="116"/>
      <c r="I40" s="116"/>
      <c r="L40" s="170">
        <v>44763</v>
      </c>
      <c r="M40" s="116">
        <v>250</v>
      </c>
      <c r="N40" s="116">
        <v>250.6</v>
      </c>
      <c r="O40" s="116">
        <v>246.1</v>
      </c>
      <c r="P40" s="116">
        <v>248</v>
      </c>
      <c r="Q40" s="116">
        <v>250</v>
      </c>
      <c r="R40">
        <v>119770</v>
      </c>
    </row>
    <row r="41" spans="1:18" x14ac:dyDescent="0.25">
      <c r="A41" s="170">
        <v>44764</v>
      </c>
      <c r="B41" s="116">
        <v>256.5</v>
      </c>
      <c r="C41" s="116">
        <v>253.8</v>
      </c>
      <c r="D41" s="116">
        <v>249</v>
      </c>
      <c r="E41" s="116">
        <v>251.3</v>
      </c>
      <c r="F41" s="116">
        <v>253.8</v>
      </c>
      <c r="G41">
        <v>8683</v>
      </c>
      <c r="H41" s="116"/>
      <c r="I41" s="116"/>
      <c r="L41" s="170">
        <v>44764</v>
      </c>
      <c r="M41" s="116">
        <v>253.7</v>
      </c>
      <c r="N41" s="116">
        <v>256.95</v>
      </c>
      <c r="O41" s="116">
        <v>249</v>
      </c>
      <c r="P41" s="116">
        <v>253</v>
      </c>
      <c r="Q41" s="116">
        <v>253.7</v>
      </c>
      <c r="R41">
        <v>96562</v>
      </c>
    </row>
    <row r="42" spans="1:18" x14ac:dyDescent="0.25">
      <c r="A42" s="170">
        <v>44767</v>
      </c>
      <c r="B42" s="116">
        <v>296.5</v>
      </c>
      <c r="C42" s="116">
        <v>285.10000000000002</v>
      </c>
      <c r="D42" s="116">
        <v>255.1</v>
      </c>
      <c r="E42" s="116">
        <v>255.1</v>
      </c>
      <c r="F42" s="116">
        <v>285.10000000000002</v>
      </c>
      <c r="G42">
        <v>207224</v>
      </c>
      <c r="H42" s="116"/>
      <c r="I42" s="116"/>
      <c r="L42" s="170">
        <v>44767</v>
      </c>
      <c r="M42" s="116">
        <v>285.25</v>
      </c>
      <c r="N42" s="116">
        <v>296.8</v>
      </c>
      <c r="O42" s="116">
        <v>256</v>
      </c>
      <c r="P42" s="116">
        <v>257</v>
      </c>
      <c r="Q42" s="116">
        <v>285.25</v>
      </c>
      <c r="R42">
        <v>2460622</v>
      </c>
    </row>
    <row r="43" spans="1:18" x14ac:dyDescent="0.25">
      <c r="A43" s="170">
        <v>44768</v>
      </c>
      <c r="B43" s="116">
        <v>338.4</v>
      </c>
      <c r="C43" s="116">
        <v>327.45</v>
      </c>
      <c r="D43" s="116">
        <v>279</v>
      </c>
      <c r="E43" s="116">
        <v>284.60000000000002</v>
      </c>
      <c r="F43" s="116">
        <v>327.45</v>
      </c>
      <c r="G43">
        <v>227229</v>
      </c>
      <c r="H43" s="116"/>
      <c r="I43" s="116"/>
      <c r="L43" s="170">
        <v>44768</v>
      </c>
      <c r="M43" s="116">
        <v>327.05</v>
      </c>
      <c r="N43" s="116">
        <v>337</v>
      </c>
      <c r="O43" s="116">
        <v>278.55</v>
      </c>
      <c r="P43" s="116">
        <v>283.3</v>
      </c>
      <c r="Q43" s="116">
        <v>327.05</v>
      </c>
      <c r="R43">
        <v>3663673</v>
      </c>
    </row>
    <row r="44" spans="1:18" x14ac:dyDescent="0.25">
      <c r="A44" s="170">
        <v>44769</v>
      </c>
      <c r="B44" s="116">
        <v>356.5</v>
      </c>
      <c r="C44" s="116">
        <v>327.45</v>
      </c>
      <c r="D44" s="116">
        <v>321.05</v>
      </c>
      <c r="E44" s="116">
        <v>327.5</v>
      </c>
      <c r="F44" s="116">
        <v>327.45</v>
      </c>
      <c r="G44">
        <v>263817</v>
      </c>
      <c r="H44" s="116"/>
      <c r="I44" s="116"/>
      <c r="L44" s="170">
        <v>44769</v>
      </c>
      <c r="M44" s="116">
        <v>327.2</v>
      </c>
      <c r="N44" s="116">
        <v>356.65</v>
      </c>
      <c r="O44" s="116">
        <v>321</v>
      </c>
      <c r="P44" s="116">
        <v>329.2</v>
      </c>
      <c r="Q44" s="116">
        <v>327.2</v>
      </c>
      <c r="R44">
        <v>3014836</v>
      </c>
    </row>
    <row r="45" spans="1:18" x14ac:dyDescent="0.25">
      <c r="A45" s="170">
        <v>44770</v>
      </c>
      <c r="B45" s="116">
        <v>338</v>
      </c>
      <c r="C45" s="116">
        <v>333.1</v>
      </c>
      <c r="D45" s="116">
        <v>327</v>
      </c>
      <c r="E45" s="116">
        <v>329</v>
      </c>
      <c r="F45" s="116">
        <v>333.1</v>
      </c>
      <c r="G45">
        <v>55901</v>
      </c>
      <c r="H45" s="116"/>
      <c r="I45" s="116"/>
      <c r="L45" s="170">
        <v>44770</v>
      </c>
      <c r="M45" s="116">
        <v>333.35</v>
      </c>
      <c r="N45" s="116">
        <v>336.75</v>
      </c>
      <c r="O45" s="116">
        <v>327.05</v>
      </c>
      <c r="P45" s="116">
        <v>330.2</v>
      </c>
      <c r="Q45" s="116">
        <v>333.35</v>
      </c>
      <c r="R45">
        <v>656968</v>
      </c>
    </row>
    <row r="46" spans="1:18" x14ac:dyDescent="0.25">
      <c r="A46" s="170">
        <v>44771</v>
      </c>
      <c r="B46" s="116">
        <v>373.5</v>
      </c>
      <c r="C46" s="116">
        <v>342.05</v>
      </c>
      <c r="D46" s="116">
        <v>329</v>
      </c>
      <c r="E46" s="116">
        <v>333.1</v>
      </c>
      <c r="F46" s="116">
        <v>342.05</v>
      </c>
      <c r="G46">
        <v>111351</v>
      </c>
      <c r="H46" s="116"/>
      <c r="I46" s="116"/>
      <c r="L46" s="170">
        <v>44771</v>
      </c>
      <c r="M46" s="116">
        <v>341.1</v>
      </c>
      <c r="N46" s="116">
        <v>373.45</v>
      </c>
      <c r="O46" s="116">
        <v>328.9</v>
      </c>
      <c r="P46" s="116">
        <v>330.4</v>
      </c>
      <c r="Q46" s="116">
        <v>341.1</v>
      </c>
      <c r="R46">
        <v>2308649</v>
      </c>
    </row>
    <row r="47" spans="1:18" x14ac:dyDescent="0.25">
      <c r="A47" s="170">
        <v>44774</v>
      </c>
      <c r="B47" s="116">
        <v>366</v>
      </c>
      <c r="C47" s="116">
        <v>354.9</v>
      </c>
      <c r="D47" s="116">
        <v>335.7</v>
      </c>
      <c r="E47" s="116">
        <v>348.5</v>
      </c>
      <c r="F47" s="116">
        <v>354.9</v>
      </c>
      <c r="G47">
        <v>141714</v>
      </c>
      <c r="H47" s="116"/>
      <c r="I47" s="116"/>
      <c r="L47" s="170">
        <v>44774</v>
      </c>
      <c r="M47" s="116">
        <v>354.6</v>
      </c>
      <c r="N47" s="116">
        <v>366.75</v>
      </c>
      <c r="O47" s="116">
        <v>336.2</v>
      </c>
      <c r="P47" s="116">
        <v>347</v>
      </c>
      <c r="Q47" s="116">
        <v>354.6</v>
      </c>
      <c r="R47">
        <v>866761</v>
      </c>
    </row>
    <row r="48" spans="1:18" x14ac:dyDescent="0.25">
      <c r="A48" s="170">
        <v>44775</v>
      </c>
      <c r="B48" s="116">
        <v>366.4</v>
      </c>
      <c r="C48" s="116">
        <v>361.7</v>
      </c>
      <c r="D48" s="116">
        <v>350.85</v>
      </c>
      <c r="E48" s="116">
        <v>361</v>
      </c>
      <c r="F48" s="116">
        <v>361.7</v>
      </c>
      <c r="G48">
        <v>70521</v>
      </c>
      <c r="H48" s="116"/>
      <c r="I48" s="116"/>
      <c r="L48" s="170">
        <v>44775</v>
      </c>
      <c r="M48" s="116">
        <v>361.3</v>
      </c>
      <c r="N48" s="116">
        <v>366.3</v>
      </c>
      <c r="O48" s="116">
        <v>350.6</v>
      </c>
      <c r="P48" s="116">
        <v>353</v>
      </c>
      <c r="Q48" s="116">
        <v>361.3</v>
      </c>
      <c r="R48">
        <v>743139</v>
      </c>
    </row>
    <row r="49" spans="1:18" x14ac:dyDescent="0.25">
      <c r="A49" s="170">
        <v>44776</v>
      </c>
      <c r="B49" s="116">
        <v>374.65</v>
      </c>
      <c r="C49" s="116">
        <v>364.45</v>
      </c>
      <c r="D49" s="116">
        <v>359.2</v>
      </c>
      <c r="E49" s="116">
        <v>361.7</v>
      </c>
      <c r="F49" s="116">
        <v>364.45</v>
      </c>
      <c r="G49">
        <v>86127</v>
      </c>
      <c r="H49" s="116"/>
      <c r="I49" s="116"/>
      <c r="L49" s="170">
        <v>44776</v>
      </c>
      <c r="M49" s="116">
        <v>366.05</v>
      </c>
      <c r="N49" s="116">
        <v>374.7</v>
      </c>
      <c r="O49" s="116">
        <v>361</v>
      </c>
      <c r="P49" s="116">
        <v>363.9</v>
      </c>
      <c r="Q49" s="116">
        <v>366.05</v>
      </c>
      <c r="R49">
        <v>835824</v>
      </c>
    </row>
    <row r="50" spans="1:18" x14ac:dyDescent="0.25">
      <c r="A50" s="170">
        <v>44777</v>
      </c>
      <c r="B50" s="116">
        <v>370.75</v>
      </c>
      <c r="C50" s="116">
        <v>358.15</v>
      </c>
      <c r="D50" s="116">
        <v>333.15</v>
      </c>
      <c r="E50" s="116">
        <v>367.95</v>
      </c>
      <c r="F50" s="116">
        <v>358.15</v>
      </c>
      <c r="G50">
        <v>98803</v>
      </c>
      <c r="H50" s="116"/>
      <c r="I50" s="116"/>
      <c r="L50" s="170">
        <v>44777</v>
      </c>
      <c r="M50" s="116">
        <v>358</v>
      </c>
      <c r="N50" s="116">
        <v>371.3</v>
      </c>
      <c r="O50" s="116">
        <v>332.85</v>
      </c>
      <c r="P50" s="116">
        <v>368</v>
      </c>
      <c r="Q50" s="116">
        <v>358</v>
      </c>
      <c r="R50">
        <v>741301</v>
      </c>
    </row>
    <row r="51" spans="1:18" x14ac:dyDescent="0.25">
      <c r="A51" s="170">
        <v>44778</v>
      </c>
      <c r="B51" s="116">
        <v>367.7</v>
      </c>
      <c r="C51" s="116">
        <v>356.05</v>
      </c>
      <c r="D51" s="116">
        <v>348</v>
      </c>
      <c r="E51" s="116">
        <v>358.1</v>
      </c>
      <c r="F51" s="116">
        <v>356.05</v>
      </c>
      <c r="G51">
        <v>45307</v>
      </c>
      <c r="H51" s="116"/>
      <c r="I51" s="116"/>
      <c r="L51" s="170">
        <v>44778</v>
      </c>
      <c r="M51" s="116">
        <v>358.75</v>
      </c>
      <c r="N51" s="116">
        <v>367.8</v>
      </c>
      <c r="O51" s="116">
        <v>353.15</v>
      </c>
      <c r="P51" s="116">
        <v>356.7</v>
      </c>
      <c r="Q51" s="116">
        <v>358.75</v>
      </c>
      <c r="R51">
        <v>347754</v>
      </c>
    </row>
    <row r="52" spans="1:18" x14ac:dyDescent="0.25">
      <c r="A52" s="170">
        <v>44781</v>
      </c>
      <c r="B52" s="116">
        <v>359.95</v>
      </c>
      <c r="C52" s="116">
        <v>344.7</v>
      </c>
      <c r="D52" s="116">
        <v>342.9</v>
      </c>
      <c r="E52" s="116">
        <v>353</v>
      </c>
      <c r="F52" s="116">
        <v>344.7</v>
      </c>
      <c r="G52">
        <v>36180</v>
      </c>
      <c r="H52" s="116"/>
      <c r="I52" s="116"/>
      <c r="L52" s="170">
        <v>44781</v>
      </c>
      <c r="M52" s="116">
        <v>344.55</v>
      </c>
      <c r="N52" s="116">
        <v>360</v>
      </c>
      <c r="O52" s="116">
        <v>342</v>
      </c>
      <c r="P52" s="116">
        <v>354.3</v>
      </c>
      <c r="Q52" s="116">
        <v>344.55</v>
      </c>
      <c r="R52">
        <v>338370</v>
      </c>
    </row>
    <row r="53" spans="1:18" x14ac:dyDescent="0.25">
      <c r="A53" s="170">
        <v>44783</v>
      </c>
      <c r="B53" s="116">
        <v>362.35</v>
      </c>
      <c r="C53" s="116">
        <v>350.4</v>
      </c>
      <c r="D53" s="116">
        <v>341.2</v>
      </c>
      <c r="E53" s="116">
        <v>341.2</v>
      </c>
      <c r="F53" s="116">
        <v>350.4</v>
      </c>
      <c r="G53">
        <v>61175</v>
      </c>
      <c r="H53" s="116"/>
      <c r="I53" s="116"/>
      <c r="L53" s="170">
        <v>44783</v>
      </c>
      <c r="M53" s="116">
        <v>350.75</v>
      </c>
      <c r="N53" s="116">
        <v>362</v>
      </c>
      <c r="O53" s="116">
        <v>342</v>
      </c>
      <c r="P53" s="116">
        <v>342</v>
      </c>
      <c r="Q53" s="116">
        <v>350.75</v>
      </c>
      <c r="R53">
        <v>631170</v>
      </c>
    </row>
    <row r="54" spans="1:18" x14ac:dyDescent="0.25">
      <c r="A54" s="170">
        <v>44784</v>
      </c>
      <c r="B54" s="116">
        <v>399.7</v>
      </c>
      <c r="C54" s="116">
        <v>378.9</v>
      </c>
      <c r="D54" s="116">
        <v>349.55</v>
      </c>
      <c r="E54" s="116">
        <v>349.55</v>
      </c>
      <c r="F54" s="116">
        <v>378.9</v>
      </c>
      <c r="G54">
        <v>158632</v>
      </c>
      <c r="H54" s="116"/>
      <c r="I54" s="116"/>
      <c r="L54" s="170">
        <v>44784</v>
      </c>
      <c r="M54" s="116">
        <v>379.3</v>
      </c>
      <c r="N54" s="116">
        <v>398.9</v>
      </c>
      <c r="O54" s="116">
        <v>351.25</v>
      </c>
      <c r="P54" s="116">
        <v>351.25</v>
      </c>
      <c r="Q54" s="116">
        <v>379.3</v>
      </c>
      <c r="R54">
        <v>2424242</v>
      </c>
    </row>
    <row r="55" spans="1:18" x14ac:dyDescent="0.25">
      <c r="A55" s="170">
        <v>44785</v>
      </c>
      <c r="B55" s="116">
        <v>394.1</v>
      </c>
      <c r="C55" s="116">
        <v>368.45</v>
      </c>
      <c r="D55" s="116">
        <v>365</v>
      </c>
      <c r="E55" s="116">
        <v>383.7</v>
      </c>
      <c r="F55" s="116">
        <v>368.45</v>
      </c>
      <c r="G55">
        <v>63072</v>
      </c>
      <c r="H55" s="116"/>
      <c r="I55" s="116"/>
      <c r="L55" s="170">
        <v>44785</v>
      </c>
      <c r="M55" s="116">
        <v>368.35</v>
      </c>
      <c r="N55" s="116">
        <v>394</v>
      </c>
      <c r="O55" s="116">
        <v>364</v>
      </c>
      <c r="P55" s="116">
        <v>380.7</v>
      </c>
      <c r="Q55" s="116">
        <v>368.35</v>
      </c>
      <c r="R55">
        <v>1064451</v>
      </c>
    </row>
    <row r="56" spans="1:18" x14ac:dyDescent="0.25">
      <c r="A56" s="170">
        <v>44789</v>
      </c>
      <c r="B56" s="116">
        <v>372.85</v>
      </c>
      <c r="C56" s="116">
        <v>356.45</v>
      </c>
      <c r="D56" s="116">
        <v>354.45</v>
      </c>
      <c r="E56" s="116">
        <v>363</v>
      </c>
      <c r="F56" s="116">
        <v>356.45</v>
      </c>
      <c r="G56">
        <v>63294</v>
      </c>
      <c r="H56" s="116"/>
      <c r="I56" s="116"/>
      <c r="L56" s="170">
        <v>44789</v>
      </c>
      <c r="M56" s="116">
        <v>356.7</v>
      </c>
      <c r="N56" s="116">
        <v>372.8</v>
      </c>
      <c r="O56" s="116">
        <v>354.45</v>
      </c>
      <c r="P56" s="116">
        <v>372.8</v>
      </c>
      <c r="Q56" s="116">
        <v>356.7</v>
      </c>
      <c r="R56">
        <v>474636</v>
      </c>
    </row>
    <row r="57" spans="1:18" x14ac:dyDescent="0.25">
      <c r="A57" s="170">
        <v>44790</v>
      </c>
      <c r="B57" s="116">
        <v>370</v>
      </c>
      <c r="C57" s="116">
        <v>362.55</v>
      </c>
      <c r="D57" s="116">
        <v>355.55</v>
      </c>
      <c r="E57" s="116">
        <v>357</v>
      </c>
      <c r="F57" s="116">
        <v>362.55</v>
      </c>
      <c r="G57">
        <v>20319</v>
      </c>
      <c r="H57" s="116"/>
      <c r="I57" s="116"/>
      <c r="L57" s="170">
        <v>44790</v>
      </c>
      <c r="M57" s="116">
        <v>362.6</v>
      </c>
      <c r="N57" s="116">
        <v>369</v>
      </c>
      <c r="O57" s="116">
        <v>355.75</v>
      </c>
      <c r="P57" s="116">
        <v>359.7</v>
      </c>
      <c r="Q57" s="116">
        <v>362.6</v>
      </c>
      <c r="R57">
        <v>398385</v>
      </c>
    </row>
    <row r="58" spans="1:18" x14ac:dyDescent="0.25">
      <c r="A58" s="170">
        <v>44791</v>
      </c>
      <c r="B58" s="116">
        <v>369.85</v>
      </c>
      <c r="C58" s="116">
        <v>355.95</v>
      </c>
      <c r="D58" s="116">
        <v>349.65</v>
      </c>
      <c r="E58" s="116">
        <v>369.85</v>
      </c>
      <c r="F58" s="116">
        <v>355.95</v>
      </c>
      <c r="G58">
        <v>43660</v>
      </c>
      <c r="H58" s="116"/>
      <c r="I58" s="116"/>
      <c r="L58" s="170">
        <v>44791</v>
      </c>
      <c r="M58" s="116">
        <v>356.25</v>
      </c>
      <c r="N58" s="116">
        <v>365.9</v>
      </c>
      <c r="O58" s="116">
        <v>349.65</v>
      </c>
      <c r="P58" s="116">
        <v>363.65</v>
      </c>
      <c r="Q58" s="116">
        <v>356.25</v>
      </c>
      <c r="R58">
        <v>560424</v>
      </c>
    </row>
    <row r="59" spans="1:18" x14ac:dyDescent="0.25">
      <c r="A59" s="170">
        <v>44792</v>
      </c>
      <c r="B59" s="116">
        <v>364.8</v>
      </c>
      <c r="C59" s="116">
        <v>350.65</v>
      </c>
      <c r="D59" s="116">
        <v>349.5</v>
      </c>
      <c r="E59" s="116">
        <v>352</v>
      </c>
      <c r="F59" s="116">
        <v>350.65</v>
      </c>
      <c r="G59">
        <v>14664</v>
      </c>
      <c r="H59" s="116"/>
      <c r="I59" s="116"/>
      <c r="L59" s="170">
        <v>44792</v>
      </c>
      <c r="M59" s="116">
        <v>350.8</v>
      </c>
      <c r="N59" s="116">
        <v>359.3</v>
      </c>
      <c r="O59" s="116">
        <v>349.45</v>
      </c>
      <c r="P59" s="116">
        <v>355.5</v>
      </c>
      <c r="Q59" s="116">
        <v>350.8</v>
      </c>
      <c r="R59">
        <v>294550</v>
      </c>
    </row>
    <row r="60" spans="1:18" x14ac:dyDescent="0.25">
      <c r="A60" s="170">
        <v>44795</v>
      </c>
      <c r="B60" s="116">
        <v>364.8</v>
      </c>
      <c r="C60" s="116">
        <v>354.25</v>
      </c>
      <c r="D60" s="116">
        <v>349.1</v>
      </c>
      <c r="E60" s="116">
        <v>350</v>
      </c>
      <c r="F60" s="116">
        <v>354.25</v>
      </c>
      <c r="G60">
        <v>35446</v>
      </c>
      <c r="H60" s="116"/>
      <c r="I60" s="116"/>
      <c r="L60" s="170">
        <v>44795</v>
      </c>
      <c r="M60" s="116">
        <v>352.85</v>
      </c>
      <c r="N60" s="116">
        <v>365</v>
      </c>
      <c r="O60" s="116">
        <v>349.45</v>
      </c>
      <c r="P60" s="116">
        <v>352</v>
      </c>
      <c r="Q60" s="116">
        <v>352.85</v>
      </c>
      <c r="R60">
        <v>420144</v>
      </c>
    </row>
    <row r="61" spans="1:18" x14ac:dyDescent="0.25">
      <c r="A61" s="170">
        <v>44796</v>
      </c>
      <c r="B61" s="116">
        <v>362</v>
      </c>
      <c r="C61" s="116">
        <v>357.45</v>
      </c>
      <c r="D61" s="116">
        <v>345</v>
      </c>
      <c r="E61" s="116">
        <v>345</v>
      </c>
      <c r="F61" s="116">
        <v>357.45</v>
      </c>
      <c r="G61">
        <v>33606</v>
      </c>
      <c r="H61" s="116"/>
      <c r="I61" s="116"/>
      <c r="L61" s="170">
        <v>44796</v>
      </c>
      <c r="M61" s="116">
        <v>357.4</v>
      </c>
      <c r="N61" s="116">
        <v>362.2</v>
      </c>
      <c r="O61" s="116">
        <v>350</v>
      </c>
      <c r="P61" s="116">
        <v>352.85</v>
      </c>
      <c r="Q61" s="116">
        <v>357.4</v>
      </c>
      <c r="R61">
        <v>207457</v>
      </c>
    </row>
    <row r="62" spans="1:18" x14ac:dyDescent="0.25">
      <c r="A62" s="170">
        <v>44797</v>
      </c>
      <c r="B62" s="116">
        <v>380.55</v>
      </c>
      <c r="C62" s="116">
        <v>360.55</v>
      </c>
      <c r="D62" s="116">
        <v>352.5</v>
      </c>
      <c r="E62" s="116">
        <v>359</v>
      </c>
      <c r="F62" s="116">
        <v>360.55</v>
      </c>
      <c r="G62">
        <v>112530</v>
      </c>
      <c r="H62" s="116"/>
      <c r="I62" s="116"/>
      <c r="L62" s="170">
        <v>44797</v>
      </c>
      <c r="M62" s="116">
        <v>358.75</v>
      </c>
      <c r="N62" s="116">
        <v>380.95</v>
      </c>
      <c r="O62" s="116">
        <v>350.2</v>
      </c>
      <c r="P62" s="116">
        <v>357.95</v>
      </c>
      <c r="Q62" s="116">
        <v>358.75</v>
      </c>
      <c r="R62">
        <v>1112190</v>
      </c>
    </row>
    <row r="63" spans="1:18" x14ac:dyDescent="0.25">
      <c r="A63" s="170">
        <v>44798</v>
      </c>
      <c r="B63" s="116">
        <v>364.8</v>
      </c>
      <c r="C63" s="116">
        <v>356.75</v>
      </c>
      <c r="D63" s="116">
        <v>355</v>
      </c>
      <c r="E63" s="116">
        <v>357.7</v>
      </c>
      <c r="F63" s="116">
        <v>356.75</v>
      </c>
      <c r="G63">
        <v>59607</v>
      </c>
      <c r="H63" s="116"/>
      <c r="I63" s="116"/>
      <c r="L63" s="170">
        <v>44798</v>
      </c>
      <c r="M63" s="116">
        <v>356.75</v>
      </c>
      <c r="N63" s="116">
        <v>364.95</v>
      </c>
      <c r="O63" s="116">
        <v>355.05</v>
      </c>
      <c r="P63" s="116">
        <v>357.75</v>
      </c>
      <c r="Q63" s="116">
        <v>356.75</v>
      </c>
      <c r="R63">
        <v>452698</v>
      </c>
    </row>
    <row r="64" spans="1:18" x14ac:dyDescent="0.25">
      <c r="A64" s="170">
        <v>44799</v>
      </c>
      <c r="B64" s="116">
        <v>366</v>
      </c>
      <c r="C64" s="116">
        <v>361.4</v>
      </c>
      <c r="D64" s="116">
        <v>355</v>
      </c>
      <c r="E64" s="116">
        <v>357.5</v>
      </c>
      <c r="F64" s="116">
        <v>361.4</v>
      </c>
      <c r="G64">
        <v>37534</v>
      </c>
      <c r="H64" s="116"/>
      <c r="I64" s="116"/>
      <c r="L64" s="170">
        <v>44799</v>
      </c>
      <c r="M64" s="116">
        <v>361.6</v>
      </c>
      <c r="N64" s="116">
        <v>366.3</v>
      </c>
      <c r="O64" s="116">
        <v>355.2</v>
      </c>
      <c r="P64" s="116">
        <v>359.5</v>
      </c>
      <c r="Q64" s="116">
        <v>361.6</v>
      </c>
      <c r="R64">
        <v>320551</v>
      </c>
    </row>
    <row r="65" spans="1:18" x14ac:dyDescent="0.25">
      <c r="A65" s="170">
        <v>44802</v>
      </c>
      <c r="B65" s="116">
        <v>364.75</v>
      </c>
      <c r="C65" s="116">
        <v>360.1</v>
      </c>
      <c r="D65" s="116">
        <v>350.9</v>
      </c>
      <c r="E65" s="116">
        <v>359</v>
      </c>
      <c r="F65" s="116">
        <v>360.1</v>
      </c>
      <c r="G65">
        <v>20102</v>
      </c>
      <c r="H65" s="116"/>
      <c r="I65" s="116"/>
      <c r="L65" s="170">
        <v>44802</v>
      </c>
      <c r="M65" s="116">
        <v>359.7</v>
      </c>
      <c r="N65" s="116">
        <v>365</v>
      </c>
      <c r="O65" s="116">
        <v>350</v>
      </c>
      <c r="P65" s="116">
        <v>354</v>
      </c>
      <c r="Q65" s="116">
        <v>359.7</v>
      </c>
      <c r="R65">
        <v>279460</v>
      </c>
    </row>
    <row r="66" spans="1:18" x14ac:dyDescent="0.25">
      <c r="A66" s="170">
        <v>44803</v>
      </c>
      <c r="B66" s="116">
        <v>383.75</v>
      </c>
      <c r="C66" s="116">
        <v>359.3</v>
      </c>
      <c r="D66" s="116">
        <v>356.85</v>
      </c>
      <c r="E66" s="116">
        <v>358.05</v>
      </c>
      <c r="F66" s="116">
        <v>359.3</v>
      </c>
      <c r="G66">
        <v>96077</v>
      </c>
      <c r="H66" s="116"/>
      <c r="I66" s="116"/>
      <c r="L66" s="170">
        <v>44803</v>
      </c>
      <c r="M66" s="116">
        <v>359.35</v>
      </c>
      <c r="N66" s="116">
        <v>384</v>
      </c>
      <c r="O66" s="116">
        <v>356.6</v>
      </c>
      <c r="P66" s="116">
        <v>361.15</v>
      </c>
      <c r="Q66" s="116">
        <v>359.35</v>
      </c>
      <c r="R66">
        <v>855474</v>
      </c>
    </row>
    <row r="67" spans="1:18" x14ac:dyDescent="0.25">
      <c r="A67" s="170">
        <v>44805</v>
      </c>
      <c r="B67" s="116">
        <v>370</v>
      </c>
      <c r="C67" s="116">
        <v>357.8</v>
      </c>
      <c r="D67" s="116">
        <v>355.6</v>
      </c>
      <c r="E67" s="116">
        <v>359</v>
      </c>
      <c r="F67" s="116">
        <v>357.8</v>
      </c>
      <c r="G67">
        <v>62264</v>
      </c>
      <c r="H67" s="116"/>
      <c r="I67" s="116"/>
      <c r="L67" s="170">
        <v>44805</v>
      </c>
      <c r="M67" s="116">
        <v>357.9</v>
      </c>
      <c r="N67" s="116">
        <v>370.95</v>
      </c>
      <c r="O67" s="116">
        <v>355.3</v>
      </c>
      <c r="P67" s="116">
        <v>358</v>
      </c>
      <c r="Q67" s="116">
        <v>357.9</v>
      </c>
      <c r="R67">
        <v>370678</v>
      </c>
    </row>
    <row r="68" spans="1:18" x14ac:dyDescent="0.25">
      <c r="A68" s="170">
        <v>44806</v>
      </c>
      <c r="B68" s="116">
        <v>364.1</v>
      </c>
      <c r="C68" s="116">
        <v>351.85</v>
      </c>
      <c r="D68" s="116">
        <v>350</v>
      </c>
      <c r="E68" s="116">
        <v>360</v>
      </c>
      <c r="F68" s="116">
        <v>351.85</v>
      </c>
      <c r="G68">
        <v>19647</v>
      </c>
      <c r="H68" s="116"/>
      <c r="I68" s="116"/>
      <c r="L68" s="170">
        <v>44806</v>
      </c>
      <c r="M68" s="116">
        <v>351.75</v>
      </c>
      <c r="N68" s="116">
        <v>364.4</v>
      </c>
      <c r="O68" s="116">
        <v>350</v>
      </c>
      <c r="P68" s="116">
        <v>360.45</v>
      </c>
      <c r="Q68" s="116">
        <v>351.75</v>
      </c>
      <c r="R68">
        <v>243675</v>
      </c>
    </row>
    <row r="69" spans="1:18" x14ac:dyDescent="0.25">
      <c r="A69" s="170">
        <v>44809</v>
      </c>
      <c r="B69" s="116">
        <v>355</v>
      </c>
      <c r="C69" s="116">
        <v>338.45</v>
      </c>
      <c r="D69" s="116">
        <v>334.05</v>
      </c>
      <c r="E69" s="116">
        <v>353.5</v>
      </c>
      <c r="F69" s="116">
        <v>338.45</v>
      </c>
      <c r="G69">
        <v>80505</v>
      </c>
      <c r="H69" s="116"/>
      <c r="I69" s="116"/>
      <c r="L69" s="170">
        <v>44809</v>
      </c>
      <c r="M69" s="116">
        <v>338.4</v>
      </c>
      <c r="N69" s="116">
        <v>354.7</v>
      </c>
      <c r="O69" s="116">
        <v>334</v>
      </c>
      <c r="P69" s="116">
        <v>352.1</v>
      </c>
      <c r="Q69" s="116">
        <v>338.4</v>
      </c>
      <c r="R69">
        <v>351640</v>
      </c>
    </row>
    <row r="70" spans="1:18" x14ac:dyDescent="0.25">
      <c r="A70" s="170">
        <v>44810</v>
      </c>
      <c r="B70" s="116">
        <v>343</v>
      </c>
      <c r="C70" s="116">
        <v>326.10000000000002</v>
      </c>
      <c r="D70" s="116">
        <v>324.5</v>
      </c>
      <c r="E70" s="116">
        <v>338.5</v>
      </c>
      <c r="F70" s="116">
        <v>326.10000000000002</v>
      </c>
      <c r="G70">
        <v>49009</v>
      </c>
      <c r="H70" s="116"/>
      <c r="I70" s="116"/>
      <c r="L70" s="170">
        <v>44810</v>
      </c>
      <c r="M70" s="116">
        <v>326.2</v>
      </c>
      <c r="N70" s="116">
        <v>342.9</v>
      </c>
      <c r="O70" s="116">
        <v>324.5</v>
      </c>
      <c r="P70" s="116">
        <v>341</v>
      </c>
      <c r="Q70" s="116">
        <v>326.2</v>
      </c>
      <c r="R70">
        <v>321637</v>
      </c>
    </row>
    <row r="71" spans="1:18" x14ac:dyDescent="0.25">
      <c r="A71" s="170">
        <v>44811</v>
      </c>
      <c r="B71" s="116">
        <v>334.8</v>
      </c>
      <c r="C71" s="116">
        <v>329.6</v>
      </c>
      <c r="D71" s="116">
        <v>322.14999999999998</v>
      </c>
      <c r="E71" s="116">
        <v>324</v>
      </c>
      <c r="F71" s="116">
        <v>329.6</v>
      </c>
      <c r="G71">
        <v>22853</v>
      </c>
      <c r="H71" s="116"/>
      <c r="I71" s="116"/>
      <c r="L71" s="170">
        <v>44811</v>
      </c>
      <c r="M71" s="116">
        <v>329.7</v>
      </c>
      <c r="N71" s="116">
        <v>335</v>
      </c>
      <c r="O71" s="116">
        <v>322.45</v>
      </c>
      <c r="P71" s="116">
        <v>324.7</v>
      </c>
      <c r="Q71" s="116">
        <v>329.7</v>
      </c>
      <c r="R71">
        <v>264795</v>
      </c>
    </row>
    <row r="72" spans="1:18" x14ac:dyDescent="0.25">
      <c r="A72" s="170">
        <v>44812</v>
      </c>
      <c r="B72" s="116">
        <v>340.1</v>
      </c>
      <c r="C72" s="116">
        <v>332.4</v>
      </c>
      <c r="D72" s="116">
        <v>330.95</v>
      </c>
      <c r="E72" s="116">
        <v>333.95</v>
      </c>
      <c r="F72" s="116">
        <v>332.4</v>
      </c>
      <c r="G72">
        <v>23592</v>
      </c>
      <c r="H72" s="116"/>
      <c r="I72" s="116"/>
      <c r="L72" s="170">
        <v>44812</v>
      </c>
      <c r="M72" s="116">
        <v>332.5</v>
      </c>
      <c r="N72" s="116">
        <v>340.8</v>
      </c>
      <c r="O72" s="116">
        <v>330.4</v>
      </c>
      <c r="P72" s="116">
        <v>334.3</v>
      </c>
      <c r="Q72" s="116">
        <v>332.5</v>
      </c>
      <c r="R72">
        <v>157930</v>
      </c>
    </row>
    <row r="73" spans="1:18" x14ac:dyDescent="0.25">
      <c r="A73" s="170">
        <v>44813</v>
      </c>
      <c r="B73" s="116">
        <v>335.75</v>
      </c>
      <c r="C73" s="116">
        <v>325.64999999999998</v>
      </c>
      <c r="D73" s="116">
        <v>323.45</v>
      </c>
      <c r="E73" s="116">
        <v>333.05</v>
      </c>
      <c r="F73" s="116">
        <v>325.64999999999998</v>
      </c>
      <c r="G73">
        <v>28140</v>
      </c>
      <c r="H73" s="116"/>
      <c r="I73" s="116"/>
      <c r="L73" s="170">
        <v>44813</v>
      </c>
      <c r="M73" s="116">
        <v>325.25</v>
      </c>
      <c r="N73" s="116">
        <v>335.85</v>
      </c>
      <c r="O73" s="116">
        <v>323</v>
      </c>
      <c r="P73" s="116">
        <v>335.85</v>
      </c>
      <c r="Q73" s="116">
        <v>325.25</v>
      </c>
      <c r="R73">
        <v>307148</v>
      </c>
    </row>
    <row r="74" spans="1:18" x14ac:dyDescent="0.25">
      <c r="A74" s="170">
        <v>44816</v>
      </c>
      <c r="B74" s="116">
        <v>331.2</v>
      </c>
      <c r="C74" s="116">
        <v>329.8</v>
      </c>
      <c r="D74" s="116">
        <v>324.39999999999998</v>
      </c>
      <c r="E74" s="116">
        <v>326</v>
      </c>
      <c r="F74" s="116">
        <v>329.8</v>
      </c>
      <c r="G74">
        <v>35295</v>
      </c>
      <c r="H74" s="116"/>
      <c r="I74" s="116"/>
      <c r="L74" s="170">
        <v>44816</v>
      </c>
      <c r="M74" s="116">
        <v>330</v>
      </c>
      <c r="N74" s="116">
        <v>331.3</v>
      </c>
      <c r="O74" s="116">
        <v>324.39999999999998</v>
      </c>
      <c r="P74" s="116">
        <v>327.5</v>
      </c>
      <c r="Q74" s="116">
        <v>330</v>
      </c>
      <c r="R74">
        <v>169649</v>
      </c>
    </row>
    <row r="75" spans="1:18" x14ac:dyDescent="0.25">
      <c r="A75" s="170">
        <v>44817</v>
      </c>
      <c r="B75" s="116">
        <v>332</v>
      </c>
      <c r="C75" s="116">
        <v>327.05</v>
      </c>
      <c r="D75" s="116">
        <v>325.35000000000002</v>
      </c>
      <c r="E75" s="116">
        <v>329.1</v>
      </c>
      <c r="F75" s="116">
        <v>327.05</v>
      </c>
      <c r="G75">
        <v>12263</v>
      </c>
      <c r="H75" s="116"/>
      <c r="I75" s="116"/>
      <c r="L75" s="170">
        <v>44817</v>
      </c>
      <c r="M75" s="116">
        <v>327.35000000000002</v>
      </c>
      <c r="N75" s="116">
        <v>332.65</v>
      </c>
      <c r="O75" s="116">
        <v>325.35000000000002</v>
      </c>
      <c r="P75" s="116">
        <v>330.6</v>
      </c>
      <c r="Q75" s="116">
        <v>327.35000000000002</v>
      </c>
      <c r="R75">
        <v>128080</v>
      </c>
    </row>
    <row r="76" spans="1:18" x14ac:dyDescent="0.25">
      <c r="A76" s="170">
        <v>44818</v>
      </c>
      <c r="B76" s="116">
        <v>326.14999999999998</v>
      </c>
      <c r="C76" s="116">
        <v>323.45</v>
      </c>
      <c r="D76" s="116">
        <v>319.2</v>
      </c>
      <c r="E76" s="116">
        <v>324</v>
      </c>
      <c r="F76" s="116">
        <v>323.45</v>
      </c>
      <c r="G76">
        <v>17755</v>
      </c>
      <c r="H76" s="116"/>
      <c r="I76" s="116"/>
      <c r="L76" s="170">
        <v>44818</v>
      </c>
      <c r="M76" s="116">
        <v>323.64999999999998</v>
      </c>
      <c r="N76" s="116">
        <v>326.7</v>
      </c>
      <c r="O76" s="116">
        <v>318.95</v>
      </c>
      <c r="P76" s="116">
        <v>323.5</v>
      </c>
      <c r="Q76" s="116">
        <v>323.64999999999998</v>
      </c>
      <c r="R76">
        <v>187657</v>
      </c>
    </row>
    <row r="77" spans="1:18" x14ac:dyDescent="0.25">
      <c r="A77" s="170">
        <v>44819</v>
      </c>
      <c r="B77" s="116">
        <v>333.5</v>
      </c>
      <c r="C77" s="116">
        <v>322.95</v>
      </c>
      <c r="D77" s="116">
        <v>319.55</v>
      </c>
      <c r="E77" s="116">
        <v>319.55</v>
      </c>
      <c r="F77" s="116">
        <v>322.95</v>
      </c>
      <c r="G77">
        <v>14503</v>
      </c>
      <c r="H77" s="116"/>
      <c r="I77" s="116"/>
      <c r="L77" s="170">
        <v>44819</v>
      </c>
      <c r="M77" s="116">
        <v>322.14999999999998</v>
      </c>
      <c r="N77" s="116">
        <v>333.3</v>
      </c>
      <c r="O77" s="116">
        <v>320.5</v>
      </c>
      <c r="P77" s="116">
        <v>324.14999999999998</v>
      </c>
      <c r="Q77" s="116">
        <v>322.14999999999998</v>
      </c>
      <c r="R77">
        <v>203462</v>
      </c>
    </row>
    <row r="78" spans="1:18" x14ac:dyDescent="0.25">
      <c r="A78" s="170">
        <v>44820</v>
      </c>
      <c r="B78" s="116">
        <v>322.95</v>
      </c>
      <c r="C78" s="116">
        <v>310.8</v>
      </c>
      <c r="D78" s="116">
        <v>309</v>
      </c>
      <c r="E78" s="116">
        <v>322</v>
      </c>
      <c r="F78" s="116">
        <v>310.8</v>
      </c>
      <c r="G78">
        <v>50826</v>
      </c>
      <c r="H78" s="116"/>
      <c r="I78" s="116"/>
      <c r="L78" s="170">
        <v>44820</v>
      </c>
      <c r="M78" s="116">
        <v>310.05</v>
      </c>
      <c r="N78" s="116">
        <v>322.5</v>
      </c>
      <c r="O78" s="116">
        <v>309.5</v>
      </c>
      <c r="P78" s="116">
        <v>322.39999999999998</v>
      </c>
      <c r="Q78" s="116">
        <v>310.05</v>
      </c>
      <c r="R78">
        <v>296552</v>
      </c>
    </row>
    <row r="79" spans="1:18" x14ac:dyDescent="0.25">
      <c r="A79" s="170">
        <v>44823</v>
      </c>
      <c r="B79" s="116">
        <v>312.3</v>
      </c>
      <c r="C79" s="116">
        <v>299.45</v>
      </c>
      <c r="D79" s="116">
        <v>298</v>
      </c>
      <c r="E79" s="116">
        <v>310.75</v>
      </c>
      <c r="F79" s="116">
        <v>299.45</v>
      </c>
      <c r="G79">
        <v>45328</v>
      </c>
      <c r="H79" s="116"/>
      <c r="I79" s="116"/>
      <c r="L79" s="170">
        <v>44823</v>
      </c>
      <c r="M79" s="116">
        <v>299.7</v>
      </c>
      <c r="N79" s="116">
        <v>311.85000000000002</v>
      </c>
      <c r="O79" s="116">
        <v>297.95</v>
      </c>
      <c r="P79" s="116">
        <v>311.85000000000002</v>
      </c>
      <c r="Q79" s="116">
        <v>299.7</v>
      </c>
      <c r="R79">
        <v>276058</v>
      </c>
    </row>
    <row r="80" spans="1:18" x14ac:dyDescent="0.25">
      <c r="A80" s="170">
        <v>44824</v>
      </c>
      <c r="B80" s="116">
        <v>319</v>
      </c>
      <c r="C80" s="116">
        <v>312.45</v>
      </c>
      <c r="D80" s="116">
        <v>297.05</v>
      </c>
      <c r="E80" s="116">
        <v>297.05</v>
      </c>
      <c r="F80" s="116">
        <v>312.45</v>
      </c>
      <c r="G80">
        <v>25584</v>
      </c>
      <c r="H80" s="116"/>
      <c r="I80" s="116"/>
      <c r="L80" s="170">
        <v>44824</v>
      </c>
      <c r="M80" s="116">
        <v>312.25</v>
      </c>
      <c r="N80" s="116">
        <v>318.95</v>
      </c>
      <c r="O80" s="116">
        <v>300</v>
      </c>
      <c r="P80" s="116">
        <v>300</v>
      </c>
      <c r="Q80" s="116">
        <v>312.25</v>
      </c>
      <c r="R80">
        <v>296235</v>
      </c>
    </row>
    <row r="81" spans="1:18" x14ac:dyDescent="0.25">
      <c r="A81" s="170">
        <v>44825</v>
      </c>
      <c r="B81" s="116">
        <v>312.95</v>
      </c>
      <c r="C81" s="116">
        <v>305.39999999999998</v>
      </c>
      <c r="D81" s="116">
        <v>303</v>
      </c>
      <c r="E81" s="116">
        <v>310.60000000000002</v>
      </c>
      <c r="F81" s="116">
        <v>305.39999999999998</v>
      </c>
      <c r="G81">
        <v>20190</v>
      </c>
      <c r="H81" s="116"/>
      <c r="I81" s="116"/>
      <c r="L81" s="170">
        <v>44825</v>
      </c>
      <c r="M81" s="116">
        <v>303.64999999999998</v>
      </c>
      <c r="N81" s="116">
        <v>312.95</v>
      </c>
      <c r="O81" s="116">
        <v>298.10000000000002</v>
      </c>
      <c r="P81" s="116">
        <v>312.95</v>
      </c>
      <c r="Q81" s="116">
        <v>303.64999999999998</v>
      </c>
      <c r="R81">
        <v>108943</v>
      </c>
    </row>
    <row r="82" spans="1:18" x14ac:dyDescent="0.25">
      <c r="A82" s="170">
        <v>44826</v>
      </c>
      <c r="B82" s="116">
        <v>314.95</v>
      </c>
      <c r="C82" s="116">
        <v>310.7</v>
      </c>
      <c r="D82" s="116">
        <v>303</v>
      </c>
      <c r="E82" s="116">
        <v>303</v>
      </c>
      <c r="F82" s="116">
        <v>310.7</v>
      </c>
      <c r="G82">
        <v>21764</v>
      </c>
      <c r="H82" s="116"/>
      <c r="I82" s="116"/>
      <c r="L82" s="170">
        <v>44826</v>
      </c>
      <c r="M82" s="116">
        <v>312</v>
      </c>
      <c r="N82" s="116">
        <v>315</v>
      </c>
      <c r="O82" s="116">
        <v>303</v>
      </c>
      <c r="P82" s="116">
        <v>303.5</v>
      </c>
      <c r="Q82" s="116">
        <v>312</v>
      </c>
      <c r="R82">
        <v>155036</v>
      </c>
    </row>
    <row r="83" spans="1:18" x14ac:dyDescent="0.25">
      <c r="A83" s="170">
        <v>44827</v>
      </c>
      <c r="B83" s="116">
        <v>312.25</v>
      </c>
      <c r="C83" s="116">
        <v>307.45</v>
      </c>
      <c r="D83" s="116">
        <v>303</v>
      </c>
      <c r="E83" s="116">
        <v>311</v>
      </c>
      <c r="F83" s="116">
        <v>307.45</v>
      </c>
      <c r="G83">
        <v>9339</v>
      </c>
      <c r="H83" s="116"/>
      <c r="I83" s="116"/>
      <c r="L83" s="170">
        <v>44827</v>
      </c>
      <c r="M83" s="116">
        <v>305.39999999999998</v>
      </c>
      <c r="N83" s="116">
        <v>313.45</v>
      </c>
      <c r="O83" s="116">
        <v>302</v>
      </c>
      <c r="P83" s="116">
        <v>313</v>
      </c>
      <c r="Q83" s="116">
        <v>305.39999999999998</v>
      </c>
      <c r="R83">
        <v>91979</v>
      </c>
    </row>
    <row r="84" spans="1:18" x14ac:dyDescent="0.25">
      <c r="A84" s="170">
        <v>44830</v>
      </c>
      <c r="B84" s="116">
        <v>305.8</v>
      </c>
      <c r="C84" s="116">
        <v>301.25</v>
      </c>
      <c r="D84" s="116">
        <v>287.95</v>
      </c>
      <c r="E84" s="116">
        <v>297.05</v>
      </c>
      <c r="F84" s="116">
        <v>301.25</v>
      </c>
      <c r="G84">
        <v>39935</v>
      </c>
      <c r="H84" s="116"/>
      <c r="I84" s="116"/>
      <c r="L84" s="170">
        <v>44830</v>
      </c>
      <c r="M84" s="116">
        <v>301.14999999999998</v>
      </c>
      <c r="N84" s="116">
        <v>306.25</v>
      </c>
      <c r="O84" s="116">
        <v>287.8</v>
      </c>
      <c r="P84" s="116">
        <v>302.5</v>
      </c>
      <c r="Q84" s="116">
        <v>301.14999999999998</v>
      </c>
      <c r="R84">
        <v>266163</v>
      </c>
    </row>
    <row r="85" spans="1:18" x14ac:dyDescent="0.25">
      <c r="A85" s="170">
        <v>44831</v>
      </c>
      <c r="B85" s="116">
        <v>309.39999999999998</v>
      </c>
      <c r="C85" s="116">
        <v>303.8</v>
      </c>
      <c r="D85" s="116">
        <v>295.75</v>
      </c>
      <c r="E85" s="116">
        <v>302.05</v>
      </c>
      <c r="F85" s="116">
        <v>303.8</v>
      </c>
      <c r="G85">
        <v>21055</v>
      </c>
      <c r="H85" s="116"/>
      <c r="I85" s="116"/>
      <c r="L85" s="170">
        <v>44831</v>
      </c>
      <c r="M85" s="116">
        <v>304.64999999999998</v>
      </c>
      <c r="N85" s="116">
        <v>312.89999999999998</v>
      </c>
      <c r="O85" s="116">
        <v>295.5</v>
      </c>
      <c r="P85" s="116">
        <v>306.3</v>
      </c>
      <c r="Q85" s="116">
        <v>304.64999999999998</v>
      </c>
      <c r="R85">
        <v>116759</v>
      </c>
    </row>
    <row r="86" spans="1:18" x14ac:dyDescent="0.25">
      <c r="A86" s="170">
        <v>44832</v>
      </c>
      <c r="B86" s="116">
        <v>316.95</v>
      </c>
      <c r="C86" s="116">
        <v>312.2</v>
      </c>
      <c r="D86" s="116">
        <v>300.05</v>
      </c>
      <c r="E86" s="116">
        <v>309.95</v>
      </c>
      <c r="F86" s="116">
        <v>312.2</v>
      </c>
      <c r="G86">
        <v>42366</v>
      </c>
      <c r="H86" s="116"/>
      <c r="I86" s="116"/>
      <c r="L86" s="170">
        <v>44832</v>
      </c>
      <c r="M86" s="116">
        <v>312</v>
      </c>
      <c r="N86" s="116">
        <v>315.60000000000002</v>
      </c>
      <c r="O86" s="116">
        <v>300</v>
      </c>
      <c r="P86" s="116">
        <v>308</v>
      </c>
      <c r="Q86" s="116">
        <v>312</v>
      </c>
      <c r="R86">
        <v>239850</v>
      </c>
    </row>
    <row r="87" spans="1:18" x14ac:dyDescent="0.25">
      <c r="A87" s="170">
        <v>44833</v>
      </c>
      <c r="B87" s="116">
        <v>319.75</v>
      </c>
      <c r="C87" s="116">
        <v>310.75</v>
      </c>
      <c r="D87" s="116">
        <v>306.7</v>
      </c>
      <c r="E87" s="116">
        <v>319.75</v>
      </c>
      <c r="F87" s="116">
        <v>310.75</v>
      </c>
      <c r="G87">
        <v>15348</v>
      </c>
      <c r="H87" s="116"/>
      <c r="I87" s="116"/>
      <c r="L87" s="170">
        <v>44833</v>
      </c>
      <c r="M87" s="116">
        <v>310.25</v>
      </c>
      <c r="N87" s="116">
        <v>317.55</v>
      </c>
      <c r="O87" s="116">
        <v>307</v>
      </c>
      <c r="P87" s="116">
        <v>315.45</v>
      </c>
      <c r="Q87" s="116">
        <v>310.25</v>
      </c>
      <c r="R87">
        <v>96842</v>
      </c>
    </row>
    <row r="88" spans="1:18" x14ac:dyDescent="0.25">
      <c r="A88" s="170">
        <v>44834</v>
      </c>
      <c r="B88" s="116">
        <v>330</v>
      </c>
      <c r="C88" s="116">
        <v>325.10000000000002</v>
      </c>
      <c r="D88" s="116">
        <v>306.55</v>
      </c>
      <c r="E88" s="116">
        <v>308.95</v>
      </c>
      <c r="F88" s="116">
        <v>325.10000000000002</v>
      </c>
      <c r="G88">
        <v>59241</v>
      </c>
      <c r="H88" s="116"/>
      <c r="I88" s="116"/>
      <c r="L88" s="170">
        <v>44834</v>
      </c>
      <c r="M88" s="116">
        <v>325</v>
      </c>
      <c r="N88" s="116">
        <v>330.95</v>
      </c>
      <c r="O88" s="116">
        <v>305.5</v>
      </c>
      <c r="P88" s="116">
        <v>305.5</v>
      </c>
      <c r="Q88" s="116">
        <v>325</v>
      </c>
      <c r="R88">
        <v>269010</v>
      </c>
    </row>
    <row r="89" spans="1:18" x14ac:dyDescent="0.25">
      <c r="A89" s="170">
        <v>44837</v>
      </c>
      <c r="B89" s="116">
        <v>326</v>
      </c>
      <c r="C89" s="116">
        <v>308.75</v>
      </c>
      <c r="D89" s="116">
        <v>305.05</v>
      </c>
      <c r="E89" s="116">
        <v>320.35000000000002</v>
      </c>
      <c r="F89" s="116">
        <v>308.75</v>
      </c>
      <c r="G89">
        <v>27947</v>
      </c>
      <c r="H89" s="116"/>
      <c r="I89" s="116"/>
      <c r="L89" s="170">
        <v>44837</v>
      </c>
      <c r="M89" s="116">
        <v>308</v>
      </c>
      <c r="N89" s="116">
        <v>326</v>
      </c>
      <c r="O89" s="116">
        <v>306</v>
      </c>
      <c r="P89" s="116">
        <v>324</v>
      </c>
      <c r="Q89" s="116">
        <v>308</v>
      </c>
      <c r="R89">
        <v>134173</v>
      </c>
    </row>
    <row r="90" spans="1:18" x14ac:dyDescent="0.25">
      <c r="A90" s="170">
        <v>44838</v>
      </c>
      <c r="B90" s="116">
        <v>320.7</v>
      </c>
      <c r="C90" s="116">
        <v>315.60000000000002</v>
      </c>
      <c r="D90" s="116">
        <v>309.55</v>
      </c>
      <c r="E90" s="116">
        <v>312.60000000000002</v>
      </c>
      <c r="F90" s="116">
        <v>315.60000000000002</v>
      </c>
      <c r="G90">
        <v>38199</v>
      </c>
      <c r="H90" s="116"/>
      <c r="I90" s="116"/>
      <c r="L90" s="170">
        <v>44838</v>
      </c>
      <c r="M90" s="116">
        <v>315.39999999999998</v>
      </c>
      <c r="N90" s="116">
        <v>320.7</v>
      </c>
      <c r="O90" s="116">
        <v>309.89999999999998</v>
      </c>
      <c r="P90" s="116">
        <v>313</v>
      </c>
      <c r="Q90" s="116">
        <v>315.39999999999998</v>
      </c>
      <c r="R90">
        <v>149599</v>
      </c>
    </row>
    <row r="91" spans="1:18" x14ac:dyDescent="0.25">
      <c r="A91" s="170">
        <v>44840</v>
      </c>
      <c r="B91" s="116">
        <v>320.55</v>
      </c>
      <c r="C91" s="116">
        <v>315.55</v>
      </c>
      <c r="D91" s="116">
        <v>313.2</v>
      </c>
      <c r="E91" s="116">
        <v>316.14999999999998</v>
      </c>
      <c r="F91" s="116">
        <v>315.55</v>
      </c>
      <c r="G91">
        <v>14160</v>
      </c>
      <c r="H91" s="116"/>
      <c r="I91" s="116"/>
      <c r="L91" s="170">
        <v>44840</v>
      </c>
      <c r="M91" s="116">
        <v>315.64999999999998</v>
      </c>
      <c r="N91" s="116">
        <v>321.7</v>
      </c>
      <c r="O91" s="116">
        <v>313.85000000000002</v>
      </c>
      <c r="P91" s="116">
        <v>318.45</v>
      </c>
      <c r="Q91" s="116">
        <v>315.64999999999998</v>
      </c>
      <c r="R91">
        <v>125329</v>
      </c>
    </row>
    <row r="92" spans="1:18" x14ac:dyDescent="0.25">
      <c r="A92" s="170">
        <v>44841</v>
      </c>
      <c r="B92" s="116">
        <v>318.14999999999998</v>
      </c>
      <c r="C92" s="116">
        <v>313.45</v>
      </c>
      <c r="D92" s="116">
        <v>309.35000000000002</v>
      </c>
      <c r="E92" s="116">
        <v>309.35000000000002</v>
      </c>
      <c r="F92" s="116">
        <v>313.45</v>
      </c>
      <c r="G92">
        <v>9180</v>
      </c>
      <c r="H92" s="116"/>
      <c r="I92" s="116"/>
      <c r="L92" s="170">
        <v>44841</v>
      </c>
      <c r="M92" s="116">
        <v>312.8</v>
      </c>
      <c r="N92" s="116">
        <v>318.14999999999998</v>
      </c>
      <c r="O92" s="116">
        <v>310.2</v>
      </c>
      <c r="P92" s="116">
        <v>314.89999999999998</v>
      </c>
      <c r="Q92" s="116">
        <v>312.8</v>
      </c>
      <c r="R92">
        <v>73465</v>
      </c>
    </row>
    <row r="93" spans="1:18" x14ac:dyDescent="0.25">
      <c r="A93" s="170">
        <v>44844</v>
      </c>
      <c r="B93" s="116">
        <v>315</v>
      </c>
      <c r="C93" s="116">
        <v>311.05</v>
      </c>
      <c r="D93" s="116">
        <v>308.05</v>
      </c>
      <c r="E93" s="116">
        <v>311.55</v>
      </c>
      <c r="F93" s="116">
        <v>311.05</v>
      </c>
      <c r="G93">
        <v>12414</v>
      </c>
      <c r="H93" s="116"/>
      <c r="I93" s="116"/>
      <c r="L93" s="170">
        <v>44844</v>
      </c>
      <c r="M93" s="116">
        <v>311.2</v>
      </c>
      <c r="N93" s="116">
        <v>315.8</v>
      </c>
      <c r="O93" s="116">
        <v>308.45</v>
      </c>
      <c r="P93" s="116">
        <v>310.05</v>
      </c>
      <c r="Q93" s="116">
        <v>311.2</v>
      </c>
      <c r="R93">
        <v>63242</v>
      </c>
    </row>
    <row r="94" spans="1:18" x14ac:dyDescent="0.25">
      <c r="A94" s="170">
        <v>44845</v>
      </c>
      <c r="B94" s="116">
        <v>314.35000000000002</v>
      </c>
      <c r="C94" s="116">
        <v>308.35000000000002</v>
      </c>
      <c r="D94" s="116">
        <v>307</v>
      </c>
      <c r="E94" s="116">
        <v>311</v>
      </c>
      <c r="F94" s="116">
        <v>308.35000000000002</v>
      </c>
      <c r="G94">
        <v>4923</v>
      </c>
      <c r="H94" s="116"/>
      <c r="I94" s="116"/>
      <c r="L94" s="170">
        <v>44845</v>
      </c>
      <c r="M94" s="116">
        <v>308.95</v>
      </c>
      <c r="N94" s="116">
        <v>314.55</v>
      </c>
      <c r="O94" s="116">
        <v>306.55</v>
      </c>
      <c r="P94" s="116">
        <v>312</v>
      </c>
      <c r="Q94" s="116">
        <v>308.95</v>
      </c>
      <c r="R94">
        <v>53796</v>
      </c>
    </row>
    <row r="95" spans="1:18" x14ac:dyDescent="0.25">
      <c r="A95" s="170">
        <v>44846</v>
      </c>
      <c r="B95" s="116">
        <v>311.2</v>
      </c>
      <c r="C95" s="116">
        <v>309.39999999999998</v>
      </c>
      <c r="D95" s="116">
        <v>305</v>
      </c>
      <c r="E95" s="116">
        <v>305</v>
      </c>
      <c r="F95" s="116">
        <v>309.39999999999998</v>
      </c>
      <c r="G95">
        <v>8182</v>
      </c>
      <c r="H95" s="116"/>
      <c r="I95" s="116"/>
      <c r="L95" s="170">
        <v>44846</v>
      </c>
      <c r="M95" s="116">
        <v>309.39999999999998</v>
      </c>
      <c r="N95" s="116">
        <v>311.45</v>
      </c>
      <c r="O95" s="116">
        <v>306.05</v>
      </c>
      <c r="P95" s="116">
        <v>306.05</v>
      </c>
      <c r="Q95" s="116">
        <v>309.39999999999998</v>
      </c>
      <c r="R95">
        <v>53203</v>
      </c>
    </row>
    <row r="96" spans="1:18" x14ac:dyDescent="0.25">
      <c r="A96" s="170">
        <v>44847</v>
      </c>
      <c r="B96" s="116">
        <v>314.3</v>
      </c>
      <c r="C96" s="116">
        <v>310.14999999999998</v>
      </c>
      <c r="D96" s="116">
        <v>304.85000000000002</v>
      </c>
      <c r="E96" s="116">
        <v>305.14999999999998</v>
      </c>
      <c r="F96" s="116">
        <v>310.14999999999998</v>
      </c>
      <c r="G96">
        <v>21403</v>
      </c>
      <c r="H96" s="116"/>
      <c r="I96" s="116"/>
      <c r="L96" s="170">
        <v>44847</v>
      </c>
      <c r="M96" s="116">
        <v>311.14999999999998</v>
      </c>
      <c r="N96" s="116">
        <v>313.7</v>
      </c>
      <c r="O96" s="116">
        <v>305</v>
      </c>
      <c r="P96" s="116">
        <v>308.89999999999998</v>
      </c>
      <c r="Q96" s="116">
        <v>311.14999999999998</v>
      </c>
      <c r="R96">
        <v>87796</v>
      </c>
    </row>
    <row r="97" spans="1:18" x14ac:dyDescent="0.25">
      <c r="A97" s="170">
        <v>44848</v>
      </c>
      <c r="B97" s="116">
        <v>315.60000000000002</v>
      </c>
      <c r="C97" s="116">
        <v>310.10000000000002</v>
      </c>
      <c r="D97" s="116">
        <v>308.3</v>
      </c>
      <c r="E97" s="116">
        <v>310.14999999999998</v>
      </c>
      <c r="F97" s="116">
        <v>310.10000000000002</v>
      </c>
      <c r="G97">
        <v>6353</v>
      </c>
      <c r="H97" s="116"/>
      <c r="I97" s="116"/>
      <c r="L97" s="170">
        <v>44848</v>
      </c>
      <c r="M97" s="116">
        <v>309.75</v>
      </c>
      <c r="N97" s="116">
        <v>316.5</v>
      </c>
      <c r="O97" s="116">
        <v>308.60000000000002</v>
      </c>
      <c r="P97" s="116">
        <v>315</v>
      </c>
      <c r="Q97" s="116">
        <v>309.75</v>
      </c>
      <c r="R97">
        <v>47777</v>
      </c>
    </row>
    <row r="98" spans="1:18" x14ac:dyDescent="0.25">
      <c r="A98" s="170">
        <v>44851</v>
      </c>
      <c r="B98" s="116">
        <v>315</v>
      </c>
      <c r="C98" s="116">
        <v>309.55</v>
      </c>
      <c r="D98" s="116">
        <v>306.8</v>
      </c>
      <c r="E98" s="116">
        <v>315</v>
      </c>
      <c r="F98" s="116">
        <v>309.55</v>
      </c>
      <c r="G98">
        <v>14973</v>
      </c>
      <c r="H98" s="116"/>
      <c r="I98" s="116"/>
      <c r="L98" s="170">
        <v>44851</v>
      </c>
      <c r="M98" s="116">
        <v>309.2</v>
      </c>
      <c r="N98" s="116">
        <v>314.55</v>
      </c>
      <c r="O98" s="116">
        <v>306</v>
      </c>
      <c r="P98" s="116">
        <v>310</v>
      </c>
      <c r="Q98" s="116">
        <v>309.2</v>
      </c>
      <c r="R98">
        <v>45534</v>
      </c>
    </row>
    <row r="99" spans="1:18" x14ac:dyDescent="0.25">
      <c r="A99" s="170">
        <v>44852</v>
      </c>
      <c r="B99" s="116">
        <v>316.45</v>
      </c>
      <c r="C99" s="116">
        <v>314.05</v>
      </c>
      <c r="D99" s="116">
        <v>305.05</v>
      </c>
      <c r="E99" s="116">
        <v>305.05</v>
      </c>
      <c r="F99" s="116">
        <v>314.05</v>
      </c>
      <c r="G99">
        <v>8792</v>
      </c>
      <c r="H99" s="116"/>
      <c r="I99" s="116"/>
      <c r="L99" s="170">
        <v>44852</v>
      </c>
      <c r="M99" s="116">
        <v>314.39999999999998</v>
      </c>
      <c r="N99" s="116">
        <v>316.5</v>
      </c>
      <c r="O99" s="116">
        <v>310</v>
      </c>
      <c r="P99" s="116">
        <v>310</v>
      </c>
      <c r="Q99" s="116">
        <v>314.39999999999998</v>
      </c>
      <c r="R99">
        <v>67515</v>
      </c>
    </row>
    <row r="100" spans="1:18" x14ac:dyDescent="0.25">
      <c r="A100" s="170">
        <v>44853</v>
      </c>
      <c r="B100" s="116">
        <v>328.3</v>
      </c>
      <c r="C100" s="116">
        <v>321.39999999999998</v>
      </c>
      <c r="D100" s="116">
        <v>315</v>
      </c>
      <c r="E100" s="116">
        <v>315</v>
      </c>
      <c r="F100" s="116">
        <v>321.39999999999998</v>
      </c>
      <c r="G100">
        <v>15248</v>
      </c>
      <c r="H100" s="116"/>
      <c r="I100" s="116"/>
      <c r="L100" s="170">
        <v>44853</v>
      </c>
      <c r="M100" s="116">
        <v>322.10000000000002</v>
      </c>
      <c r="N100" s="116">
        <v>328.65</v>
      </c>
      <c r="O100" s="116">
        <v>314.39999999999998</v>
      </c>
      <c r="P100" s="116">
        <v>314.39999999999998</v>
      </c>
      <c r="Q100" s="116">
        <v>322.10000000000002</v>
      </c>
      <c r="R100">
        <v>192268</v>
      </c>
    </row>
    <row r="101" spans="1:18" x14ac:dyDescent="0.25">
      <c r="A101" s="170">
        <v>44854</v>
      </c>
      <c r="B101" s="116">
        <v>337.9</v>
      </c>
      <c r="C101" s="116">
        <v>333.7</v>
      </c>
      <c r="D101" s="116">
        <v>326.75</v>
      </c>
      <c r="E101" s="116">
        <v>334.9</v>
      </c>
      <c r="F101" s="116">
        <v>333.7</v>
      </c>
      <c r="G101">
        <v>34283</v>
      </c>
      <c r="H101" s="116"/>
      <c r="I101" s="116"/>
      <c r="L101" s="170">
        <v>44854</v>
      </c>
      <c r="M101" s="116">
        <v>333.6</v>
      </c>
      <c r="N101" s="116">
        <v>339</v>
      </c>
      <c r="O101" s="116">
        <v>326.10000000000002</v>
      </c>
      <c r="P101" s="116">
        <v>339</v>
      </c>
      <c r="Q101" s="116">
        <v>333.6</v>
      </c>
      <c r="R101">
        <v>540715</v>
      </c>
    </row>
    <row r="102" spans="1:18" x14ac:dyDescent="0.25">
      <c r="A102" s="170">
        <v>44855</v>
      </c>
      <c r="B102" s="116">
        <v>336</v>
      </c>
      <c r="C102" s="116">
        <v>323.7</v>
      </c>
      <c r="D102" s="116">
        <v>322.2</v>
      </c>
      <c r="E102" s="116">
        <v>335.75</v>
      </c>
      <c r="F102" s="116">
        <v>323.7</v>
      </c>
      <c r="G102">
        <v>37851</v>
      </c>
      <c r="H102" s="116"/>
      <c r="I102" s="116"/>
      <c r="L102" s="170">
        <v>44855</v>
      </c>
      <c r="M102" s="116">
        <v>323.89999999999998</v>
      </c>
      <c r="N102" s="116">
        <v>336.45</v>
      </c>
      <c r="O102" s="116">
        <v>322.5</v>
      </c>
      <c r="P102" s="116">
        <v>335.25</v>
      </c>
      <c r="Q102" s="116">
        <v>323.89999999999998</v>
      </c>
      <c r="R102">
        <v>141115</v>
      </c>
    </row>
    <row r="103" spans="1:18" x14ac:dyDescent="0.25">
      <c r="A103" s="170">
        <v>44858</v>
      </c>
      <c r="B103" s="116">
        <v>332.45</v>
      </c>
      <c r="C103" s="116">
        <v>329.2</v>
      </c>
      <c r="D103" s="116">
        <v>323.89999999999998</v>
      </c>
      <c r="E103" s="116">
        <v>323.89999999999998</v>
      </c>
      <c r="F103" s="116">
        <v>329.2</v>
      </c>
      <c r="G103">
        <v>4310</v>
      </c>
      <c r="H103" s="116"/>
      <c r="I103" s="116"/>
      <c r="L103" s="170">
        <v>44858</v>
      </c>
      <c r="M103" s="116">
        <v>329.55</v>
      </c>
      <c r="N103" s="116">
        <v>332.2</v>
      </c>
      <c r="O103" s="116">
        <v>325</v>
      </c>
      <c r="P103" s="116">
        <v>329.6</v>
      </c>
      <c r="Q103" s="116">
        <v>329.55</v>
      </c>
      <c r="R103">
        <v>52547</v>
      </c>
    </row>
    <row r="104" spans="1:18" x14ac:dyDescent="0.25">
      <c r="A104" s="170">
        <v>44859</v>
      </c>
      <c r="B104" s="116">
        <v>327.95</v>
      </c>
      <c r="C104" s="116">
        <v>322.64999999999998</v>
      </c>
      <c r="D104" s="116">
        <v>320</v>
      </c>
      <c r="E104" s="116">
        <v>326</v>
      </c>
      <c r="F104" s="116">
        <v>322.64999999999998</v>
      </c>
      <c r="G104">
        <v>9249</v>
      </c>
      <c r="H104" s="116"/>
      <c r="I104" s="116"/>
      <c r="L104" s="170">
        <v>44859</v>
      </c>
      <c r="M104" s="116">
        <v>322.85000000000002</v>
      </c>
      <c r="N104" s="116">
        <v>328.75</v>
      </c>
      <c r="O104" s="116">
        <v>319.75</v>
      </c>
      <c r="P104" s="116">
        <v>325</v>
      </c>
      <c r="Q104" s="116">
        <v>322.85000000000002</v>
      </c>
      <c r="R104">
        <v>85807</v>
      </c>
    </row>
    <row r="105" spans="1:18" x14ac:dyDescent="0.25">
      <c r="A105" s="170">
        <v>44861</v>
      </c>
      <c r="B105" s="116">
        <v>325.89999999999998</v>
      </c>
      <c r="C105" s="116">
        <v>319.7</v>
      </c>
      <c r="D105" s="116">
        <v>318.7</v>
      </c>
      <c r="E105" s="116">
        <v>324.35000000000002</v>
      </c>
      <c r="F105" s="116">
        <v>319.7</v>
      </c>
      <c r="G105">
        <v>5215</v>
      </c>
      <c r="H105" s="116"/>
      <c r="I105" s="116"/>
      <c r="L105" s="170">
        <v>44861</v>
      </c>
      <c r="M105" s="116">
        <v>320</v>
      </c>
      <c r="N105" s="116">
        <v>325.95</v>
      </c>
      <c r="O105" s="116">
        <v>318.55</v>
      </c>
      <c r="P105" s="116">
        <v>324.95</v>
      </c>
      <c r="Q105" s="116">
        <v>320</v>
      </c>
      <c r="R105">
        <v>88957</v>
      </c>
    </row>
    <row r="106" spans="1:18" x14ac:dyDescent="0.25">
      <c r="A106" s="170">
        <v>44862</v>
      </c>
      <c r="B106" s="116">
        <v>323.7</v>
      </c>
      <c r="C106" s="116">
        <v>319.05</v>
      </c>
      <c r="D106" s="116">
        <v>315.25</v>
      </c>
      <c r="E106" s="116">
        <v>315.25</v>
      </c>
      <c r="F106" s="116">
        <v>319.05</v>
      </c>
      <c r="G106">
        <v>4734</v>
      </c>
      <c r="H106" s="116"/>
      <c r="I106" s="116"/>
      <c r="L106" s="170">
        <v>44862</v>
      </c>
      <c r="M106" s="116">
        <v>319.55</v>
      </c>
      <c r="N106" s="116">
        <v>323.64999999999998</v>
      </c>
      <c r="O106" s="116">
        <v>318</v>
      </c>
      <c r="P106" s="116">
        <v>321.05</v>
      </c>
      <c r="Q106" s="116">
        <v>319.55</v>
      </c>
      <c r="R106">
        <v>90156</v>
      </c>
    </row>
    <row r="107" spans="1:18" x14ac:dyDescent="0.25">
      <c r="A107" s="170">
        <v>44865</v>
      </c>
      <c r="B107" s="116">
        <v>320.75</v>
      </c>
      <c r="C107" s="116">
        <v>319</v>
      </c>
      <c r="D107" s="116">
        <v>311.3</v>
      </c>
      <c r="E107" s="116">
        <v>318.05</v>
      </c>
      <c r="F107" s="116">
        <v>319</v>
      </c>
      <c r="G107">
        <v>10060</v>
      </c>
      <c r="H107" s="116"/>
      <c r="I107" s="116"/>
      <c r="L107" s="170">
        <v>44865</v>
      </c>
      <c r="M107" s="116">
        <v>319.45</v>
      </c>
      <c r="N107" s="116">
        <v>322.8</v>
      </c>
      <c r="O107" s="116">
        <v>317.05</v>
      </c>
      <c r="P107" s="116">
        <v>319.60000000000002</v>
      </c>
      <c r="Q107" s="116">
        <v>319.45</v>
      </c>
      <c r="R107">
        <v>68494</v>
      </c>
    </row>
    <row r="108" spans="1:18" x14ac:dyDescent="0.25">
      <c r="A108" s="170">
        <v>44866</v>
      </c>
      <c r="B108" s="116">
        <v>357.15</v>
      </c>
      <c r="C108" s="116">
        <v>339.75</v>
      </c>
      <c r="D108" s="116">
        <v>326</v>
      </c>
      <c r="E108" s="116">
        <v>326.10000000000002</v>
      </c>
      <c r="F108" s="116">
        <v>339.75</v>
      </c>
      <c r="G108">
        <v>63934</v>
      </c>
      <c r="H108" s="116"/>
      <c r="I108" s="116"/>
      <c r="L108" s="170">
        <v>44866</v>
      </c>
      <c r="M108" s="116">
        <v>340.15</v>
      </c>
      <c r="N108" s="116">
        <v>357.7</v>
      </c>
      <c r="O108" s="116">
        <v>324.45</v>
      </c>
      <c r="P108" s="116">
        <v>329.7</v>
      </c>
      <c r="Q108" s="116">
        <v>340.15</v>
      </c>
      <c r="R108">
        <v>1695205</v>
      </c>
    </row>
    <row r="109" spans="1:18" x14ac:dyDescent="0.25">
      <c r="A109" s="170">
        <v>44867</v>
      </c>
      <c r="B109" s="116">
        <v>350</v>
      </c>
      <c r="C109" s="116">
        <v>337.6</v>
      </c>
      <c r="D109" s="116">
        <v>334.9</v>
      </c>
      <c r="E109" s="116">
        <v>340.25</v>
      </c>
      <c r="F109" s="116">
        <v>337.6</v>
      </c>
      <c r="G109">
        <v>16221</v>
      </c>
      <c r="H109" s="116"/>
      <c r="I109" s="116"/>
      <c r="L109" s="170">
        <v>44867</v>
      </c>
      <c r="M109" s="116">
        <v>336.85</v>
      </c>
      <c r="N109" s="116">
        <v>350</v>
      </c>
      <c r="O109" s="116">
        <v>334.5</v>
      </c>
      <c r="P109" s="116">
        <v>342.5</v>
      </c>
      <c r="Q109" s="116">
        <v>336.85</v>
      </c>
      <c r="R109">
        <v>369284</v>
      </c>
    </row>
    <row r="110" spans="1:18" x14ac:dyDescent="0.25">
      <c r="A110" s="170">
        <v>44868</v>
      </c>
      <c r="B110" s="116">
        <v>341.5</v>
      </c>
      <c r="C110" s="116">
        <v>338.4</v>
      </c>
      <c r="D110" s="116">
        <v>333.05</v>
      </c>
      <c r="E110" s="116">
        <v>333.25</v>
      </c>
      <c r="F110" s="116">
        <v>338.4</v>
      </c>
      <c r="G110">
        <v>11667</v>
      </c>
      <c r="H110" s="116"/>
      <c r="I110" s="116"/>
      <c r="L110" s="170">
        <v>44868</v>
      </c>
      <c r="M110" s="116">
        <v>338.45</v>
      </c>
      <c r="N110" s="116">
        <v>341.55</v>
      </c>
      <c r="O110" s="116">
        <v>331.85</v>
      </c>
      <c r="P110" s="116">
        <v>334.95</v>
      </c>
      <c r="Q110" s="116">
        <v>338.45</v>
      </c>
      <c r="R110">
        <v>142957</v>
      </c>
    </row>
    <row r="111" spans="1:18" x14ac:dyDescent="0.25">
      <c r="A111" s="170">
        <v>44869</v>
      </c>
      <c r="B111" s="116">
        <v>343.25</v>
      </c>
      <c r="C111" s="116">
        <v>338.9</v>
      </c>
      <c r="D111" s="116">
        <v>333</v>
      </c>
      <c r="E111" s="116">
        <v>340.25</v>
      </c>
      <c r="F111" s="116">
        <v>338.9</v>
      </c>
      <c r="G111">
        <v>7835</v>
      </c>
      <c r="H111" s="116"/>
      <c r="I111" s="116"/>
      <c r="L111" s="170">
        <v>44869</v>
      </c>
      <c r="M111" s="116">
        <v>339.8</v>
      </c>
      <c r="N111" s="116">
        <v>342.7</v>
      </c>
      <c r="O111" s="116">
        <v>332.5</v>
      </c>
      <c r="P111" s="116">
        <v>342.65</v>
      </c>
      <c r="Q111" s="116">
        <v>339.8</v>
      </c>
      <c r="R111">
        <v>110667</v>
      </c>
    </row>
    <row r="112" spans="1:18" x14ac:dyDescent="0.25">
      <c r="A112" s="170">
        <v>44872</v>
      </c>
      <c r="B112" s="116">
        <v>345</v>
      </c>
      <c r="C112" s="116">
        <v>333.45</v>
      </c>
      <c r="D112" s="116">
        <v>331.6</v>
      </c>
      <c r="E112" s="116">
        <v>340.45</v>
      </c>
      <c r="F112" s="116">
        <v>333.45</v>
      </c>
      <c r="G112">
        <v>6938</v>
      </c>
      <c r="H112" s="116"/>
      <c r="I112" s="116"/>
      <c r="L112" s="170">
        <v>44872</v>
      </c>
      <c r="M112" s="116">
        <v>333.15</v>
      </c>
      <c r="N112" s="116">
        <v>345.65</v>
      </c>
      <c r="O112" s="116">
        <v>331.5</v>
      </c>
      <c r="P112" s="116">
        <v>342.8</v>
      </c>
      <c r="Q112" s="116">
        <v>333.15</v>
      </c>
      <c r="R112">
        <v>144654</v>
      </c>
    </row>
    <row r="113" spans="1:18" x14ac:dyDescent="0.25">
      <c r="A113" s="170">
        <v>44874</v>
      </c>
      <c r="B113" s="116">
        <v>342</v>
      </c>
      <c r="C113" s="116">
        <v>332.75</v>
      </c>
      <c r="D113" s="116">
        <v>330.05</v>
      </c>
      <c r="E113" s="116">
        <v>330.1</v>
      </c>
      <c r="F113" s="116">
        <v>332.75</v>
      </c>
      <c r="G113">
        <v>19814</v>
      </c>
      <c r="H113" s="116"/>
      <c r="I113" s="116"/>
      <c r="L113" s="170">
        <v>44874</v>
      </c>
      <c r="M113" s="116">
        <v>333.6</v>
      </c>
      <c r="N113" s="116">
        <v>342</v>
      </c>
      <c r="O113" s="116">
        <v>330</v>
      </c>
      <c r="P113" s="116">
        <v>333.95</v>
      </c>
      <c r="Q113" s="116">
        <v>333.6</v>
      </c>
      <c r="R113">
        <v>125685</v>
      </c>
    </row>
    <row r="114" spans="1:18" x14ac:dyDescent="0.25">
      <c r="A114" s="170">
        <v>44875</v>
      </c>
      <c r="B114" s="116">
        <v>337.7</v>
      </c>
      <c r="C114" s="116">
        <v>328.1</v>
      </c>
      <c r="D114" s="116">
        <v>326</v>
      </c>
      <c r="E114" s="116">
        <v>337.7</v>
      </c>
      <c r="F114" s="116">
        <v>328.1</v>
      </c>
      <c r="G114">
        <v>5814</v>
      </c>
      <c r="H114" s="116"/>
      <c r="I114" s="116"/>
      <c r="L114" s="170">
        <v>44875</v>
      </c>
      <c r="M114" s="116">
        <v>327.55</v>
      </c>
      <c r="N114" s="116">
        <v>335.5</v>
      </c>
      <c r="O114" s="116">
        <v>325.14999999999998</v>
      </c>
      <c r="P114" s="116">
        <v>334.9</v>
      </c>
      <c r="Q114" s="116">
        <v>327.55</v>
      </c>
      <c r="R114">
        <v>71576</v>
      </c>
    </row>
    <row r="115" spans="1:18" x14ac:dyDescent="0.25">
      <c r="A115" s="170">
        <v>44876</v>
      </c>
      <c r="B115" s="116">
        <v>331.7</v>
      </c>
      <c r="C115" s="116">
        <v>325.25</v>
      </c>
      <c r="D115" s="116">
        <v>324</v>
      </c>
      <c r="E115" s="116">
        <v>330.9</v>
      </c>
      <c r="F115" s="116">
        <v>325.25</v>
      </c>
      <c r="G115">
        <v>17871</v>
      </c>
      <c r="H115" s="116"/>
      <c r="I115" s="116"/>
      <c r="L115" s="170">
        <v>44876</v>
      </c>
      <c r="M115" s="116">
        <v>325.45</v>
      </c>
      <c r="N115" s="116">
        <v>333.8</v>
      </c>
      <c r="O115" s="116">
        <v>323.05</v>
      </c>
      <c r="P115" s="116">
        <v>333.8</v>
      </c>
      <c r="Q115" s="116">
        <v>325.45</v>
      </c>
      <c r="R115">
        <v>62407</v>
      </c>
    </row>
    <row r="116" spans="1:18" x14ac:dyDescent="0.25">
      <c r="A116" s="170">
        <v>44879</v>
      </c>
      <c r="B116" s="116">
        <v>335</v>
      </c>
      <c r="C116" s="116">
        <v>331.1</v>
      </c>
      <c r="D116" s="116">
        <v>325.5</v>
      </c>
      <c r="E116" s="116">
        <v>327.35000000000002</v>
      </c>
      <c r="F116" s="116">
        <v>331.1</v>
      </c>
      <c r="G116">
        <v>6500</v>
      </c>
      <c r="H116" s="116"/>
      <c r="I116" s="116"/>
      <c r="L116" s="170">
        <v>44879</v>
      </c>
      <c r="M116" s="116">
        <v>331.65</v>
      </c>
      <c r="N116" s="116">
        <v>334.8</v>
      </c>
      <c r="O116" s="116">
        <v>325.45</v>
      </c>
      <c r="P116" s="116">
        <v>326.8</v>
      </c>
      <c r="Q116" s="116">
        <v>331.65</v>
      </c>
      <c r="R116">
        <v>96478</v>
      </c>
    </row>
    <row r="117" spans="1:18" x14ac:dyDescent="0.25">
      <c r="A117" s="170">
        <v>44880</v>
      </c>
      <c r="B117" s="116">
        <v>333.05</v>
      </c>
      <c r="C117" s="116">
        <v>330.95</v>
      </c>
      <c r="D117" s="116">
        <v>329.05</v>
      </c>
      <c r="E117" s="116">
        <v>329.05</v>
      </c>
      <c r="F117" s="116">
        <v>330.95</v>
      </c>
      <c r="G117">
        <v>3318</v>
      </c>
      <c r="H117" s="116"/>
      <c r="I117" s="116"/>
      <c r="L117" s="170">
        <v>44880</v>
      </c>
      <c r="M117" s="116">
        <v>330.8</v>
      </c>
      <c r="N117" s="116">
        <v>333.3</v>
      </c>
      <c r="O117" s="116">
        <v>329.9</v>
      </c>
      <c r="P117" s="116">
        <v>333.3</v>
      </c>
      <c r="Q117" s="116">
        <v>330.8</v>
      </c>
      <c r="R117">
        <v>42170</v>
      </c>
    </row>
    <row r="118" spans="1:18" x14ac:dyDescent="0.25">
      <c r="A118" s="170">
        <v>44881</v>
      </c>
      <c r="B118" s="116">
        <v>332.8</v>
      </c>
      <c r="C118" s="116">
        <v>329.1</v>
      </c>
      <c r="D118" s="116">
        <v>326.89999999999998</v>
      </c>
      <c r="E118" s="116">
        <v>329.05</v>
      </c>
      <c r="F118" s="116">
        <v>329.1</v>
      </c>
      <c r="G118">
        <v>13605</v>
      </c>
      <c r="H118" s="116"/>
      <c r="I118" s="116"/>
      <c r="L118" s="170">
        <v>44881</v>
      </c>
      <c r="M118" s="116">
        <v>329.6</v>
      </c>
      <c r="N118" s="116">
        <v>332.9</v>
      </c>
      <c r="O118" s="116">
        <v>327.05</v>
      </c>
      <c r="P118" s="116">
        <v>332.9</v>
      </c>
      <c r="Q118" s="116">
        <v>329.6</v>
      </c>
      <c r="R118">
        <v>78590</v>
      </c>
    </row>
    <row r="119" spans="1:18" x14ac:dyDescent="0.25">
      <c r="A119" s="170">
        <v>44882</v>
      </c>
      <c r="B119" s="116">
        <v>330.25</v>
      </c>
      <c r="C119" s="116">
        <v>322.95</v>
      </c>
      <c r="D119" s="116">
        <v>321.89999999999998</v>
      </c>
      <c r="E119" s="116">
        <v>325.45</v>
      </c>
      <c r="F119" s="116">
        <v>322.95</v>
      </c>
      <c r="G119">
        <v>4897</v>
      </c>
      <c r="H119" s="116"/>
      <c r="I119" s="116"/>
      <c r="L119" s="170">
        <v>44882</v>
      </c>
      <c r="M119" s="116">
        <v>325</v>
      </c>
      <c r="N119" s="116">
        <v>330.65</v>
      </c>
      <c r="O119" s="116">
        <v>321</v>
      </c>
      <c r="P119" s="116">
        <v>330.65</v>
      </c>
      <c r="Q119" s="116">
        <v>325</v>
      </c>
      <c r="R119">
        <v>50846</v>
      </c>
    </row>
    <row r="120" spans="1:18" x14ac:dyDescent="0.25">
      <c r="A120" s="170">
        <v>44883</v>
      </c>
      <c r="B120" s="116">
        <v>328.75</v>
      </c>
      <c r="C120" s="116">
        <v>313.35000000000002</v>
      </c>
      <c r="D120" s="116">
        <v>311.14999999999998</v>
      </c>
      <c r="E120" s="116">
        <v>324.10000000000002</v>
      </c>
      <c r="F120" s="116">
        <v>313.35000000000002</v>
      </c>
      <c r="G120">
        <v>4828</v>
      </c>
      <c r="H120" s="116"/>
      <c r="I120" s="116"/>
      <c r="L120" s="170">
        <v>44883</v>
      </c>
      <c r="M120" s="116">
        <v>313.35000000000002</v>
      </c>
      <c r="N120" s="116">
        <v>328.7</v>
      </c>
      <c r="O120" s="116">
        <v>310.7</v>
      </c>
      <c r="P120" s="116">
        <v>327.5</v>
      </c>
      <c r="Q120" s="116">
        <v>313.35000000000002</v>
      </c>
      <c r="R120">
        <v>108522</v>
      </c>
    </row>
    <row r="121" spans="1:18" x14ac:dyDescent="0.25">
      <c r="A121" s="170">
        <v>44886</v>
      </c>
      <c r="B121" s="116">
        <v>312.85000000000002</v>
      </c>
      <c r="C121" s="116">
        <v>306.25</v>
      </c>
      <c r="D121" s="116">
        <v>303</v>
      </c>
      <c r="E121" s="116">
        <v>312.05</v>
      </c>
      <c r="F121" s="116">
        <v>306.25</v>
      </c>
      <c r="G121">
        <v>17596</v>
      </c>
      <c r="H121" s="116"/>
      <c r="I121" s="116"/>
      <c r="L121" s="170">
        <v>44886</v>
      </c>
      <c r="M121" s="116">
        <v>305.3</v>
      </c>
      <c r="N121" s="116">
        <v>315.55</v>
      </c>
      <c r="O121" s="116">
        <v>301.14999999999998</v>
      </c>
      <c r="P121" s="116">
        <v>314.05</v>
      </c>
      <c r="Q121" s="116">
        <v>305.3</v>
      </c>
      <c r="R121">
        <v>74654</v>
      </c>
    </row>
    <row r="122" spans="1:18" x14ac:dyDescent="0.25">
      <c r="A122" s="170">
        <v>44887</v>
      </c>
      <c r="B122" s="116">
        <v>314.89999999999998</v>
      </c>
      <c r="C122" s="116">
        <v>312.5</v>
      </c>
      <c r="D122" s="116">
        <v>307.7</v>
      </c>
      <c r="E122" s="116">
        <v>309.95</v>
      </c>
      <c r="F122" s="116">
        <v>312.5</v>
      </c>
      <c r="G122">
        <v>12598</v>
      </c>
      <c r="H122" s="116"/>
      <c r="I122" s="116"/>
      <c r="L122" s="170">
        <v>44887</v>
      </c>
      <c r="M122" s="116">
        <v>312.5</v>
      </c>
      <c r="N122" s="116">
        <v>314.64999999999998</v>
      </c>
      <c r="O122" s="116">
        <v>307.25</v>
      </c>
      <c r="P122" s="116">
        <v>314.64999999999998</v>
      </c>
      <c r="Q122" s="116">
        <v>312.5</v>
      </c>
      <c r="R122">
        <v>48890</v>
      </c>
    </row>
    <row r="123" spans="1:18" x14ac:dyDescent="0.25">
      <c r="A123" s="170">
        <v>44888</v>
      </c>
      <c r="B123" s="116">
        <v>315</v>
      </c>
      <c r="C123" s="116">
        <v>306.14999999999998</v>
      </c>
      <c r="D123" s="116">
        <v>304.25</v>
      </c>
      <c r="E123" s="116">
        <v>310.3</v>
      </c>
      <c r="F123" s="116">
        <v>306.14999999999998</v>
      </c>
      <c r="G123">
        <v>11550</v>
      </c>
      <c r="H123" s="116"/>
      <c r="I123" s="116"/>
      <c r="L123" s="170">
        <v>44888</v>
      </c>
      <c r="M123" s="116">
        <v>305.85000000000002</v>
      </c>
      <c r="N123" s="116">
        <v>314.89999999999998</v>
      </c>
      <c r="O123" s="116">
        <v>304</v>
      </c>
      <c r="P123" s="116">
        <v>313.95</v>
      </c>
      <c r="Q123" s="116">
        <v>305.85000000000002</v>
      </c>
      <c r="R123">
        <v>64366</v>
      </c>
    </row>
    <row r="124" spans="1:18" x14ac:dyDescent="0.25">
      <c r="A124" s="170">
        <v>44889</v>
      </c>
      <c r="B124" s="116">
        <v>309.85000000000002</v>
      </c>
      <c r="C124" s="116">
        <v>306.7</v>
      </c>
      <c r="D124" s="116">
        <v>302.5</v>
      </c>
      <c r="E124" s="116">
        <v>306.05</v>
      </c>
      <c r="F124" s="116">
        <v>306.7</v>
      </c>
      <c r="G124">
        <v>10810</v>
      </c>
      <c r="H124" s="116"/>
      <c r="I124" s="116"/>
      <c r="L124" s="170">
        <v>44889</v>
      </c>
      <c r="M124" s="116">
        <v>306.45</v>
      </c>
      <c r="N124" s="116">
        <v>309.64999999999998</v>
      </c>
      <c r="O124" s="116">
        <v>301.55</v>
      </c>
      <c r="P124" s="116">
        <v>307</v>
      </c>
      <c r="Q124" s="116">
        <v>306.45</v>
      </c>
      <c r="R124">
        <v>69889</v>
      </c>
    </row>
    <row r="125" spans="1:18" x14ac:dyDescent="0.25">
      <c r="A125" s="170">
        <v>44890</v>
      </c>
      <c r="B125" s="116">
        <v>316.89999999999998</v>
      </c>
      <c r="C125" s="116">
        <v>312.64999999999998</v>
      </c>
      <c r="D125" s="116">
        <v>306.05</v>
      </c>
      <c r="E125" s="116">
        <v>308</v>
      </c>
      <c r="F125" s="116">
        <v>312.64999999999998</v>
      </c>
      <c r="G125">
        <v>9181</v>
      </c>
      <c r="H125" s="116"/>
      <c r="I125" s="116"/>
      <c r="L125" s="170">
        <v>44890</v>
      </c>
      <c r="M125" s="116">
        <v>311</v>
      </c>
      <c r="N125" s="116">
        <v>316.8</v>
      </c>
      <c r="O125" s="116">
        <v>306</v>
      </c>
      <c r="P125" s="116">
        <v>308.2</v>
      </c>
      <c r="Q125" s="116">
        <v>311</v>
      </c>
      <c r="R125">
        <v>86376</v>
      </c>
    </row>
    <row r="126" spans="1:18" x14ac:dyDescent="0.25">
      <c r="A126" s="170">
        <v>44893</v>
      </c>
      <c r="B126" s="116">
        <v>312.8</v>
      </c>
      <c r="C126" s="116">
        <v>309.55</v>
      </c>
      <c r="D126" s="116">
        <v>306.35000000000002</v>
      </c>
      <c r="E126" s="116">
        <v>310.05</v>
      </c>
      <c r="F126" s="116">
        <v>309.55</v>
      </c>
      <c r="G126">
        <v>11381</v>
      </c>
      <c r="H126" s="116"/>
      <c r="I126" s="116"/>
      <c r="L126" s="170">
        <v>44893</v>
      </c>
      <c r="M126" s="116">
        <v>309.3</v>
      </c>
      <c r="N126" s="116">
        <v>313</v>
      </c>
      <c r="O126" s="116">
        <v>306.10000000000002</v>
      </c>
      <c r="P126" s="116">
        <v>311</v>
      </c>
      <c r="Q126" s="116">
        <v>309.3</v>
      </c>
      <c r="R126">
        <v>63122</v>
      </c>
    </row>
    <row r="127" spans="1:18" x14ac:dyDescent="0.25">
      <c r="A127" s="170">
        <v>44894</v>
      </c>
      <c r="B127" s="116">
        <v>310.75</v>
      </c>
      <c r="C127" s="116">
        <v>307.39999999999998</v>
      </c>
      <c r="D127" s="116">
        <v>305.5</v>
      </c>
      <c r="E127" s="116">
        <v>310.55</v>
      </c>
      <c r="F127" s="116">
        <v>307.39999999999998</v>
      </c>
      <c r="G127">
        <v>7974</v>
      </c>
      <c r="H127" s="116"/>
      <c r="I127" s="116"/>
      <c r="L127" s="170">
        <v>44894</v>
      </c>
      <c r="M127" s="116">
        <v>307.2</v>
      </c>
      <c r="N127" s="116">
        <v>311.8</v>
      </c>
      <c r="O127" s="116">
        <v>306</v>
      </c>
      <c r="P127" s="116">
        <v>311</v>
      </c>
      <c r="Q127" s="116">
        <v>307.2</v>
      </c>
      <c r="R127">
        <v>54936</v>
      </c>
    </row>
    <row r="128" spans="1:18" x14ac:dyDescent="0.25">
      <c r="A128" s="170">
        <v>44895</v>
      </c>
      <c r="B128" s="116">
        <v>313.75</v>
      </c>
      <c r="C128" s="116">
        <v>309.05</v>
      </c>
      <c r="D128" s="116">
        <v>304.8</v>
      </c>
      <c r="E128" s="116">
        <v>307.55</v>
      </c>
      <c r="F128" s="116">
        <v>309.05</v>
      </c>
      <c r="G128">
        <v>13069</v>
      </c>
      <c r="H128" s="116"/>
      <c r="I128" s="116"/>
      <c r="L128" s="170">
        <v>44895</v>
      </c>
      <c r="M128" s="116">
        <v>309.10000000000002</v>
      </c>
      <c r="N128" s="116">
        <v>314.10000000000002</v>
      </c>
      <c r="O128" s="116">
        <v>307</v>
      </c>
      <c r="P128" s="116">
        <v>308.8</v>
      </c>
      <c r="Q128" s="116">
        <v>309.10000000000002</v>
      </c>
      <c r="R128">
        <v>108062</v>
      </c>
    </row>
    <row r="129" spans="1:18" x14ac:dyDescent="0.25">
      <c r="A129" s="170">
        <v>44896</v>
      </c>
      <c r="B129" s="116">
        <v>311.8</v>
      </c>
      <c r="C129" s="116">
        <v>308.35000000000002</v>
      </c>
      <c r="D129" s="116">
        <v>302.95</v>
      </c>
      <c r="E129" s="116">
        <v>302.95</v>
      </c>
      <c r="F129" s="116">
        <v>308.35000000000002</v>
      </c>
      <c r="G129">
        <v>6152</v>
      </c>
      <c r="H129" s="116"/>
      <c r="I129" s="116"/>
      <c r="L129" s="170">
        <v>44896</v>
      </c>
      <c r="M129" s="116">
        <v>308.3</v>
      </c>
      <c r="N129" s="116">
        <v>312.05</v>
      </c>
      <c r="O129" s="116">
        <v>306.10000000000002</v>
      </c>
      <c r="P129" s="116">
        <v>307.14999999999998</v>
      </c>
      <c r="Q129" s="116">
        <v>308.3</v>
      </c>
      <c r="R129">
        <v>46074</v>
      </c>
    </row>
    <row r="130" spans="1:18" x14ac:dyDescent="0.25">
      <c r="A130" s="170">
        <v>44897</v>
      </c>
      <c r="B130" s="116">
        <v>310.7</v>
      </c>
      <c r="C130" s="116">
        <v>308.25</v>
      </c>
      <c r="D130" s="116">
        <v>306.60000000000002</v>
      </c>
      <c r="E130" s="116">
        <v>309.60000000000002</v>
      </c>
      <c r="F130" s="116">
        <v>308.25</v>
      </c>
      <c r="G130">
        <v>6647</v>
      </c>
      <c r="H130" s="116"/>
      <c r="I130" s="116"/>
      <c r="L130" s="170">
        <v>44897</v>
      </c>
      <c r="M130" s="116">
        <v>308.3</v>
      </c>
      <c r="N130" s="116">
        <v>310.95</v>
      </c>
      <c r="O130" s="116">
        <v>306.8</v>
      </c>
      <c r="P130" s="116">
        <v>308.95</v>
      </c>
      <c r="Q130" s="116">
        <v>308.3</v>
      </c>
      <c r="R130">
        <v>35925</v>
      </c>
    </row>
    <row r="131" spans="1:18" x14ac:dyDescent="0.25">
      <c r="A131" s="170">
        <v>44900</v>
      </c>
      <c r="B131" s="116">
        <v>311.25</v>
      </c>
      <c r="C131" s="116">
        <v>307.85000000000002</v>
      </c>
      <c r="D131" s="116">
        <v>306.35000000000002</v>
      </c>
      <c r="E131" s="116">
        <v>308.25</v>
      </c>
      <c r="F131" s="116">
        <v>307.85000000000002</v>
      </c>
      <c r="G131">
        <v>6933</v>
      </c>
      <c r="H131" s="116"/>
      <c r="I131" s="116"/>
      <c r="L131" s="170">
        <v>44900</v>
      </c>
      <c r="M131" s="116">
        <v>307.85000000000002</v>
      </c>
      <c r="N131" s="116">
        <v>311.25</v>
      </c>
      <c r="O131" s="116">
        <v>306.10000000000002</v>
      </c>
      <c r="P131" s="116">
        <v>310.5</v>
      </c>
      <c r="Q131" s="116">
        <v>307.85000000000002</v>
      </c>
      <c r="R131">
        <v>42309</v>
      </c>
    </row>
    <row r="132" spans="1:18" x14ac:dyDescent="0.25">
      <c r="A132" s="170">
        <v>44901</v>
      </c>
      <c r="B132" s="116">
        <v>311.14999999999998</v>
      </c>
      <c r="C132" s="116">
        <v>309.05</v>
      </c>
      <c r="D132" s="116">
        <v>302.05</v>
      </c>
      <c r="E132" s="116">
        <v>302.05</v>
      </c>
      <c r="F132" s="116">
        <v>309.05</v>
      </c>
      <c r="G132">
        <v>7940</v>
      </c>
      <c r="H132" s="116"/>
      <c r="I132" s="116"/>
      <c r="L132" s="170">
        <v>44901</v>
      </c>
      <c r="M132" s="116">
        <v>308.95</v>
      </c>
      <c r="N132" s="116">
        <v>310.8</v>
      </c>
      <c r="O132" s="116">
        <v>305.64999999999998</v>
      </c>
      <c r="P132" s="116">
        <v>308.8</v>
      </c>
      <c r="Q132" s="116">
        <v>308.95</v>
      </c>
      <c r="R132">
        <v>66270</v>
      </c>
    </row>
    <row r="133" spans="1:18" x14ac:dyDescent="0.25">
      <c r="A133" s="170">
        <v>44902</v>
      </c>
      <c r="B133" s="116">
        <v>318.8</v>
      </c>
      <c r="C133" s="116">
        <v>314.10000000000002</v>
      </c>
      <c r="D133" s="116">
        <v>309.95</v>
      </c>
      <c r="E133" s="116">
        <v>315.95</v>
      </c>
      <c r="F133" s="116">
        <v>314.10000000000002</v>
      </c>
      <c r="G133">
        <v>10099</v>
      </c>
      <c r="H133" s="116"/>
      <c r="I133" s="116"/>
      <c r="L133" s="170">
        <v>44902</v>
      </c>
      <c r="M133" s="116">
        <v>314.35000000000002</v>
      </c>
      <c r="N133" s="116">
        <v>319</v>
      </c>
      <c r="O133" s="116">
        <v>310.05</v>
      </c>
      <c r="P133" s="116">
        <v>310.8</v>
      </c>
      <c r="Q133" s="116">
        <v>314.35000000000002</v>
      </c>
      <c r="R133">
        <v>89988</v>
      </c>
    </row>
    <row r="134" spans="1:18" x14ac:dyDescent="0.25">
      <c r="A134" s="170">
        <v>44903</v>
      </c>
      <c r="B134" s="116">
        <v>316.75</v>
      </c>
      <c r="C134" s="116">
        <v>307.05</v>
      </c>
      <c r="D134" s="116">
        <v>305.10000000000002</v>
      </c>
      <c r="E134" s="116">
        <v>314.64999999999998</v>
      </c>
      <c r="F134" s="116">
        <v>307.05</v>
      </c>
      <c r="G134">
        <v>7121</v>
      </c>
      <c r="H134" s="116"/>
      <c r="I134" s="116"/>
      <c r="L134" s="170">
        <v>44903</v>
      </c>
      <c r="M134" s="116">
        <v>307.45</v>
      </c>
      <c r="N134" s="116">
        <v>316.89999999999998</v>
      </c>
      <c r="O134" s="116">
        <v>305.14999999999998</v>
      </c>
      <c r="P134" s="116">
        <v>314.35000000000002</v>
      </c>
      <c r="Q134" s="116">
        <v>307.45</v>
      </c>
      <c r="R134">
        <v>57040</v>
      </c>
    </row>
    <row r="135" spans="1:18" x14ac:dyDescent="0.25">
      <c r="A135" s="170">
        <v>44904</v>
      </c>
      <c r="B135" s="116">
        <v>321</v>
      </c>
      <c r="C135" s="116">
        <v>318.2</v>
      </c>
      <c r="D135" s="116">
        <v>305.5</v>
      </c>
      <c r="E135" s="116">
        <v>313.60000000000002</v>
      </c>
      <c r="F135" s="116">
        <v>318.2</v>
      </c>
      <c r="G135">
        <v>16802</v>
      </c>
      <c r="H135" s="116"/>
      <c r="I135" s="116"/>
      <c r="L135" s="170">
        <v>44904</v>
      </c>
      <c r="M135" s="116">
        <v>317.95</v>
      </c>
      <c r="N135" s="116">
        <v>320</v>
      </c>
      <c r="O135" s="116">
        <v>305.14999999999998</v>
      </c>
      <c r="P135" s="116">
        <v>311.89999999999998</v>
      </c>
      <c r="Q135" s="116">
        <v>317.95</v>
      </c>
      <c r="R135">
        <v>291690</v>
      </c>
    </row>
    <row r="136" spans="1:18" x14ac:dyDescent="0.25">
      <c r="A136" s="170">
        <v>44907</v>
      </c>
      <c r="B136" s="116">
        <v>320</v>
      </c>
      <c r="C136" s="116">
        <v>311.89999999999998</v>
      </c>
      <c r="D136" s="116">
        <v>310.85000000000002</v>
      </c>
      <c r="E136" s="116">
        <v>318.75</v>
      </c>
      <c r="F136" s="116">
        <v>311.89999999999998</v>
      </c>
      <c r="G136">
        <v>10020</v>
      </c>
      <c r="H136" s="116"/>
      <c r="I136" s="116"/>
      <c r="L136" s="170">
        <v>44907</v>
      </c>
      <c r="M136" s="116">
        <v>311.7</v>
      </c>
      <c r="N136" s="116">
        <v>320.89999999999998</v>
      </c>
      <c r="O136" s="116">
        <v>311</v>
      </c>
      <c r="P136" s="116">
        <v>318</v>
      </c>
      <c r="Q136" s="116">
        <v>311.7</v>
      </c>
      <c r="R136">
        <v>67482</v>
      </c>
    </row>
    <row r="137" spans="1:18" x14ac:dyDescent="0.25">
      <c r="A137" s="170">
        <v>44908</v>
      </c>
      <c r="B137" s="116">
        <v>318</v>
      </c>
      <c r="C137" s="116">
        <v>312.7</v>
      </c>
      <c r="D137" s="116">
        <v>309.89999999999998</v>
      </c>
      <c r="E137" s="116">
        <v>311.55</v>
      </c>
      <c r="F137" s="116">
        <v>312.7</v>
      </c>
      <c r="G137">
        <v>8046</v>
      </c>
      <c r="H137" s="116"/>
      <c r="I137" s="116"/>
      <c r="L137" s="170">
        <v>44908</v>
      </c>
      <c r="M137" s="116">
        <v>312.8</v>
      </c>
      <c r="N137" s="116">
        <v>319</v>
      </c>
      <c r="O137" s="116">
        <v>310</v>
      </c>
      <c r="P137" s="116">
        <v>314.89999999999998</v>
      </c>
      <c r="Q137" s="116">
        <v>312.8</v>
      </c>
      <c r="R137">
        <v>51010</v>
      </c>
    </row>
    <row r="138" spans="1:18" x14ac:dyDescent="0.25">
      <c r="A138" s="170">
        <v>44909</v>
      </c>
      <c r="B138" s="116">
        <v>320</v>
      </c>
      <c r="C138" s="116">
        <v>309.14999999999998</v>
      </c>
      <c r="D138" s="116">
        <v>308.64999999999998</v>
      </c>
      <c r="E138" s="116">
        <v>320</v>
      </c>
      <c r="F138" s="116">
        <v>309.14999999999998</v>
      </c>
      <c r="G138">
        <v>4040</v>
      </c>
      <c r="H138" s="116"/>
      <c r="I138" s="116"/>
      <c r="L138" s="170">
        <v>44909</v>
      </c>
      <c r="M138" s="116">
        <v>309.35000000000002</v>
      </c>
      <c r="N138" s="116">
        <v>316.05</v>
      </c>
      <c r="O138" s="116">
        <v>308.05</v>
      </c>
      <c r="P138" s="116">
        <v>315</v>
      </c>
      <c r="Q138" s="116">
        <v>309.35000000000002</v>
      </c>
      <c r="R138">
        <v>117449</v>
      </c>
    </row>
    <row r="139" spans="1:18" x14ac:dyDescent="0.25">
      <c r="A139" s="170">
        <v>44910</v>
      </c>
      <c r="B139" s="116">
        <v>312.2</v>
      </c>
      <c r="C139" s="116">
        <v>308.64999999999998</v>
      </c>
      <c r="D139" s="116">
        <v>303.45</v>
      </c>
      <c r="E139" s="116">
        <v>303.45</v>
      </c>
      <c r="F139" s="116">
        <v>308.64999999999998</v>
      </c>
      <c r="G139">
        <v>3026</v>
      </c>
      <c r="H139" s="116"/>
      <c r="I139" s="116"/>
      <c r="L139" s="170">
        <v>44910</v>
      </c>
      <c r="M139" s="116">
        <v>308.39999999999998</v>
      </c>
      <c r="N139" s="116">
        <v>312.45</v>
      </c>
      <c r="O139" s="116">
        <v>307.25</v>
      </c>
      <c r="P139" s="116">
        <v>309.35000000000002</v>
      </c>
      <c r="Q139" s="116">
        <v>308.39999999999998</v>
      </c>
      <c r="R139">
        <v>70268</v>
      </c>
    </row>
    <row r="140" spans="1:18" x14ac:dyDescent="0.25">
      <c r="A140" s="170">
        <v>44911</v>
      </c>
      <c r="B140" s="116">
        <v>314.60000000000002</v>
      </c>
      <c r="C140" s="116">
        <v>308.10000000000002</v>
      </c>
      <c r="D140" s="116">
        <v>307.05</v>
      </c>
      <c r="E140" s="116">
        <v>314.60000000000002</v>
      </c>
      <c r="F140" s="116">
        <v>308.10000000000002</v>
      </c>
      <c r="G140">
        <v>12447</v>
      </c>
      <c r="H140" s="116"/>
      <c r="I140" s="116"/>
      <c r="L140" s="170">
        <v>44911</v>
      </c>
      <c r="M140" s="116">
        <v>308.3</v>
      </c>
      <c r="N140" s="116">
        <v>312.55</v>
      </c>
      <c r="O140" s="116">
        <v>306.8</v>
      </c>
      <c r="P140" s="116">
        <v>308</v>
      </c>
      <c r="Q140" s="116">
        <v>308.3</v>
      </c>
      <c r="R140">
        <v>56352</v>
      </c>
    </row>
    <row r="141" spans="1:18" x14ac:dyDescent="0.25">
      <c r="A141" s="170">
        <v>44914</v>
      </c>
      <c r="B141" s="116">
        <v>314</v>
      </c>
      <c r="C141" s="116">
        <v>312.60000000000002</v>
      </c>
      <c r="D141" s="116">
        <v>308.95</v>
      </c>
      <c r="E141" s="116">
        <v>309</v>
      </c>
      <c r="F141" s="116">
        <v>312.60000000000002</v>
      </c>
      <c r="G141">
        <v>5557</v>
      </c>
      <c r="H141" s="116"/>
      <c r="I141" s="116"/>
      <c r="L141" s="170">
        <v>44914</v>
      </c>
      <c r="M141" s="116">
        <v>312.75</v>
      </c>
      <c r="N141" s="116">
        <v>315</v>
      </c>
      <c r="O141" s="116">
        <v>308.39999999999998</v>
      </c>
      <c r="P141" s="116">
        <v>310.89999999999998</v>
      </c>
      <c r="Q141" s="116">
        <v>312.75</v>
      </c>
      <c r="R141">
        <v>61766</v>
      </c>
    </row>
    <row r="142" spans="1:18" x14ac:dyDescent="0.25">
      <c r="A142" s="170">
        <v>44915</v>
      </c>
      <c r="B142" s="116">
        <v>319.05</v>
      </c>
      <c r="C142" s="116">
        <v>311.45</v>
      </c>
      <c r="D142" s="116">
        <v>310</v>
      </c>
      <c r="E142" s="116">
        <v>319.05</v>
      </c>
      <c r="F142" s="116">
        <v>311.45</v>
      </c>
      <c r="G142">
        <v>2062</v>
      </c>
      <c r="H142" s="116"/>
      <c r="I142" s="116"/>
      <c r="L142" s="170">
        <v>44915</v>
      </c>
      <c r="M142" s="116">
        <v>311.75</v>
      </c>
      <c r="N142" s="116">
        <v>315.5</v>
      </c>
      <c r="O142" s="116">
        <v>311</v>
      </c>
      <c r="P142" s="116">
        <v>315.5</v>
      </c>
      <c r="Q142" s="116">
        <v>311.75</v>
      </c>
      <c r="R142">
        <v>32127</v>
      </c>
    </row>
    <row r="143" spans="1:18" x14ac:dyDescent="0.25">
      <c r="A143" s="170">
        <v>44916</v>
      </c>
      <c r="B143" s="116">
        <v>318</v>
      </c>
      <c r="C143" s="116">
        <v>314.95</v>
      </c>
      <c r="D143" s="116">
        <v>300</v>
      </c>
      <c r="E143" s="116">
        <v>318</v>
      </c>
      <c r="F143" s="116">
        <v>314.95</v>
      </c>
      <c r="G143">
        <v>7149</v>
      </c>
      <c r="H143" s="116"/>
      <c r="I143" s="116"/>
      <c r="L143" s="170">
        <v>44916</v>
      </c>
      <c r="M143" s="116">
        <v>315.10000000000002</v>
      </c>
      <c r="N143" s="116">
        <v>316.89999999999998</v>
      </c>
      <c r="O143" s="116">
        <v>300.05</v>
      </c>
      <c r="P143" s="116">
        <v>312.95</v>
      </c>
      <c r="Q143" s="116">
        <v>315.10000000000002</v>
      </c>
      <c r="R143">
        <v>156395</v>
      </c>
    </row>
    <row r="144" spans="1:18" x14ac:dyDescent="0.25">
      <c r="A144" s="170">
        <v>44917</v>
      </c>
      <c r="B144" s="116">
        <v>315</v>
      </c>
      <c r="C144" s="116">
        <v>313.89999999999998</v>
      </c>
      <c r="D144" s="116">
        <v>300.7</v>
      </c>
      <c r="E144" s="116">
        <v>314.89999999999998</v>
      </c>
      <c r="F144" s="116">
        <v>313.89999999999998</v>
      </c>
      <c r="G144">
        <v>8124</v>
      </c>
      <c r="H144" s="116"/>
      <c r="I144" s="116"/>
      <c r="L144" s="170">
        <v>44917</v>
      </c>
      <c r="M144" s="116">
        <v>314.35000000000002</v>
      </c>
      <c r="N144" s="116">
        <v>318</v>
      </c>
      <c r="O144" s="116">
        <v>301</v>
      </c>
      <c r="P144" s="116">
        <v>313</v>
      </c>
      <c r="Q144" s="116">
        <v>314.35000000000002</v>
      </c>
      <c r="R144">
        <v>127729</v>
      </c>
    </row>
    <row r="145" spans="1:18" x14ac:dyDescent="0.25">
      <c r="A145" s="170">
        <v>44918</v>
      </c>
      <c r="B145" s="116">
        <v>310.35000000000002</v>
      </c>
      <c r="C145" s="116">
        <v>307.85000000000002</v>
      </c>
      <c r="D145" s="116">
        <v>297.89999999999998</v>
      </c>
      <c r="E145" s="116">
        <v>305</v>
      </c>
      <c r="F145" s="116">
        <v>307.85000000000002</v>
      </c>
      <c r="G145">
        <v>13646</v>
      </c>
      <c r="H145" s="116"/>
      <c r="I145" s="116"/>
      <c r="L145" s="170">
        <v>44918</v>
      </c>
      <c r="M145" s="116">
        <v>308.60000000000002</v>
      </c>
      <c r="N145" s="116">
        <v>312</v>
      </c>
      <c r="O145" s="116">
        <v>297.35000000000002</v>
      </c>
      <c r="P145" s="116">
        <v>306</v>
      </c>
      <c r="Q145" s="116">
        <v>308.60000000000002</v>
      </c>
      <c r="R145">
        <v>244164</v>
      </c>
    </row>
    <row r="146" spans="1:18" x14ac:dyDescent="0.25">
      <c r="A146" s="170">
        <v>44921</v>
      </c>
      <c r="B146" s="116">
        <v>314.89999999999998</v>
      </c>
      <c r="C146" s="116">
        <v>310.45</v>
      </c>
      <c r="D146" s="116">
        <v>296.14999999999998</v>
      </c>
      <c r="E146" s="116">
        <v>296.14999999999998</v>
      </c>
      <c r="F146" s="116">
        <v>310.45</v>
      </c>
      <c r="G146">
        <v>5115</v>
      </c>
      <c r="H146" s="116"/>
      <c r="I146" s="116"/>
      <c r="L146" s="170">
        <v>44921</v>
      </c>
      <c r="M146" s="116">
        <v>312.3</v>
      </c>
      <c r="N146" s="116">
        <v>315.14999999999998</v>
      </c>
      <c r="O146" s="116">
        <v>303</v>
      </c>
      <c r="P146" s="116">
        <v>303</v>
      </c>
      <c r="Q146" s="116">
        <v>312.3</v>
      </c>
      <c r="R146">
        <v>68621</v>
      </c>
    </row>
    <row r="147" spans="1:18" x14ac:dyDescent="0.25">
      <c r="A147" s="170">
        <v>44922</v>
      </c>
      <c r="B147" s="116">
        <v>331</v>
      </c>
      <c r="C147" s="116">
        <v>328.2</v>
      </c>
      <c r="D147" s="116">
        <v>311.35000000000002</v>
      </c>
      <c r="E147" s="116">
        <v>315</v>
      </c>
      <c r="F147" s="116">
        <v>328.2</v>
      </c>
      <c r="G147">
        <v>19695</v>
      </c>
      <c r="H147" s="116"/>
      <c r="I147" s="116"/>
      <c r="L147" s="170">
        <v>44922</v>
      </c>
      <c r="M147" s="116">
        <v>328.55</v>
      </c>
      <c r="N147" s="116">
        <v>331.2</v>
      </c>
      <c r="O147" s="116">
        <v>311.35000000000002</v>
      </c>
      <c r="P147" s="116">
        <v>317.95</v>
      </c>
      <c r="Q147" s="116">
        <v>328.55</v>
      </c>
      <c r="R147">
        <v>272911</v>
      </c>
    </row>
    <row r="148" spans="1:18" x14ac:dyDescent="0.25">
      <c r="A148" s="170">
        <v>44923</v>
      </c>
      <c r="B148" s="116">
        <v>336.25</v>
      </c>
      <c r="C148" s="116">
        <v>327.5</v>
      </c>
      <c r="D148" s="116">
        <v>324.25</v>
      </c>
      <c r="E148" s="116">
        <v>331</v>
      </c>
      <c r="F148" s="116">
        <v>327.5</v>
      </c>
      <c r="G148">
        <v>10327</v>
      </c>
      <c r="H148" s="116"/>
      <c r="I148" s="116"/>
      <c r="L148" s="170">
        <v>44923</v>
      </c>
      <c r="M148" s="116">
        <v>328.35</v>
      </c>
      <c r="N148" s="116">
        <v>336.8</v>
      </c>
      <c r="O148" s="116">
        <v>326.2</v>
      </c>
      <c r="P148" s="116">
        <v>333.6</v>
      </c>
      <c r="Q148" s="116">
        <v>328.35</v>
      </c>
      <c r="R148">
        <v>153174</v>
      </c>
    </row>
    <row r="149" spans="1:18" x14ac:dyDescent="0.25">
      <c r="A149" s="170">
        <v>44924</v>
      </c>
      <c r="B149" s="116">
        <v>326.14999999999998</v>
      </c>
      <c r="C149" s="116">
        <v>320.8</v>
      </c>
      <c r="D149" s="116">
        <v>315.25</v>
      </c>
      <c r="E149" s="116">
        <v>325</v>
      </c>
      <c r="F149" s="116">
        <v>320.8</v>
      </c>
      <c r="G149">
        <v>7839</v>
      </c>
      <c r="H149" s="116"/>
      <c r="I149" s="116"/>
      <c r="L149" s="170">
        <v>44924</v>
      </c>
      <c r="M149" s="116">
        <v>319.55</v>
      </c>
      <c r="N149" s="116">
        <v>327</v>
      </c>
      <c r="O149" s="116">
        <v>314.64999999999998</v>
      </c>
      <c r="P149" s="116">
        <v>326.14999999999998</v>
      </c>
      <c r="Q149" s="116">
        <v>319.55</v>
      </c>
      <c r="R149">
        <v>114916</v>
      </c>
    </row>
    <row r="150" spans="1:18" x14ac:dyDescent="0.25">
      <c r="A150" s="170">
        <v>44925</v>
      </c>
      <c r="B150" s="116">
        <v>324.3</v>
      </c>
      <c r="C150" s="116">
        <v>315.8</v>
      </c>
      <c r="D150" s="116">
        <v>314.45</v>
      </c>
      <c r="E150" s="116">
        <v>320.7</v>
      </c>
      <c r="F150" s="116">
        <v>315.8</v>
      </c>
      <c r="G150">
        <v>10743</v>
      </c>
      <c r="H150" s="116"/>
      <c r="I150" s="116"/>
      <c r="L150" s="170">
        <v>44925</v>
      </c>
      <c r="M150" s="116">
        <v>316.35000000000002</v>
      </c>
      <c r="N150" s="116">
        <v>324.55</v>
      </c>
      <c r="O150" s="116">
        <v>314.05</v>
      </c>
      <c r="P150" s="116">
        <v>321.3</v>
      </c>
      <c r="Q150" s="116">
        <v>316.35000000000002</v>
      </c>
      <c r="R150">
        <v>95889</v>
      </c>
    </row>
    <row r="151" spans="1:18" x14ac:dyDescent="0.25">
      <c r="A151" s="170">
        <v>44928</v>
      </c>
      <c r="B151" s="116">
        <v>316.60000000000002</v>
      </c>
      <c r="C151" s="116">
        <v>311</v>
      </c>
      <c r="D151" s="116">
        <v>309.55</v>
      </c>
      <c r="E151" s="116">
        <v>316.05</v>
      </c>
      <c r="F151" s="116">
        <v>311</v>
      </c>
      <c r="G151">
        <v>4132</v>
      </c>
      <c r="H151" s="116"/>
      <c r="I151" s="116"/>
      <c r="L151" s="170">
        <v>44928</v>
      </c>
      <c r="M151" s="116">
        <v>310.85000000000002</v>
      </c>
      <c r="N151" s="116">
        <v>318.75</v>
      </c>
      <c r="O151" s="116">
        <v>309</v>
      </c>
      <c r="P151" s="116">
        <v>317.89999999999998</v>
      </c>
      <c r="Q151" s="116">
        <v>310.85000000000002</v>
      </c>
      <c r="R151">
        <v>82338</v>
      </c>
    </row>
    <row r="152" spans="1:18" x14ac:dyDescent="0.25">
      <c r="A152" s="170">
        <v>44929</v>
      </c>
      <c r="B152" s="116">
        <v>314.05</v>
      </c>
      <c r="C152" s="116">
        <v>310.05</v>
      </c>
      <c r="D152" s="116">
        <v>309.05</v>
      </c>
      <c r="E152" s="116">
        <v>311.35000000000002</v>
      </c>
      <c r="F152" s="116">
        <v>310.05</v>
      </c>
      <c r="G152">
        <v>5988</v>
      </c>
      <c r="H152" s="116"/>
      <c r="I152" s="116"/>
      <c r="L152" s="170">
        <v>44929</v>
      </c>
      <c r="M152" s="116">
        <v>309.7</v>
      </c>
      <c r="N152" s="116">
        <v>314</v>
      </c>
      <c r="O152" s="116">
        <v>309</v>
      </c>
      <c r="P152" s="116">
        <v>312</v>
      </c>
      <c r="Q152" s="116">
        <v>309.7</v>
      </c>
      <c r="R152">
        <v>40588</v>
      </c>
    </row>
    <row r="153" spans="1:18" x14ac:dyDescent="0.25">
      <c r="A153" s="170">
        <v>44930</v>
      </c>
      <c r="B153" s="116">
        <v>311.89999999999998</v>
      </c>
      <c r="C153" s="116">
        <v>306.3</v>
      </c>
      <c r="D153" s="116">
        <v>304.2</v>
      </c>
      <c r="E153" s="116">
        <v>311.89999999999998</v>
      </c>
      <c r="F153" s="116">
        <v>306.3</v>
      </c>
      <c r="G153">
        <v>16596</v>
      </c>
      <c r="H153" s="116"/>
      <c r="I153" s="116"/>
      <c r="L153" s="170">
        <v>44930</v>
      </c>
      <c r="M153" s="116">
        <v>305.7</v>
      </c>
      <c r="N153" s="116">
        <v>312.05</v>
      </c>
      <c r="O153" s="116">
        <v>303.5</v>
      </c>
      <c r="P153" s="116">
        <v>311.8</v>
      </c>
      <c r="Q153" s="116">
        <v>305.7</v>
      </c>
      <c r="R153">
        <v>98796</v>
      </c>
    </row>
    <row r="154" spans="1:18" x14ac:dyDescent="0.25">
      <c r="A154" s="170">
        <v>44931</v>
      </c>
      <c r="B154" s="116">
        <v>308.35000000000002</v>
      </c>
      <c r="C154" s="116">
        <v>303.75</v>
      </c>
      <c r="D154" s="116">
        <v>300</v>
      </c>
      <c r="E154" s="116">
        <v>305</v>
      </c>
      <c r="F154" s="116">
        <v>303.75</v>
      </c>
      <c r="G154">
        <v>21748</v>
      </c>
      <c r="H154" s="116"/>
      <c r="I154" s="116"/>
      <c r="L154" s="170">
        <v>44931</v>
      </c>
      <c r="M154" s="116">
        <v>303.75</v>
      </c>
      <c r="N154" s="116">
        <v>308.85000000000002</v>
      </c>
      <c r="O154" s="116">
        <v>299.89999999999998</v>
      </c>
      <c r="P154" s="116">
        <v>308.85000000000002</v>
      </c>
      <c r="Q154" s="116">
        <v>303.75</v>
      </c>
      <c r="R154">
        <v>97807</v>
      </c>
    </row>
    <row r="155" spans="1:18" x14ac:dyDescent="0.25">
      <c r="A155" s="170">
        <v>44932</v>
      </c>
      <c r="B155" s="116">
        <v>311.10000000000002</v>
      </c>
      <c r="C155" s="116">
        <v>305.25</v>
      </c>
      <c r="D155" s="116">
        <v>302.05</v>
      </c>
      <c r="E155" s="116">
        <v>306.60000000000002</v>
      </c>
      <c r="F155" s="116">
        <v>305.25</v>
      </c>
      <c r="G155">
        <v>8583</v>
      </c>
      <c r="H155" s="116"/>
      <c r="I155" s="116"/>
      <c r="L155" s="170">
        <v>44932</v>
      </c>
      <c r="M155" s="116">
        <v>305.39999999999998</v>
      </c>
      <c r="N155" s="116">
        <v>311.2</v>
      </c>
      <c r="O155" s="116">
        <v>302</v>
      </c>
      <c r="P155" s="116">
        <v>307.95</v>
      </c>
      <c r="Q155" s="116">
        <v>305.39999999999998</v>
      </c>
      <c r="R155">
        <v>88487</v>
      </c>
    </row>
    <row r="156" spans="1:18" x14ac:dyDescent="0.25">
      <c r="A156" s="170">
        <v>44935</v>
      </c>
      <c r="B156" s="116">
        <v>308.95</v>
      </c>
      <c r="C156" s="116">
        <v>305.39999999999998</v>
      </c>
      <c r="D156" s="116">
        <v>304.5</v>
      </c>
      <c r="E156" s="116">
        <v>306.25</v>
      </c>
      <c r="F156" s="116">
        <v>305.39999999999998</v>
      </c>
      <c r="G156">
        <v>2377</v>
      </c>
      <c r="H156" s="116"/>
      <c r="I156" s="116"/>
      <c r="L156" s="170">
        <v>44935</v>
      </c>
      <c r="M156" s="116">
        <v>305.14999999999998</v>
      </c>
      <c r="N156" s="116">
        <v>309.39999999999998</v>
      </c>
      <c r="O156" s="116">
        <v>303.3</v>
      </c>
      <c r="P156" s="116">
        <v>308.89999999999998</v>
      </c>
      <c r="Q156" s="116">
        <v>305.14999999999998</v>
      </c>
      <c r="R156">
        <v>55048</v>
      </c>
    </row>
    <row r="157" spans="1:18" x14ac:dyDescent="0.25">
      <c r="A157" s="170">
        <v>44936</v>
      </c>
      <c r="B157" s="116">
        <v>306.45</v>
      </c>
      <c r="C157" s="116">
        <v>304.14999999999998</v>
      </c>
      <c r="D157" s="116">
        <v>302</v>
      </c>
      <c r="E157" s="116">
        <v>303.05</v>
      </c>
      <c r="F157" s="116">
        <v>304.14999999999998</v>
      </c>
      <c r="G157">
        <v>4791</v>
      </c>
      <c r="H157" s="116"/>
      <c r="I157" s="116"/>
      <c r="L157" s="170">
        <v>44936</v>
      </c>
      <c r="M157" s="116">
        <v>304.25</v>
      </c>
      <c r="N157" s="116">
        <v>307</v>
      </c>
      <c r="O157" s="116">
        <v>302</v>
      </c>
      <c r="P157" s="116">
        <v>306.75</v>
      </c>
      <c r="Q157" s="116">
        <v>304.25</v>
      </c>
      <c r="R157">
        <v>32529</v>
      </c>
    </row>
    <row r="158" spans="1:18" x14ac:dyDescent="0.25">
      <c r="A158" s="170">
        <v>44937</v>
      </c>
      <c r="B158" s="116">
        <v>306.75</v>
      </c>
      <c r="C158" s="116">
        <v>302.25</v>
      </c>
      <c r="D158" s="116">
        <v>301</v>
      </c>
      <c r="E158" s="116">
        <v>304.05</v>
      </c>
      <c r="F158" s="116">
        <v>302.25</v>
      </c>
      <c r="G158">
        <v>2451</v>
      </c>
      <c r="H158" s="116"/>
      <c r="I158" s="116"/>
      <c r="L158" s="170">
        <v>44937</v>
      </c>
      <c r="M158" s="116">
        <v>302.05</v>
      </c>
      <c r="N158" s="116">
        <v>306.95</v>
      </c>
      <c r="O158" s="116">
        <v>301</v>
      </c>
      <c r="P158" s="116">
        <v>306</v>
      </c>
      <c r="Q158" s="116">
        <v>302.05</v>
      </c>
      <c r="R158">
        <v>57290</v>
      </c>
    </row>
    <row r="159" spans="1:18" x14ac:dyDescent="0.25">
      <c r="A159" s="170">
        <v>44938</v>
      </c>
      <c r="B159" s="116">
        <v>305.89999999999998</v>
      </c>
      <c r="C159" s="116">
        <v>301.8</v>
      </c>
      <c r="D159" s="116">
        <v>300</v>
      </c>
      <c r="E159" s="116">
        <v>305.89999999999998</v>
      </c>
      <c r="F159" s="116">
        <v>301.8</v>
      </c>
      <c r="G159">
        <v>4929</v>
      </c>
      <c r="H159" s="116"/>
      <c r="I159" s="116"/>
      <c r="L159" s="170">
        <v>44938</v>
      </c>
      <c r="M159" s="116">
        <v>301.39999999999998</v>
      </c>
      <c r="N159" s="116">
        <v>306.14999999999998</v>
      </c>
      <c r="O159" s="116">
        <v>300.25</v>
      </c>
      <c r="P159" s="116">
        <v>304.8</v>
      </c>
      <c r="Q159" s="116">
        <v>301.39999999999998</v>
      </c>
      <c r="R159">
        <v>42125</v>
      </c>
    </row>
    <row r="160" spans="1:18" x14ac:dyDescent="0.25">
      <c r="A160" s="170">
        <v>44939</v>
      </c>
      <c r="B160" s="116">
        <v>303.89999999999998</v>
      </c>
      <c r="C160" s="116">
        <v>300.64999999999998</v>
      </c>
      <c r="D160" s="116">
        <v>300.05</v>
      </c>
      <c r="E160" s="116">
        <v>303.89999999999998</v>
      </c>
      <c r="F160" s="116">
        <v>300.64999999999998</v>
      </c>
      <c r="G160">
        <v>7237</v>
      </c>
      <c r="H160" s="116"/>
      <c r="I160" s="116"/>
      <c r="L160" s="170">
        <v>44939</v>
      </c>
      <c r="M160" s="116">
        <v>300.75</v>
      </c>
      <c r="N160" s="116">
        <v>303.89999999999998</v>
      </c>
      <c r="O160" s="116">
        <v>300</v>
      </c>
      <c r="P160" s="116">
        <v>302.60000000000002</v>
      </c>
      <c r="Q160" s="116">
        <v>300.75</v>
      </c>
      <c r="R160">
        <v>40189</v>
      </c>
    </row>
    <row r="161" spans="1:18" x14ac:dyDescent="0.25">
      <c r="A161" s="170">
        <v>44942</v>
      </c>
      <c r="B161" s="116">
        <v>304.60000000000002</v>
      </c>
      <c r="C161" s="116">
        <v>302.95</v>
      </c>
      <c r="D161" s="116">
        <v>300.05</v>
      </c>
      <c r="E161" s="116">
        <v>300.05</v>
      </c>
      <c r="F161" s="116">
        <v>302.95</v>
      </c>
      <c r="G161">
        <v>2777</v>
      </c>
      <c r="H161" s="116"/>
      <c r="I161" s="116"/>
      <c r="L161" s="170">
        <v>44942</v>
      </c>
      <c r="M161" s="116">
        <v>303.5</v>
      </c>
      <c r="N161" s="116">
        <v>304.95</v>
      </c>
      <c r="O161" s="116">
        <v>300.85000000000002</v>
      </c>
      <c r="P161" s="116">
        <v>301.3</v>
      </c>
      <c r="Q161" s="116">
        <v>303.5</v>
      </c>
      <c r="R161">
        <v>37730</v>
      </c>
    </row>
    <row r="162" spans="1:18" x14ac:dyDescent="0.25">
      <c r="A162" s="170">
        <v>44943</v>
      </c>
      <c r="B162" s="116">
        <v>305</v>
      </c>
      <c r="C162" s="116">
        <v>301.14999999999998</v>
      </c>
      <c r="D162" s="116">
        <v>300.25</v>
      </c>
      <c r="E162" s="116">
        <v>301.3</v>
      </c>
      <c r="F162" s="116">
        <v>301.14999999999998</v>
      </c>
      <c r="G162">
        <v>2815</v>
      </c>
      <c r="H162" s="116"/>
      <c r="I162" s="116"/>
      <c r="L162" s="170">
        <v>44943</v>
      </c>
      <c r="M162" s="116">
        <v>301.2</v>
      </c>
      <c r="N162" s="116">
        <v>304.39999999999998</v>
      </c>
      <c r="O162" s="116">
        <v>300.5</v>
      </c>
      <c r="P162" s="116">
        <v>304</v>
      </c>
      <c r="Q162" s="116">
        <v>301.2</v>
      </c>
      <c r="R162">
        <v>31337</v>
      </c>
    </row>
    <row r="163" spans="1:18" x14ac:dyDescent="0.25">
      <c r="A163" s="170">
        <v>44944</v>
      </c>
      <c r="B163" s="116">
        <v>303.39999999999998</v>
      </c>
      <c r="C163" s="116">
        <v>297.60000000000002</v>
      </c>
      <c r="D163" s="116">
        <v>296.60000000000002</v>
      </c>
      <c r="E163" s="116">
        <v>302.05</v>
      </c>
      <c r="F163" s="116">
        <v>297.60000000000002</v>
      </c>
      <c r="G163">
        <v>2405</v>
      </c>
      <c r="H163" s="116"/>
      <c r="I163" s="116"/>
      <c r="L163" s="170">
        <v>44944</v>
      </c>
      <c r="M163" s="116">
        <v>297.60000000000002</v>
      </c>
      <c r="N163" s="116">
        <v>303.85000000000002</v>
      </c>
      <c r="O163" s="116">
        <v>296.89999999999998</v>
      </c>
      <c r="P163" s="116">
        <v>303.85000000000002</v>
      </c>
      <c r="Q163" s="116">
        <v>297.60000000000002</v>
      </c>
      <c r="R163">
        <v>44797</v>
      </c>
    </row>
    <row r="164" spans="1:18" x14ac:dyDescent="0.25">
      <c r="A164" s="170">
        <v>44945</v>
      </c>
      <c r="B164" s="116">
        <v>299.05</v>
      </c>
      <c r="C164" s="116">
        <v>280.8</v>
      </c>
      <c r="D164" s="116">
        <v>277.39999999999998</v>
      </c>
      <c r="E164" s="116">
        <v>298</v>
      </c>
      <c r="F164" s="116">
        <v>280.8</v>
      </c>
      <c r="G164">
        <v>30878</v>
      </c>
      <c r="H164" s="116"/>
      <c r="I164" s="116"/>
      <c r="L164" s="170">
        <v>44945</v>
      </c>
      <c r="M164" s="116">
        <v>280.8</v>
      </c>
      <c r="N164" s="116">
        <v>299.2</v>
      </c>
      <c r="O164" s="116">
        <v>279</v>
      </c>
      <c r="P164" s="116">
        <v>298</v>
      </c>
      <c r="Q164" s="116">
        <v>280.8</v>
      </c>
      <c r="R164">
        <v>202096</v>
      </c>
    </row>
    <row r="165" spans="1:18" x14ac:dyDescent="0.25">
      <c r="A165" s="170">
        <v>44946</v>
      </c>
      <c r="B165" s="116">
        <v>282.2</v>
      </c>
      <c r="C165" s="116">
        <v>271.75</v>
      </c>
      <c r="D165" s="116">
        <v>270.25</v>
      </c>
      <c r="E165" s="116">
        <v>281.2</v>
      </c>
      <c r="F165" s="116">
        <v>271.75</v>
      </c>
      <c r="G165">
        <v>50109</v>
      </c>
      <c r="H165" s="116"/>
      <c r="I165" s="116"/>
      <c r="L165" s="170">
        <v>44946</v>
      </c>
      <c r="M165" s="116">
        <v>271.45</v>
      </c>
      <c r="N165" s="116">
        <v>283</v>
      </c>
      <c r="O165" s="116">
        <v>270</v>
      </c>
      <c r="P165" s="116">
        <v>283</v>
      </c>
      <c r="Q165" s="116">
        <v>271.45</v>
      </c>
      <c r="R165">
        <v>304162</v>
      </c>
    </row>
    <row r="166" spans="1:18" x14ac:dyDescent="0.25">
      <c r="A166" s="170">
        <v>44949</v>
      </c>
      <c r="B166" s="116">
        <v>293.25</v>
      </c>
      <c r="C166" s="116">
        <v>287.85000000000002</v>
      </c>
      <c r="D166" s="116">
        <v>268.05</v>
      </c>
      <c r="E166" s="116">
        <v>268.05</v>
      </c>
      <c r="F166" s="116">
        <v>287.85000000000002</v>
      </c>
      <c r="G166">
        <v>29990</v>
      </c>
      <c r="H166" s="116"/>
      <c r="I166" s="116"/>
      <c r="L166" s="170">
        <v>44949</v>
      </c>
      <c r="M166" s="116">
        <v>288.14999999999998</v>
      </c>
      <c r="N166" s="116">
        <v>293.7</v>
      </c>
      <c r="O166" s="116">
        <v>272.95</v>
      </c>
      <c r="P166" s="116">
        <v>272.95</v>
      </c>
      <c r="Q166" s="116">
        <v>288.14999999999998</v>
      </c>
      <c r="R166">
        <v>399708</v>
      </c>
    </row>
    <row r="167" spans="1:18" x14ac:dyDescent="0.25">
      <c r="A167" s="170">
        <v>44950</v>
      </c>
      <c r="B167" s="116">
        <v>291.85000000000002</v>
      </c>
      <c r="C167" s="116">
        <v>288.14999999999998</v>
      </c>
      <c r="D167" s="116">
        <v>285.3</v>
      </c>
      <c r="E167" s="116">
        <v>290.39999999999998</v>
      </c>
      <c r="F167" s="116">
        <v>288.14999999999998</v>
      </c>
      <c r="G167">
        <v>5713</v>
      </c>
      <c r="H167" s="116"/>
      <c r="I167" s="116"/>
      <c r="L167" s="170">
        <v>44950</v>
      </c>
      <c r="M167" s="116">
        <v>288.05</v>
      </c>
      <c r="N167" s="116">
        <v>291.39999999999998</v>
      </c>
      <c r="O167" s="116">
        <v>285.5</v>
      </c>
      <c r="P167" s="116">
        <v>290</v>
      </c>
      <c r="Q167" s="116">
        <v>288.05</v>
      </c>
      <c r="R167">
        <v>82758</v>
      </c>
    </row>
    <row r="168" spans="1:18" x14ac:dyDescent="0.25">
      <c r="A168" s="170">
        <v>44951</v>
      </c>
      <c r="B168" s="116">
        <v>291.95</v>
      </c>
      <c r="C168" s="116">
        <v>290.75</v>
      </c>
      <c r="D168" s="116">
        <v>280.25</v>
      </c>
      <c r="E168" s="116">
        <v>288.3</v>
      </c>
      <c r="F168" s="116">
        <v>290.75</v>
      </c>
      <c r="G168">
        <v>12676</v>
      </c>
      <c r="H168" s="116"/>
      <c r="I168" s="116"/>
      <c r="L168" s="170">
        <v>44951</v>
      </c>
      <c r="M168" s="116">
        <v>290.45</v>
      </c>
      <c r="N168" s="116">
        <v>291.55</v>
      </c>
      <c r="O168" s="116">
        <v>281</v>
      </c>
      <c r="P168" s="116">
        <v>291.55</v>
      </c>
      <c r="Q168" s="116">
        <v>290.45</v>
      </c>
      <c r="R168">
        <v>80777</v>
      </c>
    </row>
    <row r="169" spans="1:18" x14ac:dyDescent="0.25">
      <c r="A169" s="170">
        <v>44953</v>
      </c>
      <c r="B169" s="116">
        <v>286</v>
      </c>
      <c r="C169" s="116">
        <v>280.85000000000002</v>
      </c>
      <c r="D169" s="116">
        <v>270.5</v>
      </c>
      <c r="E169" s="116">
        <v>284.64999999999998</v>
      </c>
      <c r="F169" s="116">
        <v>280.85000000000002</v>
      </c>
      <c r="G169">
        <v>23034</v>
      </c>
      <c r="H169" s="116"/>
      <c r="I169" s="116"/>
      <c r="L169" s="170">
        <v>44953</v>
      </c>
      <c r="M169" s="116">
        <v>281.10000000000002</v>
      </c>
      <c r="N169" s="116">
        <v>288</v>
      </c>
      <c r="O169" s="116">
        <v>270.39999999999998</v>
      </c>
      <c r="P169" s="116">
        <v>288</v>
      </c>
      <c r="Q169" s="116">
        <v>281.10000000000002</v>
      </c>
      <c r="R169">
        <v>127747</v>
      </c>
    </row>
    <row r="170" spans="1:18" x14ac:dyDescent="0.25">
      <c r="A170" s="170">
        <v>44956</v>
      </c>
      <c r="B170" s="116">
        <v>285.89999999999998</v>
      </c>
      <c r="C170" s="116">
        <v>279.8</v>
      </c>
      <c r="D170" s="116">
        <v>267.5</v>
      </c>
      <c r="E170" s="116">
        <v>280.85000000000002</v>
      </c>
      <c r="F170" s="116">
        <v>279.8</v>
      </c>
      <c r="G170">
        <v>7257</v>
      </c>
      <c r="H170" s="116"/>
      <c r="I170" s="116"/>
      <c r="L170" s="170">
        <v>44956</v>
      </c>
      <c r="M170" s="116">
        <v>278.75</v>
      </c>
      <c r="N170" s="116">
        <v>286.3</v>
      </c>
      <c r="O170" s="116">
        <v>266.60000000000002</v>
      </c>
      <c r="P170" s="116">
        <v>281.3</v>
      </c>
      <c r="Q170" s="116">
        <v>278.75</v>
      </c>
      <c r="R170">
        <v>127185</v>
      </c>
    </row>
    <row r="171" spans="1:18" x14ac:dyDescent="0.25">
      <c r="A171" s="170">
        <v>44957</v>
      </c>
      <c r="B171" s="116">
        <v>283</v>
      </c>
      <c r="C171" s="116">
        <v>276.64999999999998</v>
      </c>
      <c r="D171" s="116">
        <v>275.05</v>
      </c>
      <c r="E171" s="116">
        <v>275.05</v>
      </c>
      <c r="F171" s="116">
        <v>276.64999999999998</v>
      </c>
      <c r="G171">
        <v>6758</v>
      </c>
      <c r="H171" s="116"/>
      <c r="I171" s="116"/>
      <c r="L171" s="170">
        <v>44957</v>
      </c>
      <c r="M171" s="116">
        <v>275.89999999999998</v>
      </c>
      <c r="N171" s="116">
        <v>283</v>
      </c>
      <c r="O171" s="116">
        <v>274.85000000000002</v>
      </c>
      <c r="P171" s="116">
        <v>280.95</v>
      </c>
      <c r="Q171" s="116">
        <v>275.89999999999998</v>
      </c>
      <c r="R171">
        <v>53298</v>
      </c>
    </row>
    <row r="172" spans="1:18" x14ac:dyDescent="0.25">
      <c r="A172" s="170">
        <v>44958</v>
      </c>
      <c r="B172" s="116">
        <v>281.10000000000002</v>
      </c>
      <c r="C172" s="116">
        <v>271.10000000000002</v>
      </c>
      <c r="D172" s="116">
        <v>267.75</v>
      </c>
      <c r="E172" s="116">
        <v>274.05</v>
      </c>
      <c r="F172" s="116">
        <v>271.10000000000002</v>
      </c>
      <c r="G172">
        <v>16632</v>
      </c>
      <c r="H172" s="116"/>
      <c r="I172" s="116"/>
      <c r="L172" s="170">
        <v>44958</v>
      </c>
      <c r="M172" s="116">
        <v>271</v>
      </c>
      <c r="N172" s="116">
        <v>281.2</v>
      </c>
      <c r="O172" s="116">
        <v>267.3</v>
      </c>
      <c r="P172" s="116">
        <v>276</v>
      </c>
      <c r="Q172" s="116">
        <v>271</v>
      </c>
      <c r="R172">
        <v>78068</v>
      </c>
    </row>
    <row r="173" spans="1:18" x14ac:dyDescent="0.25">
      <c r="A173" s="170">
        <v>44959</v>
      </c>
      <c r="B173" s="116">
        <v>274.2</v>
      </c>
      <c r="C173" s="116">
        <v>268.3</v>
      </c>
      <c r="D173" s="116">
        <v>265</v>
      </c>
      <c r="E173" s="116">
        <v>270.05</v>
      </c>
      <c r="F173" s="116">
        <v>268.3</v>
      </c>
      <c r="G173">
        <v>10083</v>
      </c>
      <c r="H173" s="116"/>
      <c r="I173" s="116"/>
      <c r="L173" s="170">
        <v>44959</v>
      </c>
      <c r="M173" s="116">
        <v>268.10000000000002</v>
      </c>
      <c r="N173" s="116">
        <v>276.95</v>
      </c>
      <c r="O173" s="116">
        <v>265.10000000000002</v>
      </c>
      <c r="P173" s="116">
        <v>276.95</v>
      </c>
      <c r="Q173" s="116">
        <v>268.10000000000002</v>
      </c>
      <c r="R173">
        <v>54232</v>
      </c>
    </row>
    <row r="174" spans="1:18" x14ac:dyDescent="0.25">
      <c r="A174" s="170">
        <v>44960</v>
      </c>
      <c r="B174" s="116">
        <v>269.2</v>
      </c>
      <c r="C174" s="116">
        <v>261.85000000000002</v>
      </c>
      <c r="D174" s="116">
        <v>260</v>
      </c>
      <c r="E174" s="116">
        <v>265.05</v>
      </c>
      <c r="F174" s="116">
        <v>261.85000000000002</v>
      </c>
      <c r="G174">
        <v>15235</v>
      </c>
      <c r="H174" s="116"/>
      <c r="I174" s="116"/>
      <c r="L174" s="170">
        <v>44960</v>
      </c>
      <c r="M174" s="116">
        <v>261.35000000000002</v>
      </c>
      <c r="N174" s="116">
        <v>269.2</v>
      </c>
      <c r="O174" s="116">
        <v>259.14999999999998</v>
      </c>
      <c r="P174" s="116">
        <v>266.55</v>
      </c>
      <c r="Q174" s="116">
        <v>261.35000000000002</v>
      </c>
      <c r="R174">
        <v>61058</v>
      </c>
    </row>
    <row r="175" spans="1:18" x14ac:dyDescent="0.25">
      <c r="A175" s="170">
        <v>44963</v>
      </c>
      <c r="B175" s="116">
        <v>275.55</v>
      </c>
      <c r="C175" s="116">
        <v>270.3</v>
      </c>
      <c r="D175" s="116">
        <v>258.39999999999998</v>
      </c>
      <c r="E175" s="116">
        <v>261.10000000000002</v>
      </c>
      <c r="F175" s="116">
        <v>270.3</v>
      </c>
      <c r="G175">
        <v>8722</v>
      </c>
      <c r="H175" s="116"/>
      <c r="I175" s="116"/>
      <c r="L175" s="170">
        <v>44963</v>
      </c>
      <c r="M175" s="116">
        <v>269.89999999999998</v>
      </c>
      <c r="N175" s="116">
        <v>272</v>
      </c>
      <c r="O175" s="116">
        <v>258.14999999999998</v>
      </c>
      <c r="P175" s="116">
        <v>260</v>
      </c>
      <c r="Q175" s="116">
        <v>269.89999999999998</v>
      </c>
      <c r="R175">
        <v>63447</v>
      </c>
    </row>
    <row r="176" spans="1:18" x14ac:dyDescent="0.25">
      <c r="A176" s="170">
        <v>44964</v>
      </c>
      <c r="B176" s="116">
        <v>274.35000000000002</v>
      </c>
      <c r="C176" s="116">
        <v>263.75</v>
      </c>
      <c r="D176" s="116">
        <v>262.35000000000002</v>
      </c>
      <c r="E176" s="116">
        <v>266.14999999999998</v>
      </c>
      <c r="F176" s="116">
        <v>263.75</v>
      </c>
      <c r="G176">
        <v>10330</v>
      </c>
      <c r="H176" s="116"/>
      <c r="I176" s="116"/>
      <c r="L176" s="170">
        <v>44964</v>
      </c>
      <c r="M176" s="116">
        <v>264</v>
      </c>
      <c r="N176" s="116">
        <v>274.95</v>
      </c>
      <c r="O176" s="116">
        <v>262.55</v>
      </c>
      <c r="P176" s="116">
        <v>272</v>
      </c>
      <c r="Q176" s="116">
        <v>264</v>
      </c>
      <c r="R176">
        <v>49391</v>
      </c>
    </row>
    <row r="177" spans="1:18" x14ac:dyDescent="0.25">
      <c r="A177" s="170">
        <v>44965</v>
      </c>
      <c r="B177" s="116">
        <v>268.89999999999998</v>
      </c>
      <c r="C177" s="116">
        <v>266.75</v>
      </c>
      <c r="D177" s="116">
        <v>263.8</v>
      </c>
      <c r="E177" s="116">
        <v>263.8</v>
      </c>
      <c r="F177" s="116">
        <v>266.75</v>
      </c>
      <c r="G177">
        <v>3138</v>
      </c>
      <c r="H177" s="116"/>
      <c r="I177" s="116"/>
      <c r="L177" s="170">
        <v>44965</v>
      </c>
      <c r="M177" s="116">
        <v>266.45</v>
      </c>
      <c r="N177" s="116">
        <v>269.35000000000002</v>
      </c>
      <c r="O177" s="116">
        <v>264</v>
      </c>
      <c r="P177" s="116">
        <v>264.95</v>
      </c>
      <c r="Q177" s="116">
        <v>266.45</v>
      </c>
      <c r="R177">
        <v>42411</v>
      </c>
    </row>
    <row r="178" spans="1:18" x14ac:dyDescent="0.25">
      <c r="A178" s="170">
        <v>44966</v>
      </c>
      <c r="B178" s="116">
        <v>270.89999999999998</v>
      </c>
      <c r="C178" s="116">
        <v>267.60000000000002</v>
      </c>
      <c r="D178" s="116">
        <v>264.60000000000002</v>
      </c>
      <c r="E178" s="116">
        <v>270.89999999999998</v>
      </c>
      <c r="F178" s="116">
        <v>267.60000000000002</v>
      </c>
      <c r="G178">
        <v>3740</v>
      </c>
      <c r="H178" s="116"/>
      <c r="I178" s="116"/>
      <c r="L178" s="170">
        <v>44966</v>
      </c>
      <c r="M178" s="116">
        <v>267.35000000000002</v>
      </c>
      <c r="N178" s="116">
        <v>270</v>
      </c>
      <c r="O178" s="116">
        <v>264</v>
      </c>
      <c r="P178" s="116">
        <v>270</v>
      </c>
      <c r="Q178" s="116">
        <v>267.35000000000002</v>
      </c>
      <c r="R178">
        <v>23204</v>
      </c>
    </row>
    <row r="179" spans="1:18" x14ac:dyDescent="0.25">
      <c r="A179" s="170">
        <v>44967</v>
      </c>
      <c r="B179" s="116">
        <v>268.05</v>
      </c>
      <c r="C179" s="116">
        <v>265.7</v>
      </c>
      <c r="D179" s="116">
        <v>262</v>
      </c>
      <c r="E179" s="116">
        <v>268.05</v>
      </c>
      <c r="F179" s="116">
        <v>265.7</v>
      </c>
      <c r="G179">
        <v>17135</v>
      </c>
      <c r="H179" s="116"/>
      <c r="I179" s="116"/>
      <c r="L179" s="170">
        <v>44967</v>
      </c>
      <c r="M179" s="116">
        <v>265.35000000000002</v>
      </c>
      <c r="N179" s="116">
        <v>270</v>
      </c>
      <c r="O179" s="116">
        <v>260.85000000000002</v>
      </c>
      <c r="P179" s="116">
        <v>268.85000000000002</v>
      </c>
      <c r="Q179" s="116">
        <v>265.35000000000002</v>
      </c>
      <c r="R179">
        <v>51507</v>
      </c>
    </row>
    <row r="180" spans="1:18" x14ac:dyDescent="0.25">
      <c r="A180" s="170">
        <v>44970</v>
      </c>
      <c r="B180" s="116">
        <v>266.95</v>
      </c>
      <c r="C180" s="116">
        <v>260.7</v>
      </c>
      <c r="D180" s="116">
        <v>257</v>
      </c>
      <c r="E180" s="116">
        <v>265.05</v>
      </c>
      <c r="F180" s="116">
        <v>260.7</v>
      </c>
      <c r="G180">
        <v>15881</v>
      </c>
      <c r="H180" s="116"/>
      <c r="I180" s="116"/>
      <c r="L180" s="170">
        <v>44970</v>
      </c>
      <c r="M180" s="116">
        <v>260.14999999999998</v>
      </c>
      <c r="N180" s="116">
        <v>267</v>
      </c>
      <c r="O180" s="116">
        <v>257.14999999999998</v>
      </c>
      <c r="P180" s="116">
        <v>263.14999999999998</v>
      </c>
      <c r="Q180" s="116">
        <v>260.14999999999998</v>
      </c>
      <c r="R180">
        <v>63230</v>
      </c>
    </row>
    <row r="181" spans="1:18" x14ac:dyDescent="0.25">
      <c r="A181" s="170">
        <v>44971</v>
      </c>
      <c r="B181" s="116">
        <v>263.7</v>
      </c>
      <c r="C181" s="116">
        <v>261.25</v>
      </c>
      <c r="D181" s="116">
        <v>259.3</v>
      </c>
      <c r="E181" s="116">
        <v>261.3</v>
      </c>
      <c r="F181" s="116">
        <v>261.25</v>
      </c>
      <c r="G181">
        <v>4289</v>
      </c>
      <c r="H181" s="116"/>
      <c r="I181" s="116"/>
      <c r="L181" s="170">
        <v>44971</v>
      </c>
      <c r="M181" s="116">
        <v>261.2</v>
      </c>
      <c r="N181" s="116">
        <v>263.5</v>
      </c>
      <c r="O181" s="116">
        <v>257.2</v>
      </c>
      <c r="P181" s="116">
        <v>263.5</v>
      </c>
      <c r="Q181" s="116">
        <v>261.2</v>
      </c>
      <c r="R181">
        <v>31513</v>
      </c>
    </row>
    <row r="182" spans="1:18" x14ac:dyDescent="0.25">
      <c r="A182" s="170">
        <v>44972</v>
      </c>
      <c r="B182" s="116">
        <v>262.55</v>
      </c>
      <c r="C182" s="116">
        <v>258.8</v>
      </c>
      <c r="D182" s="116">
        <v>257.95</v>
      </c>
      <c r="E182" s="116">
        <v>260.05</v>
      </c>
      <c r="F182" s="116">
        <v>258.8</v>
      </c>
      <c r="G182">
        <v>5063</v>
      </c>
      <c r="H182" s="116"/>
      <c r="I182" s="116"/>
      <c r="L182" s="170">
        <v>44972</v>
      </c>
      <c r="M182" s="116">
        <v>259.85000000000002</v>
      </c>
      <c r="N182" s="116">
        <v>263.95</v>
      </c>
      <c r="O182" s="116">
        <v>257.55</v>
      </c>
      <c r="P182" s="116">
        <v>263.95</v>
      </c>
      <c r="Q182" s="116">
        <v>259.85000000000002</v>
      </c>
      <c r="R182">
        <v>49482</v>
      </c>
    </row>
    <row r="183" spans="1:18" x14ac:dyDescent="0.25">
      <c r="A183" s="170">
        <v>44973</v>
      </c>
      <c r="B183" s="116">
        <v>267.95</v>
      </c>
      <c r="C183" s="116">
        <v>254.15</v>
      </c>
      <c r="D183" s="116">
        <v>252</v>
      </c>
      <c r="E183" s="116">
        <v>267.95</v>
      </c>
      <c r="F183" s="116">
        <v>254.15</v>
      </c>
      <c r="G183">
        <v>7021</v>
      </c>
      <c r="H183" s="116"/>
      <c r="I183" s="116"/>
      <c r="L183" s="170">
        <v>44973</v>
      </c>
      <c r="M183" s="116">
        <v>253.85</v>
      </c>
      <c r="N183" s="116">
        <v>264.95</v>
      </c>
      <c r="O183" s="116">
        <v>251.35</v>
      </c>
      <c r="P183" s="116">
        <v>264</v>
      </c>
      <c r="Q183" s="116">
        <v>253.85</v>
      </c>
      <c r="R183">
        <v>90736</v>
      </c>
    </row>
    <row r="184" spans="1:18" x14ac:dyDescent="0.25">
      <c r="A184" s="170">
        <v>44974</v>
      </c>
      <c r="B184" s="116">
        <v>258.85000000000002</v>
      </c>
      <c r="C184" s="116">
        <v>252.5</v>
      </c>
      <c r="D184" s="116">
        <v>251.3</v>
      </c>
      <c r="E184" s="116">
        <v>258.85000000000002</v>
      </c>
      <c r="F184" s="116">
        <v>252.5</v>
      </c>
      <c r="G184">
        <v>8959</v>
      </c>
      <c r="H184" s="116"/>
      <c r="I184" s="116"/>
      <c r="L184" s="170">
        <v>44974</v>
      </c>
      <c r="M184" s="116">
        <v>252.15</v>
      </c>
      <c r="N184" s="116">
        <v>258</v>
      </c>
      <c r="O184" s="116">
        <v>251.05</v>
      </c>
      <c r="P184" s="116">
        <v>258</v>
      </c>
      <c r="Q184" s="116">
        <v>252.15</v>
      </c>
      <c r="R184">
        <v>59438</v>
      </c>
    </row>
    <row r="185" spans="1:18" x14ac:dyDescent="0.25">
      <c r="A185" s="170">
        <v>44977</v>
      </c>
      <c r="B185" s="116">
        <v>259.05</v>
      </c>
      <c r="C185" s="116">
        <v>256.2</v>
      </c>
      <c r="D185" s="116">
        <v>252.15</v>
      </c>
      <c r="E185" s="116">
        <v>252.15</v>
      </c>
      <c r="F185" s="116">
        <v>256.2</v>
      </c>
      <c r="G185">
        <v>5643</v>
      </c>
      <c r="H185" s="116"/>
      <c r="I185" s="116"/>
      <c r="L185" s="170">
        <v>44977</v>
      </c>
      <c r="M185" s="116">
        <v>255.8</v>
      </c>
      <c r="N185" s="116">
        <v>259.45</v>
      </c>
      <c r="O185" s="116">
        <v>252.8</v>
      </c>
      <c r="P185" s="116">
        <v>254.85</v>
      </c>
      <c r="Q185" s="116">
        <v>255.8</v>
      </c>
      <c r="R185">
        <v>44063</v>
      </c>
    </row>
    <row r="186" spans="1:18" x14ac:dyDescent="0.25">
      <c r="A186" s="170">
        <v>44978</v>
      </c>
      <c r="B186" s="116">
        <v>265.14999999999998</v>
      </c>
      <c r="C186" s="116">
        <v>261.7</v>
      </c>
      <c r="D186" s="116">
        <v>255.05</v>
      </c>
      <c r="E186" s="116">
        <v>256.89999999999998</v>
      </c>
      <c r="F186" s="116">
        <v>261.7</v>
      </c>
      <c r="G186">
        <v>20560</v>
      </c>
      <c r="H186" s="116"/>
      <c r="I186" s="116"/>
      <c r="L186" s="170">
        <v>44978</v>
      </c>
      <c r="M186" s="116">
        <v>261.75</v>
      </c>
      <c r="N186" s="116">
        <v>265.39999999999998</v>
      </c>
      <c r="O186" s="116">
        <v>255.35</v>
      </c>
      <c r="P186" s="116">
        <v>257.75</v>
      </c>
      <c r="Q186" s="116">
        <v>261.75</v>
      </c>
      <c r="R186">
        <v>115044</v>
      </c>
    </row>
    <row r="187" spans="1:18" x14ac:dyDescent="0.25">
      <c r="A187" s="170">
        <v>44979</v>
      </c>
      <c r="B187" s="116">
        <v>261.05</v>
      </c>
      <c r="C187" s="116">
        <v>256.75</v>
      </c>
      <c r="D187" s="116">
        <v>254.05</v>
      </c>
      <c r="E187" s="116">
        <v>261.05</v>
      </c>
      <c r="F187" s="116">
        <v>256.75</v>
      </c>
      <c r="G187">
        <v>3271</v>
      </c>
      <c r="H187" s="116"/>
      <c r="I187" s="116"/>
      <c r="L187" s="170">
        <v>44979</v>
      </c>
      <c r="M187" s="116">
        <v>256.64999999999998</v>
      </c>
      <c r="N187" s="116">
        <v>264.5</v>
      </c>
      <c r="O187" s="116">
        <v>254.25</v>
      </c>
      <c r="P187" s="116">
        <v>264.45</v>
      </c>
      <c r="Q187" s="116">
        <v>256.64999999999998</v>
      </c>
      <c r="R187">
        <v>37797</v>
      </c>
    </row>
    <row r="188" spans="1:18" x14ac:dyDescent="0.25">
      <c r="A188" s="170">
        <v>44980</v>
      </c>
      <c r="B188" s="116">
        <v>262.14999999999998</v>
      </c>
      <c r="C188" s="116">
        <v>258.05</v>
      </c>
      <c r="D188" s="116">
        <v>255</v>
      </c>
      <c r="E188" s="116">
        <v>260.8</v>
      </c>
      <c r="F188" s="116">
        <v>258.05</v>
      </c>
      <c r="G188">
        <v>6637</v>
      </c>
      <c r="H188" s="116"/>
      <c r="I188" s="116"/>
      <c r="L188" s="170">
        <v>44980</v>
      </c>
      <c r="M188" s="116">
        <v>257.10000000000002</v>
      </c>
      <c r="N188" s="116">
        <v>260.95</v>
      </c>
      <c r="O188" s="116">
        <v>255.95</v>
      </c>
      <c r="P188" s="116">
        <v>259.85000000000002</v>
      </c>
      <c r="Q188" s="116">
        <v>257.10000000000002</v>
      </c>
      <c r="R188">
        <v>31365</v>
      </c>
    </row>
    <row r="189" spans="1:18" x14ac:dyDescent="0.25">
      <c r="A189" s="170">
        <v>44981</v>
      </c>
      <c r="B189" s="116">
        <v>258.75</v>
      </c>
      <c r="C189" s="116">
        <v>256.10000000000002</v>
      </c>
      <c r="D189" s="116">
        <v>255</v>
      </c>
      <c r="E189" s="116">
        <v>258.5</v>
      </c>
      <c r="F189" s="116">
        <v>256.10000000000002</v>
      </c>
      <c r="G189">
        <v>6646</v>
      </c>
      <c r="H189" s="116"/>
      <c r="I189" s="116"/>
      <c r="L189" s="170">
        <v>44981</v>
      </c>
      <c r="M189" s="116">
        <v>256.2</v>
      </c>
      <c r="N189" s="116">
        <v>259.35000000000002</v>
      </c>
      <c r="O189" s="116">
        <v>255</v>
      </c>
      <c r="P189" s="116">
        <v>255.55</v>
      </c>
      <c r="Q189" s="116">
        <v>256.2</v>
      </c>
      <c r="R189">
        <v>19946</v>
      </c>
    </row>
    <row r="190" spans="1:18" x14ac:dyDescent="0.25">
      <c r="A190" s="170">
        <v>44984</v>
      </c>
      <c r="B190" s="116">
        <v>262</v>
      </c>
      <c r="C190" s="116">
        <v>254</v>
      </c>
      <c r="D190" s="116">
        <v>252.7</v>
      </c>
      <c r="E190" s="116">
        <v>262</v>
      </c>
      <c r="F190" s="116">
        <v>254</v>
      </c>
      <c r="G190">
        <v>1367</v>
      </c>
      <c r="H190" s="116"/>
      <c r="I190" s="116"/>
      <c r="L190" s="170">
        <v>44984</v>
      </c>
      <c r="M190" s="116">
        <v>253.65</v>
      </c>
      <c r="N190" s="116">
        <v>258</v>
      </c>
      <c r="O190" s="116">
        <v>252.65</v>
      </c>
      <c r="P190" s="116">
        <v>256.2</v>
      </c>
      <c r="Q190" s="116">
        <v>253.65</v>
      </c>
      <c r="R190">
        <v>20576</v>
      </c>
    </row>
    <row r="191" spans="1:18" x14ac:dyDescent="0.25">
      <c r="A191" s="170">
        <v>44985</v>
      </c>
      <c r="B191" s="116">
        <v>256.45</v>
      </c>
      <c r="C191" s="116">
        <v>253.05</v>
      </c>
      <c r="D191" s="116">
        <v>247.25</v>
      </c>
      <c r="E191" s="116">
        <v>247.25</v>
      </c>
      <c r="F191" s="116">
        <v>253.05</v>
      </c>
      <c r="G191">
        <v>6386</v>
      </c>
      <c r="H191" s="116"/>
      <c r="I191" s="116"/>
      <c r="L191" s="170">
        <v>44985</v>
      </c>
      <c r="M191" s="116">
        <v>253.4</v>
      </c>
      <c r="N191" s="116">
        <v>256.14999999999998</v>
      </c>
      <c r="O191" s="116">
        <v>252</v>
      </c>
      <c r="P191" s="116">
        <v>253.6</v>
      </c>
      <c r="Q191" s="116">
        <v>253.4</v>
      </c>
      <c r="R191">
        <v>21000</v>
      </c>
    </row>
    <row r="192" spans="1:18" x14ac:dyDescent="0.25">
      <c r="A192" s="170">
        <v>44986</v>
      </c>
      <c r="B192" s="116">
        <v>257.95</v>
      </c>
      <c r="C192" s="116">
        <v>256.35000000000002</v>
      </c>
      <c r="D192" s="116">
        <v>252.7</v>
      </c>
      <c r="E192" s="116">
        <v>255.9</v>
      </c>
      <c r="F192" s="116">
        <v>256.35000000000002</v>
      </c>
      <c r="G192">
        <v>3564</v>
      </c>
      <c r="H192" s="116"/>
      <c r="I192" s="116"/>
      <c r="L192" s="170">
        <v>44986</v>
      </c>
      <c r="M192" s="116">
        <v>256.5</v>
      </c>
      <c r="N192" s="116">
        <v>258</v>
      </c>
      <c r="O192" s="116">
        <v>253</v>
      </c>
      <c r="P192" s="116">
        <v>256.89999999999998</v>
      </c>
      <c r="Q192" s="116">
        <v>256.5</v>
      </c>
      <c r="R192">
        <v>36249</v>
      </c>
    </row>
    <row r="193" spans="1:18" x14ac:dyDescent="0.25">
      <c r="A193" s="170">
        <v>44987</v>
      </c>
      <c r="B193" s="116">
        <v>262.3</v>
      </c>
      <c r="C193" s="116">
        <v>259.5</v>
      </c>
      <c r="D193" s="116">
        <v>255</v>
      </c>
      <c r="E193" s="116">
        <v>255</v>
      </c>
      <c r="F193" s="116">
        <v>259.5</v>
      </c>
      <c r="G193">
        <v>1614</v>
      </c>
      <c r="H193" s="116"/>
      <c r="I193" s="116"/>
      <c r="L193" s="170">
        <v>44987</v>
      </c>
      <c r="M193" s="116">
        <v>259.75</v>
      </c>
      <c r="N193" s="116">
        <v>262.45</v>
      </c>
      <c r="O193" s="116">
        <v>255.5</v>
      </c>
      <c r="P193" s="116">
        <v>259.89999999999998</v>
      </c>
      <c r="Q193" s="116">
        <v>259.75</v>
      </c>
      <c r="R193">
        <v>25856</v>
      </c>
    </row>
    <row r="194" spans="1:18" x14ac:dyDescent="0.25">
      <c r="A194" s="170">
        <v>44988</v>
      </c>
      <c r="B194" s="116">
        <v>264.05</v>
      </c>
      <c r="C194" s="116">
        <v>259.64999999999998</v>
      </c>
      <c r="D194" s="116">
        <v>259.14999999999998</v>
      </c>
      <c r="E194" s="116">
        <v>259.8</v>
      </c>
      <c r="F194" s="116">
        <v>259.64999999999998</v>
      </c>
      <c r="G194">
        <v>2492</v>
      </c>
      <c r="H194" s="116"/>
      <c r="I194" s="116"/>
      <c r="L194" s="170">
        <v>44988</v>
      </c>
      <c r="M194" s="116">
        <v>259.5</v>
      </c>
      <c r="N194" s="116">
        <v>264</v>
      </c>
      <c r="O194" s="116">
        <v>258.05</v>
      </c>
      <c r="P194" s="116">
        <v>264</v>
      </c>
      <c r="Q194" s="116">
        <v>259.5</v>
      </c>
      <c r="R194">
        <v>37442</v>
      </c>
    </row>
    <row r="195" spans="1:18" x14ac:dyDescent="0.25">
      <c r="A195" s="170">
        <v>44991</v>
      </c>
      <c r="B195" s="116">
        <v>264.2</v>
      </c>
      <c r="C195" s="116">
        <v>256.55</v>
      </c>
      <c r="D195" s="116">
        <v>255.1</v>
      </c>
      <c r="E195" s="116">
        <v>262.89999999999998</v>
      </c>
      <c r="F195" s="116">
        <v>256.55</v>
      </c>
      <c r="G195">
        <v>5363</v>
      </c>
      <c r="H195" s="116"/>
      <c r="I195" s="116"/>
      <c r="L195" s="170">
        <v>44991</v>
      </c>
      <c r="M195" s="116">
        <v>256.14999999999998</v>
      </c>
      <c r="N195" s="116">
        <v>264.5</v>
      </c>
      <c r="O195" s="116">
        <v>254</v>
      </c>
      <c r="P195" s="116">
        <v>264.2</v>
      </c>
      <c r="Q195" s="116">
        <v>256.14999999999998</v>
      </c>
      <c r="R195">
        <v>40554</v>
      </c>
    </row>
    <row r="196" spans="1:18" x14ac:dyDescent="0.25">
      <c r="A196" s="170">
        <v>44993</v>
      </c>
      <c r="B196" s="116">
        <v>264</v>
      </c>
      <c r="C196" s="116">
        <v>255.6</v>
      </c>
      <c r="D196" s="116">
        <v>253.8</v>
      </c>
      <c r="E196" s="116">
        <v>264</v>
      </c>
      <c r="F196" s="116">
        <v>255.6</v>
      </c>
      <c r="G196">
        <v>4731</v>
      </c>
      <c r="H196" s="116"/>
      <c r="I196" s="116"/>
      <c r="L196" s="170">
        <v>44993</v>
      </c>
      <c r="M196" s="116">
        <v>255.6</v>
      </c>
      <c r="N196" s="116">
        <v>261.3</v>
      </c>
      <c r="O196" s="116">
        <v>253.85</v>
      </c>
      <c r="P196" s="116">
        <v>256.14999999999998</v>
      </c>
      <c r="Q196" s="116">
        <v>255.6</v>
      </c>
      <c r="R196">
        <v>37999</v>
      </c>
    </row>
    <row r="197" spans="1:18" x14ac:dyDescent="0.25">
      <c r="A197" s="170">
        <v>44994</v>
      </c>
      <c r="B197" s="116">
        <v>257</v>
      </c>
      <c r="C197" s="116">
        <v>254.85</v>
      </c>
      <c r="D197" s="116">
        <v>253.8</v>
      </c>
      <c r="E197" s="116">
        <v>255.2</v>
      </c>
      <c r="F197" s="116">
        <v>254.85</v>
      </c>
      <c r="G197">
        <v>5954</v>
      </c>
      <c r="H197" s="116"/>
      <c r="I197" s="116"/>
      <c r="L197" s="170">
        <v>44994</v>
      </c>
      <c r="M197" s="116">
        <v>255.35</v>
      </c>
      <c r="N197" s="116">
        <v>256.95</v>
      </c>
      <c r="O197" s="116">
        <v>254</v>
      </c>
      <c r="P197" s="116">
        <v>255.6</v>
      </c>
      <c r="Q197" s="116">
        <v>255.35</v>
      </c>
      <c r="R197">
        <v>23412</v>
      </c>
    </row>
    <row r="198" spans="1:18" x14ac:dyDescent="0.25">
      <c r="A198" s="170">
        <v>44995</v>
      </c>
      <c r="B198" s="116">
        <v>256.14999999999998</v>
      </c>
      <c r="C198" s="116">
        <v>255.05</v>
      </c>
      <c r="D198" s="116">
        <v>252.1</v>
      </c>
      <c r="E198" s="116">
        <v>252.25</v>
      </c>
      <c r="F198" s="116">
        <v>255.05</v>
      </c>
      <c r="G198">
        <v>2718</v>
      </c>
      <c r="H198" s="116"/>
      <c r="I198" s="116"/>
      <c r="L198" s="170">
        <v>44995</v>
      </c>
      <c r="M198" s="116">
        <v>254.5</v>
      </c>
      <c r="N198" s="116">
        <v>257.7</v>
      </c>
      <c r="O198" s="116">
        <v>252</v>
      </c>
      <c r="P198" s="116">
        <v>256.64999999999998</v>
      </c>
      <c r="Q198" s="116">
        <v>254.5</v>
      </c>
      <c r="R198">
        <v>34529</v>
      </c>
    </row>
    <row r="199" spans="1:18" x14ac:dyDescent="0.25">
      <c r="A199" s="170">
        <v>44998</v>
      </c>
      <c r="B199" s="116">
        <v>256.89999999999998</v>
      </c>
      <c r="C199" s="116">
        <v>246.45</v>
      </c>
      <c r="D199" s="116">
        <v>241.75</v>
      </c>
      <c r="E199" s="116">
        <v>254.05</v>
      </c>
      <c r="F199" s="116">
        <v>246.45</v>
      </c>
      <c r="G199">
        <v>12667</v>
      </c>
      <c r="H199" s="116"/>
      <c r="I199" s="116"/>
      <c r="L199" s="170">
        <v>44998</v>
      </c>
      <c r="M199" s="116">
        <v>246.2</v>
      </c>
      <c r="N199" s="116">
        <v>257</v>
      </c>
      <c r="O199" s="116">
        <v>243.3</v>
      </c>
      <c r="P199" s="116">
        <v>256.95</v>
      </c>
      <c r="Q199" s="116">
        <v>246.2</v>
      </c>
      <c r="R199">
        <v>67361</v>
      </c>
    </row>
    <row r="200" spans="1:18" x14ac:dyDescent="0.25">
      <c r="A200" s="170">
        <v>44999</v>
      </c>
      <c r="B200" s="116">
        <v>249</v>
      </c>
      <c r="C200" s="116">
        <v>241.5</v>
      </c>
      <c r="D200" s="116">
        <v>237.1</v>
      </c>
      <c r="E200" s="116">
        <v>249</v>
      </c>
      <c r="F200" s="116">
        <v>241.5</v>
      </c>
      <c r="G200">
        <v>8919</v>
      </c>
      <c r="H200" s="116"/>
      <c r="I200" s="116"/>
      <c r="L200" s="170">
        <v>44999</v>
      </c>
      <c r="M200" s="116">
        <v>241.25</v>
      </c>
      <c r="N200" s="116">
        <v>247.55</v>
      </c>
      <c r="O200" s="116">
        <v>237</v>
      </c>
      <c r="P200" s="116">
        <v>247.5</v>
      </c>
      <c r="Q200" s="116">
        <v>241.25</v>
      </c>
      <c r="R200">
        <v>102055</v>
      </c>
    </row>
    <row r="201" spans="1:18" x14ac:dyDescent="0.25">
      <c r="A201" s="170">
        <v>45000</v>
      </c>
      <c r="B201" s="116">
        <v>244.55</v>
      </c>
      <c r="C201" s="116">
        <v>238.85</v>
      </c>
      <c r="D201" s="116">
        <v>237.35</v>
      </c>
      <c r="E201" s="116">
        <v>244.5</v>
      </c>
      <c r="F201" s="116">
        <v>238.85</v>
      </c>
      <c r="G201">
        <v>6903</v>
      </c>
      <c r="H201" s="116"/>
      <c r="I201" s="116"/>
      <c r="L201" s="170">
        <v>45000</v>
      </c>
      <c r="M201" s="116">
        <v>238.5</v>
      </c>
      <c r="N201" s="116">
        <v>247.55</v>
      </c>
      <c r="O201" s="116">
        <v>237</v>
      </c>
      <c r="P201" s="116">
        <v>247.55</v>
      </c>
      <c r="Q201" s="116">
        <v>238.5</v>
      </c>
      <c r="R201">
        <v>67618</v>
      </c>
    </row>
    <row r="202" spans="1:18" x14ac:dyDescent="0.25">
      <c r="A202" s="170">
        <v>45001</v>
      </c>
      <c r="B202" s="116">
        <v>238.8</v>
      </c>
      <c r="C202" s="116">
        <v>225.65</v>
      </c>
      <c r="D202" s="116">
        <v>224</v>
      </c>
      <c r="E202" s="116">
        <v>236.05</v>
      </c>
      <c r="F202" s="116">
        <v>225.65</v>
      </c>
      <c r="G202">
        <v>26746</v>
      </c>
      <c r="H202" s="116"/>
      <c r="I202" s="116"/>
      <c r="L202" s="170">
        <v>45001</v>
      </c>
      <c r="M202" s="116">
        <v>225.35</v>
      </c>
      <c r="N202" s="116">
        <v>240.9</v>
      </c>
      <c r="O202" s="116">
        <v>224</v>
      </c>
      <c r="P202" s="116">
        <v>240.9</v>
      </c>
      <c r="Q202" s="116">
        <v>225.35</v>
      </c>
      <c r="R202">
        <v>165750</v>
      </c>
    </row>
    <row r="203" spans="1:18" x14ac:dyDescent="0.25">
      <c r="A203" s="170">
        <v>45002</v>
      </c>
      <c r="B203" s="116">
        <v>233.55</v>
      </c>
      <c r="C203" s="116">
        <v>220.4</v>
      </c>
      <c r="D203" s="116">
        <v>217.15</v>
      </c>
      <c r="E203" s="116">
        <v>222.05</v>
      </c>
      <c r="F203" s="116">
        <v>220.4</v>
      </c>
      <c r="G203">
        <v>18271</v>
      </c>
      <c r="H203" s="116"/>
      <c r="I203" s="116"/>
      <c r="L203" s="170">
        <v>45002</v>
      </c>
      <c r="M203" s="116">
        <v>220.2</v>
      </c>
      <c r="N203" s="116">
        <v>227.85</v>
      </c>
      <c r="O203" s="116">
        <v>217</v>
      </c>
      <c r="P203" s="116">
        <v>225</v>
      </c>
      <c r="Q203" s="116">
        <v>220.2</v>
      </c>
      <c r="R203">
        <v>158799</v>
      </c>
    </row>
    <row r="204" spans="1:18" x14ac:dyDescent="0.25">
      <c r="A204" s="170">
        <v>45005</v>
      </c>
      <c r="B204" s="116">
        <v>235</v>
      </c>
      <c r="C204" s="116">
        <v>220.8</v>
      </c>
      <c r="D204" s="116">
        <v>212</v>
      </c>
      <c r="E204" s="116">
        <v>216</v>
      </c>
      <c r="F204" s="116">
        <v>220.8</v>
      </c>
      <c r="G204">
        <v>34017</v>
      </c>
      <c r="H204" s="116"/>
      <c r="I204" s="116"/>
      <c r="L204" s="170">
        <v>45005</v>
      </c>
      <c r="M204" s="116">
        <v>220.95</v>
      </c>
      <c r="N204" s="116">
        <v>235.6</v>
      </c>
      <c r="O204" s="116">
        <v>211.25</v>
      </c>
      <c r="P204" s="116">
        <v>219</v>
      </c>
      <c r="Q204" s="116">
        <v>220.95</v>
      </c>
      <c r="R204">
        <v>231812</v>
      </c>
    </row>
    <row r="205" spans="1:18" x14ac:dyDescent="0.25">
      <c r="A205" s="170">
        <v>45006</v>
      </c>
      <c r="B205" s="116">
        <v>233.9</v>
      </c>
      <c r="C205" s="116">
        <v>227.05</v>
      </c>
      <c r="D205" s="116">
        <v>215.45</v>
      </c>
      <c r="E205" s="116">
        <v>221.25</v>
      </c>
      <c r="F205" s="116">
        <v>227.05</v>
      </c>
      <c r="G205">
        <v>152055</v>
      </c>
      <c r="H205" s="116"/>
      <c r="I205" s="116"/>
      <c r="L205" s="170">
        <v>45006</v>
      </c>
      <c r="M205" s="116">
        <v>226.05</v>
      </c>
      <c r="N205" s="116">
        <v>234.05</v>
      </c>
      <c r="O205" s="116">
        <v>215</v>
      </c>
      <c r="P205" s="116">
        <v>221</v>
      </c>
      <c r="Q205" s="116">
        <v>226.05</v>
      </c>
      <c r="R205">
        <v>171664</v>
      </c>
    </row>
    <row r="206" spans="1:18" x14ac:dyDescent="0.25">
      <c r="A206" s="170">
        <v>45007</v>
      </c>
      <c r="B206" s="116">
        <v>233.55</v>
      </c>
      <c r="C206" s="116">
        <v>232.15</v>
      </c>
      <c r="D206" s="116">
        <v>224.6</v>
      </c>
      <c r="E206" s="116">
        <v>226.65</v>
      </c>
      <c r="F206" s="116">
        <v>232.15</v>
      </c>
      <c r="G206">
        <v>4740</v>
      </c>
      <c r="H206" s="116"/>
      <c r="I206" s="116"/>
      <c r="L206" s="170">
        <v>45007</v>
      </c>
      <c r="M206" s="116">
        <v>232.05</v>
      </c>
      <c r="N206" s="116">
        <v>233.45</v>
      </c>
      <c r="O206" s="116">
        <v>227.2</v>
      </c>
      <c r="P206" s="116">
        <v>227.2</v>
      </c>
      <c r="Q206" s="116">
        <v>232.05</v>
      </c>
      <c r="R206">
        <v>73768</v>
      </c>
    </row>
    <row r="207" spans="1:18" x14ac:dyDescent="0.25">
      <c r="A207" s="170">
        <v>45008</v>
      </c>
      <c r="B207" s="116">
        <v>236.9</v>
      </c>
      <c r="C207" s="116">
        <v>223.3</v>
      </c>
      <c r="D207" s="116">
        <v>217.55</v>
      </c>
      <c r="E207" s="116">
        <v>236.9</v>
      </c>
      <c r="F207" s="116">
        <v>223.3</v>
      </c>
      <c r="G207">
        <v>10438</v>
      </c>
      <c r="H207" s="116"/>
      <c r="I207" s="116"/>
      <c r="L207" s="170">
        <v>45008</v>
      </c>
      <c r="M207" s="116">
        <v>223.15</v>
      </c>
      <c r="N207" s="116">
        <v>232.05</v>
      </c>
      <c r="O207" s="116">
        <v>219.65</v>
      </c>
      <c r="P207" s="116">
        <v>230</v>
      </c>
      <c r="Q207" s="116">
        <v>223.15</v>
      </c>
      <c r="R207">
        <v>54238</v>
      </c>
    </row>
    <row r="208" spans="1:18" x14ac:dyDescent="0.25">
      <c r="A208" s="170">
        <v>45009</v>
      </c>
      <c r="B208" s="116">
        <v>232.95</v>
      </c>
      <c r="C208" s="116">
        <v>221.05</v>
      </c>
      <c r="D208" s="116">
        <v>219.7</v>
      </c>
      <c r="E208" s="116">
        <v>232.95</v>
      </c>
      <c r="F208" s="116">
        <v>221.05</v>
      </c>
      <c r="G208">
        <v>8417</v>
      </c>
      <c r="H208" s="116"/>
      <c r="I208" s="116"/>
      <c r="L208" s="170">
        <v>45009</v>
      </c>
      <c r="M208" s="116">
        <v>220.9</v>
      </c>
      <c r="N208" s="116">
        <v>227</v>
      </c>
      <c r="O208" s="116">
        <v>220.2</v>
      </c>
      <c r="P208" s="116">
        <v>225</v>
      </c>
      <c r="Q208" s="116">
        <v>220.9</v>
      </c>
      <c r="R208">
        <v>42045</v>
      </c>
    </row>
    <row r="209" spans="1:18" x14ac:dyDescent="0.25">
      <c r="A209" s="170">
        <v>45012</v>
      </c>
      <c r="B209" s="116">
        <v>224.9</v>
      </c>
      <c r="C209" s="116">
        <v>210.75</v>
      </c>
      <c r="D209" s="116">
        <v>206.9</v>
      </c>
      <c r="E209" s="116">
        <v>224.9</v>
      </c>
      <c r="F209" s="116">
        <v>210.75</v>
      </c>
      <c r="G209">
        <v>30042</v>
      </c>
      <c r="H209" s="116"/>
      <c r="I209" s="116"/>
      <c r="L209" s="170">
        <v>45012</v>
      </c>
      <c r="M209" s="116">
        <v>210.4</v>
      </c>
      <c r="N209" s="116">
        <v>220.75</v>
      </c>
      <c r="O209" s="116">
        <v>206.8</v>
      </c>
      <c r="P209" s="116">
        <v>218</v>
      </c>
      <c r="Q209" s="116">
        <v>210.4</v>
      </c>
      <c r="R209">
        <v>488056</v>
      </c>
    </row>
    <row r="210" spans="1:18" x14ac:dyDescent="0.25">
      <c r="A210" s="170">
        <v>45013</v>
      </c>
      <c r="B210" s="116">
        <v>221.1</v>
      </c>
      <c r="C210" s="116">
        <v>212.3</v>
      </c>
      <c r="D210" s="116">
        <v>211.75</v>
      </c>
      <c r="E210" s="116">
        <v>215.55</v>
      </c>
      <c r="F210" s="116">
        <v>212.3</v>
      </c>
      <c r="G210">
        <v>38273</v>
      </c>
      <c r="H210" s="116"/>
      <c r="I210" s="116"/>
      <c r="L210" s="170">
        <v>45013</v>
      </c>
      <c r="M210" s="116">
        <v>212.3</v>
      </c>
      <c r="N210" s="116">
        <v>221.2</v>
      </c>
      <c r="O210" s="116">
        <v>211</v>
      </c>
      <c r="P210" s="116">
        <v>213</v>
      </c>
      <c r="Q210" s="116">
        <v>212.3</v>
      </c>
      <c r="R210">
        <v>159521</v>
      </c>
    </row>
    <row r="211" spans="1:18" x14ac:dyDescent="0.25">
      <c r="A211" s="170">
        <v>45014</v>
      </c>
      <c r="B211" s="116">
        <v>219.25</v>
      </c>
      <c r="C211" s="116">
        <v>215.85</v>
      </c>
      <c r="D211" s="116">
        <v>211</v>
      </c>
      <c r="E211" s="116">
        <v>211</v>
      </c>
      <c r="F211" s="116">
        <v>215.85</v>
      </c>
      <c r="G211">
        <v>20948</v>
      </c>
      <c r="H211" s="116"/>
      <c r="I211" s="116"/>
      <c r="L211" s="170">
        <v>45014</v>
      </c>
      <c r="M211" s="116">
        <v>216.4</v>
      </c>
      <c r="N211" s="116">
        <v>218.9</v>
      </c>
      <c r="O211" s="116">
        <v>212.5</v>
      </c>
      <c r="P211" s="116">
        <v>212.5</v>
      </c>
      <c r="Q211" s="116">
        <v>216.4</v>
      </c>
      <c r="R211">
        <v>117811</v>
      </c>
    </row>
    <row r="212" spans="1:18" x14ac:dyDescent="0.25">
      <c r="A212" s="170">
        <v>45016</v>
      </c>
      <c r="B212" s="116">
        <v>222.35</v>
      </c>
      <c r="C212" s="116">
        <v>215.7</v>
      </c>
      <c r="D212" s="116">
        <v>210.95</v>
      </c>
      <c r="E212" s="116">
        <v>218</v>
      </c>
      <c r="F212" s="116">
        <v>215.7</v>
      </c>
      <c r="G212">
        <v>18281</v>
      </c>
      <c r="H212" s="116"/>
      <c r="I212" s="116"/>
      <c r="L212" s="170">
        <v>45016</v>
      </c>
      <c r="M212" s="116">
        <v>214.85</v>
      </c>
      <c r="N212" s="116">
        <v>222.95</v>
      </c>
      <c r="O212" s="116">
        <v>210</v>
      </c>
      <c r="P212" s="116">
        <v>219.7</v>
      </c>
      <c r="Q212" s="116">
        <v>214.85</v>
      </c>
      <c r="R212">
        <v>142790</v>
      </c>
    </row>
    <row r="213" spans="1:18" x14ac:dyDescent="0.25">
      <c r="A213" s="170">
        <v>45019</v>
      </c>
      <c r="B213" s="116">
        <v>232.7</v>
      </c>
      <c r="C213" s="116">
        <v>226.3</v>
      </c>
      <c r="D213" s="116">
        <v>216.15</v>
      </c>
      <c r="E213" s="116">
        <v>216.15</v>
      </c>
      <c r="F213" s="116">
        <v>226.3</v>
      </c>
      <c r="G213">
        <v>18246</v>
      </c>
      <c r="H213" s="116"/>
      <c r="I213" s="116"/>
      <c r="L213" s="170">
        <v>45019</v>
      </c>
      <c r="M213" s="116">
        <v>226.4</v>
      </c>
      <c r="N213" s="116">
        <v>233.15</v>
      </c>
      <c r="O213" s="116">
        <v>217.75</v>
      </c>
      <c r="P213" s="116">
        <v>220</v>
      </c>
      <c r="Q213" s="116">
        <v>226.4</v>
      </c>
      <c r="R213">
        <v>129680</v>
      </c>
    </row>
    <row r="214" spans="1:18" x14ac:dyDescent="0.25">
      <c r="A214" s="170">
        <v>45021</v>
      </c>
      <c r="B214" s="116">
        <v>228.65</v>
      </c>
      <c r="C214" s="116">
        <v>228.1</v>
      </c>
      <c r="D214" s="116">
        <v>221.9</v>
      </c>
      <c r="E214" s="116">
        <v>221.9</v>
      </c>
      <c r="F214" s="116">
        <v>228.1</v>
      </c>
      <c r="G214">
        <v>5710</v>
      </c>
      <c r="H214" s="116"/>
      <c r="I214" s="116"/>
      <c r="L214" s="170">
        <v>45021</v>
      </c>
      <c r="M214" s="116">
        <v>227.85</v>
      </c>
      <c r="N214" s="116">
        <v>229</v>
      </c>
      <c r="O214" s="116">
        <v>224.9</v>
      </c>
      <c r="P214" s="116">
        <v>228.65</v>
      </c>
      <c r="Q214" s="116">
        <v>227.85</v>
      </c>
      <c r="R214">
        <v>71931</v>
      </c>
    </row>
    <row r="215" spans="1:18" x14ac:dyDescent="0.25">
      <c r="A215" s="170">
        <v>45022</v>
      </c>
      <c r="B215" s="116">
        <v>244.25</v>
      </c>
      <c r="C215" s="116">
        <v>240.35</v>
      </c>
      <c r="D215" s="116">
        <v>225.85</v>
      </c>
      <c r="E215" s="116">
        <v>227.75</v>
      </c>
      <c r="F215" s="116">
        <v>240.35</v>
      </c>
      <c r="G215">
        <v>17266</v>
      </c>
      <c r="H215" s="116"/>
      <c r="I215" s="116"/>
      <c r="L215" s="170">
        <v>45022</v>
      </c>
      <c r="M215" s="116">
        <v>240.2</v>
      </c>
      <c r="N215" s="116">
        <v>244.7</v>
      </c>
      <c r="O215" s="116">
        <v>226</v>
      </c>
      <c r="P215" s="116">
        <v>228</v>
      </c>
      <c r="Q215" s="116">
        <v>240.2</v>
      </c>
      <c r="R215">
        <v>112782</v>
      </c>
    </row>
    <row r="216" spans="1:18" x14ac:dyDescent="0.25">
      <c r="A216" s="170">
        <v>45026</v>
      </c>
      <c r="B216" s="116">
        <v>246.9</v>
      </c>
      <c r="C216" s="116">
        <v>243.25</v>
      </c>
      <c r="D216" s="116">
        <v>239.9</v>
      </c>
      <c r="E216" s="116">
        <v>246.9</v>
      </c>
      <c r="F216" s="116">
        <v>243.25</v>
      </c>
      <c r="G216">
        <v>7798</v>
      </c>
      <c r="H216" s="116"/>
      <c r="I216" s="116"/>
      <c r="L216" s="170">
        <v>45026</v>
      </c>
      <c r="M216" s="116">
        <v>244.05</v>
      </c>
      <c r="N216" s="116">
        <v>245.8</v>
      </c>
      <c r="O216" s="116">
        <v>240</v>
      </c>
      <c r="P216" s="116">
        <v>243.45</v>
      </c>
      <c r="Q216" s="116">
        <v>244.05</v>
      </c>
      <c r="R216">
        <v>72261</v>
      </c>
    </row>
    <row r="217" spans="1:18" x14ac:dyDescent="0.25">
      <c r="A217" s="170">
        <v>45027</v>
      </c>
      <c r="B217" s="116">
        <v>259</v>
      </c>
      <c r="C217" s="116">
        <v>251.8</v>
      </c>
      <c r="D217" s="116">
        <v>244.4</v>
      </c>
      <c r="E217" s="116">
        <v>259</v>
      </c>
      <c r="F217" s="116">
        <v>251.8</v>
      </c>
      <c r="G217">
        <v>4774</v>
      </c>
      <c r="H217" s="116"/>
      <c r="I217" s="116"/>
      <c r="L217" s="170">
        <v>45027</v>
      </c>
      <c r="M217" s="116">
        <v>251.85</v>
      </c>
      <c r="N217" s="116">
        <v>254.45</v>
      </c>
      <c r="O217" s="116">
        <v>243.25</v>
      </c>
      <c r="P217" s="116">
        <v>243.25</v>
      </c>
      <c r="Q217" s="116">
        <v>251.85</v>
      </c>
      <c r="R217">
        <v>104688</v>
      </c>
    </row>
    <row r="218" spans="1:18" x14ac:dyDescent="0.25">
      <c r="A218" s="170">
        <v>45028</v>
      </c>
      <c r="B218" s="116">
        <v>252.7</v>
      </c>
      <c r="C218" s="116">
        <v>245.05</v>
      </c>
      <c r="D218" s="116">
        <v>242.8</v>
      </c>
      <c r="E218" s="116">
        <v>251.15</v>
      </c>
      <c r="F218" s="116">
        <v>245.05</v>
      </c>
      <c r="G218">
        <v>6207</v>
      </c>
      <c r="H218" s="116"/>
      <c r="I218" s="116"/>
      <c r="L218" s="170">
        <v>45028</v>
      </c>
      <c r="M218" s="116">
        <v>245.55</v>
      </c>
      <c r="N218" s="116">
        <v>253.15</v>
      </c>
      <c r="O218" s="116">
        <v>242.25</v>
      </c>
      <c r="P218" s="116">
        <v>253.15</v>
      </c>
      <c r="Q218" s="116">
        <v>245.55</v>
      </c>
      <c r="R218">
        <v>67081</v>
      </c>
    </row>
    <row r="219" spans="1:18" x14ac:dyDescent="0.25">
      <c r="A219" s="170">
        <v>45029</v>
      </c>
      <c r="B219" s="116">
        <v>252.6</v>
      </c>
      <c r="C219" s="116">
        <v>240.65</v>
      </c>
      <c r="D219" s="116">
        <v>240.1</v>
      </c>
      <c r="E219" s="116">
        <v>252.6</v>
      </c>
      <c r="F219" s="116">
        <v>240.65</v>
      </c>
      <c r="G219">
        <v>3180</v>
      </c>
      <c r="H219" s="116"/>
      <c r="I219" s="116"/>
      <c r="L219" s="170">
        <v>45029</v>
      </c>
      <c r="M219" s="116">
        <v>241.2</v>
      </c>
      <c r="N219" s="116">
        <v>246.75</v>
      </c>
      <c r="O219" s="116">
        <v>240.5</v>
      </c>
      <c r="P219" s="116">
        <v>245.05</v>
      </c>
      <c r="Q219" s="116">
        <v>241.2</v>
      </c>
      <c r="R219">
        <v>28084</v>
      </c>
    </row>
    <row r="220" spans="1:18" x14ac:dyDescent="0.25">
      <c r="A220" s="170">
        <v>45033</v>
      </c>
      <c r="B220" s="116">
        <v>278.8</v>
      </c>
      <c r="C220" s="116">
        <v>262.7</v>
      </c>
      <c r="D220" s="116">
        <v>238.05</v>
      </c>
      <c r="E220" s="116">
        <v>238.05</v>
      </c>
      <c r="F220" s="116">
        <v>262.7</v>
      </c>
      <c r="G220">
        <v>8849</v>
      </c>
      <c r="H220" s="116"/>
      <c r="I220" s="116"/>
      <c r="L220" s="170">
        <v>45033</v>
      </c>
      <c r="M220" s="116">
        <v>261.05</v>
      </c>
      <c r="N220" s="116">
        <v>279.05</v>
      </c>
      <c r="O220" s="116">
        <v>238.25</v>
      </c>
      <c r="P220" s="116">
        <v>242.25</v>
      </c>
      <c r="Q220" s="116">
        <v>261.05</v>
      </c>
      <c r="R220">
        <v>127816</v>
      </c>
    </row>
    <row r="221" spans="1:18" x14ac:dyDescent="0.25">
      <c r="A221" s="170">
        <v>45034</v>
      </c>
      <c r="B221" s="116">
        <v>273.05</v>
      </c>
      <c r="C221" s="116">
        <v>259.85000000000002</v>
      </c>
      <c r="D221" s="116">
        <v>258.5</v>
      </c>
      <c r="E221" s="116">
        <v>267.89999999999998</v>
      </c>
      <c r="F221" s="116">
        <v>259.85000000000002</v>
      </c>
      <c r="G221">
        <v>18990</v>
      </c>
      <c r="H221" s="116"/>
      <c r="I221" s="116"/>
      <c r="L221" s="170">
        <v>45034</v>
      </c>
      <c r="M221" s="116">
        <v>260.05</v>
      </c>
      <c r="N221" s="116">
        <v>275.05</v>
      </c>
      <c r="O221" s="116">
        <v>258.45</v>
      </c>
      <c r="P221" s="116">
        <v>265</v>
      </c>
      <c r="Q221" s="116">
        <v>260.05</v>
      </c>
      <c r="R221">
        <v>138722</v>
      </c>
    </row>
    <row r="222" spans="1:18" x14ac:dyDescent="0.25">
      <c r="A222" s="170">
        <v>45035</v>
      </c>
      <c r="B222" s="116">
        <v>275</v>
      </c>
      <c r="C222" s="116">
        <v>272.2</v>
      </c>
      <c r="D222" s="116">
        <v>255.75</v>
      </c>
      <c r="E222" s="116">
        <v>260.05</v>
      </c>
      <c r="F222" s="116">
        <v>272.2</v>
      </c>
      <c r="G222">
        <v>20321</v>
      </c>
      <c r="H222" s="116"/>
      <c r="I222" s="116"/>
      <c r="L222" s="170">
        <v>45035</v>
      </c>
      <c r="M222" s="116">
        <v>272.89999999999998</v>
      </c>
      <c r="N222" s="116">
        <v>275</v>
      </c>
      <c r="O222" s="116">
        <v>255.55</v>
      </c>
      <c r="P222" s="116">
        <v>260.05</v>
      </c>
      <c r="Q222" s="116">
        <v>272.89999999999998</v>
      </c>
      <c r="R222">
        <v>390429</v>
      </c>
    </row>
    <row r="223" spans="1:18" x14ac:dyDescent="0.25">
      <c r="A223" s="170">
        <v>45036</v>
      </c>
      <c r="B223" s="116">
        <v>271.05</v>
      </c>
      <c r="C223" s="116">
        <v>267.5</v>
      </c>
      <c r="D223" s="116">
        <v>266.60000000000002</v>
      </c>
      <c r="E223" s="116">
        <v>270.05</v>
      </c>
      <c r="F223" s="116">
        <v>267.5</v>
      </c>
      <c r="G223">
        <v>8884</v>
      </c>
      <c r="H223" s="116"/>
      <c r="I223" s="116"/>
      <c r="L223" s="170">
        <v>45036</v>
      </c>
      <c r="M223" s="116">
        <v>267.5</v>
      </c>
      <c r="N223" s="116">
        <v>272.7</v>
      </c>
      <c r="O223" s="116">
        <v>266.25</v>
      </c>
      <c r="P223" s="116">
        <v>272.7</v>
      </c>
      <c r="Q223" s="116">
        <v>267.5</v>
      </c>
      <c r="R223">
        <v>85281</v>
      </c>
    </row>
    <row r="224" spans="1:18" x14ac:dyDescent="0.25">
      <c r="A224" s="170">
        <v>45037</v>
      </c>
      <c r="B224" s="116">
        <v>275</v>
      </c>
      <c r="C224" s="116">
        <v>268.64999999999998</v>
      </c>
      <c r="D224" s="116">
        <v>263.35000000000002</v>
      </c>
      <c r="E224" s="116">
        <v>265.8</v>
      </c>
      <c r="F224" s="116">
        <v>268.64999999999998</v>
      </c>
      <c r="G224">
        <v>11420</v>
      </c>
      <c r="H224" s="116"/>
      <c r="I224" s="116"/>
      <c r="L224" s="170">
        <v>45037</v>
      </c>
      <c r="M224" s="116">
        <v>268.2</v>
      </c>
      <c r="N224" s="116">
        <v>275</v>
      </c>
      <c r="O224" s="116">
        <v>262.85000000000002</v>
      </c>
      <c r="P224" s="116">
        <v>267.39999999999998</v>
      </c>
      <c r="Q224" s="116">
        <v>268.2</v>
      </c>
      <c r="R224">
        <v>99429</v>
      </c>
    </row>
    <row r="225" spans="1:18" x14ac:dyDescent="0.25">
      <c r="A225" s="170">
        <v>45040</v>
      </c>
      <c r="B225" s="116">
        <v>272.95</v>
      </c>
      <c r="C225" s="116">
        <v>266.39999999999998</v>
      </c>
      <c r="D225" s="116">
        <v>262.55</v>
      </c>
      <c r="E225" s="116">
        <v>266.14999999999998</v>
      </c>
      <c r="F225" s="116">
        <v>266.39999999999998</v>
      </c>
      <c r="G225">
        <v>15589</v>
      </c>
      <c r="H225" s="116"/>
      <c r="I225" s="116"/>
      <c r="L225" s="170">
        <v>45040</v>
      </c>
      <c r="M225" s="116">
        <v>268</v>
      </c>
      <c r="N225" s="116">
        <v>273.89999999999998</v>
      </c>
      <c r="O225" s="116">
        <v>266.05</v>
      </c>
      <c r="P225" s="116">
        <v>269.60000000000002</v>
      </c>
      <c r="Q225" s="116">
        <v>268</v>
      </c>
      <c r="R225">
        <v>68136</v>
      </c>
    </row>
    <row r="226" spans="1:18" x14ac:dyDescent="0.25">
      <c r="A226" s="170">
        <v>45041</v>
      </c>
      <c r="B226" s="116">
        <v>272.60000000000002</v>
      </c>
      <c r="C226" s="116">
        <v>267.14999999999998</v>
      </c>
      <c r="D226" s="116">
        <v>263.2</v>
      </c>
      <c r="E226" s="116">
        <v>269.3</v>
      </c>
      <c r="F226" s="116">
        <v>267.14999999999998</v>
      </c>
      <c r="G226">
        <v>10983</v>
      </c>
      <c r="H226" s="116"/>
      <c r="I226" s="116"/>
      <c r="L226" s="170">
        <v>45041</v>
      </c>
      <c r="M226" s="116">
        <v>267.89999999999998</v>
      </c>
      <c r="N226" s="116">
        <v>272.89999999999998</v>
      </c>
      <c r="O226" s="116">
        <v>266.25</v>
      </c>
      <c r="P226" s="116">
        <v>268.95</v>
      </c>
      <c r="Q226" s="116">
        <v>267.89999999999998</v>
      </c>
      <c r="R226">
        <v>70669</v>
      </c>
    </row>
    <row r="227" spans="1:18" x14ac:dyDescent="0.25">
      <c r="A227" s="170">
        <v>45042</v>
      </c>
      <c r="B227" s="116">
        <v>267.2</v>
      </c>
      <c r="C227" s="116">
        <v>265.39999999999998</v>
      </c>
      <c r="D227" s="116">
        <v>260.45</v>
      </c>
      <c r="E227" s="116">
        <v>263.05</v>
      </c>
      <c r="F227" s="116">
        <v>265.39999999999998</v>
      </c>
      <c r="G227">
        <v>2654</v>
      </c>
      <c r="H227" s="116"/>
      <c r="I227" s="116"/>
      <c r="L227" s="170">
        <v>45042</v>
      </c>
      <c r="M227" s="116">
        <v>265.55</v>
      </c>
      <c r="N227" s="116">
        <v>268.7</v>
      </c>
      <c r="O227" s="116">
        <v>262.8</v>
      </c>
      <c r="P227" s="116">
        <v>268.7</v>
      </c>
      <c r="Q227" s="116">
        <v>265.55</v>
      </c>
      <c r="R227">
        <v>47229</v>
      </c>
    </row>
    <row r="228" spans="1:18" x14ac:dyDescent="0.25">
      <c r="A228" s="170">
        <v>45043</v>
      </c>
      <c r="B228" s="116">
        <v>271.25</v>
      </c>
      <c r="C228" s="116">
        <v>270.05</v>
      </c>
      <c r="D228" s="116">
        <v>264.64999999999998</v>
      </c>
      <c r="E228" s="116">
        <v>265</v>
      </c>
      <c r="F228" s="116">
        <v>270.05</v>
      </c>
      <c r="G228">
        <v>2124</v>
      </c>
      <c r="H228" s="116"/>
      <c r="I228" s="116"/>
      <c r="L228" s="170">
        <v>45043</v>
      </c>
      <c r="M228" s="116">
        <v>270.60000000000002</v>
      </c>
      <c r="N228" s="116">
        <v>271.7</v>
      </c>
      <c r="O228" s="116">
        <v>265.64999999999998</v>
      </c>
      <c r="P228" s="116">
        <v>266.85000000000002</v>
      </c>
      <c r="Q228" s="116">
        <v>270.60000000000002</v>
      </c>
      <c r="R228">
        <v>53748</v>
      </c>
    </row>
    <row r="229" spans="1:18" x14ac:dyDescent="0.25">
      <c r="A229" s="170">
        <v>45044</v>
      </c>
      <c r="B229" s="116">
        <v>277.75</v>
      </c>
      <c r="C229" s="116">
        <v>271.3</v>
      </c>
      <c r="D229" s="116">
        <v>268.10000000000002</v>
      </c>
      <c r="E229" s="116">
        <v>272</v>
      </c>
      <c r="F229" s="116">
        <v>271.3</v>
      </c>
      <c r="G229">
        <v>2335</v>
      </c>
      <c r="H229" s="116"/>
      <c r="I229" s="116"/>
      <c r="L229" s="170">
        <v>45044</v>
      </c>
      <c r="M229" s="116">
        <v>270.7</v>
      </c>
      <c r="N229" s="116">
        <v>278.05</v>
      </c>
      <c r="O229" s="116">
        <v>268</v>
      </c>
      <c r="P229" s="116">
        <v>272.64999999999998</v>
      </c>
      <c r="Q229" s="116">
        <v>270.7</v>
      </c>
      <c r="R229">
        <v>94750</v>
      </c>
    </row>
    <row r="230" spans="1:18" x14ac:dyDescent="0.25">
      <c r="A230" s="170">
        <v>45048</v>
      </c>
      <c r="B230" s="116">
        <v>280.75</v>
      </c>
      <c r="C230" s="116">
        <v>277.35000000000002</v>
      </c>
      <c r="D230" s="116">
        <v>274.05</v>
      </c>
      <c r="E230" s="116">
        <v>275.3</v>
      </c>
      <c r="F230" s="116">
        <v>277.35000000000002</v>
      </c>
      <c r="G230">
        <v>39705</v>
      </c>
      <c r="H230" s="116"/>
      <c r="I230" s="116"/>
      <c r="L230" s="170">
        <v>45048</v>
      </c>
      <c r="M230" s="116">
        <v>277.55</v>
      </c>
      <c r="N230" s="116">
        <v>280</v>
      </c>
      <c r="O230" s="116">
        <v>274</v>
      </c>
      <c r="P230" s="116">
        <v>278.95</v>
      </c>
      <c r="Q230" s="116">
        <v>277.55</v>
      </c>
      <c r="R230">
        <v>185549</v>
      </c>
    </row>
    <row r="231" spans="1:18" x14ac:dyDescent="0.25">
      <c r="A231" s="170">
        <v>45049</v>
      </c>
      <c r="B231" s="116">
        <v>282.89999999999998</v>
      </c>
      <c r="C231" s="116">
        <v>281.14999999999998</v>
      </c>
      <c r="D231" s="116">
        <v>273.64999999999998</v>
      </c>
      <c r="E231" s="116">
        <v>276</v>
      </c>
      <c r="F231" s="116">
        <v>281.14999999999998</v>
      </c>
      <c r="G231">
        <v>11843</v>
      </c>
      <c r="H231" s="116"/>
      <c r="I231" s="116"/>
      <c r="L231" s="170">
        <v>45049</v>
      </c>
      <c r="M231" s="116">
        <v>281.3</v>
      </c>
      <c r="N231" s="116">
        <v>282</v>
      </c>
      <c r="O231" s="116">
        <v>274.05</v>
      </c>
      <c r="P231" s="116">
        <v>275</v>
      </c>
      <c r="Q231" s="116">
        <v>281.3</v>
      </c>
      <c r="R231">
        <v>197507</v>
      </c>
    </row>
    <row r="232" spans="1:18" x14ac:dyDescent="0.25">
      <c r="A232" s="170">
        <v>45050</v>
      </c>
      <c r="B232" s="116">
        <v>288</v>
      </c>
      <c r="C232" s="116">
        <v>287.10000000000002</v>
      </c>
      <c r="D232" s="116">
        <v>281</v>
      </c>
      <c r="E232" s="116">
        <v>281.05</v>
      </c>
      <c r="F232" s="116">
        <v>287.10000000000002</v>
      </c>
      <c r="G232">
        <v>7910</v>
      </c>
      <c r="H232" s="116"/>
      <c r="I232" s="116"/>
      <c r="L232" s="170">
        <v>45050</v>
      </c>
      <c r="M232" s="116">
        <v>287</v>
      </c>
      <c r="N232" s="116">
        <v>288.25</v>
      </c>
      <c r="O232" s="116">
        <v>281</v>
      </c>
      <c r="P232" s="116">
        <v>281.3</v>
      </c>
      <c r="Q232" s="116">
        <v>287</v>
      </c>
      <c r="R232">
        <v>150773</v>
      </c>
    </row>
    <row r="233" spans="1:18" x14ac:dyDescent="0.25">
      <c r="A233" s="170">
        <v>45051</v>
      </c>
      <c r="B233" s="116">
        <v>308</v>
      </c>
      <c r="C233" s="116">
        <v>298.8</v>
      </c>
      <c r="D233" s="116">
        <v>287.55</v>
      </c>
      <c r="E233" s="116">
        <v>288.85000000000002</v>
      </c>
      <c r="F233" s="116">
        <v>298.8</v>
      </c>
      <c r="G233">
        <v>49788</v>
      </c>
      <c r="H233" s="116"/>
      <c r="I233" s="116"/>
      <c r="L233" s="170">
        <v>45051</v>
      </c>
      <c r="M233" s="116">
        <v>298.45</v>
      </c>
      <c r="N233" s="116">
        <v>308.05</v>
      </c>
      <c r="O233" s="116">
        <v>287.05</v>
      </c>
      <c r="P233" s="116">
        <v>287.05</v>
      </c>
      <c r="Q233" s="116">
        <v>298.45</v>
      </c>
      <c r="R233">
        <v>446483</v>
      </c>
    </row>
    <row r="234" spans="1:18" x14ac:dyDescent="0.25">
      <c r="A234" s="170">
        <v>45054</v>
      </c>
      <c r="B234" s="116">
        <v>319.85000000000002</v>
      </c>
      <c r="C234" s="116">
        <v>314.64999999999998</v>
      </c>
      <c r="D234" s="116">
        <v>295.85000000000002</v>
      </c>
      <c r="E234" s="116">
        <v>295.85000000000002</v>
      </c>
      <c r="F234" s="116">
        <v>314.64999999999998</v>
      </c>
      <c r="G234">
        <v>60458</v>
      </c>
      <c r="H234" s="116"/>
      <c r="I234" s="116"/>
      <c r="L234" s="170">
        <v>45054</v>
      </c>
      <c r="M234" s="116">
        <v>315.95</v>
      </c>
      <c r="N234" s="116">
        <v>320</v>
      </c>
      <c r="O234" s="116">
        <v>298.5</v>
      </c>
      <c r="P234" s="116">
        <v>299.60000000000002</v>
      </c>
      <c r="Q234" s="116">
        <v>315.95</v>
      </c>
      <c r="R234">
        <v>359049</v>
      </c>
    </row>
    <row r="235" spans="1:18" x14ac:dyDescent="0.25">
      <c r="A235" s="170">
        <v>45055</v>
      </c>
      <c r="B235" s="116">
        <v>338.25</v>
      </c>
      <c r="C235" s="116">
        <v>328.15</v>
      </c>
      <c r="D235" s="116">
        <v>317.64999999999998</v>
      </c>
      <c r="E235" s="116">
        <v>320.95</v>
      </c>
      <c r="F235" s="116">
        <v>328.15</v>
      </c>
      <c r="G235">
        <v>37864</v>
      </c>
      <c r="H235" s="116"/>
      <c r="I235" s="116"/>
      <c r="L235" s="170">
        <v>45055</v>
      </c>
      <c r="M235" s="116">
        <v>328.75</v>
      </c>
      <c r="N235" s="116">
        <v>338.7</v>
      </c>
      <c r="O235" s="116">
        <v>319</v>
      </c>
      <c r="P235" s="116">
        <v>319.95</v>
      </c>
      <c r="Q235" s="116">
        <v>328.75</v>
      </c>
      <c r="R235">
        <v>734119</v>
      </c>
    </row>
    <row r="236" spans="1:18" x14ac:dyDescent="0.25">
      <c r="A236" s="170">
        <v>45056</v>
      </c>
      <c r="B236" s="116">
        <v>338.95</v>
      </c>
      <c r="C236" s="116">
        <v>332.2</v>
      </c>
      <c r="D236" s="116">
        <v>328.2</v>
      </c>
      <c r="E236" s="116">
        <v>328.2</v>
      </c>
      <c r="F236" s="116">
        <v>332.2</v>
      </c>
      <c r="G236">
        <v>21472</v>
      </c>
      <c r="H236" s="116"/>
      <c r="I236" s="116"/>
      <c r="L236" s="170">
        <v>45056</v>
      </c>
      <c r="M236" s="116">
        <v>332.25</v>
      </c>
      <c r="N236" s="116">
        <v>338</v>
      </c>
      <c r="O236" s="116">
        <v>328.8</v>
      </c>
      <c r="P236" s="116">
        <v>328.95</v>
      </c>
      <c r="Q236" s="116">
        <v>332.25</v>
      </c>
      <c r="R236">
        <v>292555</v>
      </c>
    </row>
    <row r="237" spans="1:18" x14ac:dyDescent="0.25">
      <c r="A237" s="170">
        <v>45057</v>
      </c>
      <c r="B237" s="116">
        <v>341</v>
      </c>
      <c r="C237" s="116">
        <v>339.95</v>
      </c>
      <c r="D237" s="116">
        <v>335.2</v>
      </c>
      <c r="E237" s="116">
        <v>338.4</v>
      </c>
      <c r="F237" s="116">
        <v>339.95</v>
      </c>
      <c r="G237">
        <v>14518</v>
      </c>
      <c r="H237" s="116"/>
      <c r="I237" s="116"/>
      <c r="L237" s="170">
        <v>45057</v>
      </c>
      <c r="M237" s="116">
        <v>339.85</v>
      </c>
      <c r="N237" s="116">
        <v>341</v>
      </c>
      <c r="O237" s="116">
        <v>332.25</v>
      </c>
      <c r="P237" s="116">
        <v>334.35</v>
      </c>
      <c r="Q237" s="116">
        <v>339.85</v>
      </c>
      <c r="R237">
        <v>335207</v>
      </c>
    </row>
    <row r="238" spans="1:18" x14ac:dyDescent="0.25">
      <c r="A238" s="170">
        <v>45058</v>
      </c>
      <c r="B238" s="116">
        <v>342</v>
      </c>
      <c r="C238" s="116">
        <v>339.7</v>
      </c>
      <c r="D238" s="116">
        <v>333.9</v>
      </c>
      <c r="E238" s="116">
        <v>339</v>
      </c>
      <c r="F238" s="116">
        <v>339.7</v>
      </c>
      <c r="G238">
        <v>24922</v>
      </c>
      <c r="H238" s="116"/>
      <c r="I238" s="116"/>
      <c r="L238" s="170">
        <v>45058</v>
      </c>
      <c r="M238" s="116">
        <v>340.2</v>
      </c>
      <c r="N238" s="116">
        <v>342</v>
      </c>
      <c r="O238" s="116">
        <v>335.35</v>
      </c>
      <c r="P238" s="116">
        <v>339.7</v>
      </c>
      <c r="Q238" s="116">
        <v>340.2</v>
      </c>
      <c r="R238">
        <v>353911</v>
      </c>
    </row>
    <row r="239" spans="1:18" x14ac:dyDescent="0.25">
      <c r="A239" s="170">
        <v>45061</v>
      </c>
      <c r="B239" s="116">
        <v>340.7</v>
      </c>
      <c r="C239" s="116">
        <v>339.85</v>
      </c>
      <c r="D239" s="116">
        <v>332.25</v>
      </c>
      <c r="E239" s="116">
        <v>333.65</v>
      </c>
      <c r="F239" s="116">
        <v>339.85</v>
      </c>
      <c r="G239">
        <v>12092</v>
      </c>
      <c r="H239" s="116"/>
      <c r="I239" s="116"/>
      <c r="L239" s="170">
        <v>45061</v>
      </c>
      <c r="M239" s="116">
        <v>339.85</v>
      </c>
      <c r="N239" s="116">
        <v>340.95</v>
      </c>
      <c r="O239" s="116">
        <v>331.15</v>
      </c>
      <c r="P239" s="116">
        <v>336</v>
      </c>
      <c r="Q239" s="116">
        <v>339.85</v>
      </c>
      <c r="R239">
        <v>231309</v>
      </c>
    </row>
    <row r="240" spans="1:18" x14ac:dyDescent="0.25">
      <c r="A240" s="170">
        <v>45062</v>
      </c>
      <c r="B240" s="116">
        <v>344.2</v>
      </c>
      <c r="C240" s="116">
        <v>340.1</v>
      </c>
      <c r="D240" s="116">
        <v>335</v>
      </c>
      <c r="E240" s="116">
        <v>340</v>
      </c>
      <c r="F240" s="116">
        <v>340.1</v>
      </c>
      <c r="G240">
        <v>18592</v>
      </c>
      <c r="H240" s="116"/>
      <c r="I240" s="116"/>
      <c r="L240" s="170">
        <v>45062</v>
      </c>
      <c r="M240" s="116">
        <v>340.05</v>
      </c>
      <c r="N240" s="116">
        <v>344.4</v>
      </c>
      <c r="O240" s="116">
        <v>335</v>
      </c>
      <c r="P240" s="116">
        <v>341.55</v>
      </c>
      <c r="Q240" s="116">
        <v>340.05</v>
      </c>
      <c r="R240">
        <v>307909</v>
      </c>
    </row>
    <row r="241" spans="1:18" x14ac:dyDescent="0.25">
      <c r="A241" s="170">
        <v>45063</v>
      </c>
      <c r="B241" s="116">
        <v>349.25</v>
      </c>
      <c r="C241" s="116">
        <v>346.25</v>
      </c>
      <c r="D241" s="116">
        <v>333.55</v>
      </c>
      <c r="E241" s="116">
        <v>333.55</v>
      </c>
      <c r="F241" s="116">
        <v>346.25</v>
      </c>
      <c r="G241">
        <v>32862</v>
      </c>
      <c r="H241" s="116"/>
      <c r="I241" s="116"/>
      <c r="L241" s="170">
        <v>45063</v>
      </c>
      <c r="M241" s="116">
        <v>346.7</v>
      </c>
      <c r="N241" s="116">
        <v>349</v>
      </c>
      <c r="O241" s="116">
        <v>337</v>
      </c>
      <c r="P241" s="116">
        <v>337</v>
      </c>
      <c r="Q241" s="116">
        <v>346.7</v>
      </c>
      <c r="R241">
        <v>176647</v>
      </c>
    </row>
    <row r="242" spans="1:18" x14ac:dyDescent="0.25">
      <c r="A242" s="170">
        <v>45064</v>
      </c>
      <c r="B242" s="116">
        <v>394.8</v>
      </c>
      <c r="C242" s="116">
        <v>386.2</v>
      </c>
      <c r="D242" s="116">
        <v>345</v>
      </c>
      <c r="E242" s="116">
        <v>345</v>
      </c>
      <c r="F242" s="116">
        <v>386.2</v>
      </c>
      <c r="G242">
        <v>71953</v>
      </c>
      <c r="H242" s="116"/>
      <c r="I242" s="116"/>
      <c r="L242" s="170">
        <v>45064</v>
      </c>
      <c r="M242" s="116">
        <v>388.05</v>
      </c>
      <c r="N242" s="116">
        <v>394.35</v>
      </c>
      <c r="O242" s="116">
        <v>343.5</v>
      </c>
      <c r="P242" s="116">
        <v>344.7</v>
      </c>
      <c r="Q242" s="116">
        <v>388.05</v>
      </c>
      <c r="R242">
        <v>1337429</v>
      </c>
    </row>
    <row r="243" spans="1:18" x14ac:dyDescent="0.25">
      <c r="A243" s="170">
        <v>45065</v>
      </c>
      <c r="B243" s="116">
        <v>414.95</v>
      </c>
      <c r="C243" s="116">
        <v>402.1</v>
      </c>
      <c r="D243" s="116">
        <v>378.9</v>
      </c>
      <c r="E243" s="116">
        <v>382.65</v>
      </c>
      <c r="F243" s="116">
        <v>402.1</v>
      </c>
      <c r="G243">
        <v>106838</v>
      </c>
      <c r="H243" s="116"/>
      <c r="I243" s="116"/>
      <c r="L243" s="170">
        <v>45065</v>
      </c>
      <c r="M243" s="116">
        <v>401.25</v>
      </c>
      <c r="N243" s="116">
        <v>415</v>
      </c>
      <c r="O243" s="116">
        <v>378.45</v>
      </c>
      <c r="P243" s="116">
        <v>387</v>
      </c>
      <c r="Q243" s="116">
        <v>401.25</v>
      </c>
      <c r="R243">
        <v>1568164</v>
      </c>
    </row>
    <row r="244" spans="1:18" x14ac:dyDescent="0.25">
      <c r="A244" s="170">
        <v>45068</v>
      </c>
      <c r="B244" s="116">
        <v>409.35</v>
      </c>
      <c r="C244" s="116">
        <v>405.5</v>
      </c>
      <c r="D244" s="116">
        <v>380.05</v>
      </c>
      <c r="E244" s="116">
        <v>400.95</v>
      </c>
      <c r="F244" s="116">
        <v>405.5</v>
      </c>
      <c r="G244">
        <v>41871</v>
      </c>
      <c r="H244" s="116"/>
      <c r="I244" s="116"/>
      <c r="L244" s="170">
        <v>45068</v>
      </c>
      <c r="M244" s="116">
        <v>406</v>
      </c>
      <c r="N244" s="116">
        <v>409.4</v>
      </c>
      <c r="O244" s="116">
        <v>381</v>
      </c>
      <c r="P244" s="116">
        <v>398.05</v>
      </c>
      <c r="Q244" s="116">
        <v>406</v>
      </c>
      <c r="R244">
        <v>308379</v>
      </c>
    </row>
    <row r="245" spans="1:18" x14ac:dyDescent="0.25">
      <c r="A245" s="170">
        <v>45069</v>
      </c>
      <c r="B245" s="116">
        <v>419</v>
      </c>
      <c r="C245" s="116">
        <v>408.35</v>
      </c>
      <c r="D245" s="116">
        <v>380.9</v>
      </c>
      <c r="E245" s="116">
        <v>407</v>
      </c>
      <c r="F245" s="116">
        <v>408.35</v>
      </c>
      <c r="G245">
        <v>27749</v>
      </c>
      <c r="H245" s="116"/>
      <c r="I245" s="116"/>
      <c r="L245" s="170">
        <v>45069</v>
      </c>
      <c r="M245" s="116">
        <v>406</v>
      </c>
      <c r="N245" s="116">
        <v>419.6</v>
      </c>
      <c r="O245" s="116">
        <v>378</v>
      </c>
      <c r="P245" s="116">
        <v>408.05</v>
      </c>
      <c r="Q245" s="116">
        <v>406</v>
      </c>
      <c r="R245">
        <v>420828</v>
      </c>
    </row>
    <row r="246" spans="1:18" x14ac:dyDescent="0.25">
      <c r="A246" s="170">
        <v>45070</v>
      </c>
      <c r="B246" s="116">
        <v>411.1</v>
      </c>
      <c r="C246" s="116">
        <v>408.55</v>
      </c>
      <c r="D246" s="116">
        <v>395</v>
      </c>
      <c r="E246" s="116">
        <v>410.1</v>
      </c>
      <c r="F246" s="116">
        <v>408.55</v>
      </c>
      <c r="G246">
        <v>33518</v>
      </c>
      <c r="H246" s="116"/>
      <c r="I246" s="116"/>
      <c r="L246" s="170">
        <v>45070</v>
      </c>
      <c r="M246" s="116">
        <v>409.15</v>
      </c>
      <c r="N246" s="116">
        <v>411.75</v>
      </c>
      <c r="O246" s="116">
        <v>395</v>
      </c>
      <c r="P246" s="116">
        <v>411.75</v>
      </c>
      <c r="Q246" s="116">
        <v>409.15</v>
      </c>
      <c r="R246">
        <v>291384</v>
      </c>
    </row>
    <row r="247" spans="1:18" x14ac:dyDescent="0.25">
      <c r="A247" s="170">
        <v>45071</v>
      </c>
      <c r="B247" s="116">
        <v>411.05</v>
      </c>
      <c r="C247" s="116">
        <v>408.45</v>
      </c>
      <c r="D247" s="116">
        <v>396.45</v>
      </c>
      <c r="E247" s="116">
        <v>410.55</v>
      </c>
      <c r="F247" s="116">
        <v>408.45</v>
      </c>
      <c r="G247">
        <v>8146</v>
      </c>
      <c r="H247" s="116"/>
      <c r="I247" s="116"/>
      <c r="L247" s="170">
        <v>45071</v>
      </c>
      <c r="M247" s="116">
        <v>408.65</v>
      </c>
      <c r="N247" s="116">
        <v>413.8</v>
      </c>
      <c r="O247" s="116">
        <v>395</v>
      </c>
      <c r="P247" s="116">
        <v>412.9</v>
      </c>
      <c r="Q247" s="116">
        <v>408.65</v>
      </c>
      <c r="R247">
        <v>127315</v>
      </c>
    </row>
    <row r="248" spans="1:18" x14ac:dyDescent="0.25">
      <c r="A248" s="170">
        <v>45072</v>
      </c>
      <c r="B248" s="116">
        <v>409</v>
      </c>
      <c r="C248" s="116">
        <v>406.4</v>
      </c>
      <c r="D248" s="116">
        <v>399.8</v>
      </c>
      <c r="E248" s="116">
        <v>400.5</v>
      </c>
      <c r="F248" s="116">
        <v>406.4</v>
      </c>
      <c r="G248">
        <v>5097</v>
      </c>
      <c r="H248" s="116"/>
      <c r="I248" s="116"/>
      <c r="L248" s="170">
        <v>45072</v>
      </c>
      <c r="M248" s="116">
        <v>406.45</v>
      </c>
      <c r="N248" s="116">
        <v>410.75</v>
      </c>
      <c r="O248" s="116">
        <v>397</v>
      </c>
      <c r="P248" s="116">
        <v>403</v>
      </c>
      <c r="Q248" s="116">
        <v>406.45</v>
      </c>
      <c r="R248">
        <v>148783</v>
      </c>
    </row>
    <row r="249" spans="1:18" x14ac:dyDescent="0.25">
      <c r="A249" s="170">
        <v>45075</v>
      </c>
      <c r="B249" s="116">
        <v>414.85</v>
      </c>
      <c r="C249" s="116">
        <v>404.8</v>
      </c>
      <c r="D249" s="116">
        <v>401.25</v>
      </c>
      <c r="E249" s="116">
        <v>405</v>
      </c>
      <c r="F249" s="116">
        <v>404.8</v>
      </c>
      <c r="G249">
        <v>6373</v>
      </c>
      <c r="H249" s="116"/>
      <c r="I249" s="116"/>
      <c r="L249" s="170">
        <v>45075</v>
      </c>
      <c r="M249" s="116">
        <v>406.35</v>
      </c>
      <c r="N249" s="116">
        <v>415.1</v>
      </c>
      <c r="O249" s="116">
        <v>400.05</v>
      </c>
      <c r="P249" s="116">
        <v>404</v>
      </c>
      <c r="Q249" s="116">
        <v>406.35</v>
      </c>
      <c r="R249">
        <v>144439</v>
      </c>
    </row>
    <row r="250" spans="1:18" x14ac:dyDescent="0.25">
      <c r="A250" s="170">
        <v>45076</v>
      </c>
      <c r="B250" s="116">
        <v>429.35</v>
      </c>
      <c r="C250" s="116">
        <v>422.85</v>
      </c>
      <c r="D250" s="116">
        <v>406.05</v>
      </c>
      <c r="E250" s="116">
        <v>406.05</v>
      </c>
      <c r="F250" s="116">
        <v>422.85</v>
      </c>
      <c r="G250">
        <v>25195</v>
      </c>
      <c r="H250" s="116"/>
      <c r="I250" s="116"/>
      <c r="L250" s="170">
        <v>45076</v>
      </c>
      <c r="M250" s="116">
        <v>423.35</v>
      </c>
      <c r="N250" s="116">
        <v>430</v>
      </c>
      <c r="O250" s="116">
        <v>406.4</v>
      </c>
      <c r="P250" s="116">
        <v>411</v>
      </c>
      <c r="Q250" s="116">
        <v>423.35</v>
      </c>
      <c r="R250">
        <v>384854</v>
      </c>
    </row>
    <row r="251" spans="1:18" x14ac:dyDescent="0.25">
      <c r="A251" s="170">
        <v>45077</v>
      </c>
      <c r="B251" s="116">
        <v>444</v>
      </c>
      <c r="C251" s="116">
        <v>430.95</v>
      </c>
      <c r="D251" s="116">
        <v>425.05</v>
      </c>
      <c r="E251" s="116">
        <v>425.1</v>
      </c>
      <c r="F251" s="116">
        <v>430.95</v>
      </c>
      <c r="G251">
        <v>9683</v>
      </c>
      <c r="H251" s="116"/>
      <c r="I251" s="116"/>
      <c r="L251" s="170">
        <v>45077</v>
      </c>
      <c r="M251" s="116">
        <v>431.7</v>
      </c>
      <c r="N251" s="116">
        <v>435</v>
      </c>
      <c r="O251" s="116">
        <v>424.05</v>
      </c>
      <c r="P251" s="116">
        <v>428</v>
      </c>
      <c r="Q251" s="116">
        <v>431.7</v>
      </c>
      <c r="R251">
        <v>158661</v>
      </c>
    </row>
    <row r="252" spans="1:18" x14ac:dyDescent="0.25">
      <c r="A252" s="170">
        <v>45078</v>
      </c>
      <c r="B252" s="116">
        <v>439.95</v>
      </c>
      <c r="C252" s="116">
        <v>434.95</v>
      </c>
      <c r="D252" s="116">
        <v>415</v>
      </c>
      <c r="E252" s="116">
        <v>434.65</v>
      </c>
      <c r="F252" s="116">
        <v>434.95</v>
      </c>
      <c r="G252">
        <v>16642</v>
      </c>
      <c r="H252" s="116"/>
      <c r="I252" s="116"/>
      <c r="L252" s="170">
        <v>45078</v>
      </c>
      <c r="M252" s="116">
        <v>434.5</v>
      </c>
      <c r="N252" s="116">
        <v>440</v>
      </c>
      <c r="O252" s="116">
        <v>413.25</v>
      </c>
      <c r="P252" s="116">
        <v>432.65</v>
      </c>
      <c r="Q252" s="116">
        <v>434.5</v>
      </c>
      <c r="R252">
        <v>161923</v>
      </c>
    </row>
    <row r="253" spans="1:18" x14ac:dyDescent="0.25">
      <c r="A253" s="170">
        <v>45079</v>
      </c>
      <c r="B253" s="116">
        <v>445</v>
      </c>
      <c r="C253" s="116">
        <v>436.7</v>
      </c>
      <c r="D253" s="116">
        <v>431</v>
      </c>
      <c r="E253" s="116">
        <v>440</v>
      </c>
      <c r="F253" s="116">
        <v>436.7</v>
      </c>
      <c r="G253">
        <v>17774</v>
      </c>
      <c r="H253" s="116"/>
      <c r="I253" s="116"/>
      <c r="L253" s="170">
        <v>45079</v>
      </c>
      <c r="M253" s="116">
        <v>437.9</v>
      </c>
      <c r="N253" s="116">
        <v>448</v>
      </c>
      <c r="O253" s="116">
        <v>429.8</v>
      </c>
      <c r="P253" s="116">
        <v>438.95</v>
      </c>
      <c r="Q253" s="116">
        <v>437.9</v>
      </c>
      <c r="R253">
        <v>112102</v>
      </c>
    </row>
    <row r="254" spans="1:18" x14ac:dyDescent="0.25">
      <c r="A254" s="170">
        <v>45082</v>
      </c>
      <c r="B254" s="116">
        <v>439.45</v>
      </c>
      <c r="C254" s="116">
        <v>404.55</v>
      </c>
      <c r="D254" s="116">
        <v>401</v>
      </c>
      <c r="E254" s="116">
        <v>430.45</v>
      </c>
      <c r="F254" s="116">
        <v>404.55</v>
      </c>
      <c r="G254">
        <v>22610</v>
      </c>
      <c r="H254" s="116"/>
      <c r="I254" s="116"/>
      <c r="L254" s="170">
        <v>45082</v>
      </c>
      <c r="M254" s="116">
        <v>405.25</v>
      </c>
      <c r="N254" s="116">
        <v>440</v>
      </c>
      <c r="O254" s="116">
        <v>399</v>
      </c>
      <c r="P254" s="116">
        <v>440</v>
      </c>
      <c r="Q254" s="116">
        <v>405.25</v>
      </c>
      <c r="R254">
        <v>332768</v>
      </c>
    </row>
    <row r="255" spans="1:18" x14ac:dyDescent="0.25">
      <c r="A255" s="170">
        <v>45083</v>
      </c>
      <c r="B255" s="116">
        <v>415</v>
      </c>
      <c r="C255" s="116">
        <v>411.95</v>
      </c>
      <c r="D255" s="116">
        <v>403.6</v>
      </c>
      <c r="E255" s="116">
        <v>403.6</v>
      </c>
      <c r="F255" s="116">
        <v>411.95</v>
      </c>
      <c r="G255">
        <v>5847</v>
      </c>
      <c r="H255" s="116"/>
      <c r="I255" s="116"/>
      <c r="L255" s="170">
        <v>45083</v>
      </c>
      <c r="M255" s="116">
        <v>411.6</v>
      </c>
      <c r="N255" s="116">
        <v>413.9</v>
      </c>
      <c r="O255" s="116">
        <v>405</v>
      </c>
      <c r="P255" s="116">
        <v>405.95</v>
      </c>
      <c r="Q255" s="116">
        <v>411.6</v>
      </c>
      <c r="R255">
        <v>114445</v>
      </c>
    </row>
    <row r="256" spans="1:18" x14ac:dyDescent="0.25">
      <c r="A256" s="170">
        <v>45084</v>
      </c>
      <c r="B256" s="116">
        <v>417.7</v>
      </c>
      <c r="C256" s="116">
        <v>411.85</v>
      </c>
      <c r="D256" s="116">
        <v>406.25</v>
      </c>
      <c r="E256" s="116">
        <v>417</v>
      </c>
      <c r="F256" s="116">
        <v>411.85</v>
      </c>
      <c r="G256">
        <v>16888</v>
      </c>
      <c r="H256" s="116"/>
      <c r="I256" s="116"/>
      <c r="L256" s="170">
        <v>45084</v>
      </c>
      <c r="M256" s="116">
        <v>412.15</v>
      </c>
      <c r="N256" s="116">
        <v>419</v>
      </c>
      <c r="O256" s="116">
        <v>406.5</v>
      </c>
      <c r="P256" s="116">
        <v>417.95</v>
      </c>
      <c r="Q256" s="116">
        <v>412.15</v>
      </c>
      <c r="R256">
        <v>115698</v>
      </c>
    </row>
    <row r="257" spans="1:18" x14ac:dyDescent="0.25">
      <c r="A257" s="170">
        <v>45085</v>
      </c>
      <c r="B257" s="116">
        <v>417.5</v>
      </c>
      <c r="C257" s="116">
        <v>411.95</v>
      </c>
      <c r="D257" s="116">
        <v>404.6</v>
      </c>
      <c r="E257" s="116">
        <v>406</v>
      </c>
      <c r="F257" s="116">
        <v>411.95</v>
      </c>
      <c r="G257">
        <v>8612</v>
      </c>
      <c r="H257" s="116"/>
      <c r="I257" s="116"/>
      <c r="L257" s="170">
        <v>45085</v>
      </c>
      <c r="M257" s="116">
        <v>412.3</v>
      </c>
      <c r="N257" s="116">
        <v>417.95</v>
      </c>
      <c r="O257" s="116">
        <v>404.65</v>
      </c>
      <c r="P257" s="116">
        <v>410.05</v>
      </c>
      <c r="Q257" s="116">
        <v>412.3</v>
      </c>
      <c r="R257">
        <v>104860</v>
      </c>
    </row>
    <row r="258" spans="1:18" x14ac:dyDescent="0.25">
      <c r="A258" s="170">
        <v>45086</v>
      </c>
      <c r="B258" s="116">
        <v>415.05</v>
      </c>
      <c r="C258" s="116">
        <v>396.55</v>
      </c>
      <c r="D258" s="116">
        <v>366.6</v>
      </c>
      <c r="E258" s="116">
        <v>412.55</v>
      </c>
      <c r="F258" s="116">
        <v>396.55</v>
      </c>
      <c r="G258">
        <v>21869</v>
      </c>
      <c r="H258" s="116"/>
      <c r="I258" s="116"/>
      <c r="L258" s="170">
        <v>45086</v>
      </c>
      <c r="M258" s="116">
        <v>396.6</v>
      </c>
      <c r="N258" s="116">
        <v>414.95</v>
      </c>
      <c r="O258" s="116">
        <v>360.65</v>
      </c>
      <c r="P258" s="116">
        <v>414.95</v>
      </c>
      <c r="Q258" s="116">
        <v>396.6</v>
      </c>
      <c r="R258">
        <v>402380</v>
      </c>
    </row>
    <row r="259" spans="1:18" x14ac:dyDescent="0.25">
      <c r="A259" s="170">
        <v>45089</v>
      </c>
      <c r="B259" s="116">
        <v>420.45</v>
      </c>
      <c r="C259" s="116">
        <v>418.95</v>
      </c>
      <c r="D259" s="116">
        <v>391.05</v>
      </c>
      <c r="E259" s="116">
        <v>391.05</v>
      </c>
      <c r="F259" s="116">
        <v>418.95</v>
      </c>
      <c r="G259">
        <v>19252</v>
      </c>
      <c r="H259" s="116"/>
      <c r="I259" s="116"/>
      <c r="L259" s="170">
        <v>45089</v>
      </c>
      <c r="M259" s="116">
        <v>417.75</v>
      </c>
      <c r="N259" s="116">
        <v>420</v>
      </c>
      <c r="O259" s="116">
        <v>395.2</v>
      </c>
      <c r="P259" s="116">
        <v>404.4</v>
      </c>
      <c r="Q259" s="116">
        <v>417.75</v>
      </c>
      <c r="R259">
        <v>152442</v>
      </c>
    </row>
    <row r="260" spans="1:18" x14ac:dyDescent="0.25">
      <c r="A260" s="170">
        <v>45090</v>
      </c>
      <c r="B260" s="116">
        <v>424.3</v>
      </c>
      <c r="C260" s="116">
        <v>408.25</v>
      </c>
      <c r="D260" s="116">
        <v>403.55</v>
      </c>
      <c r="E260" s="116">
        <v>418.05</v>
      </c>
      <c r="F260" s="116">
        <v>408.25</v>
      </c>
      <c r="G260">
        <v>28572</v>
      </c>
      <c r="H260" s="116"/>
      <c r="I260" s="116"/>
      <c r="L260" s="170">
        <v>45090</v>
      </c>
      <c r="M260" s="116">
        <v>408.45</v>
      </c>
      <c r="N260" s="116">
        <v>424.8</v>
      </c>
      <c r="O260" s="116">
        <v>403.35</v>
      </c>
      <c r="P260" s="116">
        <v>420.1</v>
      </c>
      <c r="Q260" s="116">
        <v>408.45</v>
      </c>
      <c r="R260">
        <v>149648</v>
      </c>
    </row>
    <row r="261" spans="1:18" x14ac:dyDescent="0.25">
      <c r="A261" s="170">
        <v>45091</v>
      </c>
      <c r="B261" s="116">
        <v>413</v>
      </c>
      <c r="C261" s="116">
        <v>402.8</v>
      </c>
      <c r="D261" s="116">
        <v>398.85</v>
      </c>
      <c r="E261" s="116">
        <v>411</v>
      </c>
      <c r="F261" s="116">
        <v>402.8</v>
      </c>
      <c r="G261">
        <v>8322</v>
      </c>
      <c r="H261" s="116"/>
      <c r="I261" s="116"/>
      <c r="L261" s="170">
        <v>45091</v>
      </c>
      <c r="M261" s="116">
        <v>402.45</v>
      </c>
      <c r="N261" s="116">
        <v>414.9</v>
      </c>
      <c r="O261" s="116">
        <v>397.9</v>
      </c>
      <c r="P261" s="116">
        <v>414.65</v>
      </c>
      <c r="Q261" s="116">
        <v>402.45</v>
      </c>
      <c r="R261">
        <v>90791</v>
      </c>
    </row>
    <row r="262" spans="1:18" x14ac:dyDescent="0.25">
      <c r="A262" s="170">
        <v>45092</v>
      </c>
      <c r="B262" s="116">
        <v>413.4</v>
      </c>
      <c r="C262" s="116">
        <v>400.4</v>
      </c>
      <c r="D262" s="116">
        <v>397</v>
      </c>
      <c r="E262" s="116">
        <v>403.4</v>
      </c>
      <c r="F262" s="116">
        <v>400.4</v>
      </c>
      <c r="G262">
        <v>25237</v>
      </c>
      <c r="H262" s="116"/>
      <c r="I262" s="116"/>
      <c r="L262" s="170">
        <v>45092</v>
      </c>
      <c r="M262" s="116">
        <v>399.65</v>
      </c>
      <c r="N262" s="116">
        <v>413.7</v>
      </c>
      <c r="O262" s="116">
        <v>397</v>
      </c>
      <c r="P262" s="116">
        <v>406.5</v>
      </c>
      <c r="Q262" s="116">
        <v>399.65</v>
      </c>
      <c r="R262">
        <v>154588</v>
      </c>
    </row>
    <row r="263" spans="1:18" x14ac:dyDescent="0.25">
      <c r="A263" s="170">
        <v>45093</v>
      </c>
      <c r="B263" s="116">
        <v>407.75</v>
      </c>
      <c r="C263" s="116">
        <v>405.2</v>
      </c>
      <c r="D263" s="116">
        <v>395.9</v>
      </c>
      <c r="E263" s="116">
        <v>407.75</v>
      </c>
      <c r="F263" s="116">
        <v>405.2</v>
      </c>
      <c r="G263">
        <v>19851</v>
      </c>
      <c r="H263" s="116"/>
      <c r="I263" s="116"/>
      <c r="L263" s="170">
        <v>45093</v>
      </c>
      <c r="M263" s="116">
        <v>405.8</v>
      </c>
      <c r="N263" s="116">
        <v>407.65</v>
      </c>
      <c r="O263" s="116">
        <v>395.55</v>
      </c>
      <c r="P263" s="116">
        <v>403.3</v>
      </c>
      <c r="Q263" s="116">
        <v>405.8</v>
      </c>
      <c r="R263">
        <v>155641</v>
      </c>
    </row>
    <row r="264" spans="1:18" x14ac:dyDescent="0.25">
      <c r="A264" s="170">
        <v>45096</v>
      </c>
      <c r="B264" s="116">
        <v>422.75</v>
      </c>
      <c r="C264" s="116">
        <v>411.2</v>
      </c>
      <c r="D264" s="116">
        <v>397.95</v>
      </c>
      <c r="E264" s="116">
        <v>397.95</v>
      </c>
      <c r="F264" s="116">
        <v>411.2</v>
      </c>
      <c r="G264">
        <v>12322</v>
      </c>
      <c r="H264" s="116"/>
      <c r="I264" s="116"/>
      <c r="L264" s="170">
        <v>45096</v>
      </c>
      <c r="M264" s="116">
        <v>411.35</v>
      </c>
      <c r="N264" s="116">
        <v>422.75</v>
      </c>
      <c r="O264" s="116">
        <v>405.4</v>
      </c>
      <c r="P264" s="116">
        <v>408.5</v>
      </c>
      <c r="Q264" s="116">
        <v>411.35</v>
      </c>
      <c r="R264">
        <v>166382</v>
      </c>
    </row>
    <row r="265" spans="1:18" x14ac:dyDescent="0.25">
      <c r="A265" s="170">
        <v>45097</v>
      </c>
      <c r="B265" s="116">
        <v>415.95</v>
      </c>
      <c r="C265" s="116">
        <v>413.5</v>
      </c>
      <c r="D265" s="116">
        <v>404.05</v>
      </c>
      <c r="E265" s="116">
        <v>404.05</v>
      </c>
      <c r="F265" s="116">
        <v>413.5</v>
      </c>
      <c r="G265">
        <v>16951</v>
      </c>
      <c r="H265" s="116"/>
      <c r="I265" s="116"/>
      <c r="L265" s="170">
        <v>45097</v>
      </c>
      <c r="M265" s="116">
        <v>412.6</v>
      </c>
      <c r="N265" s="116">
        <v>416</v>
      </c>
      <c r="O265" s="116">
        <v>403</v>
      </c>
      <c r="P265" s="116">
        <v>408.5</v>
      </c>
      <c r="Q265" s="116">
        <v>412.6</v>
      </c>
      <c r="R265">
        <v>135708</v>
      </c>
    </row>
    <row r="266" spans="1:18" x14ac:dyDescent="0.25">
      <c r="A266" s="170">
        <v>45098</v>
      </c>
      <c r="B266" s="116">
        <v>430</v>
      </c>
      <c r="C266" s="116">
        <v>409.1</v>
      </c>
      <c r="D266" s="116">
        <v>406.05</v>
      </c>
      <c r="E266" s="116">
        <v>406.05</v>
      </c>
      <c r="F266" s="116">
        <v>409.1</v>
      </c>
      <c r="G266">
        <v>21662</v>
      </c>
      <c r="H266" s="116"/>
      <c r="I266" s="116"/>
      <c r="L266" s="170">
        <v>45098</v>
      </c>
      <c r="M266" s="116">
        <v>409.05</v>
      </c>
      <c r="N266" s="116">
        <v>430</v>
      </c>
      <c r="O266" s="116">
        <v>407.25</v>
      </c>
      <c r="P266" s="116">
        <v>413.9</v>
      </c>
      <c r="Q266" s="116">
        <v>409.05</v>
      </c>
      <c r="R266">
        <v>202228</v>
      </c>
    </row>
    <row r="267" spans="1:18" x14ac:dyDescent="0.25">
      <c r="A267" s="170">
        <v>45099</v>
      </c>
      <c r="B267" s="116">
        <v>418</v>
      </c>
      <c r="C267" s="116">
        <v>406.65</v>
      </c>
      <c r="D267" s="116">
        <v>403.05</v>
      </c>
      <c r="E267" s="116">
        <v>409</v>
      </c>
      <c r="F267" s="116">
        <v>406.65</v>
      </c>
      <c r="G267">
        <v>18740</v>
      </c>
      <c r="H267" s="116"/>
      <c r="I267" s="116"/>
      <c r="L267" s="170">
        <v>45099</v>
      </c>
      <c r="M267" s="116">
        <v>406.25</v>
      </c>
      <c r="N267" s="116">
        <v>418</v>
      </c>
      <c r="O267" s="116">
        <v>403.6</v>
      </c>
      <c r="P267" s="116">
        <v>409</v>
      </c>
      <c r="Q267" s="116">
        <v>406.25</v>
      </c>
      <c r="R267">
        <v>154916</v>
      </c>
    </row>
    <row r="268" spans="1:18" x14ac:dyDescent="0.25">
      <c r="A268" s="170">
        <v>45100</v>
      </c>
      <c r="B268" s="116">
        <v>411.25</v>
      </c>
      <c r="C268" s="116">
        <v>400.5</v>
      </c>
      <c r="D268" s="116">
        <v>395.9</v>
      </c>
      <c r="E268" s="116">
        <v>406.05</v>
      </c>
      <c r="F268" s="116">
        <v>400.5</v>
      </c>
      <c r="G268">
        <v>20338</v>
      </c>
      <c r="H268" s="116"/>
      <c r="I268" s="116"/>
      <c r="L268" s="170">
        <v>45100</v>
      </c>
      <c r="M268" s="116">
        <v>405.3</v>
      </c>
      <c r="N268" s="116">
        <v>411.95</v>
      </c>
      <c r="O268" s="116">
        <v>396.25</v>
      </c>
      <c r="P268" s="116">
        <v>407.7</v>
      </c>
      <c r="Q268" s="116">
        <v>405.3</v>
      </c>
      <c r="R268">
        <v>152629</v>
      </c>
    </row>
    <row r="269" spans="1:18" x14ac:dyDescent="0.25">
      <c r="A269" s="170">
        <v>45103</v>
      </c>
      <c r="B269" s="116">
        <v>417.2</v>
      </c>
      <c r="C269" s="116">
        <v>405.9</v>
      </c>
      <c r="D269" s="116">
        <v>400.1</v>
      </c>
      <c r="E269" s="116">
        <v>400.1</v>
      </c>
      <c r="F269" s="116">
        <v>405.9</v>
      </c>
      <c r="G269">
        <v>8067</v>
      </c>
      <c r="H269" s="116"/>
      <c r="I269" s="116"/>
      <c r="L269" s="170">
        <v>45103</v>
      </c>
      <c r="M269" s="116">
        <v>405.05</v>
      </c>
      <c r="N269" s="116">
        <v>417.25</v>
      </c>
      <c r="O269" s="116">
        <v>403.55</v>
      </c>
      <c r="P269" s="116">
        <v>409.45</v>
      </c>
      <c r="Q269" s="116">
        <v>405.05</v>
      </c>
      <c r="R269">
        <v>157965</v>
      </c>
    </row>
    <row r="270" spans="1:18" x14ac:dyDescent="0.25">
      <c r="A270" s="170">
        <v>45104</v>
      </c>
      <c r="B270" s="116">
        <v>411.7</v>
      </c>
      <c r="C270" s="116">
        <v>406.25</v>
      </c>
      <c r="D270" s="116">
        <v>404.15</v>
      </c>
      <c r="E270" s="116">
        <v>406.5</v>
      </c>
      <c r="F270" s="116">
        <v>406.25</v>
      </c>
      <c r="G270">
        <v>12024</v>
      </c>
      <c r="H270" s="116"/>
      <c r="I270" s="116"/>
      <c r="L270" s="170">
        <v>45104</v>
      </c>
      <c r="M270" s="116">
        <v>406.75</v>
      </c>
      <c r="N270" s="116">
        <v>412</v>
      </c>
      <c r="O270" s="116">
        <v>404.1</v>
      </c>
      <c r="P270" s="116">
        <v>405.2</v>
      </c>
      <c r="Q270" s="116">
        <v>406.75</v>
      </c>
      <c r="R270">
        <v>84004</v>
      </c>
    </row>
    <row r="271" spans="1:18" x14ac:dyDescent="0.25">
      <c r="A271" s="170">
        <v>45105</v>
      </c>
      <c r="B271" s="116">
        <v>416.05</v>
      </c>
      <c r="C271" s="116">
        <v>410.3</v>
      </c>
      <c r="D271" s="116">
        <v>405.45</v>
      </c>
      <c r="E271" s="116">
        <v>411.95</v>
      </c>
      <c r="F271" s="116">
        <v>410.3</v>
      </c>
      <c r="G271">
        <v>5996</v>
      </c>
      <c r="H271" s="116"/>
      <c r="I271" s="116"/>
      <c r="L271" s="170">
        <v>45105</v>
      </c>
      <c r="M271" s="116">
        <v>411</v>
      </c>
      <c r="N271" s="116">
        <v>417.15</v>
      </c>
      <c r="O271" s="116">
        <v>405.1</v>
      </c>
      <c r="P271" s="116">
        <v>408</v>
      </c>
      <c r="Q271" s="116">
        <v>411</v>
      </c>
      <c r="R271">
        <v>132975</v>
      </c>
    </row>
    <row r="272" spans="1:18" x14ac:dyDescent="0.25">
      <c r="A272" s="170">
        <v>45107</v>
      </c>
      <c r="B272" s="116">
        <v>436.65</v>
      </c>
      <c r="C272" s="116">
        <v>431.5</v>
      </c>
      <c r="D272" s="116">
        <v>404.15</v>
      </c>
      <c r="E272" s="116">
        <v>404.15</v>
      </c>
      <c r="F272" s="116">
        <v>431.5</v>
      </c>
      <c r="G272">
        <v>21905</v>
      </c>
      <c r="H272" s="116"/>
      <c r="I272" s="116"/>
      <c r="L272" s="170">
        <v>45107</v>
      </c>
      <c r="M272" s="116">
        <v>429.85</v>
      </c>
      <c r="N272" s="116">
        <v>436.9</v>
      </c>
      <c r="O272" s="116">
        <v>408.05</v>
      </c>
      <c r="P272" s="116">
        <v>412</v>
      </c>
      <c r="Q272" s="116">
        <v>429.85</v>
      </c>
      <c r="R272">
        <v>431550</v>
      </c>
    </row>
    <row r="273" spans="1:18" x14ac:dyDescent="0.25">
      <c r="A273" s="170">
        <v>45110</v>
      </c>
      <c r="B273" s="116">
        <v>443.2</v>
      </c>
      <c r="C273" s="116">
        <v>416.25</v>
      </c>
      <c r="D273" s="116">
        <v>414.4</v>
      </c>
      <c r="E273" s="116">
        <v>431.05</v>
      </c>
      <c r="F273" s="116">
        <v>416.25</v>
      </c>
      <c r="G273">
        <v>27574</v>
      </c>
      <c r="H273" s="116"/>
      <c r="I273" s="116"/>
      <c r="L273" s="170">
        <v>45110</v>
      </c>
      <c r="M273" s="116">
        <v>416.05</v>
      </c>
      <c r="N273" s="116">
        <v>444.1</v>
      </c>
      <c r="O273" s="116">
        <v>414.05</v>
      </c>
      <c r="P273" s="116">
        <v>434.45</v>
      </c>
      <c r="Q273" s="116">
        <v>416.05</v>
      </c>
      <c r="R273">
        <v>218036</v>
      </c>
    </row>
    <row r="274" spans="1:18" x14ac:dyDescent="0.25">
      <c r="A274" s="170">
        <v>45111</v>
      </c>
      <c r="B274" s="116">
        <v>426</v>
      </c>
      <c r="C274" s="116">
        <v>410.6</v>
      </c>
      <c r="D274" s="116">
        <v>406.65</v>
      </c>
      <c r="E274" s="116">
        <v>422</v>
      </c>
      <c r="F274" s="116">
        <v>410.6</v>
      </c>
      <c r="G274">
        <v>20285</v>
      </c>
      <c r="H274" s="116"/>
      <c r="I274" s="116"/>
      <c r="L274" s="170">
        <v>45111</v>
      </c>
      <c r="M274" s="116">
        <v>411.55</v>
      </c>
      <c r="N274" s="116">
        <v>426.3</v>
      </c>
      <c r="O274" s="116">
        <v>405</v>
      </c>
      <c r="P274" s="116">
        <v>417</v>
      </c>
      <c r="Q274" s="116">
        <v>411.55</v>
      </c>
      <c r="R274">
        <v>218318</v>
      </c>
    </row>
    <row r="275" spans="1:18" x14ac:dyDescent="0.25">
      <c r="A275" s="170">
        <v>45112</v>
      </c>
      <c r="B275" s="116">
        <v>470</v>
      </c>
      <c r="C275" s="116">
        <v>460.2</v>
      </c>
      <c r="D275" s="116">
        <v>410.05</v>
      </c>
      <c r="E275" s="116">
        <v>410.05</v>
      </c>
      <c r="F275" s="116">
        <v>460.2</v>
      </c>
      <c r="G275">
        <v>143179</v>
      </c>
      <c r="H275" s="116"/>
      <c r="I275" s="116"/>
      <c r="L275" s="170">
        <v>45112</v>
      </c>
      <c r="M275" s="116">
        <v>463.05</v>
      </c>
      <c r="N275" s="116">
        <v>471.95</v>
      </c>
      <c r="O275" s="116">
        <v>412.95</v>
      </c>
      <c r="P275" s="116">
        <v>413</v>
      </c>
      <c r="Q275" s="116">
        <v>463.05</v>
      </c>
      <c r="R275">
        <v>2464853</v>
      </c>
    </row>
    <row r="276" spans="1:18" x14ac:dyDescent="0.25">
      <c r="A276" s="170">
        <v>45113</v>
      </c>
      <c r="B276" s="116">
        <v>477.1</v>
      </c>
      <c r="C276" s="116">
        <v>469.2</v>
      </c>
      <c r="D276" s="116">
        <v>459.85</v>
      </c>
      <c r="E276" s="116">
        <v>470.6</v>
      </c>
      <c r="F276" s="116">
        <v>469.2</v>
      </c>
      <c r="G276">
        <v>97606</v>
      </c>
      <c r="H276" s="116"/>
      <c r="I276" s="116"/>
      <c r="L276" s="170">
        <v>45113</v>
      </c>
      <c r="M276" s="116">
        <v>468.9</v>
      </c>
      <c r="N276" s="116">
        <v>477</v>
      </c>
      <c r="O276" s="116">
        <v>459.7</v>
      </c>
      <c r="P276" s="116">
        <v>472</v>
      </c>
      <c r="Q276" s="116">
        <v>468.9</v>
      </c>
      <c r="R276">
        <v>667396</v>
      </c>
    </row>
    <row r="277" spans="1:18" x14ac:dyDescent="0.25">
      <c r="A277" s="170">
        <v>45114</v>
      </c>
      <c r="B277" s="116">
        <v>466.75</v>
      </c>
      <c r="C277" s="116">
        <v>457.45</v>
      </c>
      <c r="D277" s="116">
        <v>451.5</v>
      </c>
      <c r="E277" s="116">
        <v>465.95</v>
      </c>
      <c r="F277" s="116">
        <v>457.45</v>
      </c>
      <c r="G277">
        <v>37316</v>
      </c>
      <c r="H277" s="116"/>
      <c r="I277" s="116"/>
      <c r="L277" s="170">
        <v>45114</v>
      </c>
      <c r="M277" s="116">
        <v>457.55</v>
      </c>
      <c r="N277" s="116">
        <v>465</v>
      </c>
      <c r="O277" s="116">
        <v>451.4</v>
      </c>
      <c r="P277" s="116">
        <v>462</v>
      </c>
      <c r="Q277" s="116">
        <v>457.55</v>
      </c>
      <c r="R277">
        <v>257060</v>
      </c>
    </row>
    <row r="278" spans="1:18" x14ac:dyDescent="0.25">
      <c r="A278" s="170">
        <v>45117</v>
      </c>
      <c r="B278" s="116">
        <v>466</v>
      </c>
      <c r="C278" s="116">
        <v>463.65</v>
      </c>
      <c r="D278" s="116">
        <v>443.3</v>
      </c>
      <c r="E278" s="116">
        <v>458.1</v>
      </c>
      <c r="F278" s="116">
        <v>463.65</v>
      </c>
      <c r="G278">
        <v>13421</v>
      </c>
      <c r="H278" s="116"/>
      <c r="I278" s="116"/>
      <c r="L278" s="170">
        <v>45117</v>
      </c>
      <c r="M278" s="116">
        <v>463.7</v>
      </c>
      <c r="N278" s="116">
        <v>466.4</v>
      </c>
      <c r="O278" s="116">
        <v>443</v>
      </c>
      <c r="P278" s="116">
        <v>464.65</v>
      </c>
      <c r="Q278" s="116">
        <v>463.7</v>
      </c>
      <c r="R278">
        <v>252392</v>
      </c>
    </row>
    <row r="279" spans="1:18" x14ac:dyDescent="0.25">
      <c r="A279" s="170">
        <v>45118</v>
      </c>
      <c r="B279" s="116">
        <v>488.15</v>
      </c>
      <c r="C279" s="116">
        <v>483.15</v>
      </c>
      <c r="D279" s="116">
        <v>457.75</v>
      </c>
      <c r="E279" s="116">
        <v>457.75</v>
      </c>
      <c r="F279" s="116">
        <v>483.15</v>
      </c>
      <c r="G279">
        <v>16833</v>
      </c>
      <c r="H279" s="116"/>
      <c r="I279" s="116"/>
      <c r="L279" s="170">
        <v>45118</v>
      </c>
      <c r="M279" s="116">
        <v>481.7</v>
      </c>
      <c r="N279" s="116">
        <v>489.3</v>
      </c>
      <c r="O279" s="116">
        <v>458.25</v>
      </c>
      <c r="P279" s="116">
        <v>469</v>
      </c>
      <c r="Q279" s="116">
        <v>481.7</v>
      </c>
      <c r="R279">
        <v>407407</v>
      </c>
    </row>
    <row r="280" spans="1:18" x14ac:dyDescent="0.25">
      <c r="A280" s="170">
        <v>45119</v>
      </c>
      <c r="B280" s="116">
        <v>494.9</v>
      </c>
      <c r="C280" s="116">
        <v>478.9</v>
      </c>
      <c r="D280" s="116">
        <v>475</v>
      </c>
      <c r="E280" s="116">
        <v>484.05</v>
      </c>
      <c r="F280" s="116">
        <v>478.9</v>
      </c>
      <c r="G280">
        <v>45679</v>
      </c>
      <c r="H280" s="116"/>
      <c r="I280" s="116"/>
      <c r="L280" s="170">
        <v>45119</v>
      </c>
      <c r="M280" s="116">
        <v>478.95</v>
      </c>
      <c r="N280" s="116">
        <v>495</v>
      </c>
      <c r="O280" s="116">
        <v>475.35</v>
      </c>
      <c r="P280" s="116">
        <v>485.9</v>
      </c>
      <c r="Q280" s="116">
        <v>478.95</v>
      </c>
      <c r="R280">
        <v>405690</v>
      </c>
    </row>
    <row r="281" spans="1:18" x14ac:dyDescent="0.25">
      <c r="A281" s="170">
        <v>45120</v>
      </c>
      <c r="B281" s="116">
        <v>481.85</v>
      </c>
      <c r="C281" s="116">
        <v>464.85</v>
      </c>
      <c r="D281" s="116">
        <v>460.1</v>
      </c>
      <c r="E281" s="116">
        <v>478.9</v>
      </c>
      <c r="F281" s="116">
        <v>464.85</v>
      </c>
      <c r="G281">
        <v>18380</v>
      </c>
      <c r="H281" s="116"/>
      <c r="I281" s="116"/>
      <c r="L281" s="170">
        <v>45120</v>
      </c>
      <c r="M281" s="116">
        <v>465.05</v>
      </c>
      <c r="N281" s="116">
        <v>483.2</v>
      </c>
      <c r="O281" s="116">
        <v>461.9</v>
      </c>
      <c r="P281" s="116">
        <v>478.9</v>
      </c>
      <c r="Q281" s="116">
        <v>465.05</v>
      </c>
      <c r="R281">
        <v>173830</v>
      </c>
    </row>
    <row r="282" spans="1:18" x14ac:dyDescent="0.25">
      <c r="A282" s="170">
        <v>45121</v>
      </c>
      <c r="B282" s="116">
        <v>480.2</v>
      </c>
      <c r="C282" s="116">
        <v>474.2</v>
      </c>
      <c r="D282" s="116">
        <v>455.55</v>
      </c>
      <c r="E282" s="116">
        <v>455.55</v>
      </c>
      <c r="F282" s="116">
        <v>474.2</v>
      </c>
      <c r="G282">
        <v>19673</v>
      </c>
      <c r="H282" s="116"/>
      <c r="I282" s="116"/>
      <c r="L282" s="170">
        <v>45121</v>
      </c>
      <c r="M282" s="116">
        <v>469.35</v>
      </c>
      <c r="N282" s="116">
        <v>479.95</v>
      </c>
      <c r="O282" s="116">
        <v>460</v>
      </c>
      <c r="P282" s="116">
        <v>468.8</v>
      </c>
      <c r="Q282" s="116">
        <v>469.35</v>
      </c>
      <c r="R282">
        <v>141795</v>
      </c>
    </row>
    <row r="283" spans="1:18" x14ac:dyDescent="0.25">
      <c r="A283" s="170">
        <v>45124</v>
      </c>
      <c r="B283" s="116">
        <v>489.8</v>
      </c>
      <c r="C283" s="116">
        <v>473.25</v>
      </c>
      <c r="D283" s="116">
        <v>470.1</v>
      </c>
      <c r="E283" s="116">
        <v>474.25</v>
      </c>
      <c r="F283" s="116">
        <v>473.25</v>
      </c>
      <c r="G283">
        <v>21575</v>
      </c>
      <c r="H283" s="116"/>
      <c r="I283" s="116"/>
      <c r="L283" s="170">
        <v>45124</v>
      </c>
      <c r="M283" s="116">
        <v>473.45</v>
      </c>
      <c r="N283" s="116">
        <v>486.65</v>
      </c>
      <c r="O283" s="116">
        <v>470.3</v>
      </c>
      <c r="P283" s="116">
        <v>478.7</v>
      </c>
      <c r="Q283" s="116">
        <v>473.45</v>
      </c>
      <c r="R283">
        <v>178278</v>
      </c>
    </row>
    <row r="284" spans="1:18" x14ac:dyDescent="0.25">
      <c r="A284" s="170">
        <v>45125</v>
      </c>
      <c r="B284" s="116">
        <v>486.85</v>
      </c>
      <c r="C284" s="116">
        <v>474.6</v>
      </c>
      <c r="D284" s="116">
        <v>467.6</v>
      </c>
      <c r="E284" s="116">
        <v>473.3</v>
      </c>
      <c r="F284" s="116">
        <v>474.6</v>
      </c>
      <c r="G284">
        <v>5733</v>
      </c>
      <c r="H284" s="116"/>
      <c r="I284" s="116"/>
      <c r="L284" s="170">
        <v>45125</v>
      </c>
      <c r="M284" s="116">
        <v>474.05</v>
      </c>
      <c r="N284" s="116">
        <v>486.5</v>
      </c>
      <c r="O284" s="116">
        <v>467.1</v>
      </c>
      <c r="P284" s="116">
        <v>475</v>
      </c>
      <c r="Q284" s="116">
        <v>474.05</v>
      </c>
      <c r="R284">
        <v>129721</v>
      </c>
    </row>
    <row r="285" spans="1:18" x14ac:dyDescent="0.25">
      <c r="A285" s="170">
        <v>45126</v>
      </c>
      <c r="B285" s="116">
        <v>484.15</v>
      </c>
      <c r="C285" s="116">
        <v>481.75</v>
      </c>
      <c r="D285" s="116">
        <v>471.65</v>
      </c>
      <c r="E285" s="116">
        <v>476.95</v>
      </c>
      <c r="F285" s="116">
        <v>481.75</v>
      </c>
      <c r="G285">
        <v>12959</v>
      </c>
      <c r="H285" s="116"/>
      <c r="I285" s="116"/>
      <c r="L285" s="170">
        <v>45126</v>
      </c>
      <c r="M285" s="116">
        <v>482.1</v>
      </c>
      <c r="N285" s="116">
        <v>484.5</v>
      </c>
      <c r="O285" s="116">
        <v>471.75</v>
      </c>
      <c r="P285" s="116">
        <v>477.9</v>
      </c>
      <c r="Q285" s="116">
        <v>482.1</v>
      </c>
      <c r="R285">
        <v>129132</v>
      </c>
    </row>
    <row r="286" spans="1:18" x14ac:dyDescent="0.25">
      <c r="A286" s="170">
        <v>45127</v>
      </c>
      <c r="B286" s="116">
        <v>492.15</v>
      </c>
      <c r="C286" s="116">
        <v>479.75</v>
      </c>
      <c r="D286" s="116">
        <v>475.25</v>
      </c>
      <c r="E286" s="116">
        <v>481.5</v>
      </c>
      <c r="F286" s="116">
        <v>479.75</v>
      </c>
      <c r="G286">
        <v>8762</v>
      </c>
      <c r="H286" s="116"/>
      <c r="I286" s="116"/>
      <c r="L286" s="170">
        <v>45127</v>
      </c>
      <c r="M286" s="116">
        <v>479.2</v>
      </c>
      <c r="N286" s="116">
        <v>492.85</v>
      </c>
      <c r="O286" s="116">
        <v>475.25</v>
      </c>
      <c r="P286" s="116">
        <v>482.1</v>
      </c>
      <c r="Q286" s="116">
        <v>479.2</v>
      </c>
      <c r="R286">
        <v>155218</v>
      </c>
    </row>
    <row r="287" spans="1:18" x14ac:dyDescent="0.25">
      <c r="A287" s="170">
        <v>45128</v>
      </c>
      <c r="B287" s="116">
        <v>489.05</v>
      </c>
      <c r="C287" s="116">
        <v>483.75</v>
      </c>
      <c r="D287" s="116">
        <v>472.05</v>
      </c>
      <c r="E287" s="116">
        <v>472.05</v>
      </c>
      <c r="F287" s="116">
        <v>483.75</v>
      </c>
      <c r="G287">
        <v>18805</v>
      </c>
      <c r="H287" s="116"/>
      <c r="I287" s="116"/>
      <c r="L287" s="170">
        <v>45128</v>
      </c>
      <c r="M287" s="116">
        <v>485.4</v>
      </c>
      <c r="N287" s="116">
        <v>490</v>
      </c>
      <c r="O287" s="116">
        <v>477</v>
      </c>
      <c r="P287" s="116">
        <v>479.2</v>
      </c>
      <c r="Q287" s="116">
        <v>485.4</v>
      </c>
      <c r="R287">
        <v>122591</v>
      </c>
    </row>
    <row r="288" spans="1:18" x14ac:dyDescent="0.25">
      <c r="A288" s="170">
        <v>45131</v>
      </c>
      <c r="B288" s="116">
        <v>510</v>
      </c>
      <c r="C288" s="116">
        <v>500.6</v>
      </c>
      <c r="D288" s="116">
        <v>475.05</v>
      </c>
      <c r="E288" s="116">
        <v>475.05</v>
      </c>
      <c r="F288" s="116">
        <v>500.6</v>
      </c>
      <c r="G288">
        <v>25389</v>
      </c>
      <c r="H288" s="116"/>
      <c r="I288" s="116"/>
      <c r="L288" s="170">
        <v>45131</v>
      </c>
      <c r="M288" s="116">
        <v>500.95</v>
      </c>
      <c r="N288" s="116">
        <v>510.9</v>
      </c>
      <c r="O288" s="116">
        <v>477.05</v>
      </c>
      <c r="P288" s="116">
        <v>485.4</v>
      </c>
      <c r="Q288" s="116">
        <v>500.95</v>
      </c>
      <c r="R288">
        <v>291588</v>
      </c>
    </row>
    <row r="289" spans="1:18" x14ac:dyDescent="0.25">
      <c r="A289" s="170">
        <v>45132</v>
      </c>
      <c r="B289" s="116">
        <v>508.15</v>
      </c>
      <c r="C289" s="116">
        <v>482.4</v>
      </c>
      <c r="D289" s="116">
        <v>477.05</v>
      </c>
      <c r="E289" s="116">
        <v>501.05</v>
      </c>
      <c r="F289" s="116">
        <v>482.4</v>
      </c>
      <c r="G289">
        <v>17835</v>
      </c>
      <c r="H289" s="116"/>
      <c r="I289" s="116"/>
      <c r="L289" s="170">
        <v>45132</v>
      </c>
      <c r="M289" s="116">
        <v>482.6</v>
      </c>
      <c r="N289" s="116">
        <v>508</v>
      </c>
      <c r="O289" s="116">
        <v>477</v>
      </c>
      <c r="P289" s="116">
        <v>503.4</v>
      </c>
      <c r="Q289" s="116">
        <v>482.6</v>
      </c>
      <c r="R289">
        <v>237946</v>
      </c>
    </row>
    <row r="290" spans="1:18" x14ac:dyDescent="0.25">
      <c r="A290" s="170">
        <v>45133</v>
      </c>
      <c r="B290" s="116">
        <v>494.05</v>
      </c>
      <c r="C290" s="116">
        <v>487.45</v>
      </c>
      <c r="D290" s="116">
        <v>482.4</v>
      </c>
      <c r="E290" s="116">
        <v>482.4</v>
      </c>
      <c r="F290" s="116">
        <v>487.45</v>
      </c>
      <c r="G290">
        <v>6451</v>
      </c>
      <c r="H290" s="116"/>
      <c r="I290" s="116"/>
      <c r="L290" s="170">
        <v>45133</v>
      </c>
      <c r="M290" s="116">
        <v>487.55</v>
      </c>
      <c r="N290" s="116">
        <v>495</v>
      </c>
      <c r="O290" s="116">
        <v>483.7</v>
      </c>
      <c r="P290" s="116">
        <v>485</v>
      </c>
      <c r="Q290" s="116">
        <v>487.55</v>
      </c>
      <c r="R290">
        <v>120006</v>
      </c>
    </row>
    <row r="291" spans="1:18" x14ac:dyDescent="0.25">
      <c r="A291" s="170">
        <v>45134</v>
      </c>
      <c r="B291" s="116">
        <v>493</v>
      </c>
      <c r="C291" s="116">
        <v>481.9</v>
      </c>
      <c r="D291" s="116">
        <v>480</v>
      </c>
      <c r="E291" s="116">
        <v>490</v>
      </c>
      <c r="F291" s="116">
        <v>481.9</v>
      </c>
      <c r="G291">
        <v>5657</v>
      </c>
      <c r="H291" s="116"/>
      <c r="I291" s="116"/>
      <c r="L291" s="170">
        <v>45134</v>
      </c>
      <c r="M291" s="116">
        <v>481.65</v>
      </c>
      <c r="N291" s="116">
        <v>493.85</v>
      </c>
      <c r="O291" s="116">
        <v>480</v>
      </c>
      <c r="P291" s="116">
        <v>490.75</v>
      </c>
      <c r="Q291" s="116">
        <v>481.65</v>
      </c>
      <c r="R291">
        <v>76635</v>
      </c>
    </row>
    <row r="292" spans="1:18" x14ac:dyDescent="0.25">
      <c r="A292" s="170">
        <v>45135</v>
      </c>
      <c r="B292" s="116">
        <v>489.05</v>
      </c>
      <c r="C292" s="116">
        <v>480.25</v>
      </c>
      <c r="D292" s="116">
        <v>473.85</v>
      </c>
      <c r="E292" s="116">
        <v>473.85</v>
      </c>
      <c r="F292" s="116">
        <v>480.25</v>
      </c>
      <c r="G292">
        <v>26369</v>
      </c>
      <c r="H292" s="116"/>
      <c r="I292" s="116"/>
      <c r="L292" s="170">
        <v>45135</v>
      </c>
      <c r="M292" s="116">
        <v>480.2</v>
      </c>
      <c r="N292" s="116">
        <v>489.9</v>
      </c>
      <c r="O292" s="116">
        <v>475.6</v>
      </c>
      <c r="P292" s="116">
        <v>483.8</v>
      </c>
      <c r="Q292" s="116">
        <v>480.2</v>
      </c>
      <c r="R292">
        <v>98875</v>
      </c>
    </row>
    <row r="293" spans="1:18" x14ac:dyDescent="0.25">
      <c r="A293" s="170">
        <v>45138</v>
      </c>
      <c r="B293" s="116">
        <v>480.25</v>
      </c>
      <c r="C293" s="116">
        <v>450.8</v>
      </c>
      <c r="D293" s="116">
        <v>435.6</v>
      </c>
      <c r="E293" s="116">
        <v>475.1</v>
      </c>
      <c r="F293" s="116">
        <v>450.8</v>
      </c>
      <c r="G293">
        <v>89039</v>
      </c>
      <c r="H293" s="116"/>
      <c r="I293" s="116"/>
      <c r="L293" s="170">
        <v>45138</v>
      </c>
      <c r="M293" s="116">
        <v>450.9</v>
      </c>
      <c r="N293" s="116">
        <v>483.95</v>
      </c>
      <c r="O293" s="116">
        <v>435.05</v>
      </c>
      <c r="P293" s="116">
        <v>476</v>
      </c>
      <c r="Q293" s="116">
        <v>450.9</v>
      </c>
      <c r="R293">
        <v>612542</v>
      </c>
    </row>
    <row r="294" spans="1:18" x14ac:dyDescent="0.25">
      <c r="A294" s="170">
        <v>45139</v>
      </c>
      <c r="B294" s="116">
        <v>465.15</v>
      </c>
      <c r="C294" s="116">
        <v>445.65</v>
      </c>
      <c r="D294" s="116">
        <v>442.2</v>
      </c>
      <c r="E294" s="116">
        <v>452.45</v>
      </c>
      <c r="F294" s="116">
        <v>445.65</v>
      </c>
      <c r="G294">
        <v>16793</v>
      </c>
      <c r="H294" s="116"/>
      <c r="I294" s="116"/>
      <c r="L294" s="170">
        <v>45139</v>
      </c>
      <c r="M294" s="116">
        <v>445.2</v>
      </c>
      <c r="N294" s="116">
        <v>465</v>
      </c>
      <c r="O294" s="116">
        <v>442.1</v>
      </c>
      <c r="P294" s="116">
        <v>459</v>
      </c>
      <c r="Q294" s="116">
        <v>445.2</v>
      </c>
      <c r="R294">
        <v>221245</v>
      </c>
    </row>
    <row r="295" spans="1:18" x14ac:dyDescent="0.25">
      <c r="A295" s="170">
        <v>45140</v>
      </c>
      <c r="B295" s="116">
        <v>452.05</v>
      </c>
      <c r="C295" s="116">
        <v>436.55</v>
      </c>
      <c r="D295" s="116">
        <v>432.15</v>
      </c>
      <c r="E295" s="116">
        <v>445.05</v>
      </c>
      <c r="F295" s="116">
        <v>436.55</v>
      </c>
      <c r="G295">
        <v>26633</v>
      </c>
      <c r="H295" s="116"/>
      <c r="I295" s="116"/>
      <c r="L295" s="170">
        <v>45140</v>
      </c>
      <c r="M295" s="116">
        <v>436.7</v>
      </c>
      <c r="N295" s="116">
        <v>451.75</v>
      </c>
      <c r="O295" s="116">
        <v>432.5</v>
      </c>
      <c r="P295" s="116">
        <v>448.8</v>
      </c>
      <c r="Q295" s="116">
        <v>436.7</v>
      </c>
      <c r="R295">
        <v>175441</v>
      </c>
    </row>
    <row r="296" spans="1:18" x14ac:dyDescent="0.25">
      <c r="A296" s="170">
        <v>45141</v>
      </c>
      <c r="B296" s="116">
        <v>449.55</v>
      </c>
      <c r="C296" s="116">
        <v>445.2</v>
      </c>
      <c r="D296" s="116">
        <v>430</v>
      </c>
      <c r="E296" s="116">
        <v>430.05</v>
      </c>
      <c r="F296" s="116">
        <v>445.2</v>
      </c>
      <c r="G296">
        <v>12705</v>
      </c>
      <c r="H296" s="116"/>
      <c r="I296" s="116"/>
      <c r="L296" s="170">
        <v>45141</v>
      </c>
      <c r="M296" s="116">
        <v>445.25</v>
      </c>
      <c r="N296" s="116">
        <v>450</v>
      </c>
      <c r="O296" s="116">
        <v>432</v>
      </c>
      <c r="P296" s="116">
        <v>435.8</v>
      </c>
      <c r="Q296" s="116">
        <v>445.25</v>
      </c>
      <c r="R296">
        <v>142777</v>
      </c>
    </row>
    <row r="297" spans="1:18" x14ac:dyDescent="0.25">
      <c r="A297" s="170">
        <v>45142</v>
      </c>
      <c r="B297" s="116">
        <v>456</v>
      </c>
      <c r="C297" s="116">
        <v>452.2</v>
      </c>
      <c r="D297" s="116">
        <v>449.1</v>
      </c>
      <c r="E297" s="116">
        <v>449.95</v>
      </c>
      <c r="F297" s="116">
        <v>452.2</v>
      </c>
      <c r="G297">
        <v>3775</v>
      </c>
      <c r="H297" s="116"/>
      <c r="I297" s="116"/>
      <c r="L297" s="170">
        <v>45142</v>
      </c>
      <c r="M297" s="116">
        <v>451.3</v>
      </c>
      <c r="N297" s="116">
        <v>456.6</v>
      </c>
      <c r="O297" s="116">
        <v>448.35</v>
      </c>
      <c r="P297" s="116">
        <v>452</v>
      </c>
      <c r="Q297" s="116">
        <v>451.3</v>
      </c>
      <c r="R297">
        <v>74488</v>
      </c>
    </row>
    <row r="298" spans="1:18" x14ac:dyDescent="0.25">
      <c r="A298" s="170">
        <v>45145</v>
      </c>
      <c r="B298" s="116">
        <v>456.35</v>
      </c>
      <c r="C298" s="116">
        <v>444.7</v>
      </c>
      <c r="D298" s="116">
        <v>440.65</v>
      </c>
      <c r="E298" s="116">
        <v>452.2</v>
      </c>
      <c r="F298" s="116">
        <v>444.7</v>
      </c>
      <c r="G298">
        <v>12113</v>
      </c>
      <c r="H298" s="116"/>
      <c r="I298" s="116"/>
      <c r="L298" s="170">
        <v>45145</v>
      </c>
      <c r="M298" s="116">
        <v>443.95</v>
      </c>
      <c r="N298" s="116">
        <v>457</v>
      </c>
      <c r="O298" s="116">
        <v>441.1</v>
      </c>
      <c r="P298" s="116">
        <v>454.65</v>
      </c>
      <c r="Q298" s="116">
        <v>443.95</v>
      </c>
      <c r="R298">
        <v>88585</v>
      </c>
    </row>
    <row r="299" spans="1:18" x14ac:dyDescent="0.25">
      <c r="A299" s="170">
        <v>45146</v>
      </c>
      <c r="B299" s="116">
        <v>454.15</v>
      </c>
      <c r="C299" s="116">
        <v>438.8</v>
      </c>
      <c r="D299" s="116">
        <v>431.9</v>
      </c>
      <c r="E299" s="116">
        <v>436.05</v>
      </c>
      <c r="F299" s="116">
        <v>438.8</v>
      </c>
      <c r="G299">
        <v>47222</v>
      </c>
      <c r="H299" s="116"/>
      <c r="I299" s="116"/>
      <c r="L299" s="170">
        <v>45146</v>
      </c>
      <c r="M299" s="116">
        <v>438.25</v>
      </c>
      <c r="N299" s="116">
        <v>454.65</v>
      </c>
      <c r="O299" s="116">
        <v>430.2</v>
      </c>
      <c r="P299" s="116">
        <v>446.8</v>
      </c>
      <c r="Q299" s="116">
        <v>438.25</v>
      </c>
      <c r="R299">
        <v>145516</v>
      </c>
    </row>
    <row r="300" spans="1:18" x14ac:dyDescent="0.25">
      <c r="A300" s="170">
        <v>45147</v>
      </c>
      <c r="B300" s="116">
        <v>454.5</v>
      </c>
      <c r="C300" s="116">
        <v>442.75</v>
      </c>
      <c r="D300" s="116">
        <v>434.05</v>
      </c>
      <c r="E300" s="116">
        <v>434.05</v>
      </c>
      <c r="F300" s="116">
        <v>442.75</v>
      </c>
      <c r="G300">
        <v>12336</v>
      </c>
      <c r="H300" s="116"/>
      <c r="I300" s="116"/>
      <c r="L300" s="170">
        <v>45147</v>
      </c>
      <c r="M300" s="116">
        <v>442.3</v>
      </c>
      <c r="N300" s="116">
        <v>454.95</v>
      </c>
      <c r="O300" s="116">
        <v>435.1</v>
      </c>
      <c r="P300" s="116">
        <v>440.05</v>
      </c>
      <c r="Q300" s="116">
        <v>442.3</v>
      </c>
      <c r="R300">
        <v>120726</v>
      </c>
    </row>
    <row r="301" spans="1:18" x14ac:dyDescent="0.25">
      <c r="A301" s="170">
        <v>45148</v>
      </c>
      <c r="B301" s="116">
        <v>448.15</v>
      </c>
      <c r="C301" s="116">
        <v>440.3</v>
      </c>
      <c r="D301" s="116">
        <v>438</v>
      </c>
      <c r="E301" s="116">
        <v>442.75</v>
      </c>
      <c r="F301" s="116">
        <v>440.3</v>
      </c>
      <c r="G301">
        <v>11072</v>
      </c>
      <c r="H301" s="116"/>
      <c r="I301" s="116"/>
      <c r="L301" s="170">
        <v>45148</v>
      </c>
      <c r="M301" s="116">
        <v>440.45</v>
      </c>
      <c r="N301" s="116">
        <v>448.65</v>
      </c>
      <c r="O301" s="116">
        <v>438</v>
      </c>
      <c r="P301" s="116">
        <v>441.65</v>
      </c>
      <c r="Q301" s="116">
        <v>440.45</v>
      </c>
      <c r="R301">
        <v>64848</v>
      </c>
    </row>
    <row r="302" spans="1:18" x14ac:dyDescent="0.25">
      <c r="A302" s="170">
        <v>45149</v>
      </c>
      <c r="B302" s="116">
        <v>451.75</v>
      </c>
      <c r="C302" s="116">
        <v>447.1</v>
      </c>
      <c r="D302" s="116">
        <v>441.05</v>
      </c>
      <c r="E302" s="116">
        <v>444.45</v>
      </c>
      <c r="F302" s="116">
        <v>447.1</v>
      </c>
      <c r="G302">
        <v>2202</v>
      </c>
      <c r="H302" s="116"/>
      <c r="I302" s="116"/>
      <c r="L302" s="170">
        <v>45149</v>
      </c>
      <c r="M302" s="116">
        <v>447</v>
      </c>
      <c r="N302" s="116">
        <v>452.6</v>
      </c>
      <c r="O302" s="116">
        <v>439</v>
      </c>
      <c r="P302" s="116">
        <v>443.6</v>
      </c>
      <c r="Q302" s="116">
        <v>447</v>
      </c>
      <c r="R302">
        <v>55441</v>
      </c>
    </row>
    <row r="303" spans="1:18" x14ac:dyDescent="0.25">
      <c r="A303" s="170">
        <v>45152</v>
      </c>
      <c r="B303" s="116">
        <v>454</v>
      </c>
      <c r="C303" s="116">
        <v>448.95</v>
      </c>
      <c r="D303" s="116">
        <v>430.75</v>
      </c>
      <c r="E303" s="116">
        <v>433.05</v>
      </c>
      <c r="F303" s="116">
        <v>448.95</v>
      </c>
      <c r="G303">
        <v>17518</v>
      </c>
      <c r="H303" s="116"/>
      <c r="I303" s="116"/>
      <c r="L303" s="170">
        <v>45152</v>
      </c>
      <c r="M303" s="116">
        <v>448.8</v>
      </c>
      <c r="N303" s="116">
        <v>454.95</v>
      </c>
      <c r="O303" s="116">
        <v>431.4</v>
      </c>
      <c r="P303" s="116">
        <v>439</v>
      </c>
      <c r="Q303" s="116">
        <v>448.8</v>
      </c>
      <c r="R303">
        <v>104996</v>
      </c>
    </row>
    <row r="304" spans="1:18" x14ac:dyDescent="0.25">
      <c r="A304" s="170">
        <v>45154</v>
      </c>
      <c r="B304" s="116">
        <v>455.9</v>
      </c>
      <c r="C304" s="116">
        <v>446.95</v>
      </c>
      <c r="D304" s="116">
        <v>440</v>
      </c>
      <c r="E304" s="116">
        <v>440.05</v>
      </c>
      <c r="F304" s="116">
        <v>446.95</v>
      </c>
      <c r="G304">
        <v>11974</v>
      </c>
      <c r="H304" s="116"/>
      <c r="I304" s="116"/>
      <c r="L304" s="170">
        <v>45154</v>
      </c>
      <c r="M304" s="116">
        <v>446.8</v>
      </c>
      <c r="N304" s="116">
        <v>456.7</v>
      </c>
      <c r="O304" s="116">
        <v>439.5</v>
      </c>
      <c r="P304" s="116">
        <v>446</v>
      </c>
      <c r="Q304" s="116">
        <v>446.8</v>
      </c>
      <c r="R304">
        <v>86093</v>
      </c>
    </row>
    <row r="305" spans="1:18" x14ac:dyDescent="0.25">
      <c r="A305" s="170">
        <v>45155</v>
      </c>
      <c r="B305" s="116">
        <v>528</v>
      </c>
      <c r="C305" s="116">
        <v>521.04999999999995</v>
      </c>
      <c r="D305" s="116">
        <v>442.05</v>
      </c>
      <c r="E305" s="116">
        <v>442.05</v>
      </c>
      <c r="F305" s="116">
        <v>521.04999999999995</v>
      </c>
      <c r="G305">
        <v>152192</v>
      </c>
      <c r="H305" s="116"/>
      <c r="I305" s="116"/>
      <c r="L305" s="170">
        <v>45155</v>
      </c>
      <c r="M305" s="116">
        <v>520.9</v>
      </c>
      <c r="N305" s="116">
        <v>528.6</v>
      </c>
      <c r="O305" s="116">
        <v>448</v>
      </c>
      <c r="P305" s="116">
        <v>448.75</v>
      </c>
      <c r="Q305" s="116">
        <v>520.9</v>
      </c>
      <c r="R305">
        <v>2095498</v>
      </c>
    </row>
    <row r="306" spans="1:18" x14ac:dyDescent="0.25">
      <c r="A306" s="170">
        <v>45156</v>
      </c>
      <c r="B306" s="116">
        <v>535.35</v>
      </c>
      <c r="C306" s="116">
        <v>528.29999999999995</v>
      </c>
      <c r="D306" s="116">
        <v>495.65</v>
      </c>
      <c r="E306" s="116">
        <v>518.75</v>
      </c>
      <c r="F306" s="116">
        <v>528.29999999999995</v>
      </c>
      <c r="G306">
        <v>85586</v>
      </c>
      <c r="H306" s="116"/>
      <c r="I306" s="116"/>
      <c r="L306" s="170">
        <v>45156</v>
      </c>
      <c r="M306" s="116">
        <v>528.45000000000005</v>
      </c>
      <c r="N306" s="116">
        <v>534.79999999999995</v>
      </c>
      <c r="O306" s="116">
        <v>495.1</v>
      </c>
      <c r="P306" s="116">
        <v>515.75</v>
      </c>
      <c r="Q306" s="116">
        <v>528.45000000000005</v>
      </c>
      <c r="R306">
        <v>814178</v>
      </c>
    </row>
    <row r="307" spans="1:18" x14ac:dyDescent="0.25">
      <c r="A307" s="170">
        <v>45159</v>
      </c>
      <c r="B307" s="116">
        <v>533.65</v>
      </c>
      <c r="C307" s="116">
        <v>520.9</v>
      </c>
      <c r="D307" s="116">
        <v>506.95</v>
      </c>
      <c r="E307" s="116">
        <v>533.65</v>
      </c>
      <c r="F307" s="116">
        <v>520.9</v>
      </c>
      <c r="G307">
        <v>21195</v>
      </c>
      <c r="H307" s="116"/>
      <c r="I307" s="116"/>
      <c r="L307" s="170">
        <v>45159</v>
      </c>
      <c r="M307" s="116">
        <v>520.20000000000005</v>
      </c>
      <c r="N307" s="116">
        <v>533.70000000000005</v>
      </c>
      <c r="O307" s="116">
        <v>505</v>
      </c>
      <c r="P307" s="116">
        <v>528.45000000000005</v>
      </c>
      <c r="Q307" s="116">
        <v>520.20000000000005</v>
      </c>
      <c r="R307">
        <v>261871</v>
      </c>
    </row>
    <row r="308" spans="1:18" x14ac:dyDescent="0.25">
      <c r="A308" s="170">
        <v>45160</v>
      </c>
      <c r="B308" s="116">
        <v>533.35</v>
      </c>
      <c r="C308" s="116">
        <v>513.65</v>
      </c>
      <c r="D308" s="116">
        <v>510</v>
      </c>
      <c r="E308" s="116">
        <v>510.05</v>
      </c>
      <c r="F308" s="116">
        <v>513.65</v>
      </c>
      <c r="G308">
        <v>26158</v>
      </c>
      <c r="H308" s="116"/>
      <c r="I308" s="116"/>
      <c r="L308" s="170">
        <v>45160</v>
      </c>
      <c r="M308" s="116">
        <v>512.25</v>
      </c>
      <c r="N308" s="116">
        <v>532.95000000000005</v>
      </c>
      <c r="O308" s="116">
        <v>506</v>
      </c>
      <c r="P308" s="116">
        <v>520.20000000000005</v>
      </c>
      <c r="Q308" s="116">
        <v>512.25</v>
      </c>
      <c r="R308">
        <v>173304</v>
      </c>
    </row>
    <row r="309" spans="1:18" x14ac:dyDescent="0.25">
      <c r="A309" s="170">
        <v>45161</v>
      </c>
      <c r="B309" s="116">
        <v>533.20000000000005</v>
      </c>
      <c r="C309" s="116">
        <v>518.35</v>
      </c>
      <c r="D309" s="116">
        <v>511.75</v>
      </c>
      <c r="E309" s="116">
        <v>515.95000000000005</v>
      </c>
      <c r="F309" s="116">
        <v>518.35</v>
      </c>
      <c r="G309">
        <v>18462</v>
      </c>
      <c r="H309" s="116"/>
      <c r="I309" s="116"/>
      <c r="L309" s="170">
        <v>45161</v>
      </c>
      <c r="M309" s="116">
        <v>518.54999999999995</v>
      </c>
      <c r="N309" s="116">
        <v>533</v>
      </c>
      <c r="O309" s="116">
        <v>512.29999999999995</v>
      </c>
      <c r="P309" s="116">
        <v>515.85</v>
      </c>
      <c r="Q309" s="116">
        <v>518.54999999999995</v>
      </c>
      <c r="R309">
        <v>228560</v>
      </c>
    </row>
    <row r="310" spans="1:18" x14ac:dyDescent="0.25">
      <c r="A310" s="170">
        <v>45162</v>
      </c>
      <c r="B310" s="116">
        <v>525</v>
      </c>
      <c r="C310" s="116">
        <v>515.29999999999995</v>
      </c>
      <c r="D310" s="116">
        <v>510.05</v>
      </c>
      <c r="E310" s="116">
        <v>525</v>
      </c>
      <c r="F310" s="116">
        <v>515.29999999999995</v>
      </c>
      <c r="G310">
        <v>10586</v>
      </c>
      <c r="H310" s="116"/>
      <c r="I310" s="116"/>
      <c r="L310" s="170">
        <v>45162</v>
      </c>
      <c r="M310" s="116">
        <v>515.04999999999995</v>
      </c>
      <c r="N310" s="116">
        <v>523</v>
      </c>
      <c r="O310" s="116">
        <v>510.1</v>
      </c>
      <c r="P310" s="116">
        <v>521</v>
      </c>
      <c r="Q310" s="116">
        <v>515.04999999999995</v>
      </c>
      <c r="R310">
        <v>125750</v>
      </c>
    </row>
    <row r="311" spans="1:18" x14ac:dyDescent="0.25">
      <c r="A311" s="170">
        <v>45163</v>
      </c>
      <c r="B311" s="116">
        <v>520.04999999999995</v>
      </c>
      <c r="C311" s="116">
        <v>513.54999999999995</v>
      </c>
      <c r="D311" s="116">
        <v>499.95</v>
      </c>
      <c r="E311" s="116">
        <v>510.15</v>
      </c>
      <c r="F311" s="116">
        <v>513.54999999999995</v>
      </c>
      <c r="G311">
        <v>19806</v>
      </c>
      <c r="H311" s="116"/>
      <c r="I311" s="116"/>
      <c r="L311" s="170">
        <v>45163</v>
      </c>
      <c r="M311" s="116">
        <v>513.29999999999995</v>
      </c>
      <c r="N311" s="116">
        <v>521.5</v>
      </c>
      <c r="O311" s="116">
        <v>500.05</v>
      </c>
      <c r="P311" s="116">
        <v>517.79999999999995</v>
      </c>
      <c r="Q311" s="116">
        <v>513.29999999999995</v>
      </c>
      <c r="R311">
        <v>128780</v>
      </c>
    </row>
    <row r="312" spans="1:18" x14ac:dyDescent="0.25">
      <c r="A312" s="170">
        <v>45166</v>
      </c>
      <c r="B312" s="116">
        <v>516.15</v>
      </c>
      <c r="C312" s="116">
        <v>502.45</v>
      </c>
      <c r="D312" s="116">
        <v>500</v>
      </c>
      <c r="E312" s="116">
        <v>515</v>
      </c>
      <c r="F312" s="116">
        <v>502.45</v>
      </c>
      <c r="G312">
        <v>18774</v>
      </c>
      <c r="H312" s="116"/>
      <c r="I312" s="116"/>
      <c r="L312" s="170">
        <v>45166</v>
      </c>
      <c r="M312" s="116">
        <v>503.1</v>
      </c>
      <c r="N312" s="116">
        <v>517.9</v>
      </c>
      <c r="O312" s="116">
        <v>500</v>
      </c>
      <c r="P312" s="116">
        <v>517.85</v>
      </c>
      <c r="Q312" s="116">
        <v>503.1</v>
      </c>
      <c r="R312">
        <v>111069</v>
      </c>
    </row>
    <row r="313" spans="1:18" x14ac:dyDescent="0.25">
      <c r="A313" s="170">
        <v>45167</v>
      </c>
      <c r="B313" s="116">
        <v>509.4</v>
      </c>
      <c r="C313" s="116">
        <v>491.35</v>
      </c>
      <c r="D313" s="116">
        <v>486.9</v>
      </c>
      <c r="E313" s="116">
        <v>503</v>
      </c>
      <c r="F313" s="116">
        <v>491.35</v>
      </c>
      <c r="G313">
        <v>7310</v>
      </c>
      <c r="H313" s="116"/>
      <c r="I313" s="116"/>
      <c r="L313" s="170">
        <v>45167</v>
      </c>
      <c r="M313" s="116">
        <v>490.85</v>
      </c>
      <c r="N313" s="116">
        <v>509.75</v>
      </c>
      <c r="O313" s="116">
        <v>486.75</v>
      </c>
      <c r="P313" s="116">
        <v>505.05</v>
      </c>
      <c r="Q313" s="116">
        <v>490.85</v>
      </c>
      <c r="R313">
        <v>144718</v>
      </c>
    </row>
    <row r="314" spans="1:18" x14ac:dyDescent="0.25">
      <c r="A314" s="170">
        <v>45168</v>
      </c>
      <c r="B314" s="116">
        <v>503.1</v>
      </c>
      <c r="C314" s="116">
        <v>495.35</v>
      </c>
      <c r="D314" s="116">
        <v>488.75</v>
      </c>
      <c r="E314" s="116">
        <v>499.95</v>
      </c>
      <c r="F314" s="116">
        <v>495.35</v>
      </c>
      <c r="G314">
        <v>11073</v>
      </c>
      <c r="H314" s="116"/>
      <c r="I314" s="116"/>
      <c r="L314" s="170">
        <v>45168</v>
      </c>
      <c r="M314" s="116">
        <v>495.3</v>
      </c>
      <c r="N314" s="116">
        <v>504.1</v>
      </c>
      <c r="O314" s="116">
        <v>493</v>
      </c>
      <c r="P314" s="116">
        <v>495.8</v>
      </c>
      <c r="Q314" s="116">
        <v>495.3</v>
      </c>
      <c r="R314">
        <v>68795</v>
      </c>
    </row>
    <row r="315" spans="1:18" x14ac:dyDescent="0.25">
      <c r="A315" s="170">
        <v>45169</v>
      </c>
      <c r="B315" s="116">
        <v>510</v>
      </c>
      <c r="C315" s="116">
        <v>499.5</v>
      </c>
      <c r="D315" s="116">
        <v>488.05</v>
      </c>
      <c r="E315" s="116">
        <v>488.05</v>
      </c>
      <c r="F315" s="116">
        <v>499.5</v>
      </c>
      <c r="G315">
        <v>25615</v>
      </c>
      <c r="H315" s="116"/>
      <c r="I315" s="116"/>
      <c r="L315" s="170">
        <v>45169</v>
      </c>
      <c r="M315" s="116">
        <v>498.85</v>
      </c>
      <c r="N315" s="116">
        <v>510.7</v>
      </c>
      <c r="O315" s="116">
        <v>494.7</v>
      </c>
      <c r="P315" s="116">
        <v>503</v>
      </c>
      <c r="Q315" s="116">
        <v>498.85</v>
      </c>
      <c r="R315">
        <v>135238</v>
      </c>
    </row>
    <row r="316" spans="1:18" x14ac:dyDescent="0.25">
      <c r="A316" s="170">
        <v>45170</v>
      </c>
      <c r="B316" s="116">
        <v>506</v>
      </c>
      <c r="C316" s="116">
        <v>498.15</v>
      </c>
      <c r="D316" s="116">
        <v>493.65</v>
      </c>
      <c r="E316" s="116">
        <v>499.5</v>
      </c>
      <c r="F316" s="116">
        <v>498.15</v>
      </c>
      <c r="G316">
        <v>12694</v>
      </c>
      <c r="H316" s="116"/>
      <c r="I316" s="116"/>
      <c r="L316" s="170">
        <v>45170</v>
      </c>
      <c r="M316" s="116">
        <v>498.1</v>
      </c>
      <c r="N316" s="116">
        <v>506.5</v>
      </c>
      <c r="O316" s="116">
        <v>493.7</v>
      </c>
      <c r="P316" s="116">
        <v>499.75</v>
      </c>
      <c r="Q316" s="116">
        <v>498.1</v>
      </c>
      <c r="R316">
        <v>83189</v>
      </c>
    </row>
    <row r="317" spans="1:18" x14ac:dyDescent="0.25">
      <c r="A317" s="170">
        <v>45173</v>
      </c>
      <c r="B317" s="116">
        <v>500.05</v>
      </c>
      <c r="C317" s="116">
        <v>494.65</v>
      </c>
      <c r="D317" s="116">
        <v>490.4</v>
      </c>
      <c r="E317" s="116">
        <v>492.2</v>
      </c>
      <c r="F317" s="116">
        <v>494.65</v>
      </c>
      <c r="G317">
        <v>11175</v>
      </c>
      <c r="H317" s="116"/>
      <c r="I317" s="116"/>
      <c r="L317" s="170">
        <v>45173</v>
      </c>
      <c r="M317" s="116">
        <v>495.1</v>
      </c>
      <c r="N317" s="116">
        <v>502</v>
      </c>
      <c r="O317" s="116">
        <v>490.05</v>
      </c>
      <c r="P317" s="116">
        <v>495</v>
      </c>
      <c r="Q317" s="116">
        <v>495.1</v>
      </c>
      <c r="R317">
        <v>87407</v>
      </c>
    </row>
    <row r="318" spans="1:18" x14ac:dyDescent="0.25">
      <c r="A318" s="170">
        <v>45174</v>
      </c>
      <c r="B318" s="116">
        <v>507.9</v>
      </c>
      <c r="C318" s="116">
        <v>494.35</v>
      </c>
      <c r="D318" s="116">
        <v>492</v>
      </c>
      <c r="E318" s="116">
        <v>507.9</v>
      </c>
      <c r="F318" s="116">
        <v>494.35</v>
      </c>
      <c r="G318">
        <v>4173</v>
      </c>
      <c r="H318" s="116"/>
      <c r="I318" s="116"/>
      <c r="L318" s="170">
        <v>45174</v>
      </c>
      <c r="M318" s="116">
        <v>494.45</v>
      </c>
      <c r="N318" s="116">
        <v>500</v>
      </c>
      <c r="O318" s="116">
        <v>491</v>
      </c>
      <c r="P318" s="116">
        <v>500</v>
      </c>
      <c r="Q318" s="116">
        <v>494.45</v>
      </c>
      <c r="R318">
        <v>86978</v>
      </c>
    </row>
    <row r="319" spans="1:18" x14ac:dyDescent="0.25">
      <c r="A319" s="170">
        <v>45175</v>
      </c>
      <c r="B319" s="116">
        <v>517.20000000000005</v>
      </c>
      <c r="C319" s="116">
        <v>473.85</v>
      </c>
      <c r="D319" s="116">
        <v>469.05</v>
      </c>
      <c r="E319" s="116">
        <v>492.05</v>
      </c>
      <c r="F319" s="116">
        <v>473.85</v>
      </c>
      <c r="G319">
        <v>264684</v>
      </c>
      <c r="H319" s="116"/>
      <c r="I319" s="116"/>
      <c r="L319" s="170">
        <v>45175</v>
      </c>
      <c r="M319" s="116">
        <v>473.75</v>
      </c>
      <c r="N319" s="116">
        <v>528.9</v>
      </c>
      <c r="O319" s="116">
        <v>469.3</v>
      </c>
      <c r="P319" s="116">
        <v>494.45</v>
      </c>
      <c r="Q319" s="116">
        <v>473.75</v>
      </c>
      <c r="R319">
        <v>1003995</v>
      </c>
    </row>
    <row r="320" spans="1:18" x14ac:dyDescent="0.25">
      <c r="A320" s="170">
        <v>45176</v>
      </c>
      <c r="B320" s="116">
        <v>493.05</v>
      </c>
      <c r="C320" s="116">
        <v>490.35</v>
      </c>
      <c r="D320" s="116">
        <v>474.05</v>
      </c>
      <c r="E320" s="116">
        <v>474.05</v>
      </c>
      <c r="F320" s="116">
        <v>490.35</v>
      </c>
      <c r="G320">
        <v>19598</v>
      </c>
      <c r="H320" s="116"/>
      <c r="I320" s="116"/>
      <c r="L320" s="170">
        <v>45176</v>
      </c>
      <c r="M320" s="116">
        <v>490.25</v>
      </c>
      <c r="N320" s="116">
        <v>493.5</v>
      </c>
      <c r="O320" s="116">
        <v>475</v>
      </c>
      <c r="P320" s="116">
        <v>479.7</v>
      </c>
      <c r="Q320" s="116">
        <v>490.25</v>
      </c>
      <c r="R320">
        <v>150379</v>
      </c>
    </row>
    <row r="321" spans="1:18" x14ac:dyDescent="0.25">
      <c r="A321" s="170">
        <v>45177</v>
      </c>
      <c r="B321" s="116">
        <v>499.65</v>
      </c>
      <c r="C321" s="116">
        <v>492.05</v>
      </c>
      <c r="D321" s="116">
        <v>485.5</v>
      </c>
      <c r="E321" s="116">
        <v>499.65</v>
      </c>
      <c r="F321" s="116">
        <v>492.05</v>
      </c>
      <c r="G321">
        <v>21491</v>
      </c>
      <c r="H321" s="116"/>
      <c r="I321" s="116"/>
      <c r="L321" s="170">
        <v>45177</v>
      </c>
      <c r="M321" s="116">
        <v>491.7</v>
      </c>
      <c r="N321" s="116">
        <v>499.1</v>
      </c>
      <c r="O321" s="116">
        <v>484.05</v>
      </c>
      <c r="P321" s="116">
        <v>495.45</v>
      </c>
      <c r="Q321" s="116">
        <v>491.7</v>
      </c>
      <c r="R321">
        <v>166420</v>
      </c>
    </row>
    <row r="322" spans="1:18" x14ac:dyDescent="0.25">
      <c r="A322" s="170">
        <v>45180</v>
      </c>
      <c r="B322" s="116">
        <v>496.65</v>
      </c>
      <c r="C322" s="116">
        <v>488.5</v>
      </c>
      <c r="D322" s="116">
        <v>481</v>
      </c>
      <c r="E322" s="116">
        <v>481</v>
      </c>
      <c r="F322" s="116">
        <v>488.5</v>
      </c>
      <c r="G322">
        <v>21717</v>
      </c>
      <c r="H322" s="116"/>
      <c r="I322" s="116"/>
      <c r="L322" s="170">
        <v>45180</v>
      </c>
      <c r="M322" s="116">
        <v>492.7</v>
      </c>
      <c r="N322" s="116">
        <v>498.55</v>
      </c>
      <c r="O322" s="116">
        <v>481</v>
      </c>
      <c r="P322" s="116">
        <v>481</v>
      </c>
      <c r="Q322" s="116">
        <v>492.7</v>
      </c>
      <c r="R322">
        <v>234134</v>
      </c>
    </row>
    <row r="323" spans="1:18" x14ac:dyDescent="0.25">
      <c r="A323" s="170">
        <v>45181</v>
      </c>
      <c r="B323" s="116">
        <v>492.85</v>
      </c>
      <c r="C323" s="116">
        <v>470.95</v>
      </c>
      <c r="D323" s="116">
        <v>466</v>
      </c>
      <c r="E323" s="116">
        <v>491.85</v>
      </c>
      <c r="F323" s="116">
        <v>470.95</v>
      </c>
      <c r="G323">
        <v>8107</v>
      </c>
      <c r="H323" s="116"/>
      <c r="I323" s="116"/>
      <c r="L323" s="170">
        <v>45181</v>
      </c>
      <c r="M323" s="116">
        <v>470</v>
      </c>
      <c r="N323" s="116">
        <v>494</v>
      </c>
      <c r="O323" s="116">
        <v>465.05</v>
      </c>
      <c r="P323" s="116">
        <v>492.7</v>
      </c>
      <c r="Q323" s="116">
        <v>470</v>
      </c>
      <c r="R323">
        <v>166118</v>
      </c>
    </row>
    <row r="324" spans="1:18" x14ac:dyDescent="0.25">
      <c r="A324" s="170">
        <v>45182</v>
      </c>
      <c r="B324" s="116">
        <v>478.2</v>
      </c>
      <c r="C324" s="116">
        <v>467.1</v>
      </c>
      <c r="D324" s="116">
        <v>451.9</v>
      </c>
      <c r="E324" s="116">
        <v>470.05</v>
      </c>
      <c r="F324" s="116">
        <v>467.1</v>
      </c>
      <c r="G324">
        <v>30595</v>
      </c>
      <c r="H324" s="116"/>
      <c r="I324" s="116"/>
      <c r="L324" s="170">
        <v>45182</v>
      </c>
      <c r="M324" s="116">
        <v>467</v>
      </c>
      <c r="N324" s="116">
        <v>478</v>
      </c>
      <c r="O324" s="116">
        <v>452.1</v>
      </c>
      <c r="P324" s="116">
        <v>470.95</v>
      </c>
      <c r="Q324" s="116">
        <v>467</v>
      </c>
      <c r="R324">
        <v>122714</v>
      </c>
    </row>
    <row r="325" spans="1:18" x14ac:dyDescent="0.25">
      <c r="A325" s="170">
        <v>45183</v>
      </c>
      <c r="B325" s="116">
        <v>479.55</v>
      </c>
      <c r="C325" s="116">
        <v>468.6</v>
      </c>
      <c r="D325" s="116">
        <v>467.5</v>
      </c>
      <c r="E325" s="116">
        <v>470.05</v>
      </c>
      <c r="F325" s="116">
        <v>468.6</v>
      </c>
      <c r="G325">
        <v>11453</v>
      </c>
      <c r="H325" s="116"/>
      <c r="I325" s="116"/>
      <c r="L325" s="170">
        <v>45183</v>
      </c>
      <c r="M325" s="116">
        <v>468.55</v>
      </c>
      <c r="N325" s="116">
        <v>479.4</v>
      </c>
      <c r="O325" s="116">
        <v>467</v>
      </c>
      <c r="P325" s="116">
        <v>474.65</v>
      </c>
      <c r="Q325" s="116">
        <v>468.55</v>
      </c>
      <c r="R325">
        <v>94686</v>
      </c>
    </row>
    <row r="326" spans="1:18" x14ac:dyDescent="0.25">
      <c r="A326" s="170">
        <v>45184</v>
      </c>
      <c r="B326" s="116">
        <v>494</v>
      </c>
      <c r="C326" s="116">
        <v>491.95</v>
      </c>
      <c r="D326" s="116">
        <v>468</v>
      </c>
      <c r="E326" s="116">
        <v>468</v>
      </c>
      <c r="F326" s="116">
        <v>491.95</v>
      </c>
      <c r="G326">
        <v>16504</v>
      </c>
      <c r="H326" s="116"/>
      <c r="I326" s="116"/>
      <c r="L326" s="170">
        <v>45184</v>
      </c>
      <c r="M326" s="116">
        <v>492.15</v>
      </c>
      <c r="N326" s="116">
        <v>494.8</v>
      </c>
      <c r="O326" s="116">
        <v>468.05</v>
      </c>
      <c r="P326" s="116">
        <v>468.55</v>
      </c>
      <c r="Q326" s="116">
        <v>492.15</v>
      </c>
      <c r="R326">
        <v>183117</v>
      </c>
    </row>
    <row r="327" spans="1:18" x14ac:dyDescent="0.25">
      <c r="A327" s="170">
        <v>45187</v>
      </c>
      <c r="B327" s="116">
        <v>500</v>
      </c>
      <c r="C327" s="116">
        <v>497.7</v>
      </c>
      <c r="D327" s="116">
        <v>482.2</v>
      </c>
      <c r="E327" s="116">
        <v>494</v>
      </c>
      <c r="F327" s="116">
        <v>497.7</v>
      </c>
      <c r="G327">
        <v>6690</v>
      </c>
      <c r="H327" s="116"/>
      <c r="I327" s="116"/>
      <c r="L327" s="170">
        <v>45187</v>
      </c>
      <c r="M327" s="116">
        <v>498.1</v>
      </c>
      <c r="N327" s="116">
        <v>500</v>
      </c>
      <c r="O327" s="116">
        <v>481.8</v>
      </c>
      <c r="P327" s="116">
        <v>494.8</v>
      </c>
      <c r="Q327" s="116">
        <v>498.1</v>
      </c>
      <c r="R327">
        <v>220139</v>
      </c>
    </row>
    <row r="328" spans="1:18" x14ac:dyDescent="0.25">
      <c r="A328" s="170">
        <v>45189</v>
      </c>
      <c r="B328" s="116">
        <v>514.95000000000005</v>
      </c>
      <c r="C328" s="116">
        <v>475.2</v>
      </c>
      <c r="D328" s="116">
        <v>464.85</v>
      </c>
      <c r="E328" s="116">
        <v>491.05</v>
      </c>
      <c r="F328" s="116">
        <v>475.2</v>
      </c>
      <c r="G328">
        <v>15058</v>
      </c>
      <c r="H328" s="116"/>
      <c r="I328" s="116"/>
      <c r="L328" s="170">
        <v>45189</v>
      </c>
      <c r="M328" s="116">
        <v>475.6</v>
      </c>
      <c r="N328" s="116">
        <v>516.65</v>
      </c>
      <c r="O328" s="116">
        <v>462.6</v>
      </c>
      <c r="P328" s="116">
        <v>498</v>
      </c>
      <c r="Q328" s="116">
        <v>475.6</v>
      </c>
      <c r="R328">
        <v>318471</v>
      </c>
    </row>
    <row r="329" spans="1:18" x14ac:dyDescent="0.25">
      <c r="A329" s="170">
        <v>45190</v>
      </c>
      <c r="B329" s="116">
        <v>490.75</v>
      </c>
      <c r="C329" s="116">
        <v>484.55</v>
      </c>
      <c r="D329" s="116">
        <v>475.05</v>
      </c>
      <c r="E329" s="116">
        <v>475.05</v>
      </c>
      <c r="F329" s="116">
        <v>484.55</v>
      </c>
      <c r="G329">
        <v>8762</v>
      </c>
      <c r="H329" s="116"/>
      <c r="I329" s="116"/>
      <c r="L329" s="170">
        <v>45190</v>
      </c>
      <c r="M329" s="116">
        <v>485.25</v>
      </c>
      <c r="N329" s="116">
        <v>492</v>
      </c>
      <c r="O329" s="116">
        <v>475.6</v>
      </c>
      <c r="P329" s="116">
        <v>477.75</v>
      </c>
      <c r="Q329" s="116">
        <v>485.25</v>
      </c>
      <c r="R329">
        <v>305475</v>
      </c>
    </row>
    <row r="330" spans="1:18" x14ac:dyDescent="0.25">
      <c r="A330" s="170">
        <v>45191</v>
      </c>
      <c r="B330" s="116">
        <v>496.5</v>
      </c>
      <c r="C330" s="116">
        <v>485.35</v>
      </c>
      <c r="D330" s="116">
        <v>480</v>
      </c>
      <c r="E330" s="116">
        <v>480</v>
      </c>
      <c r="F330" s="116">
        <v>485.35</v>
      </c>
      <c r="G330">
        <v>6088</v>
      </c>
      <c r="H330" s="116"/>
      <c r="I330" s="116"/>
      <c r="L330" s="170">
        <v>45191</v>
      </c>
      <c r="M330" s="116">
        <v>484.25</v>
      </c>
      <c r="N330" s="116">
        <v>497</v>
      </c>
      <c r="O330" s="116">
        <v>480.5</v>
      </c>
      <c r="P330" s="116">
        <v>485.25</v>
      </c>
      <c r="Q330" s="116">
        <v>484.25</v>
      </c>
      <c r="R330">
        <v>151498</v>
      </c>
    </row>
    <row r="331" spans="1:18" x14ac:dyDescent="0.25">
      <c r="A331" s="170">
        <v>45194</v>
      </c>
      <c r="B331" s="116">
        <v>489.75</v>
      </c>
      <c r="C331" s="116">
        <v>480.35</v>
      </c>
      <c r="D331" s="116">
        <v>474.1</v>
      </c>
      <c r="E331" s="116">
        <v>489.75</v>
      </c>
      <c r="F331" s="116">
        <v>480.35</v>
      </c>
      <c r="G331">
        <v>7761</v>
      </c>
      <c r="H331" s="116"/>
      <c r="I331" s="116"/>
      <c r="L331" s="170">
        <v>45194</v>
      </c>
      <c r="M331" s="116">
        <v>482.65</v>
      </c>
      <c r="N331" s="116">
        <v>489.45</v>
      </c>
      <c r="O331" s="116">
        <v>480.2</v>
      </c>
      <c r="P331" s="116">
        <v>483.95</v>
      </c>
      <c r="Q331" s="116">
        <v>482.65</v>
      </c>
      <c r="R331">
        <v>47297</v>
      </c>
    </row>
    <row r="332" spans="1:18" x14ac:dyDescent="0.25">
      <c r="A332" s="170">
        <v>45195</v>
      </c>
      <c r="B332" s="116">
        <v>484</v>
      </c>
      <c r="C332" s="116">
        <v>477.05</v>
      </c>
      <c r="D332" s="116">
        <v>474.95</v>
      </c>
      <c r="E332" s="116">
        <v>479.05</v>
      </c>
      <c r="F332" s="116">
        <v>477.05</v>
      </c>
      <c r="G332">
        <v>4298</v>
      </c>
      <c r="H332" s="116"/>
      <c r="I332" s="116"/>
      <c r="L332" s="170">
        <v>45195</v>
      </c>
      <c r="M332" s="116">
        <v>476.8</v>
      </c>
      <c r="N332" s="116">
        <v>486.2</v>
      </c>
      <c r="O332" s="116">
        <v>475</v>
      </c>
      <c r="P332" s="116">
        <v>480.25</v>
      </c>
      <c r="Q332" s="116">
        <v>476.8</v>
      </c>
      <c r="R332">
        <v>53673</v>
      </c>
    </row>
    <row r="333" spans="1:18" x14ac:dyDescent="0.25">
      <c r="A333" s="170">
        <v>45196</v>
      </c>
      <c r="B333" s="116">
        <v>481.5</v>
      </c>
      <c r="C333" s="116">
        <v>477.45</v>
      </c>
      <c r="D333" s="116">
        <v>475</v>
      </c>
      <c r="E333" s="116">
        <v>479.05</v>
      </c>
      <c r="F333" s="116">
        <v>477.45</v>
      </c>
      <c r="G333">
        <v>3953</v>
      </c>
      <c r="H333" s="116"/>
      <c r="I333" s="116"/>
      <c r="L333" s="170">
        <v>45196</v>
      </c>
      <c r="M333" s="116">
        <v>478.7</v>
      </c>
      <c r="N333" s="116">
        <v>482.3</v>
      </c>
      <c r="O333" s="116">
        <v>475.1</v>
      </c>
      <c r="P333" s="116">
        <v>479.35</v>
      </c>
      <c r="Q333" s="116">
        <v>478.7</v>
      </c>
      <c r="R333">
        <v>46650</v>
      </c>
    </row>
    <row r="334" spans="1:18" x14ac:dyDescent="0.25">
      <c r="A334" s="170">
        <v>45197</v>
      </c>
      <c r="B334" s="116">
        <v>488.1</v>
      </c>
      <c r="C334" s="116">
        <v>482.4</v>
      </c>
      <c r="D334" s="116">
        <v>478.15</v>
      </c>
      <c r="E334" s="116">
        <v>478.15</v>
      </c>
      <c r="F334" s="116">
        <v>482.4</v>
      </c>
      <c r="G334">
        <v>3561</v>
      </c>
      <c r="H334" s="116"/>
      <c r="I334" s="116"/>
      <c r="L334" s="170">
        <v>45197</v>
      </c>
      <c r="M334" s="116">
        <v>482.1</v>
      </c>
      <c r="N334" s="116">
        <v>492.7</v>
      </c>
      <c r="O334" s="116">
        <v>479.25</v>
      </c>
      <c r="P334" s="116">
        <v>482.55</v>
      </c>
      <c r="Q334" s="116">
        <v>482.1</v>
      </c>
      <c r="R334">
        <v>76996</v>
      </c>
    </row>
    <row r="335" spans="1:18" x14ac:dyDescent="0.25">
      <c r="A335" s="170">
        <v>45198</v>
      </c>
      <c r="B335" s="116">
        <v>487</v>
      </c>
      <c r="C335" s="116">
        <v>467.65</v>
      </c>
      <c r="D335" s="116">
        <v>465.2</v>
      </c>
      <c r="E335" s="116">
        <v>471.15</v>
      </c>
      <c r="F335" s="116">
        <v>467.65</v>
      </c>
      <c r="G335">
        <v>16664</v>
      </c>
      <c r="H335" s="116"/>
      <c r="I335" s="116"/>
      <c r="L335" s="170">
        <v>45198</v>
      </c>
      <c r="M335" s="116">
        <v>467.4</v>
      </c>
      <c r="N335" s="116">
        <v>489.1</v>
      </c>
      <c r="O335" s="116">
        <v>465</v>
      </c>
      <c r="P335" s="116">
        <v>485.65</v>
      </c>
      <c r="Q335" s="116">
        <v>467.4</v>
      </c>
      <c r="R335">
        <v>159741</v>
      </c>
    </row>
    <row r="336" spans="1:18" x14ac:dyDescent="0.25">
      <c r="A336" s="170">
        <v>45202</v>
      </c>
      <c r="B336" s="116">
        <v>473.6</v>
      </c>
      <c r="C336" s="116">
        <v>471</v>
      </c>
      <c r="D336" s="116">
        <v>464</v>
      </c>
      <c r="E336" s="116">
        <v>469.65</v>
      </c>
      <c r="F336" s="116">
        <v>471</v>
      </c>
      <c r="G336">
        <v>11613</v>
      </c>
      <c r="H336" s="116"/>
      <c r="I336" s="116"/>
      <c r="L336" s="170">
        <v>45202</v>
      </c>
      <c r="M336" s="116">
        <v>470.65</v>
      </c>
      <c r="N336" s="116">
        <v>474.65</v>
      </c>
      <c r="O336" s="116">
        <v>464.2</v>
      </c>
      <c r="P336" s="116">
        <v>467.45</v>
      </c>
      <c r="Q336" s="116">
        <v>470.65</v>
      </c>
      <c r="R336">
        <v>110321</v>
      </c>
    </row>
    <row r="337" spans="1:18" x14ac:dyDescent="0.25">
      <c r="A337" s="170">
        <v>45203</v>
      </c>
      <c r="B337" s="116">
        <v>494</v>
      </c>
      <c r="C337" s="116">
        <v>480.4</v>
      </c>
      <c r="D337" s="116">
        <v>468.3</v>
      </c>
      <c r="E337" s="116">
        <v>470.75</v>
      </c>
      <c r="F337" s="116">
        <v>480.4</v>
      </c>
      <c r="G337">
        <v>27036</v>
      </c>
      <c r="H337" s="116"/>
      <c r="I337" s="116"/>
      <c r="L337" s="170">
        <v>45203</v>
      </c>
      <c r="M337" s="116">
        <v>481.25</v>
      </c>
      <c r="N337" s="116">
        <v>494.45</v>
      </c>
      <c r="O337" s="116">
        <v>469.1</v>
      </c>
      <c r="P337" s="116">
        <v>470.8</v>
      </c>
      <c r="Q337" s="116">
        <v>481.25</v>
      </c>
      <c r="R337">
        <v>203084</v>
      </c>
    </row>
    <row r="338" spans="1:18" x14ac:dyDescent="0.25">
      <c r="A338" s="170">
        <v>45204</v>
      </c>
      <c r="B338" s="116">
        <v>492.5</v>
      </c>
      <c r="C338" s="116">
        <v>477.95</v>
      </c>
      <c r="D338" s="116">
        <v>475.85</v>
      </c>
      <c r="E338" s="116">
        <v>490.05</v>
      </c>
      <c r="F338" s="116">
        <v>477.95</v>
      </c>
      <c r="G338">
        <v>5302</v>
      </c>
      <c r="H338" s="116"/>
      <c r="I338" s="116"/>
      <c r="L338" s="170">
        <v>45204</v>
      </c>
      <c r="M338" s="116">
        <v>478.7</v>
      </c>
      <c r="N338" s="116">
        <v>492</v>
      </c>
      <c r="O338" s="116">
        <v>475.2</v>
      </c>
      <c r="P338" s="116">
        <v>485.6</v>
      </c>
      <c r="Q338" s="116">
        <v>478.7</v>
      </c>
      <c r="R338">
        <v>105914</v>
      </c>
    </row>
    <row r="339" spans="1:18" x14ac:dyDescent="0.25">
      <c r="A339" s="170">
        <v>45205</v>
      </c>
      <c r="B339" s="116">
        <v>491.2</v>
      </c>
      <c r="C339" s="116">
        <v>476.3</v>
      </c>
      <c r="D339" s="116">
        <v>475.2</v>
      </c>
      <c r="E339" s="116">
        <v>491.2</v>
      </c>
      <c r="F339" s="116">
        <v>476.3</v>
      </c>
      <c r="G339">
        <v>4753</v>
      </c>
      <c r="H339" s="116"/>
      <c r="I339" s="116"/>
      <c r="L339" s="170">
        <v>45205</v>
      </c>
      <c r="M339" s="116">
        <v>476.6</v>
      </c>
      <c r="N339" s="116">
        <v>484.9</v>
      </c>
      <c r="O339" s="116">
        <v>475</v>
      </c>
      <c r="P339" s="116">
        <v>481.9</v>
      </c>
      <c r="Q339" s="116">
        <v>476.6</v>
      </c>
      <c r="R339">
        <v>66226</v>
      </c>
    </row>
    <row r="340" spans="1:18" x14ac:dyDescent="0.25">
      <c r="A340" s="170">
        <v>45208</v>
      </c>
      <c r="B340" s="116">
        <v>470.55</v>
      </c>
      <c r="C340" s="116">
        <v>464.35</v>
      </c>
      <c r="D340" s="116">
        <v>462.95</v>
      </c>
      <c r="E340" s="116">
        <v>468</v>
      </c>
      <c r="F340" s="116">
        <v>464.35</v>
      </c>
      <c r="G340">
        <v>2702</v>
      </c>
      <c r="H340" s="116"/>
      <c r="I340" s="116"/>
      <c r="L340" s="170">
        <v>45208</v>
      </c>
      <c r="M340" s="116">
        <v>464.75</v>
      </c>
      <c r="N340" s="116">
        <v>473</v>
      </c>
      <c r="O340" s="116">
        <v>461.6</v>
      </c>
      <c r="P340" s="116">
        <v>468.1</v>
      </c>
      <c r="Q340" s="116">
        <v>464.75</v>
      </c>
      <c r="R340">
        <v>76797</v>
      </c>
    </row>
    <row r="341" spans="1:18" x14ac:dyDescent="0.25">
      <c r="A341" s="170">
        <v>45209</v>
      </c>
      <c r="B341" s="116">
        <v>482</v>
      </c>
      <c r="C341" s="116">
        <v>468.05</v>
      </c>
      <c r="D341" s="116">
        <v>464.85</v>
      </c>
      <c r="E341" s="116">
        <v>470</v>
      </c>
      <c r="F341" s="116">
        <v>468.05</v>
      </c>
      <c r="G341">
        <v>3632</v>
      </c>
      <c r="H341" s="116"/>
      <c r="I341" s="116"/>
      <c r="L341" s="170">
        <v>45209</v>
      </c>
      <c r="M341" s="116">
        <v>468.55</v>
      </c>
      <c r="N341" s="116">
        <v>482.95</v>
      </c>
      <c r="O341" s="116">
        <v>465.55</v>
      </c>
      <c r="P341" s="116">
        <v>466.25</v>
      </c>
      <c r="Q341" s="116">
        <v>468.55</v>
      </c>
      <c r="R341">
        <v>87989</v>
      </c>
    </row>
    <row r="342" spans="1:18" x14ac:dyDescent="0.25">
      <c r="A342" s="170">
        <v>45210</v>
      </c>
      <c r="B342" s="116">
        <v>475.15</v>
      </c>
      <c r="C342" s="116">
        <v>467.5</v>
      </c>
      <c r="D342" s="116">
        <v>462.65</v>
      </c>
      <c r="E342" s="116">
        <v>471.7</v>
      </c>
      <c r="F342" s="116">
        <v>467.5</v>
      </c>
      <c r="G342">
        <v>3147</v>
      </c>
      <c r="H342" s="116"/>
      <c r="I342" s="116"/>
      <c r="L342" s="170">
        <v>45210</v>
      </c>
      <c r="M342" s="116">
        <v>466.95</v>
      </c>
      <c r="N342" s="116">
        <v>474.9</v>
      </c>
      <c r="O342" s="116">
        <v>462</v>
      </c>
      <c r="P342" s="116">
        <v>471.75</v>
      </c>
      <c r="Q342" s="116">
        <v>466.95</v>
      </c>
      <c r="R342">
        <v>55133</v>
      </c>
    </row>
    <row r="343" spans="1:18" x14ac:dyDescent="0.25">
      <c r="A343" s="170">
        <v>45211</v>
      </c>
      <c r="B343" s="116">
        <v>472.1</v>
      </c>
      <c r="C343" s="116">
        <v>468.8</v>
      </c>
      <c r="D343" s="116">
        <v>465.55</v>
      </c>
      <c r="E343" s="116">
        <v>466.05</v>
      </c>
      <c r="F343" s="116">
        <v>468.8</v>
      </c>
      <c r="G343">
        <v>4729</v>
      </c>
      <c r="H343" s="116"/>
      <c r="I343" s="116"/>
      <c r="L343" s="170">
        <v>45211</v>
      </c>
      <c r="M343" s="116">
        <v>469.3</v>
      </c>
      <c r="N343" s="116">
        <v>471.95</v>
      </c>
      <c r="O343" s="116">
        <v>465.45</v>
      </c>
      <c r="P343" s="116">
        <v>470</v>
      </c>
      <c r="Q343" s="116">
        <v>469.3</v>
      </c>
      <c r="R343">
        <v>54795</v>
      </c>
    </row>
    <row r="344" spans="1:18" x14ac:dyDescent="0.25">
      <c r="A344" s="170">
        <v>45212</v>
      </c>
      <c r="B344" s="116">
        <v>484.45</v>
      </c>
      <c r="C344" s="116">
        <v>470.3</v>
      </c>
      <c r="D344" s="116">
        <v>465.7</v>
      </c>
      <c r="E344" s="116">
        <v>472</v>
      </c>
      <c r="F344" s="116">
        <v>470.3</v>
      </c>
      <c r="G344">
        <v>3305</v>
      </c>
      <c r="H344" s="116"/>
      <c r="I344" s="116"/>
      <c r="L344" s="170">
        <v>45212</v>
      </c>
      <c r="M344" s="116">
        <v>468.85</v>
      </c>
      <c r="N344" s="116">
        <v>484</v>
      </c>
      <c r="O344" s="116">
        <v>466</v>
      </c>
      <c r="P344" s="116">
        <v>473.7</v>
      </c>
      <c r="Q344" s="116">
        <v>468.85</v>
      </c>
      <c r="R344">
        <v>99034</v>
      </c>
    </row>
    <row r="345" spans="1:18" x14ac:dyDescent="0.25">
      <c r="A345" s="170">
        <v>45215</v>
      </c>
      <c r="B345" s="116">
        <v>476.55</v>
      </c>
      <c r="C345" s="116">
        <v>459.6</v>
      </c>
      <c r="D345" s="116">
        <v>457.05</v>
      </c>
      <c r="E345" s="116">
        <v>464</v>
      </c>
      <c r="F345" s="116">
        <v>459.6</v>
      </c>
      <c r="G345">
        <v>12792</v>
      </c>
      <c r="H345" s="116"/>
      <c r="I345" s="116"/>
      <c r="L345" s="170">
        <v>45215</v>
      </c>
      <c r="M345" s="116">
        <v>459.35</v>
      </c>
      <c r="N345" s="116">
        <v>477</v>
      </c>
      <c r="O345" s="116">
        <v>456</v>
      </c>
      <c r="P345" s="116">
        <v>474.9</v>
      </c>
      <c r="Q345" s="116">
        <v>459.35</v>
      </c>
      <c r="R345">
        <v>117248</v>
      </c>
    </row>
    <row r="346" spans="1:18" x14ac:dyDescent="0.25">
      <c r="A346" s="170">
        <v>45216</v>
      </c>
      <c r="B346" s="116">
        <v>469</v>
      </c>
      <c r="C346" s="116">
        <v>462.85</v>
      </c>
      <c r="D346" s="116">
        <v>459.5</v>
      </c>
      <c r="E346" s="116">
        <v>462.05</v>
      </c>
      <c r="F346" s="116">
        <v>462.85</v>
      </c>
      <c r="G346">
        <v>12009</v>
      </c>
      <c r="H346" s="116"/>
      <c r="I346" s="116"/>
      <c r="L346" s="170">
        <v>45216</v>
      </c>
      <c r="M346" s="116">
        <v>463.15</v>
      </c>
      <c r="N346" s="116">
        <v>469.25</v>
      </c>
      <c r="O346" s="116">
        <v>459.35</v>
      </c>
      <c r="P346" s="116">
        <v>465.8</v>
      </c>
      <c r="Q346" s="116">
        <v>463.15</v>
      </c>
      <c r="R346">
        <v>85037</v>
      </c>
    </row>
    <row r="347" spans="1:18" x14ac:dyDescent="0.25">
      <c r="A347" s="170">
        <v>45217</v>
      </c>
      <c r="B347" s="116">
        <v>467.5</v>
      </c>
      <c r="C347" s="116">
        <v>461.1</v>
      </c>
      <c r="D347" s="116">
        <v>458.1</v>
      </c>
      <c r="E347" s="116">
        <v>465.6</v>
      </c>
      <c r="F347" s="116">
        <v>461.1</v>
      </c>
      <c r="G347">
        <v>1751</v>
      </c>
      <c r="H347" s="116"/>
      <c r="I347" s="116"/>
      <c r="L347" s="170">
        <v>45217</v>
      </c>
      <c r="M347" s="116">
        <v>460.8</v>
      </c>
      <c r="N347" s="116">
        <v>468.7</v>
      </c>
      <c r="O347" s="116">
        <v>458.15</v>
      </c>
      <c r="P347" s="116">
        <v>462</v>
      </c>
      <c r="Q347" s="116">
        <v>460.8</v>
      </c>
      <c r="R347">
        <v>59276</v>
      </c>
    </row>
    <row r="348" spans="1:18" x14ac:dyDescent="0.25">
      <c r="A348" s="170">
        <v>45218</v>
      </c>
      <c r="B348" s="116">
        <v>465</v>
      </c>
      <c r="C348" s="116">
        <v>457.45</v>
      </c>
      <c r="D348" s="116">
        <v>451</v>
      </c>
      <c r="E348" s="116">
        <v>456.05</v>
      </c>
      <c r="F348" s="116">
        <v>457.45</v>
      </c>
      <c r="G348">
        <v>9773</v>
      </c>
      <c r="H348" s="116"/>
      <c r="I348" s="116"/>
      <c r="L348" s="170">
        <v>45218</v>
      </c>
      <c r="M348" s="116">
        <v>457.3</v>
      </c>
      <c r="N348" s="116">
        <v>466.75</v>
      </c>
      <c r="O348" s="116">
        <v>451.6</v>
      </c>
      <c r="P348" s="116">
        <v>462</v>
      </c>
      <c r="Q348" s="116">
        <v>457.3</v>
      </c>
      <c r="R348">
        <v>70029</v>
      </c>
    </row>
    <row r="349" spans="1:18" x14ac:dyDescent="0.25">
      <c r="A349" s="170">
        <v>45219</v>
      </c>
      <c r="B349" s="116">
        <v>459.6</v>
      </c>
      <c r="C349" s="116">
        <v>450.95</v>
      </c>
      <c r="D349" s="116">
        <v>449.95</v>
      </c>
      <c r="E349" s="116">
        <v>458.15</v>
      </c>
      <c r="F349" s="116">
        <v>450.95</v>
      </c>
      <c r="G349">
        <v>8021</v>
      </c>
      <c r="H349" s="116"/>
      <c r="I349" s="116"/>
      <c r="L349" s="170">
        <v>45219</v>
      </c>
      <c r="M349" s="116">
        <v>451.4</v>
      </c>
      <c r="N349" s="116">
        <v>464.9</v>
      </c>
      <c r="O349" s="116">
        <v>450.05</v>
      </c>
      <c r="P349" s="116">
        <v>464.15</v>
      </c>
      <c r="Q349" s="116">
        <v>451.4</v>
      </c>
      <c r="R349">
        <v>50963</v>
      </c>
    </row>
    <row r="350" spans="1:18" x14ac:dyDescent="0.25">
      <c r="A350" s="170">
        <v>45222</v>
      </c>
      <c r="B350" s="116">
        <v>462.6</v>
      </c>
      <c r="C350" s="116">
        <v>424.4</v>
      </c>
      <c r="D350" s="116">
        <v>418.1</v>
      </c>
      <c r="E350" s="116">
        <v>462.6</v>
      </c>
      <c r="F350" s="116">
        <v>424.4</v>
      </c>
      <c r="G350">
        <v>9722</v>
      </c>
      <c r="H350" s="116"/>
      <c r="I350" s="116"/>
      <c r="L350" s="170">
        <v>45222</v>
      </c>
      <c r="M350" s="116">
        <v>423.5</v>
      </c>
      <c r="N350" s="116">
        <v>453.95</v>
      </c>
      <c r="O350" s="116">
        <v>419</v>
      </c>
      <c r="P350" s="116">
        <v>450.05</v>
      </c>
      <c r="Q350" s="116">
        <v>423.5</v>
      </c>
      <c r="R350">
        <v>152742</v>
      </c>
    </row>
    <row r="351" spans="1:18" x14ac:dyDescent="0.25">
      <c r="A351" s="170">
        <v>45224</v>
      </c>
      <c r="B351" s="116">
        <v>452</v>
      </c>
      <c r="C351" s="116">
        <v>431.7</v>
      </c>
      <c r="D351" s="116">
        <v>422.35</v>
      </c>
      <c r="E351" s="116">
        <v>424</v>
      </c>
      <c r="F351" s="116">
        <v>431.7</v>
      </c>
      <c r="G351">
        <v>15267</v>
      </c>
      <c r="H351" s="116"/>
      <c r="I351" s="116"/>
      <c r="L351" s="170">
        <v>45224</v>
      </c>
      <c r="M351" s="116">
        <v>431.25</v>
      </c>
      <c r="N351" s="116">
        <v>450.95</v>
      </c>
      <c r="O351" s="116">
        <v>422.8</v>
      </c>
      <c r="P351" s="116">
        <v>423.5</v>
      </c>
      <c r="Q351" s="116">
        <v>431.25</v>
      </c>
      <c r="R351">
        <v>112242</v>
      </c>
    </row>
    <row r="352" spans="1:18" x14ac:dyDescent="0.25">
      <c r="A352" s="170">
        <v>45225</v>
      </c>
      <c r="B352" s="116">
        <v>434.2</v>
      </c>
      <c r="C352" s="116">
        <v>431.3</v>
      </c>
      <c r="D352" s="116">
        <v>415.95</v>
      </c>
      <c r="E352" s="116">
        <v>432.5</v>
      </c>
      <c r="F352" s="116">
        <v>431.3</v>
      </c>
      <c r="G352">
        <v>22910</v>
      </c>
      <c r="H352" s="116"/>
      <c r="I352" s="116"/>
      <c r="L352" s="170">
        <v>45225</v>
      </c>
      <c r="M352" s="116">
        <v>430.95</v>
      </c>
      <c r="N352" s="116">
        <v>437.7</v>
      </c>
      <c r="O352" s="116">
        <v>416</v>
      </c>
      <c r="P352" s="116">
        <v>437.7</v>
      </c>
      <c r="Q352" s="116">
        <v>430.95</v>
      </c>
      <c r="R352">
        <v>110256</v>
      </c>
    </row>
    <row r="353" spans="1:18" x14ac:dyDescent="0.25">
      <c r="A353" s="170">
        <v>45226</v>
      </c>
      <c r="B353" s="116">
        <v>447</v>
      </c>
      <c r="C353" s="116">
        <v>443.75</v>
      </c>
      <c r="D353" s="116">
        <v>433.25</v>
      </c>
      <c r="E353" s="116">
        <v>436</v>
      </c>
      <c r="F353" s="116">
        <v>443.75</v>
      </c>
      <c r="G353">
        <v>7676</v>
      </c>
      <c r="H353" s="116"/>
      <c r="I353" s="116"/>
      <c r="L353" s="170">
        <v>45226</v>
      </c>
      <c r="M353" s="116">
        <v>443.2</v>
      </c>
      <c r="N353" s="116">
        <v>447.3</v>
      </c>
      <c r="O353" s="116">
        <v>431.8</v>
      </c>
      <c r="P353" s="116">
        <v>433.8</v>
      </c>
      <c r="Q353" s="116">
        <v>443.2</v>
      </c>
      <c r="R353">
        <v>52360</v>
      </c>
    </row>
    <row r="354" spans="1:18" x14ac:dyDescent="0.25">
      <c r="A354" s="170">
        <v>45229</v>
      </c>
      <c r="B354" s="116">
        <v>455</v>
      </c>
      <c r="C354" s="116">
        <v>451.8</v>
      </c>
      <c r="D354" s="116">
        <v>435.2</v>
      </c>
      <c r="E354" s="116">
        <v>437.9</v>
      </c>
      <c r="F354" s="116">
        <v>451.8</v>
      </c>
      <c r="G354">
        <v>19245</v>
      </c>
      <c r="H354" s="116"/>
      <c r="I354" s="116"/>
      <c r="L354" s="170">
        <v>45229</v>
      </c>
      <c r="M354" s="116">
        <v>451.95</v>
      </c>
      <c r="N354" s="116">
        <v>456.9</v>
      </c>
      <c r="O354" s="116">
        <v>435</v>
      </c>
      <c r="P354" s="116">
        <v>440.05</v>
      </c>
      <c r="Q354" s="116">
        <v>451.95</v>
      </c>
      <c r="R354">
        <v>67701</v>
      </c>
    </row>
    <row r="355" spans="1:18" x14ac:dyDescent="0.25">
      <c r="A355" s="170">
        <v>45230</v>
      </c>
      <c r="B355" s="116">
        <v>460</v>
      </c>
      <c r="C355" s="116">
        <v>455.5</v>
      </c>
      <c r="D355" s="116">
        <v>450.2</v>
      </c>
      <c r="E355" s="116">
        <v>460</v>
      </c>
      <c r="F355" s="116">
        <v>455.5</v>
      </c>
      <c r="G355">
        <v>1266</v>
      </c>
      <c r="H355" s="116"/>
      <c r="I355" s="116"/>
      <c r="L355" s="170">
        <v>45230</v>
      </c>
      <c r="M355" s="116">
        <v>456.3</v>
      </c>
      <c r="N355" s="116">
        <v>459.95</v>
      </c>
      <c r="O355" s="116">
        <v>450</v>
      </c>
      <c r="P355" s="116">
        <v>453</v>
      </c>
      <c r="Q355" s="116">
        <v>456.3</v>
      </c>
      <c r="R355">
        <v>57229</v>
      </c>
    </row>
    <row r="356" spans="1:18" x14ac:dyDescent="0.25">
      <c r="A356" s="170">
        <v>45231</v>
      </c>
      <c r="B356" s="116">
        <v>464.65</v>
      </c>
      <c r="C356" s="116">
        <v>453.85</v>
      </c>
      <c r="D356" s="116">
        <v>449.95</v>
      </c>
      <c r="E356" s="116">
        <v>464.65</v>
      </c>
      <c r="F356" s="116">
        <v>453.85</v>
      </c>
      <c r="G356">
        <v>1298</v>
      </c>
      <c r="H356" s="116"/>
      <c r="I356" s="116"/>
      <c r="L356" s="170">
        <v>45231</v>
      </c>
      <c r="M356" s="116">
        <v>452.75</v>
      </c>
      <c r="N356" s="116">
        <v>459.6</v>
      </c>
      <c r="O356" s="116">
        <v>450</v>
      </c>
      <c r="P356" s="116">
        <v>459.6</v>
      </c>
      <c r="Q356" s="116">
        <v>452.75</v>
      </c>
      <c r="R356">
        <v>48101</v>
      </c>
    </row>
    <row r="357" spans="1:18" x14ac:dyDescent="0.25">
      <c r="A357" s="170">
        <v>45232</v>
      </c>
      <c r="B357" s="116">
        <v>475</v>
      </c>
      <c r="C357" s="116">
        <v>468</v>
      </c>
      <c r="D357" s="116">
        <v>454.45</v>
      </c>
      <c r="E357" s="116">
        <v>456.8</v>
      </c>
      <c r="F357" s="116">
        <v>468</v>
      </c>
      <c r="G357">
        <v>14218</v>
      </c>
      <c r="H357" s="116"/>
      <c r="I357" s="116"/>
      <c r="L357" s="170">
        <v>45232</v>
      </c>
      <c r="M357" s="116">
        <v>468.4</v>
      </c>
      <c r="N357" s="116">
        <v>475.6</v>
      </c>
      <c r="O357" s="116">
        <v>450</v>
      </c>
      <c r="P357" s="116">
        <v>462</v>
      </c>
      <c r="Q357" s="116">
        <v>468.4</v>
      </c>
      <c r="R357">
        <v>171390</v>
      </c>
    </row>
    <row r="358" spans="1:18" x14ac:dyDescent="0.25">
      <c r="A358" s="170">
        <v>45233</v>
      </c>
      <c r="B358" s="116">
        <v>472.95</v>
      </c>
      <c r="C358" s="116">
        <v>455.15</v>
      </c>
      <c r="D358" s="116">
        <v>453</v>
      </c>
      <c r="E358" s="116">
        <v>472.95</v>
      </c>
      <c r="F358" s="116">
        <v>455.15</v>
      </c>
      <c r="G358">
        <v>6707</v>
      </c>
      <c r="H358" s="116"/>
      <c r="I358" s="116"/>
      <c r="L358" s="170">
        <v>45233</v>
      </c>
      <c r="M358" s="116">
        <v>455.25</v>
      </c>
      <c r="N358" s="116">
        <v>471.5</v>
      </c>
      <c r="O358" s="116">
        <v>452.35</v>
      </c>
      <c r="P358" s="116">
        <v>469.7</v>
      </c>
      <c r="Q358" s="116">
        <v>455.25</v>
      </c>
      <c r="R358">
        <v>125692</v>
      </c>
    </row>
    <row r="359" spans="1:18" x14ac:dyDescent="0.25">
      <c r="A359" s="170">
        <v>45236</v>
      </c>
      <c r="B359" s="116">
        <v>464.25</v>
      </c>
      <c r="C359" s="116">
        <v>454.15</v>
      </c>
      <c r="D359" s="116">
        <v>450.05</v>
      </c>
      <c r="E359" s="116">
        <v>464.25</v>
      </c>
      <c r="F359" s="116">
        <v>454.15</v>
      </c>
      <c r="G359">
        <v>1962</v>
      </c>
      <c r="H359" s="116"/>
      <c r="I359" s="116"/>
      <c r="L359" s="170">
        <v>45236</v>
      </c>
      <c r="M359" s="116">
        <v>451.75</v>
      </c>
      <c r="N359" s="116">
        <v>462.4</v>
      </c>
      <c r="O359" s="116">
        <v>450</v>
      </c>
      <c r="P359" s="116">
        <v>459.75</v>
      </c>
      <c r="Q359" s="116">
        <v>451.75</v>
      </c>
      <c r="R359">
        <v>57684</v>
      </c>
    </row>
    <row r="360" spans="1:18" x14ac:dyDescent="0.25">
      <c r="A360" s="170">
        <v>45237</v>
      </c>
      <c r="B360" s="116">
        <v>460.25</v>
      </c>
      <c r="C360" s="116">
        <v>458.4</v>
      </c>
      <c r="D360" s="116">
        <v>445.35</v>
      </c>
      <c r="E360" s="116">
        <v>445.35</v>
      </c>
      <c r="F360" s="116">
        <v>458.4</v>
      </c>
      <c r="G360">
        <v>7664</v>
      </c>
      <c r="H360" s="116"/>
      <c r="I360" s="116"/>
      <c r="L360" s="170">
        <v>45237</v>
      </c>
      <c r="M360" s="116">
        <v>457.95</v>
      </c>
      <c r="N360" s="116">
        <v>460.15</v>
      </c>
      <c r="O360" s="116">
        <v>451.7</v>
      </c>
      <c r="P360" s="116">
        <v>452.9</v>
      </c>
      <c r="Q360" s="116">
        <v>457.95</v>
      </c>
      <c r="R360">
        <v>56902</v>
      </c>
    </row>
    <row r="361" spans="1:18" x14ac:dyDescent="0.25">
      <c r="A361" s="170">
        <v>45238</v>
      </c>
      <c r="B361" s="116">
        <v>462.35</v>
      </c>
      <c r="C361" s="116">
        <v>453.05</v>
      </c>
      <c r="D361" s="116">
        <v>450.2</v>
      </c>
      <c r="E361" s="116">
        <v>460.1</v>
      </c>
      <c r="F361" s="116">
        <v>453.05</v>
      </c>
      <c r="G361">
        <v>8440</v>
      </c>
      <c r="H361" s="116"/>
      <c r="I361" s="116"/>
      <c r="L361" s="170">
        <v>45238</v>
      </c>
      <c r="M361" s="116">
        <v>453.2</v>
      </c>
      <c r="N361" s="116">
        <v>460.05</v>
      </c>
      <c r="O361" s="116">
        <v>448.1</v>
      </c>
      <c r="P361" s="116">
        <v>459.75</v>
      </c>
      <c r="Q361" s="116">
        <v>453.2</v>
      </c>
      <c r="R361">
        <v>52193</v>
      </c>
    </row>
    <row r="362" spans="1:18" x14ac:dyDescent="0.25">
      <c r="A362" s="170">
        <v>45239</v>
      </c>
      <c r="B362" s="116">
        <v>460</v>
      </c>
      <c r="C362" s="116">
        <v>452.9</v>
      </c>
      <c r="D362" s="116">
        <v>449.7</v>
      </c>
      <c r="E362" s="116">
        <v>459.95</v>
      </c>
      <c r="F362" s="116">
        <v>452.9</v>
      </c>
      <c r="G362">
        <v>4974</v>
      </c>
      <c r="H362" s="116"/>
      <c r="I362" s="116"/>
      <c r="L362" s="170">
        <v>45239</v>
      </c>
      <c r="M362" s="116">
        <v>452.8</v>
      </c>
      <c r="N362" s="116">
        <v>460.65</v>
      </c>
      <c r="O362" s="116">
        <v>450.05</v>
      </c>
      <c r="P362" s="116">
        <v>455.05</v>
      </c>
      <c r="Q362" s="116">
        <v>452.8</v>
      </c>
      <c r="R362">
        <v>90419</v>
      </c>
    </row>
    <row r="363" spans="1:18" x14ac:dyDescent="0.25">
      <c r="A363" s="170">
        <v>45240</v>
      </c>
      <c r="B363" s="116">
        <v>474.5</v>
      </c>
      <c r="C363" s="116">
        <v>465.85</v>
      </c>
      <c r="D363" s="116">
        <v>446.65</v>
      </c>
      <c r="E363" s="116">
        <v>457.75</v>
      </c>
      <c r="F363" s="116">
        <v>465.85</v>
      </c>
      <c r="G363">
        <v>29349</v>
      </c>
      <c r="H363" s="116"/>
      <c r="I363" s="116"/>
      <c r="L363" s="170">
        <v>45240</v>
      </c>
      <c r="M363" s="116">
        <v>466.3</v>
      </c>
      <c r="N363" s="116">
        <v>474.9</v>
      </c>
      <c r="O363" s="116">
        <v>449.05</v>
      </c>
      <c r="P363" s="116">
        <v>449.1</v>
      </c>
      <c r="Q363" s="116">
        <v>466.3</v>
      </c>
      <c r="R363">
        <v>241233</v>
      </c>
    </row>
    <row r="364" spans="1:18" x14ac:dyDescent="0.25">
      <c r="A364" s="170">
        <v>45242</v>
      </c>
      <c r="B364" s="116">
        <v>490.55</v>
      </c>
      <c r="C364" s="116">
        <v>488.95</v>
      </c>
      <c r="D364" s="116">
        <v>477.75</v>
      </c>
      <c r="E364" s="116">
        <v>478.95</v>
      </c>
      <c r="F364" s="116">
        <v>488.95</v>
      </c>
      <c r="G364">
        <v>6262</v>
      </c>
      <c r="H364" s="116"/>
      <c r="I364" s="116"/>
      <c r="L364" s="170">
        <v>45242</v>
      </c>
      <c r="M364" s="116">
        <v>488.8</v>
      </c>
      <c r="N364" s="116">
        <v>491</v>
      </c>
      <c r="O364" s="116">
        <v>475.5</v>
      </c>
      <c r="P364" s="116">
        <v>477.1</v>
      </c>
      <c r="Q364" s="116">
        <v>488.8</v>
      </c>
      <c r="R364">
        <v>144285</v>
      </c>
    </row>
    <row r="365" spans="1:18" x14ac:dyDescent="0.25">
      <c r="A365" s="170">
        <v>45243</v>
      </c>
      <c r="B365" s="116">
        <v>489.95</v>
      </c>
      <c r="C365" s="116">
        <v>479.35</v>
      </c>
      <c r="D365" s="116">
        <v>474.2</v>
      </c>
      <c r="E365" s="116">
        <v>489.95</v>
      </c>
      <c r="F365" s="116">
        <v>479.35</v>
      </c>
      <c r="G365">
        <v>12264</v>
      </c>
      <c r="H365" s="116"/>
      <c r="I365" s="116"/>
      <c r="L365" s="170">
        <v>45243</v>
      </c>
      <c r="M365" s="116">
        <v>479.6</v>
      </c>
      <c r="N365" s="116">
        <v>488.8</v>
      </c>
      <c r="O365" s="116">
        <v>474.9</v>
      </c>
      <c r="P365" s="116">
        <v>488.8</v>
      </c>
      <c r="Q365" s="116">
        <v>479.6</v>
      </c>
      <c r="R365">
        <v>276074</v>
      </c>
    </row>
    <row r="366" spans="1:18" x14ac:dyDescent="0.25">
      <c r="A366" s="170">
        <v>45245</v>
      </c>
      <c r="B366" s="116">
        <v>482.7</v>
      </c>
      <c r="C366" s="116">
        <v>469.5</v>
      </c>
      <c r="D366" s="116">
        <v>468</v>
      </c>
      <c r="E366" s="116">
        <v>477.05</v>
      </c>
      <c r="F366" s="116">
        <v>469.5</v>
      </c>
      <c r="G366">
        <v>6690</v>
      </c>
      <c r="H366" s="116"/>
      <c r="I366" s="116"/>
      <c r="L366" s="170">
        <v>45245</v>
      </c>
      <c r="M366" s="116">
        <v>469.6</v>
      </c>
      <c r="N366" s="116">
        <v>484.8</v>
      </c>
      <c r="O366" s="116">
        <v>468.05</v>
      </c>
      <c r="P366" s="116">
        <v>484.8</v>
      </c>
      <c r="Q366" s="116">
        <v>469.6</v>
      </c>
      <c r="R366">
        <v>110247</v>
      </c>
    </row>
    <row r="367" spans="1:18" x14ac:dyDescent="0.25">
      <c r="A367" s="170">
        <v>45246</v>
      </c>
      <c r="B367" s="116">
        <v>475</v>
      </c>
      <c r="C367" s="116">
        <v>468.9</v>
      </c>
      <c r="D367" s="116">
        <v>465.5</v>
      </c>
      <c r="E367" s="116">
        <v>475</v>
      </c>
      <c r="F367" s="116">
        <v>468.9</v>
      </c>
      <c r="G367">
        <v>4221</v>
      </c>
      <c r="H367" s="116"/>
      <c r="I367" s="116"/>
      <c r="L367" s="170">
        <v>45246</v>
      </c>
      <c r="M367" s="116">
        <v>469.15</v>
      </c>
      <c r="N367" s="116">
        <v>474.15</v>
      </c>
      <c r="O367" s="116">
        <v>465.8</v>
      </c>
      <c r="P367" s="116">
        <v>470.1</v>
      </c>
      <c r="Q367" s="116">
        <v>469.15</v>
      </c>
      <c r="R367">
        <v>48391</v>
      </c>
    </row>
    <row r="368" spans="1:18" x14ac:dyDescent="0.25">
      <c r="A368" s="170">
        <v>45247</v>
      </c>
      <c r="B368" s="116">
        <v>471.1</v>
      </c>
      <c r="C368" s="116">
        <v>465.75</v>
      </c>
      <c r="D368" s="116">
        <v>464</v>
      </c>
      <c r="E368" s="116">
        <v>469.85</v>
      </c>
      <c r="F368" s="116">
        <v>465.75</v>
      </c>
      <c r="G368">
        <v>1784</v>
      </c>
      <c r="H368" s="116"/>
      <c r="I368" s="116"/>
      <c r="L368" s="170">
        <v>45247</v>
      </c>
      <c r="M368" s="116">
        <v>465.6</v>
      </c>
      <c r="N368" s="116">
        <v>476</v>
      </c>
      <c r="O368" s="116">
        <v>464</v>
      </c>
      <c r="P368" s="116">
        <v>476</v>
      </c>
      <c r="Q368" s="116">
        <v>465.6</v>
      </c>
      <c r="R368">
        <v>51726</v>
      </c>
    </row>
    <row r="369" spans="1:18" x14ac:dyDescent="0.25">
      <c r="A369" s="170">
        <v>45250</v>
      </c>
      <c r="B369" s="116">
        <v>470.5</v>
      </c>
      <c r="C369" s="116">
        <v>468.5</v>
      </c>
      <c r="D369" s="116">
        <v>458.2</v>
      </c>
      <c r="E369" s="116">
        <v>460.05</v>
      </c>
      <c r="F369" s="116">
        <v>468.5</v>
      </c>
      <c r="G369">
        <v>12314</v>
      </c>
      <c r="H369" s="116"/>
      <c r="I369" s="116"/>
      <c r="L369" s="170">
        <v>45250</v>
      </c>
      <c r="M369" s="116">
        <v>469.4</v>
      </c>
      <c r="N369" s="116">
        <v>470.25</v>
      </c>
      <c r="O369" s="116">
        <v>458.05</v>
      </c>
      <c r="P369" s="116">
        <v>465</v>
      </c>
      <c r="Q369" s="116">
        <v>469.4</v>
      </c>
      <c r="R369">
        <v>97409</v>
      </c>
    </row>
    <row r="370" spans="1:18" x14ac:dyDescent="0.25">
      <c r="A370" s="170">
        <v>45251</v>
      </c>
      <c r="B370" s="116">
        <v>478.85</v>
      </c>
      <c r="C370" s="116">
        <v>467.1</v>
      </c>
      <c r="D370" s="116">
        <v>463.65</v>
      </c>
      <c r="E370" s="116">
        <v>469.05</v>
      </c>
      <c r="F370" s="116">
        <v>467.1</v>
      </c>
      <c r="G370">
        <v>2524</v>
      </c>
      <c r="H370" s="116"/>
      <c r="I370" s="116"/>
      <c r="L370" s="170">
        <v>45251</v>
      </c>
      <c r="M370" s="116">
        <v>467.65</v>
      </c>
      <c r="N370" s="116">
        <v>479.9</v>
      </c>
      <c r="O370" s="116">
        <v>463.65</v>
      </c>
      <c r="P370" s="116">
        <v>473.25</v>
      </c>
      <c r="Q370" s="116">
        <v>467.65</v>
      </c>
      <c r="R370">
        <v>67710</v>
      </c>
    </row>
    <row r="371" spans="1:18" x14ac:dyDescent="0.25">
      <c r="A371" s="170">
        <v>45252</v>
      </c>
      <c r="B371" s="116">
        <v>468.6</v>
      </c>
      <c r="C371" s="116">
        <v>461.55</v>
      </c>
      <c r="D371" s="116">
        <v>458</v>
      </c>
      <c r="E371" s="116">
        <v>467</v>
      </c>
      <c r="F371" s="116">
        <v>461.55</v>
      </c>
      <c r="G371">
        <v>1796</v>
      </c>
      <c r="H371" s="116"/>
      <c r="I371" s="116"/>
      <c r="L371" s="170">
        <v>45252</v>
      </c>
      <c r="M371" s="116">
        <v>461.8</v>
      </c>
      <c r="N371" s="116">
        <v>474.4</v>
      </c>
      <c r="O371" s="116">
        <v>456</v>
      </c>
      <c r="P371" s="116">
        <v>470.75</v>
      </c>
      <c r="Q371" s="116">
        <v>461.8</v>
      </c>
      <c r="R371">
        <v>59707</v>
      </c>
    </row>
    <row r="372" spans="1:18" x14ac:dyDescent="0.25">
      <c r="A372" s="170">
        <v>45253</v>
      </c>
      <c r="B372" s="116">
        <v>464.9</v>
      </c>
      <c r="C372" s="116">
        <v>459.4</v>
      </c>
      <c r="D372" s="116">
        <v>458.7</v>
      </c>
      <c r="E372" s="116">
        <v>462.9</v>
      </c>
      <c r="F372" s="116">
        <v>459.4</v>
      </c>
      <c r="G372">
        <v>1240</v>
      </c>
      <c r="H372" s="116"/>
      <c r="I372" s="116"/>
      <c r="L372" s="170">
        <v>45253</v>
      </c>
      <c r="M372" s="116">
        <v>459.95</v>
      </c>
      <c r="N372" s="116">
        <v>465.4</v>
      </c>
      <c r="O372" s="116">
        <v>458.8</v>
      </c>
      <c r="P372" s="116">
        <v>461.8</v>
      </c>
      <c r="Q372" s="116">
        <v>459.95</v>
      </c>
      <c r="R372">
        <v>33554</v>
      </c>
    </row>
    <row r="373" spans="1:18" x14ac:dyDescent="0.25">
      <c r="A373" s="170">
        <v>45254</v>
      </c>
      <c r="B373" s="116">
        <v>464.7</v>
      </c>
      <c r="C373" s="116">
        <v>454</v>
      </c>
      <c r="D373" s="116">
        <v>453</v>
      </c>
      <c r="E373" s="116">
        <v>458.1</v>
      </c>
      <c r="F373" s="116">
        <v>454</v>
      </c>
      <c r="G373">
        <v>3052</v>
      </c>
      <c r="H373" s="116"/>
      <c r="I373" s="116"/>
      <c r="L373" s="170">
        <v>45254</v>
      </c>
      <c r="M373" s="116">
        <v>454.6</v>
      </c>
      <c r="N373" s="116">
        <v>465.4</v>
      </c>
      <c r="O373" s="116">
        <v>453.6</v>
      </c>
      <c r="P373" s="116">
        <v>460</v>
      </c>
      <c r="Q373" s="116">
        <v>454.6</v>
      </c>
      <c r="R373">
        <v>65387</v>
      </c>
    </row>
    <row r="374" spans="1:18" x14ac:dyDescent="0.25">
      <c r="A374" s="170">
        <v>45258</v>
      </c>
      <c r="B374" s="116">
        <v>464.55</v>
      </c>
      <c r="C374" s="116">
        <v>462.85</v>
      </c>
      <c r="D374" s="116">
        <v>452.85</v>
      </c>
      <c r="E374" s="116">
        <v>453.05</v>
      </c>
      <c r="F374" s="116">
        <v>462.85</v>
      </c>
      <c r="G374">
        <v>3441</v>
      </c>
      <c r="H374" s="116"/>
      <c r="I374" s="116"/>
      <c r="L374" s="170">
        <v>45258</v>
      </c>
      <c r="M374" s="116">
        <v>462.65</v>
      </c>
      <c r="N374" s="116">
        <v>464.5</v>
      </c>
      <c r="O374" s="116">
        <v>453</v>
      </c>
      <c r="P374" s="116">
        <v>459.8</v>
      </c>
      <c r="Q374" s="116">
        <v>462.65</v>
      </c>
      <c r="R374">
        <v>80425</v>
      </c>
    </row>
    <row r="375" spans="1:18" x14ac:dyDescent="0.25">
      <c r="A375" s="170">
        <v>45259</v>
      </c>
      <c r="B375" s="116">
        <v>465</v>
      </c>
      <c r="C375" s="116">
        <v>459.2</v>
      </c>
      <c r="D375" s="116">
        <v>456</v>
      </c>
      <c r="E375" s="116">
        <v>464.95</v>
      </c>
      <c r="F375" s="116">
        <v>459.2</v>
      </c>
      <c r="G375">
        <v>7560</v>
      </c>
      <c r="H375" s="116"/>
      <c r="I375" s="116"/>
      <c r="L375" s="170">
        <v>45259</v>
      </c>
      <c r="M375" s="116">
        <v>460.6</v>
      </c>
      <c r="N375" s="116">
        <v>464.9</v>
      </c>
      <c r="O375" s="116">
        <v>456</v>
      </c>
      <c r="P375" s="116">
        <v>462.95</v>
      </c>
      <c r="Q375" s="116">
        <v>460.6</v>
      </c>
      <c r="R375">
        <v>53133</v>
      </c>
    </row>
    <row r="376" spans="1:18" x14ac:dyDescent="0.25">
      <c r="A376" s="170">
        <v>45260</v>
      </c>
      <c r="B376" s="116">
        <v>471.85</v>
      </c>
      <c r="C376" s="116">
        <v>459.15</v>
      </c>
      <c r="D376" s="116">
        <v>454.1</v>
      </c>
      <c r="E376" s="116">
        <v>471.85</v>
      </c>
      <c r="F376" s="116">
        <v>459.15</v>
      </c>
      <c r="G376">
        <v>2436</v>
      </c>
      <c r="H376" s="116"/>
      <c r="I376" s="116"/>
      <c r="L376" s="170">
        <v>45260</v>
      </c>
      <c r="M376" s="116">
        <v>458.9</v>
      </c>
      <c r="N376" s="116">
        <v>465</v>
      </c>
      <c r="O376" s="116">
        <v>456</v>
      </c>
      <c r="P376" s="116">
        <v>460.65</v>
      </c>
      <c r="Q376" s="116">
        <v>458.9</v>
      </c>
      <c r="R376">
        <v>45487</v>
      </c>
    </row>
    <row r="377" spans="1:18" x14ac:dyDescent="0.25">
      <c r="A377" s="170">
        <v>45261</v>
      </c>
      <c r="B377" s="116">
        <v>463.4</v>
      </c>
      <c r="C377" s="116">
        <v>456.8</v>
      </c>
      <c r="D377" s="116">
        <v>455.75</v>
      </c>
      <c r="E377" s="116">
        <v>459.25</v>
      </c>
      <c r="F377" s="116">
        <v>456.8</v>
      </c>
      <c r="G377">
        <v>11702</v>
      </c>
      <c r="H377" s="116"/>
      <c r="I377" s="116"/>
      <c r="L377" s="170">
        <v>45261</v>
      </c>
      <c r="M377" s="116">
        <v>457.25</v>
      </c>
      <c r="N377" s="116">
        <v>463.4</v>
      </c>
      <c r="O377" s="116">
        <v>455.1</v>
      </c>
      <c r="P377" s="116">
        <v>463.4</v>
      </c>
      <c r="Q377" s="116">
        <v>457.25</v>
      </c>
      <c r="R377">
        <v>58546</v>
      </c>
    </row>
    <row r="378" spans="1:18" x14ac:dyDescent="0.25">
      <c r="A378" s="170">
        <v>45264</v>
      </c>
      <c r="B378" s="116">
        <v>469.5</v>
      </c>
      <c r="C378" s="116">
        <v>456</v>
      </c>
      <c r="D378" s="116">
        <v>455</v>
      </c>
      <c r="E378" s="116">
        <v>466</v>
      </c>
      <c r="F378" s="116">
        <v>456</v>
      </c>
      <c r="G378">
        <v>3321</v>
      </c>
      <c r="H378" s="116"/>
      <c r="I378" s="116"/>
      <c r="L378" s="170">
        <v>45264</v>
      </c>
      <c r="M378" s="116">
        <v>456</v>
      </c>
      <c r="N378" s="116">
        <v>470</v>
      </c>
      <c r="O378" s="116">
        <v>454.9</v>
      </c>
      <c r="P378" s="116">
        <v>460.35</v>
      </c>
      <c r="Q378" s="116">
        <v>456</v>
      </c>
      <c r="R378">
        <v>100538</v>
      </c>
    </row>
    <row r="379" spans="1:18" x14ac:dyDescent="0.25">
      <c r="A379" s="170">
        <v>45265</v>
      </c>
      <c r="B379" s="116">
        <v>464.95</v>
      </c>
      <c r="C379" s="116">
        <v>454.45</v>
      </c>
      <c r="D379" s="116">
        <v>453</v>
      </c>
      <c r="E379" s="116">
        <v>464.95</v>
      </c>
      <c r="F379" s="116">
        <v>454.45</v>
      </c>
      <c r="G379">
        <v>7243</v>
      </c>
      <c r="H379" s="116"/>
      <c r="I379" s="116"/>
      <c r="L379" s="170">
        <v>45265</v>
      </c>
      <c r="M379" s="116">
        <v>454.95</v>
      </c>
      <c r="N379" s="116">
        <v>459</v>
      </c>
      <c r="O379" s="116">
        <v>453</v>
      </c>
      <c r="P379" s="116">
        <v>457.9</v>
      </c>
      <c r="Q379" s="116">
        <v>454.95</v>
      </c>
      <c r="R379">
        <v>72947</v>
      </c>
    </row>
    <row r="380" spans="1:18" x14ac:dyDescent="0.25">
      <c r="A380" s="170">
        <v>45266</v>
      </c>
      <c r="B380" s="116">
        <v>459.95</v>
      </c>
      <c r="C380" s="116">
        <v>440.3</v>
      </c>
      <c r="D380" s="116">
        <v>439.7</v>
      </c>
      <c r="E380" s="116">
        <v>459.95</v>
      </c>
      <c r="F380" s="116">
        <v>440.3</v>
      </c>
      <c r="G380">
        <v>7579</v>
      </c>
      <c r="H380" s="116"/>
      <c r="I380" s="116"/>
      <c r="L380" s="170">
        <v>45266</v>
      </c>
      <c r="M380" s="116">
        <v>440.35</v>
      </c>
      <c r="N380" s="116">
        <v>456.2</v>
      </c>
      <c r="O380" s="116">
        <v>439</v>
      </c>
      <c r="P380" s="116">
        <v>454.05</v>
      </c>
      <c r="Q380" s="116">
        <v>440.35</v>
      </c>
      <c r="R380">
        <v>224498</v>
      </c>
    </row>
    <row r="381" spans="1:18" x14ac:dyDescent="0.25">
      <c r="A381" s="170">
        <v>45267</v>
      </c>
      <c r="B381" s="116">
        <v>450</v>
      </c>
      <c r="C381" s="116">
        <v>446.15</v>
      </c>
      <c r="D381" s="116">
        <v>441</v>
      </c>
      <c r="E381" s="116">
        <v>441</v>
      </c>
      <c r="F381" s="116">
        <v>446.15</v>
      </c>
      <c r="G381">
        <v>3999</v>
      </c>
      <c r="H381" s="116"/>
      <c r="I381" s="116"/>
      <c r="L381" s="170">
        <v>45267</v>
      </c>
      <c r="M381" s="116">
        <v>446.05</v>
      </c>
      <c r="N381" s="116">
        <v>450.35</v>
      </c>
      <c r="O381" s="116">
        <v>440.45</v>
      </c>
      <c r="P381" s="116">
        <v>440.45</v>
      </c>
      <c r="Q381" s="116">
        <v>446.05</v>
      </c>
      <c r="R381">
        <v>108617</v>
      </c>
    </row>
    <row r="382" spans="1:18" x14ac:dyDescent="0.25">
      <c r="A382" s="170">
        <v>45268</v>
      </c>
      <c r="B382" s="116">
        <v>450.3</v>
      </c>
      <c r="C382" s="116">
        <v>442.4</v>
      </c>
      <c r="D382" s="116">
        <v>433.65</v>
      </c>
      <c r="E382" s="116">
        <v>447.5</v>
      </c>
      <c r="F382" s="116">
        <v>442.4</v>
      </c>
      <c r="G382">
        <v>16432</v>
      </c>
      <c r="H382" s="116"/>
      <c r="I382" s="116"/>
      <c r="L382" s="170">
        <v>45268</v>
      </c>
      <c r="M382" s="116">
        <v>442.6</v>
      </c>
      <c r="N382" s="116">
        <v>449.8</v>
      </c>
      <c r="O382" s="116">
        <v>439</v>
      </c>
      <c r="P382" s="116">
        <v>448.5</v>
      </c>
      <c r="Q382" s="116">
        <v>442.6</v>
      </c>
      <c r="R382">
        <v>48571</v>
      </c>
    </row>
    <row r="383" spans="1:18" x14ac:dyDescent="0.25">
      <c r="A383" s="170">
        <v>45271</v>
      </c>
      <c r="B383" s="116">
        <v>445.45</v>
      </c>
      <c r="C383" s="116">
        <v>441.9</v>
      </c>
      <c r="D383" s="116">
        <v>440.45</v>
      </c>
      <c r="E383" s="116">
        <v>445</v>
      </c>
      <c r="F383" s="116">
        <v>441.9</v>
      </c>
      <c r="G383">
        <v>2258</v>
      </c>
      <c r="H383" s="116"/>
      <c r="I383" s="116"/>
      <c r="L383" s="170">
        <v>45271</v>
      </c>
      <c r="M383" s="116">
        <v>441.7</v>
      </c>
      <c r="N383" s="116">
        <v>447.4</v>
      </c>
      <c r="O383" s="116">
        <v>440</v>
      </c>
      <c r="P383" s="116">
        <v>445</v>
      </c>
      <c r="Q383" s="116">
        <v>441.7</v>
      </c>
      <c r="R383">
        <v>57737</v>
      </c>
    </row>
    <row r="384" spans="1:18" x14ac:dyDescent="0.25">
      <c r="A384" s="170">
        <v>45272</v>
      </c>
      <c r="B384" s="116">
        <v>450</v>
      </c>
      <c r="C384" s="116">
        <v>439</v>
      </c>
      <c r="D384" s="116">
        <v>437.25</v>
      </c>
      <c r="E384" s="116">
        <v>444</v>
      </c>
      <c r="F384" s="116">
        <v>439</v>
      </c>
      <c r="G384">
        <v>10450</v>
      </c>
      <c r="H384" s="116"/>
      <c r="I384" s="116"/>
      <c r="L384" s="170">
        <v>45272</v>
      </c>
      <c r="M384" s="116">
        <v>439</v>
      </c>
      <c r="N384" s="116">
        <v>453</v>
      </c>
      <c r="O384" s="116">
        <v>437.1</v>
      </c>
      <c r="P384" s="116">
        <v>446.85</v>
      </c>
      <c r="Q384" s="116">
        <v>439</v>
      </c>
      <c r="R384">
        <v>74915</v>
      </c>
    </row>
    <row r="385" spans="1:18" x14ac:dyDescent="0.25">
      <c r="A385" s="170">
        <v>45273</v>
      </c>
      <c r="B385" s="116">
        <v>445</v>
      </c>
      <c r="C385" s="116">
        <v>435.25</v>
      </c>
      <c r="D385" s="116">
        <v>434</v>
      </c>
      <c r="E385" s="116">
        <v>444.9</v>
      </c>
      <c r="F385" s="116">
        <v>435.25</v>
      </c>
      <c r="G385">
        <v>13009</v>
      </c>
      <c r="H385" s="116"/>
      <c r="I385" s="116"/>
      <c r="L385" s="170">
        <v>45273</v>
      </c>
      <c r="M385" s="116">
        <v>435.4</v>
      </c>
      <c r="N385" s="116">
        <v>449.55</v>
      </c>
      <c r="O385" s="116">
        <v>433.75</v>
      </c>
      <c r="P385" s="116">
        <v>441.3</v>
      </c>
      <c r="Q385" s="116">
        <v>435.4</v>
      </c>
      <c r="R385">
        <v>84749</v>
      </c>
    </row>
    <row r="386" spans="1:18" x14ac:dyDescent="0.25">
      <c r="A386" s="170">
        <v>45274</v>
      </c>
      <c r="B386" s="116">
        <v>445.55</v>
      </c>
      <c r="C386" s="116">
        <v>428.95</v>
      </c>
      <c r="D386" s="116">
        <v>426.75</v>
      </c>
      <c r="E386" s="116">
        <v>437.25</v>
      </c>
      <c r="F386" s="116">
        <v>428.95</v>
      </c>
      <c r="G386">
        <v>7335</v>
      </c>
      <c r="H386" s="116"/>
      <c r="I386" s="116"/>
      <c r="L386" s="170">
        <v>45274</v>
      </c>
      <c r="M386" s="116">
        <v>428.05</v>
      </c>
      <c r="N386" s="116">
        <v>448.75</v>
      </c>
      <c r="O386" s="116">
        <v>426.4</v>
      </c>
      <c r="P386" s="116">
        <v>437.7</v>
      </c>
      <c r="Q386" s="116">
        <v>428.05</v>
      </c>
      <c r="R386">
        <v>528972</v>
      </c>
    </row>
    <row r="387" spans="1:18" x14ac:dyDescent="0.25">
      <c r="A387" s="170">
        <v>45275</v>
      </c>
      <c r="B387" s="116">
        <v>447.9</v>
      </c>
      <c r="C387" s="116">
        <v>439.45</v>
      </c>
      <c r="D387" s="116">
        <v>428.35</v>
      </c>
      <c r="E387" s="116">
        <v>430.05</v>
      </c>
      <c r="F387" s="116">
        <v>439.45</v>
      </c>
      <c r="G387">
        <v>26575</v>
      </c>
      <c r="H387" s="116"/>
      <c r="I387" s="116"/>
      <c r="L387" s="170">
        <v>45275</v>
      </c>
      <c r="M387" s="116">
        <v>439.6</v>
      </c>
      <c r="N387" s="116">
        <v>448.8</v>
      </c>
      <c r="O387" s="116">
        <v>431.05</v>
      </c>
      <c r="P387" s="116">
        <v>437.7</v>
      </c>
      <c r="Q387" s="116">
        <v>439.6</v>
      </c>
      <c r="R387">
        <v>421749</v>
      </c>
    </row>
    <row r="388" spans="1:18" x14ac:dyDescent="0.25">
      <c r="A388" s="170">
        <v>45278</v>
      </c>
      <c r="B388" s="116">
        <v>444.2</v>
      </c>
      <c r="C388" s="116">
        <v>437.05</v>
      </c>
      <c r="D388" s="116">
        <v>435.05</v>
      </c>
      <c r="E388" s="116">
        <v>435.05</v>
      </c>
      <c r="F388" s="116">
        <v>437.05</v>
      </c>
      <c r="G388">
        <v>4692</v>
      </c>
      <c r="H388" s="116"/>
      <c r="I388" s="116"/>
      <c r="L388" s="170">
        <v>45278</v>
      </c>
      <c r="M388" s="116">
        <v>437.05</v>
      </c>
      <c r="N388" s="116">
        <v>444.45</v>
      </c>
      <c r="O388" s="116">
        <v>435.8</v>
      </c>
      <c r="P388" s="116">
        <v>439.6</v>
      </c>
      <c r="Q388" s="116">
        <v>437.05</v>
      </c>
      <c r="R388">
        <v>111157</v>
      </c>
    </row>
    <row r="389" spans="1:18" x14ac:dyDescent="0.25">
      <c r="A389" s="170">
        <v>45279</v>
      </c>
      <c r="B389" s="116">
        <v>441</v>
      </c>
      <c r="C389" s="116">
        <v>439.25</v>
      </c>
      <c r="D389" s="116">
        <v>437.05</v>
      </c>
      <c r="E389" s="116">
        <v>437.05</v>
      </c>
      <c r="F389" s="116">
        <v>439.25</v>
      </c>
      <c r="G389">
        <v>9913</v>
      </c>
      <c r="H389" s="116"/>
      <c r="I389" s="116"/>
      <c r="L389" s="170">
        <v>45279</v>
      </c>
      <c r="M389" s="116">
        <v>439.9</v>
      </c>
      <c r="N389" s="116">
        <v>440.95</v>
      </c>
      <c r="O389" s="116">
        <v>437</v>
      </c>
      <c r="P389" s="116">
        <v>437</v>
      </c>
      <c r="Q389" s="116">
        <v>439.9</v>
      </c>
      <c r="R389">
        <v>96013</v>
      </c>
    </row>
    <row r="390" spans="1:18" x14ac:dyDescent="0.25">
      <c r="A390" s="170">
        <v>45280</v>
      </c>
      <c r="B390" s="116">
        <v>441.95</v>
      </c>
      <c r="C390" s="116">
        <v>432.6</v>
      </c>
      <c r="D390" s="116">
        <v>431</v>
      </c>
      <c r="E390" s="116">
        <v>441</v>
      </c>
      <c r="F390" s="116">
        <v>432.6</v>
      </c>
      <c r="G390">
        <v>2957</v>
      </c>
      <c r="H390" s="116"/>
      <c r="I390" s="116"/>
      <c r="L390" s="170">
        <v>45280</v>
      </c>
      <c r="M390" s="116">
        <v>433.9</v>
      </c>
      <c r="N390" s="116">
        <v>448</v>
      </c>
      <c r="O390" s="116">
        <v>430.1</v>
      </c>
      <c r="P390" s="116">
        <v>440</v>
      </c>
      <c r="Q390" s="116">
        <v>433.9</v>
      </c>
      <c r="R390">
        <v>104930</v>
      </c>
    </row>
    <row r="391" spans="1:18" x14ac:dyDescent="0.25">
      <c r="A391" s="170">
        <v>45281</v>
      </c>
      <c r="B391" s="116">
        <v>443.5</v>
      </c>
      <c r="C391" s="116">
        <v>434.3</v>
      </c>
      <c r="D391" s="116">
        <v>429</v>
      </c>
      <c r="E391" s="116">
        <v>443.5</v>
      </c>
      <c r="F391" s="116">
        <v>434.3</v>
      </c>
      <c r="G391">
        <v>3624</v>
      </c>
      <c r="H391" s="116"/>
      <c r="I391" s="116"/>
      <c r="L391" s="170">
        <v>45281</v>
      </c>
      <c r="M391" s="116">
        <v>434.45</v>
      </c>
      <c r="N391" s="116">
        <v>443.8</v>
      </c>
      <c r="O391" s="116">
        <v>426.8</v>
      </c>
      <c r="P391" s="116">
        <v>430.1</v>
      </c>
      <c r="Q391" s="116">
        <v>434.45</v>
      </c>
      <c r="R391">
        <v>124742</v>
      </c>
    </row>
    <row r="392" spans="1:18" x14ac:dyDescent="0.25">
      <c r="A392" s="170">
        <v>45282</v>
      </c>
      <c r="B392" s="116">
        <v>437.25</v>
      </c>
      <c r="C392" s="116">
        <v>434.85</v>
      </c>
      <c r="D392" s="116">
        <v>433.5</v>
      </c>
      <c r="E392" s="116">
        <v>434.95</v>
      </c>
      <c r="F392" s="116">
        <v>434.85</v>
      </c>
      <c r="G392">
        <v>1462</v>
      </c>
      <c r="H392" s="116"/>
      <c r="I392" s="116"/>
      <c r="L392" s="170">
        <v>45282</v>
      </c>
      <c r="M392" s="116">
        <v>434.85</v>
      </c>
      <c r="N392" s="116">
        <v>444.9</v>
      </c>
      <c r="O392" s="116">
        <v>433.1</v>
      </c>
      <c r="P392" s="116">
        <v>434.5</v>
      </c>
      <c r="Q392" s="116">
        <v>434.85</v>
      </c>
      <c r="R392">
        <v>71546</v>
      </c>
    </row>
    <row r="393" spans="1:18" x14ac:dyDescent="0.25">
      <c r="A393" s="170">
        <v>45286</v>
      </c>
      <c r="B393" s="116">
        <v>441.3</v>
      </c>
      <c r="C393" s="116">
        <v>439.65</v>
      </c>
      <c r="D393" s="116">
        <v>432.35</v>
      </c>
      <c r="E393" s="116">
        <v>439.85</v>
      </c>
      <c r="F393" s="116">
        <v>439.65</v>
      </c>
      <c r="G393">
        <v>9225</v>
      </c>
      <c r="H393" s="116"/>
      <c r="I393" s="116"/>
      <c r="L393" s="170">
        <v>45286</v>
      </c>
      <c r="M393" s="116">
        <v>438.85</v>
      </c>
      <c r="N393" s="116">
        <v>442.9</v>
      </c>
      <c r="O393" s="116">
        <v>432</v>
      </c>
      <c r="P393" s="116">
        <v>437</v>
      </c>
      <c r="Q393" s="116">
        <v>438.85</v>
      </c>
      <c r="R393">
        <v>139584</v>
      </c>
    </row>
    <row r="394" spans="1:18" x14ac:dyDescent="0.25">
      <c r="A394" s="170">
        <v>45287</v>
      </c>
      <c r="B394" s="116">
        <v>442.15</v>
      </c>
      <c r="C394" s="116">
        <v>432</v>
      </c>
      <c r="D394" s="116">
        <v>425.05</v>
      </c>
      <c r="E394" s="116">
        <v>441.55</v>
      </c>
      <c r="F394" s="116">
        <v>432</v>
      </c>
      <c r="G394">
        <v>8421</v>
      </c>
      <c r="H394" s="116"/>
      <c r="I394" s="116"/>
      <c r="L394" s="170">
        <v>45287</v>
      </c>
      <c r="M394" s="116">
        <v>432.2</v>
      </c>
      <c r="N394" s="116">
        <v>442.9</v>
      </c>
      <c r="O394" s="116">
        <v>425</v>
      </c>
      <c r="P394" s="116">
        <v>442</v>
      </c>
      <c r="Q394" s="116">
        <v>432.2</v>
      </c>
      <c r="R394">
        <v>112424</v>
      </c>
    </row>
    <row r="395" spans="1:18" x14ac:dyDescent="0.25">
      <c r="A395" s="170">
        <v>45288</v>
      </c>
      <c r="B395" s="116">
        <v>447.3</v>
      </c>
      <c r="C395" s="116">
        <v>442.75</v>
      </c>
      <c r="D395" s="116">
        <v>420.05</v>
      </c>
      <c r="E395" s="116">
        <v>430.7</v>
      </c>
      <c r="F395" s="116">
        <v>442.75</v>
      </c>
      <c r="G395">
        <v>8441</v>
      </c>
      <c r="H395" s="116"/>
      <c r="I395" s="116"/>
      <c r="L395" s="170">
        <v>45288</v>
      </c>
      <c r="M395" s="116">
        <v>442.8</v>
      </c>
      <c r="N395" s="116">
        <v>447.8</v>
      </c>
      <c r="O395" s="116">
        <v>417.6</v>
      </c>
      <c r="P395" s="116">
        <v>432.2</v>
      </c>
      <c r="Q395" s="116">
        <v>442.8</v>
      </c>
      <c r="R395">
        <v>201331</v>
      </c>
    </row>
    <row r="396" spans="1:18" x14ac:dyDescent="0.25">
      <c r="A396" s="170">
        <v>45289</v>
      </c>
      <c r="B396" s="116">
        <v>461.85</v>
      </c>
      <c r="C396" s="116">
        <v>455.75</v>
      </c>
      <c r="D396" s="116">
        <v>439.1</v>
      </c>
      <c r="E396" s="116">
        <v>442.8</v>
      </c>
      <c r="F396" s="116">
        <v>455.75</v>
      </c>
      <c r="G396">
        <v>5665</v>
      </c>
      <c r="H396" s="116"/>
      <c r="I396" s="116"/>
      <c r="L396" s="170">
        <v>45289</v>
      </c>
      <c r="M396" s="116">
        <v>451.5</v>
      </c>
      <c r="N396" s="116">
        <v>461</v>
      </c>
      <c r="O396" s="116">
        <v>439.65</v>
      </c>
      <c r="P396" s="116">
        <v>443</v>
      </c>
      <c r="Q396" s="116">
        <v>451.5</v>
      </c>
      <c r="R396">
        <v>164208</v>
      </c>
    </row>
    <row r="397" spans="1:18" x14ac:dyDescent="0.25">
      <c r="A397" s="170">
        <v>45292</v>
      </c>
      <c r="B397" s="116">
        <v>460</v>
      </c>
      <c r="C397" s="116">
        <v>455.45</v>
      </c>
      <c r="D397" s="116">
        <v>449.2</v>
      </c>
      <c r="E397" s="116">
        <v>450.05</v>
      </c>
      <c r="F397" s="116">
        <v>455.45</v>
      </c>
      <c r="G397">
        <v>18539</v>
      </c>
      <c r="H397" s="116"/>
      <c r="I397" s="116"/>
      <c r="L397" s="170">
        <v>45292</v>
      </c>
      <c r="M397" s="116">
        <v>456.2</v>
      </c>
      <c r="N397" s="116">
        <v>460.95</v>
      </c>
      <c r="O397" s="116">
        <v>449.25</v>
      </c>
      <c r="P397" s="116">
        <v>451.95</v>
      </c>
      <c r="Q397" s="116">
        <v>456.2</v>
      </c>
      <c r="R397">
        <v>118169</v>
      </c>
    </row>
    <row r="398" spans="1:18" x14ac:dyDescent="0.25">
      <c r="A398" s="170">
        <v>45293</v>
      </c>
      <c r="B398" s="116">
        <v>464.55</v>
      </c>
      <c r="C398" s="116">
        <v>451.5</v>
      </c>
      <c r="D398" s="116">
        <v>450</v>
      </c>
      <c r="E398" s="116">
        <v>464.55</v>
      </c>
      <c r="F398" s="116">
        <v>451.5</v>
      </c>
      <c r="G398">
        <v>6058</v>
      </c>
      <c r="H398" s="116"/>
      <c r="I398" s="116"/>
      <c r="L398" s="170">
        <v>45293</v>
      </c>
      <c r="M398" s="116">
        <v>452.2</v>
      </c>
      <c r="N398" s="116">
        <v>464.95</v>
      </c>
      <c r="O398" s="116">
        <v>448.8</v>
      </c>
      <c r="P398" s="116">
        <v>455.1</v>
      </c>
      <c r="Q398" s="116">
        <v>452.2</v>
      </c>
      <c r="R398">
        <v>108112</v>
      </c>
    </row>
    <row r="399" spans="1:18" x14ac:dyDescent="0.25">
      <c r="A399" s="170">
        <v>45294</v>
      </c>
      <c r="B399" s="116">
        <v>460.25</v>
      </c>
      <c r="C399" s="116">
        <v>447.6</v>
      </c>
      <c r="D399" s="116">
        <v>444.1</v>
      </c>
      <c r="E399" s="116">
        <v>444.1</v>
      </c>
      <c r="F399" s="116">
        <v>447.6</v>
      </c>
      <c r="G399">
        <v>2215</v>
      </c>
      <c r="H399" s="116"/>
      <c r="I399" s="116"/>
      <c r="L399" s="170">
        <v>45294</v>
      </c>
      <c r="M399" s="116">
        <v>448.2</v>
      </c>
      <c r="N399" s="116">
        <v>457.95</v>
      </c>
      <c r="O399" s="116">
        <v>445.05</v>
      </c>
      <c r="P399" s="116">
        <v>452</v>
      </c>
      <c r="Q399" s="116">
        <v>448.2</v>
      </c>
      <c r="R399">
        <v>75434</v>
      </c>
    </row>
    <row r="400" spans="1:18" x14ac:dyDescent="0.25">
      <c r="A400" s="170">
        <v>45295</v>
      </c>
      <c r="B400" s="116">
        <v>453.5</v>
      </c>
      <c r="C400" s="116">
        <v>450.2</v>
      </c>
      <c r="D400" s="116">
        <v>442.05</v>
      </c>
      <c r="E400" s="116">
        <v>442.05</v>
      </c>
      <c r="F400" s="116">
        <v>450.2</v>
      </c>
      <c r="G400">
        <v>3951</v>
      </c>
      <c r="H400" s="116"/>
      <c r="I400" s="116"/>
      <c r="L400" s="170">
        <v>45295</v>
      </c>
      <c r="M400" s="116">
        <v>450.2</v>
      </c>
      <c r="N400" s="116">
        <v>453.25</v>
      </c>
      <c r="O400" s="116">
        <v>445</v>
      </c>
      <c r="P400" s="116">
        <v>445</v>
      </c>
      <c r="Q400" s="116">
        <v>450.2</v>
      </c>
      <c r="R400">
        <v>71588</v>
      </c>
    </row>
    <row r="401" spans="1:18" x14ac:dyDescent="0.25">
      <c r="A401" s="170">
        <v>45296</v>
      </c>
      <c r="B401" s="116">
        <v>454.85</v>
      </c>
      <c r="C401" s="116">
        <v>451.2</v>
      </c>
      <c r="D401" s="116">
        <v>446.55</v>
      </c>
      <c r="E401" s="116">
        <v>454.85</v>
      </c>
      <c r="F401" s="116">
        <v>451.2</v>
      </c>
      <c r="G401">
        <v>15942</v>
      </c>
      <c r="H401" s="116"/>
      <c r="I401" s="116"/>
      <c r="L401" s="170">
        <v>45296</v>
      </c>
      <c r="M401" s="116">
        <v>450.7</v>
      </c>
      <c r="N401" s="116">
        <v>455</v>
      </c>
      <c r="O401" s="116">
        <v>446</v>
      </c>
      <c r="P401" s="116">
        <v>455</v>
      </c>
      <c r="Q401" s="116">
        <v>450.7</v>
      </c>
      <c r="R401">
        <v>57754</v>
      </c>
    </row>
    <row r="402" spans="1:18" x14ac:dyDescent="0.25">
      <c r="A402" s="170">
        <v>45299</v>
      </c>
      <c r="B402" s="116">
        <v>456</v>
      </c>
      <c r="C402" s="116">
        <v>439.7</v>
      </c>
      <c r="D402" s="116">
        <v>438.1</v>
      </c>
      <c r="E402" s="116">
        <v>455</v>
      </c>
      <c r="F402" s="116">
        <v>439.7</v>
      </c>
      <c r="G402">
        <v>10800</v>
      </c>
      <c r="H402" s="116"/>
      <c r="I402" s="116"/>
      <c r="L402" s="170">
        <v>45299</v>
      </c>
      <c r="M402" s="116">
        <v>439.4</v>
      </c>
      <c r="N402" s="116">
        <v>458.1</v>
      </c>
      <c r="O402" s="116">
        <v>437.05</v>
      </c>
      <c r="P402" s="116">
        <v>458.05</v>
      </c>
      <c r="Q402" s="116">
        <v>439.4</v>
      </c>
      <c r="R402">
        <v>82642</v>
      </c>
    </row>
    <row r="403" spans="1:18" x14ac:dyDescent="0.25">
      <c r="A403" s="170">
        <v>45300</v>
      </c>
      <c r="B403" s="116">
        <v>448</v>
      </c>
      <c r="C403" s="116">
        <v>431</v>
      </c>
      <c r="D403" s="116">
        <v>428</v>
      </c>
      <c r="E403" s="116">
        <v>446.1</v>
      </c>
      <c r="F403" s="116">
        <v>431</v>
      </c>
      <c r="G403">
        <v>19395</v>
      </c>
      <c r="H403" s="116"/>
      <c r="I403" s="116"/>
      <c r="L403" s="170">
        <v>45300</v>
      </c>
      <c r="M403" s="116">
        <v>430.35</v>
      </c>
      <c r="N403" s="116">
        <v>449</v>
      </c>
      <c r="O403" s="116">
        <v>427.8</v>
      </c>
      <c r="P403" s="116">
        <v>447</v>
      </c>
      <c r="Q403" s="116">
        <v>430.35</v>
      </c>
      <c r="R403">
        <v>124458</v>
      </c>
    </row>
    <row r="404" spans="1:18" x14ac:dyDescent="0.25">
      <c r="A404" s="170">
        <v>45301</v>
      </c>
      <c r="B404" s="116">
        <v>438</v>
      </c>
      <c r="C404" s="116">
        <v>420.95</v>
      </c>
      <c r="D404" s="116">
        <v>416.5</v>
      </c>
      <c r="E404" s="116">
        <v>433.15</v>
      </c>
      <c r="F404" s="116">
        <v>420.95</v>
      </c>
      <c r="G404">
        <v>24538</v>
      </c>
      <c r="H404" s="116"/>
      <c r="I404" s="116"/>
      <c r="L404" s="170">
        <v>45301</v>
      </c>
      <c r="M404" s="116">
        <v>419.15</v>
      </c>
      <c r="N404" s="116">
        <v>438</v>
      </c>
      <c r="O404" s="116">
        <v>415</v>
      </c>
      <c r="P404" s="116">
        <v>432.7</v>
      </c>
      <c r="Q404" s="116">
        <v>419.15</v>
      </c>
      <c r="R404">
        <v>259834</v>
      </c>
    </row>
    <row r="405" spans="1:18" x14ac:dyDescent="0.25">
      <c r="A405" s="170">
        <v>45302</v>
      </c>
      <c r="B405" s="116">
        <v>439.55</v>
      </c>
      <c r="C405" s="116">
        <v>434.9</v>
      </c>
      <c r="D405" s="116">
        <v>423.45</v>
      </c>
      <c r="E405" s="116">
        <v>429</v>
      </c>
      <c r="F405" s="116">
        <v>434.9</v>
      </c>
      <c r="G405">
        <v>24157</v>
      </c>
      <c r="H405" s="116"/>
      <c r="I405" s="116"/>
      <c r="L405" s="170">
        <v>45302</v>
      </c>
      <c r="M405" s="116">
        <v>435.1</v>
      </c>
      <c r="N405" s="116">
        <v>439.4</v>
      </c>
      <c r="O405" s="116">
        <v>424</v>
      </c>
      <c r="P405" s="116">
        <v>425.45</v>
      </c>
      <c r="Q405" s="116">
        <v>435.1</v>
      </c>
      <c r="R405">
        <v>194502</v>
      </c>
    </row>
    <row r="406" spans="1:18" x14ac:dyDescent="0.25">
      <c r="A406" s="170">
        <v>45303</v>
      </c>
      <c r="B406" s="116">
        <v>507.2</v>
      </c>
      <c r="C406" s="116">
        <v>467.05</v>
      </c>
      <c r="D406" s="116">
        <v>440.45</v>
      </c>
      <c r="E406" s="116">
        <v>440.45</v>
      </c>
      <c r="F406" s="116">
        <v>467.05</v>
      </c>
      <c r="G406">
        <v>465098</v>
      </c>
      <c r="H406" s="116"/>
      <c r="I406" s="116"/>
      <c r="L406" s="170">
        <v>45303</v>
      </c>
      <c r="M406" s="116">
        <v>466.5</v>
      </c>
      <c r="N406" s="116">
        <v>508</v>
      </c>
      <c r="O406" s="116">
        <v>439.95</v>
      </c>
      <c r="P406" s="116">
        <v>439.95</v>
      </c>
      <c r="Q406" s="116">
        <v>466.5</v>
      </c>
      <c r="R406">
        <v>2209388</v>
      </c>
    </row>
    <row r="407" spans="1:18" x14ac:dyDescent="0.25">
      <c r="A407" s="170">
        <v>45306</v>
      </c>
      <c r="B407" s="116">
        <v>491.9</v>
      </c>
      <c r="C407" s="116">
        <v>486.55</v>
      </c>
      <c r="D407" s="116">
        <v>456.6</v>
      </c>
      <c r="E407" s="116">
        <v>469.7</v>
      </c>
      <c r="F407" s="116">
        <v>486.55</v>
      </c>
      <c r="G407">
        <v>443782</v>
      </c>
      <c r="H407" s="116"/>
      <c r="I407" s="116"/>
      <c r="L407" s="170">
        <v>45306</v>
      </c>
      <c r="M407" s="116">
        <v>486.8</v>
      </c>
      <c r="N407" s="116">
        <v>492</v>
      </c>
      <c r="O407" s="116">
        <v>456.15</v>
      </c>
      <c r="P407" s="116">
        <v>469.8</v>
      </c>
      <c r="Q407" s="116">
        <v>486.8</v>
      </c>
      <c r="R407">
        <v>1130385</v>
      </c>
    </row>
    <row r="408" spans="1:18" x14ac:dyDescent="0.25">
      <c r="A408" s="170">
        <v>45307</v>
      </c>
      <c r="B408" s="116">
        <v>487.85</v>
      </c>
      <c r="C408" s="116">
        <v>474.8</v>
      </c>
      <c r="D408" s="116">
        <v>471.05</v>
      </c>
      <c r="E408" s="116">
        <v>484.65</v>
      </c>
      <c r="F408" s="116">
        <v>474.8</v>
      </c>
      <c r="G408">
        <v>10948</v>
      </c>
      <c r="H408" s="116"/>
      <c r="I408" s="116"/>
      <c r="L408" s="170">
        <v>45307</v>
      </c>
      <c r="M408" s="116">
        <v>475.15</v>
      </c>
      <c r="N408" s="116">
        <v>489.2</v>
      </c>
      <c r="O408" s="116">
        <v>471.35</v>
      </c>
      <c r="P408" s="116">
        <v>484.1</v>
      </c>
      <c r="Q408" s="116">
        <v>475.15</v>
      </c>
      <c r="R408">
        <v>236842</v>
      </c>
    </row>
    <row r="409" spans="1:18" x14ac:dyDescent="0.25">
      <c r="A409" s="170">
        <v>45308</v>
      </c>
      <c r="B409" s="116">
        <v>485</v>
      </c>
      <c r="C409" s="116">
        <v>480.45</v>
      </c>
      <c r="D409" s="116">
        <v>457.8</v>
      </c>
      <c r="E409" s="116">
        <v>464.8</v>
      </c>
      <c r="F409" s="116">
        <v>480.45</v>
      </c>
      <c r="G409">
        <v>9180</v>
      </c>
      <c r="H409" s="116"/>
      <c r="I409" s="116"/>
      <c r="L409" s="170">
        <v>45308</v>
      </c>
      <c r="M409" s="116">
        <v>481.25</v>
      </c>
      <c r="N409" s="116">
        <v>484.95</v>
      </c>
      <c r="O409" s="116">
        <v>461.1</v>
      </c>
      <c r="P409" s="116">
        <v>465</v>
      </c>
      <c r="Q409" s="116">
        <v>481.25</v>
      </c>
      <c r="R409">
        <v>176903</v>
      </c>
    </row>
    <row r="410" spans="1:18" x14ac:dyDescent="0.25">
      <c r="A410" s="170">
        <v>45309</v>
      </c>
      <c r="B410" s="116">
        <v>483.3</v>
      </c>
      <c r="C410" s="116">
        <v>467.2</v>
      </c>
      <c r="D410" s="116">
        <v>450.4</v>
      </c>
      <c r="E410" s="116">
        <v>482.25</v>
      </c>
      <c r="F410" s="116">
        <v>467.2</v>
      </c>
      <c r="G410">
        <v>14736</v>
      </c>
      <c r="H410" s="116"/>
      <c r="I410" s="116"/>
      <c r="L410" s="170">
        <v>45309</v>
      </c>
      <c r="M410" s="116">
        <v>467.3</v>
      </c>
      <c r="N410" s="116">
        <v>484.8</v>
      </c>
      <c r="O410" s="116">
        <v>450</v>
      </c>
      <c r="P410" s="116">
        <v>484.8</v>
      </c>
      <c r="Q410" s="116">
        <v>467.3</v>
      </c>
      <c r="R410">
        <v>330727</v>
      </c>
    </row>
    <row r="411" spans="1:18" x14ac:dyDescent="0.25">
      <c r="A411" s="170">
        <v>45310</v>
      </c>
      <c r="B411" s="116">
        <v>473.05</v>
      </c>
      <c r="C411" s="116">
        <v>449.35</v>
      </c>
      <c r="D411" s="116">
        <v>446.9</v>
      </c>
      <c r="E411" s="116">
        <v>471.55</v>
      </c>
      <c r="F411" s="116">
        <v>449.35</v>
      </c>
      <c r="G411">
        <v>16156</v>
      </c>
      <c r="H411" s="116"/>
      <c r="I411" s="116"/>
      <c r="L411" s="170">
        <v>45310</v>
      </c>
      <c r="M411" s="116">
        <v>449.25</v>
      </c>
      <c r="N411" s="116">
        <v>479.9</v>
      </c>
      <c r="O411" s="116">
        <v>446.25</v>
      </c>
      <c r="P411" s="116">
        <v>473</v>
      </c>
      <c r="Q411" s="116">
        <v>449.25</v>
      </c>
      <c r="R411">
        <v>399923</v>
      </c>
    </row>
    <row r="412" spans="1:18" x14ac:dyDescent="0.25">
      <c r="A412" s="170">
        <v>45311</v>
      </c>
      <c r="B412" s="116">
        <v>463.9</v>
      </c>
      <c r="C412" s="116">
        <v>458.45</v>
      </c>
      <c r="D412" s="116">
        <v>449</v>
      </c>
      <c r="E412" s="116">
        <v>463.9</v>
      </c>
      <c r="F412" s="116">
        <v>458.45</v>
      </c>
      <c r="G412">
        <v>18496</v>
      </c>
      <c r="H412" s="116"/>
      <c r="I412" s="116"/>
      <c r="L412" s="170">
        <v>45311</v>
      </c>
      <c r="M412" s="116">
        <v>458.55</v>
      </c>
      <c r="N412" s="116">
        <v>460.95</v>
      </c>
      <c r="O412" s="116">
        <v>448.8</v>
      </c>
      <c r="P412" s="116">
        <v>452.1</v>
      </c>
      <c r="Q412" s="116">
        <v>458.55</v>
      </c>
      <c r="R412">
        <v>96348</v>
      </c>
    </row>
    <row r="413" spans="1:18" x14ac:dyDescent="0.25">
      <c r="A413" s="170">
        <v>45314</v>
      </c>
      <c r="B413" s="116">
        <v>459</v>
      </c>
      <c r="C413" s="116">
        <v>439.35</v>
      </c>
      <c r="D413" s="116">
        <v>436.35</v>
      </c>
      <c r="E413" s="116">
        <v>452.05</v>
      </c>
      <c r="F413" s="116">
        <v>439.35</v>
      </c>
      <c r="G413">
        <v>10730</v>
      </c>
      <c r="H413" s="116"/>
      <c r="I413" s="116"/>
      <c r="L413" s="170">
        <v>45314</v>
      </c>
      <c r="M413" s="116">
        <v>440.2</v>
      </c>
      <c r="N413" s="116">
        <v>462.95</v>
      </c>
      <c r="O413" s="116">
        <v>436.3</v>
      </c>
      <c r="P413" s="116">
        <v>459.65</v>
      </c>
      <c r="Q413" s="116">
        <v>440.2</v>
      </c>
      <c r="R413">
        <v>304121</v>
      </c>
    </row>
    <row r="414" spans="1:18" x14ac:dyDescent="0.25">
      <c r="A414" s="170">
        <v>45315</v>
      </c>
      <c r="B414" s="116">
        <v>448.7</v>
      </c>
      <c r="C414" s="116">
        <v>446.15</v>
      </c>
      <c r="D414" s="116">
        <v>429.4</v>
      </c>
      <c r="E414" s="116">
        <v>442.1</v>
      </c>
      <c r="F414" s="116">
        <v>446.15</v>
      </c>
      <c r="G414">
        <v>9940</v>
      </c>
      <c r="H414" s="116"/>
      <c r="I414" s="116"/>
      <c r="L414" s="170">
        <v>45315</v>
      </c>
      <c r="M414" s="116">
        <v>446.65</v>
      </c>
      <c r="N414" s="116">
        <v>449.35</v>
      </c>
      <c r="O414" s="116">
        <v>429.4</v>
      </c>
      <c r="P414" s="116">
        <v>444</v>
      </c>
      <c r="Q414" s="116">
        <v>446.65</v>
      </c>
      <c r="R414">
        <v>154459</v>
      </c>
    </row>
    <row r="415" spans="1:18" x14ac:dyDescent="0.25">
      <c r="A415" s="170">
        <v>45316</v>
      </c>
      <c r="B415" s="116">
        <v>454</v>
      </c>
      <c r="C415" s="116">
        <v>450.3</v>
      </c>
      <c r="D415" s="116">
        <v>445</v>
      </c>
      <c r="E415" s="116">
        <v>445.4</v>
      </c>
      <c r="F415" s="116">
        <v>450.3</v>
      </c>
      <c r="G415">
        <v>4860</v>
      </c>
      <c r="H415" s="116"/>
      <c r="I415" s="116"/>
      <c r="L415" s="170">
        <v>45316</v>
      </c>
      <c r="M415" s="116">
        <v>450</v>
      </c>
      <c r="N415" s="116">
        <v>454.6</v>
      </c>
      <c r="O415" s="116">
        <v>444.3</v>
      </c>
      <c r="P415" s="116">
        <v>446</v>
      </c>
      <c r="Q415" s="116">
        <v>450</v>
      </c>
      <c r="R415">
        <v>140574</v>
      </c>
    </row>
    <row r="416" spans="1:18" x14ac:dyDescent="0.25">
      <c r="A416" s="170">
        <v>45320</v>
      </c>
      <c r="B416" s="116">
        <v>457.15</v>
      </c>
      <c r="C416" s="116">
        <v>455.45</v>
      </c>
      <c r="D416" s="116">
        <v>446.75</v>
      </c>
      <c r="E416" s="116">
        <v>446.75</v>
      </c>
      <c r="F416" s="116">
        <v>455.45</v>
      </c>
      <c r="G416">
        <v>17649</v>
      </c>
      <c r="H416" s="116"/>
      <c r="I416" s="116"/>
      <c r="L416" s="170">
        <v>45320</v>
      </c>
      <c r="M416" s="116">
        <v>455.7</v>
      </c>
      <c r="N416" s="116">
        <v>458</v>
      </c>
      <c r="O416" s="116">
        <v>447.4</v>
      </c>
      <c r="P416" s="116">
        <v>453.4</v>
      </c>
      <c r="Q416" s="116">
        <v>455.7</v>
      </c>
      <c r="R416">
        <v>97816</v>
      </c>
    </row>
    <row r="417" spans="1:18" x14ac:dyDescent="0.25">
      <c r="A417" s="170">
        <v>45321</v>
      </c>
      <c r="B417" s="116">
        <v>457.1</v>
      </c>
      <c r="C417" s="116">
        <v>452.7</v>
      </c>
      <c r="D417" s="116">
        <v>449.2</v>
      </c>
      <c r="E417" s="116">
        <v>456.3</v>
      </c>
      <c r="F417" s="116">
        <v>452.7</v>
      </c>
      <c r="G417">
        <v>5175</v>
      </c>
      <c r="H417" s="116"/>
      <c r="I417" s="116"/>
      <c r="L417" s="170">
        <v>45321</v>
      </c>
      <c r="M417" s="116">
        <v>453.85</v>
      </c>
      <c r="N417" s="116">
        <v>457.85</v>
      </c>
      <c r="O417" s="116">
        <v>449.7</v>
      </c>
      <c r="P417" s="116">
        <v>456.9</v>
      </c>
      <c r="Q417" s="116">
        <v>453.85</v>
      </c>
      <c r="R417">
        <v>104688</v>
      </c>
    </row>
    <row r="418" spans="1:18" x14ac:dyDescent="0.25">
      <c r="A418" s="170">
        <v>45322</v>
      </c>
      <c r="B418" s="116">
        <v>458.85</v>
      </c>
      <c r="C418" s="116">
        <v>457.6</v>
      </c>
      <c r="D418" s="116">
        <v>448.3</v>
      </c>
      <c r="E418" s="116">
        <v>448.3</v>
      </c>
      <c r="F418" s="116">
        <v>457.6</v>
      </c>
      <c r="G418">
        <v>3382</v>
      </c>
      <c r="H418" s="116"/>
      <c r="I418" s="116"/>
      <c r="L418" s="170">
        <v>45322</v>
      </c>
      <c r="M418" s="116">
        <v>457.15</v>
      </c>
      <c r="N418" s="116">
        <v>459</v>
      </c>
      <c r="O418" s="116">
        <v>450</v>
      </c>
      <c r="P418" s="116">
        <v>455.6</v>
      </c>
      <c r="Q418" s="116">
        <v>457.15</v>
      </c>
      <c r="R418">
        <v>88224</v>
      </c>
    </row>
    <row r="419" spans="1:18" x14ac:dyDescent="0.25">
      <c r="A419" s="170">
        <v>45323</v>
      </c>
      <c r="B419" s="116">
        <v>468</v>
      </c>
      <c r="C419" s="116">
        <v>459.4</v>
      </c>
      <c r="D419" s="116">
        <v>453.35</v>
      </c>
      <c r="E419" s="116">
        <v>457.4</v>
      </c>
      <c r="F419" s="116">
        <v>459.4</v>
      </c>
      <c r="G419">
        <v>18850</v>
      </c>
      <c r="H419" s="116"/>
      <c r="I419" s="116"/>
      <c r="L419" s="170">
        <v>45323</v>
      </c>
      <c r="M419" s="116">
        <v>460.1</v>
      </c>
      <c r="N419" s="116">
        <v>468.2</v>
      </c>
      <c r="O419" s="116">
        <v>454.55</v>
      </c>
      <c r="P419" s="116">
        <v>455</v>
      </c>
      <c r="Q419" s="116">
        <v>460.1</v>
      </c>
      <c r="R419">
        <v>167373</v>
      </c>
    </row>
    <row r="420" spans="1:18" x14ac:dyDescent="0.25">
      <c r="A420" s="170">
        <v>45324</v>
      </c>
      <c r="B420" s="116">
        <v>463.15</v>
      </c>
      <c r="C420" s="116">
        <v>460.55</v>
      </c>
      <c r="D420" s="116">
        <v>455.15</v>
      </c>
      <c r="E420" s="116">
        <v>455.15</v>
      </c>
      <c r="F420" s="116">
        <v>460.55</v>
      </c>
      <c r="G420">
        <v>4015</v>
      </c>
      <c r="H420" s="116"/>
      <c r="I420" s="116"/>
      <c r="L420" s="170">
        <v>45324</v>
      </c>
      <c r="M420" s="116">
        <v>460.3</v>
      </c>
      <c r="N420" s="116">
        <v>463.35</v>
      </c>
      <c r="O420" s="116">
        <v>458</v>
      </c>
      <c r="P420" s="116">
        <v>460.15</v>
      </c>
      <c r="Q420" s="116">
        <v>460.3</v>
      </c>
      <c r="R420">
        <v>82721</v>
      </c>
    </row>
    <row r="421" spans="1:18" x14ac:dyDescent="0.25">
      <c r="A421" s="170">
        <v>45327</v>
      </c>
      <c r="B421" s="116">
        <v>502.9</v>
      </c>
      <c r="C421" s="116">
        <v>497.55</v>
      </c>
      <c r="D421" s="116">
        <v>459.65</v>
      </c>
      <c r="E421" s="116">
        <v>463.8</v>
      </c>
      <c r="F421" s="116">
        <v>497.55</v>
      </c>
      <c r="G421">
        <v>110528</v>
      </c>
      <c r="H421" s="116"/>
      <c r="I421" s="116"/>
      <c r="L421" s="170">
        <v>45327</v>
      </c>
      <c r="M421" s="116">
        <v>497.15</v>
      </c>
      <c r="N421" s="116">
        <v>503.1</v>
      </c>
      <c r="O421" s="116">
        <v>460</v>
      </c>
      <c r="P421" s="116">
        <v>461.1</v>
      </c>
      <c r="Q421" s="116">
        <v>497.15</v>
      </c>
      <c r="R421">
        <v>1393155</v>
      </c>
    </row>
    <row r="422" spans="1:18" x14ac:dyDescent="0.25">
      <c r="A422" s="170">
        <v>45328</v>
      </c>
      <c r="B422" s="116">
        <v>505.1</v>
      </c>
      <c r="C422" s="116">
        <v>493.05</v>
      </c>
      <c r="D422" s="116">
        <v>466.8</v>
      </c>
      <c r="E422" s="116">
        <v>505.1</v>
      </c>
      <c r="F422" s="116">
        <v>493.05</v>
      </c>
      <c r="G422">
        <v>78259</v>
      </c>
      <c r="H422" s="116"/>
      <c r="I422" s="116"/>
      <c r="L422" s="170">
        <v>45328</v>
      </c>
      <c r="M422" s="116">
        <v>494.25</v>
      </c>
      <c r="N422" s="116">
        <v>505.95</v>
      </c>
      <c r="O422" s="116">
        <v>466.9</v>
      </c>
      <c r="P422" s="116">
        <v>505.95</v>
      </c>
      <c r="Q422" s="116">
        <v>494.25</v>
      </c>
      <c r="R422">
        <v>634215</v>
      </c>
    </row>
    <row r="423" spans="1:18" x14ac:dyDescent="0.25">
      <c r="A423" s="170">
        <v>45329</v>
      </c>
      <c r="B423" s="116">
        <v>491.8</v>
      </c>
      <c r="C423" s="116">
        <v>473.8</v>
      </c>
      <c r="D423" s="116">
        <v>467.2</v>
      </c>
      <c r="E423" s="116">
        <v>490.15</v>
      </c>
      <c r="F423" s="116">
        <v>473.8</v>
      </c>
      <c r="G423">
        <v>15921</v>
      </c>
      <c r="H423" s="116"/>
      <c r="I423" s="116"/>
      <c r="L423" s="170">
        <v>45329</v>
      </c>
      <c r="M423" s="116">
        <v>474.3</v>
      </c>
      <c r="N423" s="116">
        <v>490.65</v>
      </c>
      <c r="O423" s="116">
        <v>466.6</v>
      </c>
      <c r="P423" s="116">
        <v>488</v>
      </c>
      <c r="Q423" s="116">
        <v>474.3</v>
      </c>
      <c r="R423">
        <v>302312</v>
      </c>
    </row>
    <row r="424" spans="1:18" x14ac:dyDescent="0.25">
      <c r="A424" s="170">
        <v>45330</v>
      </c>
      <c r="B424" s="116">
        <v>484.55</v>
      </c>
      <c r="C424" s="116">
        <v>474.15</v>
      </c>
      <c r="D424" s="116">
        <v>470.2</v>
      </c>
      <c r="E424" s="116">
        <v>482</v>
      </c>
      <c r="F424" s="116">
        <v>474.15</v>
      </c>
      <c r="G424">
        <v>5130</v>
      </c>
      <c r="H424" s="116"/>
      <c r="I424" s="116"/>
      <c r="L424" s="170">
        <v>45330</v>
      </c>
      <c r="M424" s="116">
        <v>472.2</v>
      </c>
      <c r="N424" s="116">
        <v>484.95</v>
      </c>
      <c r="O424" s="116">
        <v>470</v>
      </c>
      <c r="P424" s="116">
        <v>474.3</v>
      </c>
      <c r="Q424" s="116">
        <v>472.2</v>
      </c>
      <c r="R424">
        <v>143639</v>
      </c>
    </row>
    <row r="425" spans="1:18" x14ac:dyDescent="0.25">
      <c r="A425" s="170">
        <v>45331</v>
      </c>
      <c r="B425" s="116">
        <v>488</v>
      </c>
      <c r="C425" s="116">
        <v>482.6</v>
      </c>
      <c r="D425" s="116">
        <v>458.5</v>
      </c>
      <c r="E425" s="116">
        <v>474.95</v>
      </c>
      <c r="F425" s="116">
        <v>482.6</v>
      </c>
      <c r="G425">
        <v>29825</v>
      </c>
      <c r="H425" s="116"/>
      <c r="I425" s="116"/>
      <c r="L425" s="170">
        <v>45331</v>
      </c>
      <c r="M425" s="116">
        <v>483.5</v>
      </c>
      <c r="N425" s="116">
        <v>488</v>
      </c>
      <c r="O425" s="116">
        <v>459</v>
      </c>
      <c r="P425" s="116">
        <v>473.65</v>
      </c>
      <c r="Q425" s="116">
        <v>483.5</v>
      </c>
      <c r="R425">
        <v>407271</v>
      </c>
    </row>
    <row r="426" spans="1:18" x14ac:dyDescent="0.25">
      <c r="A426" s="170">
        <v>45334</v>
      </c>
      <c r="B426" s="116">
        <v>498</v>
      </c>
      <c r="C426" s="116">
        <v>492.2</v>
      </c>
      <c r="D426" s="116">
        <v>470.15</v>
      </c>
      <c r="E426" s="116">
        <v>487.8</v>
      </c>
      <c r="F426" s="116">
        <v>492.2</v>
      </c>
      <c r="G426">
        <v>9022</v>
      </c>
      <c r="H426" s="116"/>
      <c r="I426" s="116"/>
      <c r="L426" s="170">
        <v>45334</v>
      </c>
      <c r="M426" s="116">
        <v>492.7</v>
      </c>
      <c r="N426" s="116">
        <v>499</v>
      </c>
      <c r="O426" s="116">
        <v>470.2</v>
      </c>
      <c r="P426" s="116">
        <v>482.8</v>
      </c>
      <c r="Q426" s="116">
        <v>492.7</v>
      </c>
      <c r="R426">
        <v>338426</v>
      </c>
    </row>
    <row r="427" spans="1:18" x14ac:dyDescent="0.25">
      <c r="A427" s="170">
        <v>45335</v>
      </c>
      <c r="B427" s="116">
        <v>498.8</v>
      </c>
      <c r="C427" s="116">
        <v>472.95</v>
      </c>
      <c r="D427" s="116">
        <v>468.8</v>
      </c>
      <c r="E427" s="116">
        <v>498.8</v>
      </c>
      <c r="F427" s="116">
        <v>472.95</v>
      </c>
      <c r="G427">
        <v>10585</v>
      </c>
      <c r="H427" s="116"/>
      <c r="I427" s="116"/>
      <c r="L427" s="170">
        <v>45335</v>
      </c>
      <c r="M427" s="116">
        <v>471.7</v>
      </c>
      <c r="N427" s="116">
        <v>498.5</v>
      </c>
      <c r="O427" s="116">
        <v>466.15</v>
      </c>
      <c r="P427" s="116">
        <v>498.5</v>
      </c>
      <c r="Q427" s="116">
        <v>471.7</v>
      </c>
      <c r="R427">
        <v>203864</v>
      </c>
    </row>
    <row r="428" spans="1:18" x14ac:dyDescent="0.25">
      <c r="A428" s="170">
        <v>45336</v>
      </c>
      <c r="B428" s="116">
        <v>475.05</v>
      </c>
      <c r="C428" s="116">
        <v>469.8</v>
      </c>
      <c r="D428" s="116">
        <v>460.75</v>
      </c>
      <c r="E428" s="116">
        <v>464</v>
      </c>
      <c r="F428" s="116">
        <v>469.8</v>
      </c>
      <c r="G428">
        <v>13128</v>
      </c>
      <c r="H428" s="116"/>
      <c r="I428" s="116"/>
      <c r="L428" s="170">
        <v>45336</v>
      </c>
      <c r="M428" s="116">
        <v>470.35</v>
      </c>
      <c r="N428" s="116">
        <v>475.95</v>
      </c>
      <c r="O428" s="116">
        <v>461.65</v>
      </c>
      <c r="P428" s="116">
        <v>466.95</v>
      </c>
      <c r="Q428" s="116">
        <v>470.35</v>
      </c>
      <c r="R428">
        <v>102304</v>
      </c>
    </row>
    <row r="429" spans="1:18" x14ac:dyDescent="0.25">
      <c r="A429" s="170">
        <v>45337</v>
      </c>
      <c r="B429" s="116">
        <v>489.3</v>
      </c>
      <c r="C429" s="116">
        <v>475.1</v>
      </c>
      <c r="D429" s="116">
        <v>472.55</v>
      </c>
      <c r="E429" s="116">
        <v>474.9</v>
      </c>
      <c r="F429" s="116">
        <v>475.1</v>
      </c>
      <c r="G429">
        <v>6215</v>
      </c>
      <c r="H429" s="116"/>
      <c r="I429" s="116"/>
      <c r="L429" s="170">
        <v>45337</v>
      </c>
      <c r="M429" s="116">
        <v>475.4</v>
      </c>
      <c r="N429" s="116">
        <v>489.55</v>
      </c>
      <c r="O429" s="116">
        <v>470.65</v>
      </c>
      <c r="P429" s="116">
        <v>472.1</v>
      </c>
      <c r="Q429" s="116">
        <v>475.4</v>
      </c>
      <c r="R429">
        <v>174357</v>
      </c>
    </row>
    <row r="430" spans="1:18" x14ac:dyDescent="0.25">
      <c r="A430" s="170">
        <v>45338</v>
      </c>
      <c r="B430" s="116">
        <v>488.7</v>
      </c>
      <c r="C430" s="116">
        <v>482.85</v>
      </c>
      <c r="D430" s="116">
        <v>474</v>
      </c>
      <c r="E430" s="116">
        <v>475.1</v>
      </c>
      <c r="F430" s="116">
        <v>482.85</v>
      </c>
      <c r="G430">
        <v>9584</v>
      </c>
      <c r="H430" s="116"/>
      <c r="I430" s="116"/>
      <c r="L430" s="170">
        <v>45338</v>
      </c>
      <c r="M430" s="116">
        <v>484.5</v>
      </c>
      <c r="N430" s="116">
        <v>489</v>
      </c>
      <c r="O430" s="116">
        <v>473.35</v>
      </c>
      <c r="P430" s="116">
        <v>476.75</v>
      </c>
      <c r="Q430" s="116">
        <v>484.5</v>
      </c>
      <c r="R430">
        <v>191684</v>
      </c>
    </row>
    <row r="431" spans="1:18" x14ac:dyDescent="0.25">
      <c r="A431" s="170">
        <v>45341</v>
      </c>
      <c r="B431" s="116">
        <v>548.75</v>
      </c>
      <c r="C431" s="116">
        <v>531.6</v>
      </c>
      <c r="D431" s="116">
        <v>485.1</v>
      </c>
      <c r="E431" s="116">
        <v>485.1</v>
      </c>
      <c r="F431" s="116">
        <v>531.6</v>
      </c>
      <c r="G431">
        <v>133388</v>
      </c>
      <c r="H431" s="116"/>
      <c r="I431" s="116"/>
      <c r="L431" s="170">
        <v>45341</v>
      </c>
      <c r="M431" s="116">
        <v>532</v>
      </c>
      <c r="N431" s="116">
        <v>548.79999999999995</v>
      </c>
      <c r="O431" s="116">
        <v>486</v>
      </c>
      <c r="P431" s="116">
        <v>486.9</v>
      </c>
      <c r="Q431" s="116">
        <v>532</v>
      </c>
      <c r="R431">
        <v>3152761</v>
      </c>
    </row>
    <row r="432" spans="1:18" x14ac:dyDescent="0.25">
      <c r="A432" s="170">
        <v>45342</v>
      </c>
      <c r="B432" s="116">
        <v>563</v>
      </c>
      <c r="C432" s="116">
        <v>560.25</v>
      </c>
      <c r="D432" s="116">
        <v>536</v>
      </c>
      <c r="E432" s="116">
        <v>549.85</v>
      </c>
      <c r="F432" s="116">
        <v>560.25</v>
      </c>
      <c r="G432">
        <v>113519</v>
      </c>
      <c r="H432" s="116"/>
      <c r="I432" s="116"/>
      <c r="L432" s="170">
        <v>45342</v>
      </c>
      <c r="M432" s="116">
        <v>558.1</v>
      </c>
      <c r="N432" s="116">
        <v>563.04999999999995</v>
      </c>
      <c r="O432" s="116">
        <v>535.9</v>
      </c>
      <c r="P432" s="116">
        <v>548</v>
      </c>
      <c r="Q432" s="116">
        <v>558.1</v>
      </c>
      <c r="R432">
        <v>2052722</v>
      </c>
    </row>
    <row r="433" spans="1:18" x14ac:dyDescent="0.25">
      <c r="A433" s="170">
        <v>45343</v>
      </c>
      <c r="B433" s="116">
        <v>574.95000000000005</v>
      </c>
      <c r="C433" s="116">
        <v>569.15</v>
      </c>
      <c r="D433" s="116">
        <v>546.9</v>
      </c>
      <c r="E433" s="116">
        <v>564.6</v>
      </c>
      <c r="F433" s="116">
        <v>569.15</v>
      </c>
      <c r="G433">
        <v>125073</v>
      </c>
      <c r="H433" s="116"/>
      <c r="I433" s="116"/>
      <c r="L433" s="170">
        <v>45343</v>
      </c>
      <c r="M433" s="116">
        <v>568.9</v>
      </c>
      <c r="N433" s="116">
        <v>574.95000000000005</v>
      </c>
      <c r="O433" s="116">
        <v>547.25</v>
      </c>
      <c r="P433" s="116">
        <v>565</v>
      </c>
      <c r="Q433" s="116">
        <v>568.9</v>
      </c>
      <c r="R433">
        <v>960328</v>
      </c>
    </row>
    <row r="434" spans="1:18" x14ac:dyDescent="0.25">
      <c r="A434" s="170">
        <v>45344</v>
      </c>
      <c r="B434" s="116">
        <v>578.95000000000005</v>
      </c>
      <c r="C434" s="116">
        <v>574.70000000000005</v>
      </c>
      <c r="D434" s="116">
        <v>549.4</v>
      </c>
      <c r="E434" s="116">
        <v>560.54999999999995</v>
      </c>
      <c r="F434" s="116">
        <v>574.70000000000005</v>
      </c>
      <c r="G434">
        <v>72669</v>
      </c>
      <c r="H434" s="116"/>
      <c r="I434" s="116"/>
      <c r="L434" s="170">
        <v>45344</v>
      </c>
      <c r="M434" s="116">
        <v>574.9</v>
      </c>
      <c r="N434" s="116">
        <v>579.6</v>
      </c>
      <c r="O434" s="116">
        <v>550.04999999999995</v>
      </c>
      <c r="P434" s="116">
        <v>564.5</v>
      </c>
      <c r="Q434" s="116">
        <v>574.9</v>
      </c>
      <c r="R434">
        <v>519663</v>
      </c>
    </row>
    <row r="435" spans="1:18" x14ac:dyDescent="0.25">
      <c r="A435" s="170">
        <v>45345</v>
      </c>
      <c r="B435" s="116">
        <v>591.70000000000005</v>
      </c>
      <c r="C435" s="116">
        <v>587.6</v>
      </c>
      <c r="D435" s="116">
        <v>564.1</v>
      </c>
      <c r="E435" s="116">
        <v>580.35</v>
      </c>
      <c r="F435" s="116">
        <v>587.6</v>
      </c>
      <c r="G435">
        <v>55411</v>
      </c>
      <c r="H435" s="116"/>
      <c r="I435" s="116"/>
      <c r="L435" s="170">
        <v>45345</v>
      </c>
      <c r="M435" s="116">
        <v>586.54999999999995</v>
      </c>
      <c r="N435" s="116">
        <v>591.35</v>
      </c>
      <c r="O435" s="116">
        <v>564</v>
      </c>
      <c r="P435" s="116">
        <v>579.65</v>
      </c>
      <c r="Q435" s="116">
        <v>586.54999999999995</v>
      </c>
      <c r="R435">
        <v>586709</v>
      </c>
    </row>
    <row r="436" spans="1:18" x14ac:dyDescent="0.25">
      <c r="A436" s="170">
        <v>45348</v>
      </c>
      <c r="B436" s="116">
        <v>607.15</v>
      </c>
      <c r="C436" s="116">
        <v>602.75</v>
      </c>
      <c r="D436" s="116">
        <v>582.85</v>
      </c>
      <c r="E436" s="116">
        <v>588.45000000000005</v>
      </c>
      <c r="F436" s="116">
        <v>602.75</v>
      </c>
      <c r="G436">
        <v>107070</v>
      </c>
      <c r="H436" s="116"/>
      <c r="I436" s="116"/>
      <c r="L436" s="170">
        <v>45348</v>
      </c>
      <c r="M436" s="116">
        <v>602.5</v>
      </c>
      <c r="N436" s="116">
        <v>606.9</v>
      </c>
      <c r="O436" s="116">
        <v>583</v>
      </c>
      <c r="P436" s="116">
        <v>596.25</v>
      </c>
      <c r="Q436" s="116">
        <v>602.5</v>
      </c>
      <c r="R436">
        <v>560689</v>
      </c>
    </row>
    <row r="437" spans="1:18" x14ac:dyDescent="0.25">
      <c r="A437" s="170">
        <v>45349</v>
      </c>
      <c r="B437" s="116">
        <v>608.70000000000005</v>
      </c>
      <c r="C437" s="116">
        <v>566.54999999999995</v>
      </c>
      <c r="D437" s="116">
        <v>560.65</v>
      </c>
      <c r="E437" s="116">
        <v>608.70000000000005</v>
      </c>
      <c r="F437" s="116">
        <v>566.54999999999995</v>
      </c>
      <c r="G437">
        <v>80202</v>
      </c>
      <c r="H437" s="116"/>
      <c r="I437" s="116"/>
      <c r="L437" s="170">
        <v>45349</v>
      </c>
      <c r="M437" s="116">
        <v>566.25</v>
      </c>
      <c r="N437" s="116">
        <v>604.70000000000005</v>
      </c>
      <c r="O437" s="116">
        <v>561.25</v>
      </c>
      <c r="P437" s="116">
        <v>604.54999999999995</v>
      </c>
      <c r="Q437" s="116">
        <v>566.25</v>
      </c>
      <c r="R437">
        <v>329319</v>
      </c>
    </row>
    <row r="438" spans="1:18" x14ac:dyDescent="0.25">
      <c r="A438" s="170">
        <v>45350</v>
      </c>
      <c r="B438" s="116">
        <v>589.75</v>
      </c>
      <c r="C438" s="116">
        <v>574.65</v>
      </c>
      <c r="D438" s="116">
        <v>561.5</v>
      </c>
      <c r="E438" s="116">
        <v>573.95000000000005</v>
      </c>
      <c r="F438" s="116">
        <v>574.65</v>
      </c>
      <c r="G438">
        <v>83336</v>
      </c>
      <c r="H438" s="116"/>
      <c r="I438" s="116"/>
      <c r="L438" s="170">
        <v>45350</v>
      </c>
      <c r="M438" s="116">
        <v>574.85</v>
      </c>
      <c r="N438" s="116">
        <v>590</v>
      </c>
      <c r="O438" s="116">
        <v>561.04999999999995</v>
      </c>
      <c r="P438" s="116">
        <v>571.70000000000005</v>
      </c>
      <c r="Q438" s="116">
        <v>574.85</v>
      </c>
      <c r="R438">
        <v>463384</v>
      </c>
    </row>
    <row r="439" spans="1:18" x14ac:dyDescent="0.25">
      <c r="A439" s="170">
        <v>45351</v>
      </c>
      <c r="B439" s="116">
        <v>594.04999999999995</v>
      </c>
      <c r="C439" s="116">
        <v>591.70000000000005</v>
      </c>
      <c r="D439" s="116">
        <v>557.9</v>
      </c>
      <c r="E439" s="116">
        <v>570</v>
      </c>
      <c r="F439" s="116">
        <v>591.70000000000005</v>
      </c>
      <c r="G439">
        <v>20375</v>
      </c>
      <c r="H439" s="116"/>
      <c r="I439" s="116"/>
      <c r="L439" s="170">
        <v>45351</v>
      </c>
      <c r="M439" s="116">
        <v>591.45000000000005</v>
      </c>
      <c r="N439" s="116">
        <v>594.6</v>
      </c>
      <c r="O439" s="116">
        <v>557.65</v>
      </c>
      <c r="P439" s="116">
        <v>574.79999999999995</v>
      </c>
      <c r="Q439" s="116">
        <v>591.45000000000005</v>
      </c>
      <c r="R439">
        <v>330534</v>
      </c>
    </row>
    <row r="440" spans="1:18" x14ac:dyDescent="0.25">
      <c r="A440" s="170">
        <v>45352</v>
      </c>
      <c r="B440" s="116">
        <v>599.95000000000005</v>
      </c>
      <c r="C440" s="116">
        <v>588.1</v>
      </c>
      <c r="D440" s="116">
        <v>577.95000000000005</v>
      </c>
      <c r="E440" s="116">
        <v>599.95000000000005</v>
      </c>
      <c r="F440" s="116">
        <v>588.1</v>
      </c>
      <c r="G440">
        <v>21980</v>
      </c>
      <c r="H440" s="116"/>
      <c r="I440" s="116"/>
      <c r="L440" s="170">
        <v>45352</v>
      </c>
      <c r="M440" s="116">
        <v>589.25</v>
      </c>
      <c r="N440" s="116">
        <v>596.79999999999995</v>
      </c>
      <c r="O440" s="116">
        <v>583.04999999999995</v>
      </c>
      <c r="P440" s="116">
        <v>591.9</v>
      </c>
      <c r="Q440" s="116">
        <v>589.25</v>
      </c>
      <c r="R440">
        <v>200539</v>
      </c>
    </row>
    <row r="441" spans="1:18" x14ac:dyDescent="0.25">
      <c r="A441" s="170">
        <v>45353</v>
      </c>
      <c r="B441" s="116">
        <v>593.5</v>
      </c>
      <c r="C441" s="116">
        <v>584.70000000000005</v>
      </c>
      <c r="D441" s="116">
        <v>582.35</v>
      </c>
      <c r="E441" s="116">
        <v>590</v>
      </c>
      <c r="F441" s="116">
        <v>584.70000000000005</v>
      </c>
      <c r="G441">
        <v>589</v>
      </c>
      <c r="H441" s="116"/>
      <c r="I441" s="116"/>
      <c r="L441" s="170">
        <v>45353</v>
      </c>
      <c r="M441" s="116">
        <v>583.6</v>
      </c>
      <c r="N441" s="116">
        <v>594.6</v>
      </c>
      <c r="O441" s="116">
        <v>577.5</v>
      </c>
      <c r="P441" s="116">
        <v>592.70000000000005</v>
      </c>
      <c r="Q441" s="116">
        <v>583.6</v>
      </c>
      <c r="R441">
        <v>13339</v>
      </c>
    </row>
    <row r="442" spans="1:18" x14ac:dyDescent="0.25">
      <c r="A442" s="170">
        <v>45355</v>
      </c>
      <c r="B442" s="116">
        <v>598</v>
      </c>
      <c r="C442" s="116">
        <v>593.6</v>
      </c>
      <c r="D442" s="116">
        <v>571.9</v>
      </c>
      <c r="E442" s="116">
        <v>585</v>
      </c>
      <c r="F442" s="116">
        <v>593.6</v>
      </c>
      <c r="G442">
        <v>32377</v>
      </c>
      <c r="H442" s="116"/>
      <c r="I442" s="116"/>
      <c r="L442" s="170">
        <v>45355</v>
      </c>
      <c r="M442" s="116">
        <v>594.1</v>
      </c>
      <c r="N442" s="116">
        <v>598.75</v>
      </c>
      <c r="O442" s="116">
        <v>572</v>
      </c>
      <c r="P442" s="116">
        <v>586.4</v>
      </c>
      <c r="Q442" s="116">
        <v>594.1</v>
      </c>
      <c r="R442">
        <v>235965</v>
      </c>
    </row>
    <row r="443" spans="1:18" x14ac:dyDescent="0.25">
      <c r="A443" s="170">
        <v>45356</v>
      </c>
      <c r="B443" s="116">
        <v>614.9</v>
      </c>
      <c r="C443" s="116">
        <v>598.75</v>
      </c>
      <c r="D443" s="116">
        <v>573.95000000000005</v>
      </c>
      <c r="E443" s="116">
        <v>591.75</v>
      </c>
      <c r="F443" s="116">
        <v>598.75</v>
      </c>
      <c r="G443">
        <v>23299</v>
      </c>
      <c r="H443" s="116"/>
      <c r="I443" s="116"/>
      <c r="L443" s="170">
        <v>45356</v>
      </c>
      <c r="M443" s="116">
        <v>598.5</v>
      </c>
      <c r="N443" s="116">
        <v>615.6</v>
      </c>
      <c r="O443" s="116">
        <v>573.15</v>
      </c>
      <c r="P443" s="116">
        <v>587.04999999999995</v>
      </c>
      <c r="Q443" s="116">
        <v>598.5</v>
      </c>
      <c r="R443">
        <v>409468</v>
      </c>
    </row>
    <row r="444" spans="1:18" x14ac:dyDescent="0.25">
      <c r="A444" s="170">
        <v>45357</v>
      </c>
      <c r="B444" s="116">
        <v>613.79999999999995</v>
      </c>
      <c r="C444" s="116">
        <v>597.04999999999995</v>
      </c>
      <c r="D444" s="116">
        <v>562.85</v>
      </c>
      <c r="E444" s="116">
        <v>574.04999999999995</v>
      </c>
      <c r="F444" s="116">
        <v>597.04999999999995</v>
      </c>
      <c r="G444">
        <v>72075</v>
      </c>
      <c r="H444" s="116"/>
      <c r="I444" s="116"/>
      <c r="L444" s="170">
        <v>45357</v>
      </c>
      <c r="M444" s="116">
        <v>596.4</v>
      </c>
      <c r="N444" s="116">
        <v>615</v>
      </c>
      <c r="O444" s="116">
        <v>562.6</v>
      </c>
      <c r="P444" s="116">
        <v>594.6</v>
      </c>
      <c r="Q444" s="116">
        <v>596.4</v>
      </c>
      <c r="R444">
        <v>645946</v>
      </c>
    </row>
    <row r="445" spans="1:18" x14ac:dyDescent="0.25">
      <c r="A445" s="170">
        <v>45358</v>
      </c>
      <c r="B445" s="116">
        <v>609</v>
      </c>
      <c r="C445" s="116">
        <v>584.15</v>
      </c>
      <c r="D445" s="116">
        <v>579</v>
      </c>
      <c r="E445" s="116">
        <v>593.04999999999995</v>
      </c>
      <c r="F445" s="116">
        <v>584.15</v>
      </c>
      <c r="G445">
        <v>40856</v>
      </c>
      <c r="H445" s="116"/>
      <c r="I445" s="116"/>
      <c r="L445" s="170">
        <v>45358</v>
      </c>
      <c r="M445" s="116">
        <v>585.25</v>
      </c>
      <c r="N445" s="116">
        <v>609.70000000000005</v>
      </c>
      <c r="O445" s="116">
        <v>580.25</v>
      </c>
      <c r="P445" s="116">
        <v>596.95000000000005</v>
      </c>
      <c r="Q445" s="116">
        <v>585.25</v>
      </c>
      <c r="R445">
        <v>300665</v>
      </c>
    </row>
    <row r="446" spans="1:18" x14ac:dyDescent="0.25">
      <c r="A446" s="170">
        <v>45362</v>
      </c>
      <c r="B446" s="116">
        <v>606</v>
      </c>
      <c r="C446" s="116">
        <v>603.35</v>
      </c>
      <c r="D446" s="116">
        <v>573.79999999999995</v>
      </c>
      <c r="E446" s="116">
        <v>584.15</v>
      </c>
      <c r="F446" s="116">
        <v>603.35</v>
      </c>
      <c r="G446">
        <v>16989</v>
      </c>
      <c r="H446" s="116"/>
      <c r="I446" s="116"/>
      <c r="L446" s="170">
        <v>45362</v>
      </c>
      <c r="M446" s="116">
        <v>603.65</v>
      </c>
      <c r="N446" s="116">
        <v>608.9</v>
      </c>
      <c r="O446" s="116">
        <v>573.5</v>
      </c>
      <c r="P446" s="116">
        <v>582.65</v>
      </c>
      <c r="Q446" s="116">
        <v>603.65</v>
      </c>
      <c r="R446">
        <v>309592</v>
      </c>
    </row>
    <row r="447" spans="1:18" x14ac:dyDescent="0.25">
      <c r="A447" s="170">
        <v>45363</v>
      </c>
      <c r="B447" s="116">
        <v>624.35</v>
      </c>
      <c r="C447" s="116">
        <v>612.4</v>
      </c>
      <c r="D447" s="116">
        <v>568.15</v>
      </c>
      <c r="E447" s="116">
        <v>609.75</v>
      </c>
      <c r="F447" s="116">
        <v>612.4</v>
      </c>
      <c r="G447">
        <v>36549</v>
      </c>
      <c r="H447" s="116"/>
      <c r="I447" s="116"/>
      <c r="L447" s="170">
        <v>45363</v>
      </c>
      <c r="M447" s="116">
        <v>610.45000000000005</v>
      </c>
      <c r="N447" s="116">
        <v>625</v>
      </c>
      <c r="O447" s="116">
        <v>566.70000000000005</v>
      </c>
      <c r="P447" s="116">
        <v>609</v>
      </c>
      <c r="Q447" s="116">
        <v>610.45000000000005</v>
      </c>
      <c r="R447">
        <v>881323</v>
      </c>
    </row>
    <row r="448" spans="1:18" x14ac:dyDescent="0.25">
      <c r="A448" s="170">
        <v>45364</v>
      </c>
      <c r="B448" s="116">
        <v>624.65</v>
      </c>
      <c r="C448" s="116">
        <v>587.45000000000005</v>
      </c>
      <c r="D448" s="116">
        <v>547.75</v>
      </c>
      <c r="E448" s="116">
        <v>620</v>
      </c>
      <c r="F448" s="116">
        <v>587.45000000000005</v>
      </c>
      <c r="G448">
        <v>109505</v>
      </c>
      <c r="H448" s="116"/>
      <c r="I448" s="116"/>
      <c r="L448" s="170">
        <v>45364</v>
      </c>
      <c r="M448" s="116">
        <v>590.1</v>
      </c>
      <c r="N448" s="116">
        <v>624.95000000000005</v>
      </c>
      <c r="O448" s="116">
        <v>544.6</v>
      </c>
      <c r="P448" s="116">
        <v>620</v>
      </c>
      <c r="Q448" s="116">
        <v>590.1</v>
      </c>
      <c r="R448">
        <v>953258</v>
      </c>
    </row>
    <row r="449" spans="1:18" x14ac:dyDescent="0.25">
      <c r="A449" s="170">
        <v>45365</v>
      </c>
      <c r="B449" s="116">
        <v>612.6</v>
      </c>
      <c r="C449" s="116">
        <v>594.4</v>
      </c>
      <c r="D449" s="116">
        <v>568</v>
      </c>
      <c r="E449" s="116">
        <v>578.45000000000005</v>
      </c>
      <c r="F449" s="116">
        <v>594.4</v>
      </c>
      <c r="G449">
        <v>33253</v>
      </c>
      <c r="H449" s="116"/>
      <c r="I449" s="116"/>
      <c r="L449" s="170">
        <v>45365</v>
      </c>
      <c r="M449" s="116">
        <v>593.6</v>
      </c>
      <c r="N449" s="116">
        <v>612.95000000000005</v>
      </c>
      <c r="O449" s="116">
        <v>567.9</v>
      </c>
      <c r="P449" s="116">
        <v>581.29999999999995</v>
      </c>
      <c r="Q449" s="116">
        <v>593.6</v>
      </c>
      <c r="R449">
        <v>510453</v>
      </c>
    </row>
    <row r="450" spans="1:18" x14ac:dyDescent="0.25">
      <c r="A450" s="170">
        <v>45366</v>
      </c>
      <c r="B450" s="116">
        <v>604</v>
      </c>
      <c r="C450" s="116">
        <v>587.95000000000005</v>
      </c>
      <c r="D450" s="116">
        <v>578.15</v>
      </c>
      <c r="E450" s="116">
        <v>583.45000000000005</v>
      </c>
      <c r="F450" s="116">
        <v>587.95000000000005</v>
      </c>
      <c r="G450">
        <v>28906</v>
      </c>
      <c r="H450" s="116"/>
      <c r="I450" s="116"/>
      <c r="L450" s="170">
        <v>45366</v>
      </c>
      <c r="M450" s="116">
        <v>586</v>
      </c>
      <c r="N450" s="116">
        <v>604.95000000000005</v>
      </c>
      <c r="O450" s="116">
        <v>575.54999999999995</v>
      </c>
      <c r="P450" s="116">
        <v>590</v>
      </c>
      <c r="Q450" s="116">
        <v>586</v>
      </c>
      <c r="R450">
        <v>239223</v>
      </c>
    </row>
    <row r="451" spans="1:18" x14ac:dyDescent="0.25">
      <c r="A451" s="170">
        <v>45369</v>
      </c>
      <c r="B451" s="116">
        <v>608.15</v>
      </c>
      <c r="C451" s="116">
        <v>601.4</v>
      </c>
      <c r="D451" s="116">
        <v>581</v>
      </c>
      <c r="E451" s="116">
        <v>587.54999999999995</v>
      </c>
      <c r="F451" s="116">
        <v>601.4</v>
      </c>
      <c r="G451">
        <v>41060</v>
      </c>
      <c r="H451" s="116"/>
      <c r="I451" s="116"/>
      <c r="L451" s="170">
        <v>45369</v>
      </c>
      <c r="M451" s="116">
        <v>601.1</v>
      </c>
      <c r="N451" s="116">
        <v>608.95000000000005</v>
      </c>
      <c r="O451" s="116">
        <v>580.35</v>
      </c>
      <c r="P451" s="116">
        <v>583.9</v>
      </c>
      <c r="Q451" s="116">
        <v>601.1</v>
      </c>
      <c r="R451">
        <v>367176</v>
      </c>
    </row>
    <row r="452" spans="1:18" x14ac:dyDescent="0.25">
      <c r="A452" s="170">
        <v>45370</v>
      </c>
      <c r="B452" s="116">
        <v>607</v>
      </c>
      <c r="C452" s="116">
        <v>602.29999999999995</v>
      </c>
      <c r="D452" s="116">
        <v>586.04999999999995</v>
      </c>
      <c r="E452" s="116">
        <v>586.04999999999995</v>
      </c>
      <c r="F452" s="116">
        <v>602.29999999999995</v>
      </c>
      <c r="G452">
        <v>38172</v>
      </c>
      <c r="H452" s="116"/>
      <c r="I452" s="116"/>
      <c r="L452" s="170">
        <v>45370</v>
      </c>
      <c r="M452" s="116">
        <v>602.85</v>
      </c>
      <c r="N452" s="116">
        <v>608</v>
      </c>
      <c r="O452" s="116">
        <v>583.1</v>
      </c>
      <c r="P452" s="116">
        <v>600.6</v>
      </c>
      <c r="Q452" s="116">
        <v>602.85</v>
      </c>
      <c r="R452">
        <v>401980</v>
      </c>
    </row>
    <row r="453" spans="1:18" x14ac:dyDescent="0.25">
      <c r="A453" s="170">
        <v>45371</v>
      </c>
      <c r="B453" s="116">
        <v>625.6</v>
      </c>
      <c r="C453" s="116">
        <v>619.25</v>
      </c>
      <c r="D453" s="116">
        <v>591</v>
      </c>
      <c r="E453" s="116">
        <v>598.4</v>
      </c>
      <c r="F453" s="116">
        <v>619.25</v>
      </c>
      <c r="G453">
        <v>28146</v>
      </c>
      <c r="H453" s="116"/>
      <c r="I453" s="116"/>
      <c r="L453" s="170">
        <v>45371</v>
      </c>
      <c r="M453" s="116">
        <v>616.75</v>
      </c>
      <c r="N453" s="116">
        <v>625</v>
      </c>
      <c r="O453" s="116">
        <v>591</v>
      </c>
      <c r="P453" s="116">
        <v>597.85</v>
      </c>
      <c r="Q453" s="116">
        <v>616.75</v>
      </c>
      <c r="R453">
        <v>339811</v>
      </c>
    </row>
    <row r="454" spans="1:18" x14ac:dyDescent="0.25">
      <c r="A454" s="170">
        <v>45372</v>
      </c>
      <c r="B454" s="116">
        <v>729.15</v>
      </c>
      <c r="C454" s="116">
        <v>693.75</v>
      </c>
      <c r="D454" s="116">
        <v>630</v>
      </c>
      <c r="E454" s="116">
        <v>634.45000000000005</v>
      </c>
      <c r="F454" s="116">
        <v>693.75</v>
      </c>
      <c r="G454">
        <v>285483</v>
      </c>
      <c r="H454" s="116"/>
      <c r="I454" s="116"/>
      <c r="L454" s="170">
        <v>45372</v>
      </c>
      <c r="M454" s="116">
        <v>694.6</v>
      </c>
      <c r="N454" s="116">
        <v>730</v>
      </c>
      <c r="O454" s="116">
        <v>629.20000000000005</v>
      </c>
      <c r="P454" s="116">
        <v>630</v>
      </c>
      <c r="Q454" s="116">
        <v>694.6</v>
      </c>
      <c r="R454">
        <v>5066937</v>
      </c>
    </row>
    <row r="455" spans="1:18" x14ac:dyDescent="0.25">
      <c r="A455" s="170">
        <v>45373</v>
      </c>
      <c r="B455" s="116">
        <v>832.5</v>
      </c>
      <c r="C455" s="116">
        <v>821.2</v>
      </c>
      <c r="D455" s="116">
        <v>678.55</v>
      </c>
      <c r="E455" s="116">
        <v>693.8</v>
      </c>
      <c r="F455" s="116">
        <v>821.2</v>
      </c>
      <c r="G455">
        <v>301764</v>
      </c>
      <c r="H455" s="116"/>
      <c r="I455" s="116"/>
      <c r="L455" s="170">
        <v>45373</v>
      </c>
      <c r="M455" s="116">
        <v>816.1</v>
      </c>
      <c r="N455" s="116">
        <v>833.5</v>
      </c>
      <c r="O455" s="116">
        <v>679</v>
      </c>
      <c r="P455" s="116">
        <v>693.65</v>
      </c>
      <c r="Q455" s="116">
        <v>816.1</v>
      </c>
      <c r="R455">
        <v>8720801</v>
      </c>
    </row>
    <row r="456" spans="1:18" x14ac:dyDescent="0.25">
      <c r="A456" s="170">
        <v>45377</v>
      </c>
      <c r="B456" s="116">
        <v>807.95</v>
      </c>
      <c r="C456" s="116">
        <v>739.1</v>
      </c>
      <c r="D456" s="116">
        <v>730.1</v>
      </c>
      <c r="E456" s="116">
        <v>794.95</v>
      </c>
      <c r="F456" s="116">
        <v>739.1</v>
      </c>
      <c r="G456">
        <v>133300</v>
      </c>
      <c r="H456" s="116"/>
      <c r="I456" s="116"/>
      <c r="L456" s="170">
        <v>45377</v>
      </c>
      <c r="M456" s="116">
        <v>740.15</v>
      </c>
      <c r="N456" s="116">
        <v>812.95</v>
      </c>
      <c r="O456" s="116">
        <v>730.1</v>
      </c>
      <c r="P456" s="116">
        <v>792</v>
      </c>
      <c r="Q456" s="116">
        <v>740.15</v>
      </c>
      <c r="R456">
        <v>1567345</v>
      </c>
    </row>
    <row r="457" spans="1:18" x14ac:dyDescent="0.25">
      <c r="A457" s="170">
        <v>45378</v>
      </c>
      <c r="B457" s="116">
        <v>869.95</v>
      </c>
      <c r="C457" s="116">
        <v>732.85</v>
      </c>
      <c r="D457" s="116">
        <v>717</v>
      </c>
      <c r="E457" s="116">
        <v>869.95</v>
      </c>
      <c r="F457" s="116">
        <v>732.85</v>
      </c>
      <c r="G457">
        <v>38278</v>
      </c>
      <c r="H457" s="116"/>
      <c r="I457" s="116"/>
      <c r="L457" s="170">
        <v>45378</v>
      </c>
      <c r="M457" s="116">
        <v>734.3</v>
      </c>
      <c r="N457" s="116">
        <v>772.8</v>
      </c>
      <c r="O457" s="116">
        <v>716</v>
      </c>
      <c r="P457" s="116">
        <v>748.5</v>
      </c>
      <c r="Q457" s="116">
        <v>734.3</v>
      </c>
      <c r="R457">
        <v>844586</v>
      </c>
    </row>
    <row r="458" spans="1:18" x14ac:dyDescent="0.25">
      <c r="A458" s="170">
        <v>45379</v>
      </c>
      <c r="B458" s="116">
        <v>772.2</v>
      </c>
      <c r="C458" s="116">
        <v>754.45</v>
      </c>
      <c r="D458" s="116">
        <v>736</v>
      </c>
      <c r="E458" s="116">
        <v>736.65</v>
      </c>
      <c r="F458" s="116">
        <v>754.45</v>
      </c>
      <c r="G458">
        <v>19527</v>
      </c>
      <c r="H458" s="116"/>
      <c r="I458" s="116"/>
      <c r="L458" s="170">
        <v>45379</v>
      </c>
      <c r="M458" s="116">
        <v>756.9</v>
      </c>
      <c r="N458" s="116">
        <v>771.5</v>
      </c>
      <c r="O458" s="116">
        <v>735.2</v>
      </c>
      <c r="P458" s="116">
        <v>742.6</v>
      </c>
      <c r="Q458" s="116">
        <v>756.9</v>
      </c>
      <c r="R458">
        <v>542507</v>
      </c>
    </row>
    <row r="459" spans="1:18" x14ac:dyDescent="0.25">
      <c r="A459" s="170">
        <v>45383</v>
      </c>
      <c r="B459" s="116">
        <v>764.5</v>
      </c>
      <c r="C459" s="116">
        <v>737.7</v>
      </c>
      <c r="D459" s="116">
        <v>717</v>
      </c>
      <c r="E459" s="116">
        <v>764.5</v>
      </c>
      <c r="F459" s="116">
        <v>737.7</v>
      </c>
      <c r="G459">
        <v>20188</v>
      </c>
      <c r="H459" s="116"/>
      <c r="I459" s="116"/>
      <c r="L459" s="170">
        <v>45383</v>
      </c>
      <c r="M459" s="116">
        <v>737.6</v>
      </c>
      <c r="N459" s="116">
        <v>763.7</v>
      </c>
      <c r="O459" s="116">
        <v>716.55</v>
      </c>
      <c r="P459" s="116">
        <v>759.7</v>
      </c>
      <c r="Q459" s="116">
        <v>737.6</v>
      </c>
      <c r="R459">
        <v>363960</v>
      </c>
    </row>
    <row r="460" spans="1:18" x14ac:dyDescent="0.25">
      <c r="A460" s="170">
        <v>45384</v>
      </c>
      <c r="B460" s="116">
        <v>749</v>
      </c>
      <c r="C460" s="116">
        <v>708.15</v>
      </c>
      <c r="D460" s="116">
        <v>705.55</v>
      </c>
      <c r="E460" s="116">
        <v>744.4</v>
      </c>
      <c r="F460" s="116">
        <v>708.15</v>
      </c>
      <c r="G460">
        <v>35770</v>
      </c>
      <c r="H460" s="116"/>
      <c r="I460" s="116"/>
      <c r="L460" s="170">
        <v>45384</v>
      </c>
      <c r="M460" s="116">
        <v>708.15</v>
      </c>
      <c r="N460" s="116">
        <v>749.35</v>
      </c>
      <c r="O460" s="116">
        <v>705</v>
      </c>
      <c r="P460" s="116">
        <v>742.7</v>
      </c>
      <c r="Q460" s="116">
        <v>708.15</v>
      </c>
      <c r="R460">
        <v>285883</v>
      </c>
    </row>
    <row r="461" spans="1:18" x14ac:dyDescent="0.25">
      <c r="A461" s="170">
        <v>45385</v>
      </c>
      <c r="B461" s="116">
        <v>728</v>
      </c>
      <c r="C461" s="116">
        <v>700.5</v>
      </c>
      <c r="D461" s="116">
        <v>693</v>
      </c>
      <c r="E461" s="116">
        <v>708.5</v>
      </c>
      <c r="F461" s="116">
        <v>700.5</v>
      </c>
      <c r="G461">
        <v>42117</v>
      </c>
      <c r="H461" s="116"/>
      <c r="I461" s="116"/>
      <c r="L461" s="170">
        <v>45385</v>
      </c>
      <c r="M461" s="116">
        <v>698.8</v>
      </c>
      <c r="N461" s="116">
        <v>729</v>
      </c>
      <c r="O461" s="116">
        <v>693.1</v>
      </c>
      <c r="P461" s="116">
        <v>708.8</v>
      </c>
      <c r="Q461" s="116">
        <v>698.8</v>
      </c>
      <c r="R461">
        <v>279064</v>
      </c>
    </row>
    <row r="462" spans="1:18" x14ac:dyDescent="0.25">
      <c r="A462" s="170">
        <v>45386</v>
      </c>
      <c r="B462" s="116">
        <v>706.5</v>
      </c>
      <c r="C462" s="116">
        <v>684.85</v>
      </c>
      <c r="D462" s="116">
        <v>674.5</v>
      </c>
      <c r="E462" s="116">
        <v>699.9</v>
      </c>
      <c r="F462" s="116">
        <v>684.85</v>
      </c>
      <c r="G462">
        <v>48282</v>
      </c>
      <c r="H462" s="116"/>
      <c r="I462" s="116"/>
      <c r="L462" s="170">
        <v>45386</v>
      </c>
      <c r="M462" s="116">
        <v>685.25</v>
      </c>
      <c r="N462" s="116">
        <v>706.65</v>
      </c>
      <c r="O462" s="116">
        <v>675</v>
      </c>
      <c r="P462" s="116">
        <v>698.8</v>
      </c>
      <c r="Q462" s="116">
        <v>685.25</v>
      </c>
      <c r="R462">
        <v>273923</v>
      </c>
    </row>
    <row r="463" spans="1:18" x14ac:dyDescent="0.25">
      <c r="A463" s="170">
        <v>45387</v>
      </c>
      <c r="B463" s="116">
        <v>779</v>
      </c>
      <c r="C463" s="116">
        <v>756.1</v>
      </c>
      <c r="D463" s="116">
        <v>679.75</v>
      </c>
      <c r="E463" s="116">
        <v>679.75</v>
      </c>
      <c r="F463" s="116">
        <v>756.1</v>
      </c>
      <c r="G463">
        <v>35042</v>
      </c>
      <c r="H463" s="116"/>
      <c r="I463" s="116"/>
      <c r="L463" s="170">
        <v>45387</v>
      </c>
      <c r="M463" s="116">
        <v>756.2</v>
      </c>
      <c r="N463" s="116">
        <v>778.7</v>
      </c>
      <c r="O463" s="116">
        <v>685.25</v>
      </c>
      <c r="P463" s="116">
        <v>685.25</v>
      </c>
      <c r="Q463" s="116">
        <v>756.2</v>
      </c>
      <c r="R463">
        <v>1139335</v>
      </c>
    </row>
    <row r="464" spans="1:18" x14ac:dyDescent="0.25">
      <c r="A464" s="170">
        <v>45390</v>
      </c>
      <c r="B464" s="116">
        <v>844.15</v>
      </c>
      <c r="C464" s="116">
        <v>751.95</v>
      </c>
      <c r="D464" s="116">
        <v>741</v>
      </c>
      <c r="E464" s="116">
        <v>764.1</v>
      </c>
      <c r="F464" s="116">
        <v>751.95</v>
      </c>
      <c r="G464">
        <v>48435</v>
      </c>
      <c r="H464" s="116"/>
      <c r="I464" s="116"/>
      <c r="L464" s="170">
        <v>45390</v>
      </c>
      <c r="M464" s="116">
        <v>750.9</v>
      </c>
      <c r="N464" s="116">
        <v>843.95</v>
      </c>
      <c r="O464" s="116">
        <v>740.6</v>
      </c>
      <c r="P464" s="116">
        <v>764</v>
      </c>
      <c r="Q464" s="116">
        <v>750.9</v>
      </c>
      <c r="R464">
        <v>1544607</v>
      </c>
    </row>
    <row r="465" spans="1:18" x14ac:dyDescent="0.25">
      <c r="A465" s="170">
        <v>45391</v>
      </c>
      <c r="B465" s="116">
        <v>769.95</v>
      </c>
      <c r="C465" s="116">
        <v>723.85</v>
      </c>
      <c r="D465" s="116">
        <v>713</v>
      </c>
      <c r="E465" s="116">
        <v>767</v>
      </c>
      <c r="F465" s="116">
        <v>723.85</v>
      </c>
      <c r="G465">
        <v>54366</v>
      </c>
      <c r="H465" s="116"/>
      <c r="I465" s="116"/>
      <c r="L465" s="170">
        <v>45391</v>
      </c>
      <c r="M465" s="116">
        <v>723.35</v>
      </c>
      <c r="N465" s="116">
        <v>771.95</v>
      </c>
      <c r="O465" s="116">
        <v>713.45</v>
      </c>
      <c r="P465" s="116">
        <v>755</v>
      </c>
      <c r="Q465" s="116">
        <v>723.35</v>
      </c>
      <c r="R465">
        <v>431281</v>
      </c>
    </row>
    <row r="466" spans="1:18" x14ac:dyDescent="0.25">
      <c r="A466" s="170">
        <v>45392</v>
      </c>
      <c r="B466" s="116">
        <v>757.6</v>
      </c>
      <c r="C466" s="116">
        <v>742</v>
      </c>
      <c r="D466" s="116">
        <v>723.9</v>
      </c>
      <c r="E466" s="116">
        <v>738.95</v>
      </c>
      <c r="F466" s="116">
        <v>742</v>
      </c>
      <c r="G466">
        <v>36551</v>
      </c>
      <c r="H466" s="116"/>
      <c r="I466" s="116"/>
      <c r="L466" s="170">
        <v>45392</v>
      </c>
      <c r="M466" s="116">
        <v>741.65</v>
      </c>
      <c r="N466" s="116">
        <v>757</v>
      </c>
      <c r="O466" s="116">
        <v>723.7</v>
      </c>
      <c r="P466" s="116">
        <v>734</v>
      </c>
      <c r="Q466" s="116">
        <v>741.65</v>
      </c>
      <c r="R466">
        <v>301155</v>
      </c>
    </row>
    <row r="467" spans="1:18" x14ac:dyDescent="0.25">
      <c r="A467" s="170">
        <v>45394</v>
      </c>
      <c r="B467" s="116">
        <v>741.95</v>
      </c>
      <c r="C467" s="116">
        <v>712.8</v>
      </c>
      <c r="D467" s="116">
        <v>708.9</v>
      </c>
      <c r="E467" s="116">
        <v>741</v>
      </c>
      <c r="F467" s="116">
        <v>712.8</v>
      </c>
      <c r="G467">
        <v>34416</v>
      </c>
      <c r="H467" s="116"/>
      <c r="I467" s="116"/>
      <c r="L467" s="170">
        <v>45394</v>
      </c>
      <c r="M467" s="116">
        <v>713.1</v>
      </c>
      <c r="N467" s="116">
        <v>742.45</v>
      </c>
      <c r="O467" s="116">
        <v>708</v>
      </c>
      <c r="P467" s="116">
        <v>741.4</v>
      </c>
      <c r="Q467" s="116">
        <v>713.1</v>
      </c>
      <c r="R467">
        <v>237145</v>
      </c>
    </row>
    <row r="468" spans="1:18" x14ac:dyDescent="0.25">
      <c r="A468" s="170">
        <v>45397</v>
      </c>
      <c r="B468" s="116">
        <v>755</v>
      </c>
      <c r="C468" s="116">
        <v>706.2</v>
      </c>
      <c r="D468" s="116">
        <v>683.15</v>
      </c>
      <c r="E468" s="116">
        <v>698.5</v>
      </c>
      <c r="F468" s="116">
        <v>706.2</v>
      </c>
      <c r="G468">
        <v>29083</v>
      </c>
      <c r="H468" s="116"/>
      <c r="I468" s="116"/>
      <c r="L468" s="170">
        <v>45397</v>
      </c>
      <c r="M468" s="116">
        <v>705.6</v>
      </c>
      <c r="N468" s="116">
        <v>755</v>
      </c>
      <c r="O468" s="116">
        <v>681.95</v>
      </c>
      <c r="P468" s="116">
        <v>699</v>
      </c>
      <c r="Q468" s="116">
        <v>705.6</v>
      </c>
      <c r="R468">
        <v>660223</v>
      </c>
    </row>
    <row r="469" spans="1:18" x14ac:dyDescent="0.25">
      <c r="A469" s="170">
        <v>45398</v>
      </c>
      <c r="B469" s="116">
        <v>725</v>
      </c>
      <c r="C469" s="116">
        <v>712.75</v>
      </c>
      <c r="D469" s="116">
        <v>704</v>
      </c>
      <c r="E469" s="116">
        <v>706.1</v>
      </c>
      <c r="F469" s="116">
        <v>712.75</v>
      </c>
      <c r="G469">
        <v>21429</v>
      </c>
      <c r="H469" s="116"/>
      <c r="I469" s="116"/>
      <c r="L469" s="170">
        <v>45398</v>
      </c>
      <c r="M469" s="116">
        <v>713.2</v>
      </c>
      <c r="N469" s="116">
        <v>725.25</v>
      </c>
      <c r="O469" s="116">
        <v>703.2</v>
      </c>
      <c r="P469" s="116">
        <v>705.6</v>
      </c>
      <c r="Q469" s="116">
        <v>713.2</v>
      </c>
      <c r="R469">
        <v>301740</v>
      </c>
    </row>
    <row r="470" spans="1:18" x14ac:dyDescent="0.25">
      <c r="A470" s="170">
        <v>45400</v>
      </c>
      <c r="B470" s="116">
        <v>738.8</v>
      </c>
      <c r="C470" s="116">
        <v>720.55</v>
      </c>
      <c r="D470" s="116">
        <v>712.9</v>
      </c>
      <c r="E470" s="116">
        <v>721.45</v>
      </c>
      <c r="F470" s="116">
        <v>720.55</v>
      </c>
      <c r="G470">
        <v>9600</v>
      </c>
      <c r="H470" s="116"/>
      <c r="I470" s="116"/>
      <c r="L470" s="170">
        <v>45400</v>
      </c>
      <c r="M470" s="116">
        <v>719.4</v>
      </c>
      <c r="N470" s="116">
        <v>740.85</v>
      </c>
      <c r="O470" s="116">
        <v>712.25</v>
      </c>
      <c r="P470" s="116">
        <v>730</v>
      </c>
      <c r="Q470" s="116">
        <v>719.4</v>
      </c>
      <c r="R470">
        <v>184939</v>
      </c>
    </row>
    <row r="471" spans="1:18" x14ac:dyDescent="0.25">
      <c r="A471" s="170">
        <v>45401</v>
      </c>
      <c r="B471" s="116">
        <v>750.25</v>
      </c>
      <c r="C471" s="116">
        <v>745.1</v>
      </c>
      <c r="D471" s="116">
        <v>701</v>
      </c>
      <c r="E471" s="116">
        <v>702</v>
      </c>
      <c r="F471" s="116">
        <v>745.1</v>
      </c>
      <c r="G471">
        <v>49808</v>
      </c>
      <c r="H471" s="116"/>
      <c r="I471" s="116"/>
      <c r="L471" s="170">
        <v>45401</v>
      </c>
      <c r="M471" s="116">
        <v>743.95</v>
      </c>
      <c r="N471" s="116">
        <v>751</v>
      </c>
      <c r="O471" s="116">
        <v>702.3</v>
      </c>
      <c r="P471" s="116">
        <v>705</v>
      </c>
      <c r="Q471" s="116">
        <v>743.95</v>
      </c>
      <c r="R471">
        <v>316909</v>
      </c>
    </row>
    <row r="472" spans="1:18" x14ac:dyDescent="0.25">
      <c r="A472" s="170">
        <v>45404</v>
      </c>
      <c r="B472" s="116">
        <v>768.15</v>
      </c>
      <c r="C472" s="116">
        <v>759.2</v>
      </c>
      <c r="D472" s="116">
        <v>747.5</v>
      </c>
      <c r="E472" s="116">
        <v>760.6</v>
      </c>
      <c r="F472" s="116">
        <v>759.2</v>
      </c>
      <c r="G472">
        <v>29802</v>
      </c>
      <c r="H472" s="116"/>
      <c r="I472" s="116"/>
      <c r="L472" s="170">
        <v>45404</v>
      </c>
      <c r="M472" s="116">
        <v>758.75</v>
      </c>
      <c r="N472" s="116">
        <v>775</v>
      </c>
      <c r="O472" s="116">
        <v>747.5</v>
      </c>
      <c r="P472" s="116">
        <v>765</v>
      </c>
      <c r="Q472" s="116">
        <v>758.75</v>
      </c>
      <c r="R472">
        <v>181914</v>
      </c>
    </row>
    <row r="473" spans="1:18" x14ac:dyDescent="0.25">
      <c r="A473" s="170">
        <v>45405</v>
      </c>
      <c r="B473" s="116">
        <v>772.25</v>
      </c>
      <c r="C473" s="116">
        <v>765.95</v>
      </c>
      <c r="D473" s="116">
        <v>742.65</v>
      </c>
      <c r="E473" s="116">
        <v>759.2</v>
      </c>
      <c r="F473" s="116">
        <v>765.95</v>
      </c>
      <c r="G473">
        <v>30558</v>
      </c>
      <c r="H473" s="116"/>
      <c r="I473" s="116"/>
      <c r="L473" s="170">
        <v>45405</v>
      </c>
      <c r="M473" s="116">
        <v>766.3</v>
      </c>
      <c r="N473" s="116">
        <v>772</v>
      </c>
      <c r="O473" s="116">
        <v>745.05</v>
      </c>
      <c r="P473" s="116">
        <v>759.8</v>
      </c>
      <c r="Q473" s="116">
        <v>766.3</v>
      </c>
      <c r="R473">
        <v>185215</v>
      </c>
    </row>
    <row r="474" spans="1:18" x14ac:dyDescent="0.25">
      <c r="A474" s="170">
        <v>45406</v>
      </c>
      <c r="B474" s="116">
        <v>821.9</v>
      </c>
      <c r="C474" s="116">
        <v>771.9</v>
      </c>
      <c r="D474" s="116">
        <v>766.5</v>
      </c>
      <c r="E474" s="116">
        <v>779.55</v>
      </c>
      <c r="F474" s="116">
        <v>771.9</v>
      </c>
      <c r="G474">
        <v>19665</v>
      </c>
      <c r="H474" s="116"/>
      <c r="I474" s="116"/>
      <c r="L474" s="170">
        <v>45406</v>
      </c>
      <c r="M474" s="116">
        <v>773.15</v>
      </c>
      <c r="N474" s="116">
        <v>823.7</v>
      </c>
      <c r="O474" s="116">
        <v>766.15</v>
      </c>
      <c r="P474" s="116">
        <v>777</v>
      </c>
      <c r="Q474" s="116">
        <v>773.15</v>
      </c>
      <c r="R474">
        <v>578193</v>
      </c>
    </row>
    <row r="475" spans="1:18" x14ac:dyDescent="0.25">
      <c r="A475" s="170">
        <v>45407</v>
      </c>
      <c r="B475" s="116">
        <v>781.7</v>
      </c>
      <c r="C475" s="116">
        <v>764.2</v>
      </c>
      <c r="D475" s="116">
        <v>756.9</v>
      </c>
      <c r="E475" s="116">
        <v>772.25</v>
      </c>
      <c r="F475" s="116">
        <v>764.2</v>
      </c>
      <c r="G475">
        <v>7209</v>
      </c>
      <c r="H475" s="116"/>
      <c r="I475" s="116"/>
      <c r="L475" s="170">
        <v>45407</v>
      </c>
      <c r="M475" s="116">
        <v>764.35</v>
      </c>
      <c r="N475" s="116">
        <v>781.3</v>
      </c>
      <c r="O475" s="116">
        <v>756.1</v>
      </c>
      <c r="P475" s="116">
        <v>775</v>
      </c>
      <c r="Q475" s="116">
        <v>764.35</v>
      </c>
      <c r="R475">
        <v>162605</v>
      </c>
    </row>
    <row r="476" spans="1:18" x14ac:dyDescent="0.25">
      <c r="A476" s="170">
        <v>45408</v>
      </c>
      <c r="B476" s="116">
        <v>762.95</v>
      </c>
      <c r="C476" s="116">
        <v>739.85</v>
      </c>
      <c r="D476" s="116">
        <v>727</v>
      </c>
      <c r="E476" s="116">
        <v>762.95</v>
      </c>
      <c r="F476" s="116">
        <v>739.85</v>
      </c>
      <c r="G476">
        <v>20801</v>
      </c>
      <c r="H476" s="116"/>
      <c r="I476" s="116"/>
      <c r="L476" s="170">
        <v>45408</v>
      </c>
      <c r="M476" s="116">
        <v>737.95</v>
      </c>
      <c r="N476" s="116">
        <v>763.05</v>
      </c>
      <c r="O476" s="116">
        <v>725.85</v>
      </c>
      <c r="P476" s="116">
        <v>763.05</v>
      </c>
      <c r="Q476" s="116">
        <v>737.95</v>
      </c>
      <c r="R476">
        <v>400153</v>
      </c>
    </row>
    <row r="477" spans="1:18" x14ac:dyDescent="0.25">
      <c r="A477" s="170">
        <v>45411</v>
      </c>
      <c r="B477" s="116">
        <v>764.4</v>
      </c>
      <c r="C477" s="116">
        <v>759.75</v>
      </c>
      <c r="D477" s="116">
        <v>728.2</v>
      </c>
      <c r="E477" s="116">
        <v>748.8</v>
      </c>
      <c r="F477" s="116">
        <v>759.75</v>
      </c>
      <c r="G477">
        <v>34583</v>
      </c>
      <c r="H477" s="116"/>
      <c r="I477" s="116"/>
      <c r="L477" s="170">
        <v>45411</v>
      </c>
      <c r="M477" s="116">
        <v>760.15</v>
      </c>
      <c r="N477" s="116">
        <v>765</v>
      </c>
      <c r="O477" s="116">
        <v>730.05</v>
      </c>
      <c r="P477" s="116">
        <v>744.5</v>
      </c>
      <c r="Q477" s="116">
        <v>760.15</v>
      </c>
      <c r="R477">
        <v>219654</v>
      </c>
    </row>
    <row r="478" spans="1:18" x14ac:dyDescent="0.25">
      <c r="A478" s="170">
        <v>45412</v>
      </c>
      <c r="B478" s="116">
        <v>810</v>
      </c>
      <c r="C478" s="116">
        <v>759.45</v>
      </c>
      <c r="D478" s="116">
        <v>747.75</v>
      </c>
      <c r="E478" s="116">
        <v>775.75</v>
      </c>
      <c r="F478" s="116">
        <v>759.45</v>
      </c>
      <c r="G478">
        <v>22449</v>
      </c>
      <c r="H478" s="116"/>
      <c r="I478" s="116"/>
      <c r="L478" s="170">
        <v>45412</v>
      </c>
      <c r="M478" s="116">
        <v>758.2</v>
      </c>
      <c r="N478" s="116">
        <v>810.8</v>
      </c>
      <c r="O478" s="116">
        <v>748</v>
      </c>
      <c r="P478" s="116">
        <v>780</v>
      </c>
      <c r="Q478" s="116">
        <v>758.2</v>
      </c>
      <c r="R478">
        <v>526046</v>
      </c>
    </row>
    <row r="479" spans="1:18" x14ac:dyDescent="0.25">
      <c r="A479" s="170">
        <v>45414</v>
      </c>
      <c r="B479" s="116">
        <v>780</v>
      </c>
      <c r="C479" s="116">
        <v>737.8</v>
      </c>
      <c r="D479" s="116">
        <v>735.25</v>
      </c>
      <c r="E479" s="116">
        <v>775.05</v>
      </c>
      <c r="F479" s="116">
        <v>737.8</v>
      </c>
      <c r="G479">
        <v>26726</v>
      </c>
      <c r="H479" s="116"/>
      <c r="I479" s="116"/>
      <c r="L479" s="170">
        <v>45414</v>
      </c>
      <c r="M479" s="116">
        <v>737.75</v>
      </c>
      <c r="N479" s="116">
        <v>779</v>
      </c>
      <c r="O479" s="116">
        <v>735.5</v>
      </c>
      <c r="P479" s="116">
        <v>778.9</v>
      </c>
      <c r="Q479" s="116">
        <v>737.75</v>
      </c>
      <c r="R479">
        <v>215841</v>
      </c>
    </row>
    <row r="480" spans="1:18" x14ac:dyDescent="0.25">
      <c r="A480" s="170">
        <v>45415</v>
      </c>
      <c r="B480" s="116">
        <v>749.7</v>
      </c>
      <c r="C480" s="116">
        <v>735.6</v>
      </c>
      <c r="D480" s="116">
        <v>722.45</v>
      </c>
      <c r="E480" s="116">
        <v>748.7</v>
      </c>
      <c r="F480" s="116">
        <v>735.6</v>
      </c>
      <c r="G480">
        <v>23759</v>
      </c>
      <c r="H480" s="116"/>
      <c r="I480" s="116"/>
      <c r="L480" s="170">
        <v>45415</v>
      </c>
      <c r="M480" s="116">
        <v>737.05</v>
      </c>
      <c r="N480" s="116">
        <v>746</v>
      </c>
      <c r="O480" s="116">
        <v>721.7</v>
      </c>
      <c r="P480" s="116">
        <v>744.9</v>
      </c>
      <c r="Q480" s="116">
        <v>737.05</v>
      </c>
      <c r="R480">
        <v>161339</v>
      </c>
    </row>
    <row r="481" spans="1:18" x14ac:dyDescent="0.25">
      <c r="A481" s="170">
        <v>45418</v>
      </c>
      <c r="B481" s="116">
        <v>743</v>
      </c>
      <c r="C481" s="116">
        <v>732.55</v>
      </c>
      <c r="D481" s="116">
        <v>709.9</v>
      </c>
      <c r="E481" s="116">
        <v>726.6</v>
      </c>
      <c r="F481" s="116">
        <v>732.55</v>
      </c>
      <c r="G481">
        <v>7547</v>
      </c>
      <c r="H481" s="116"/>
      <c r="I481" s="116"/>
      <c r="L481" s="170">
        <v>45418</v>
      </c>
      <c r="M481" s="116">
        <v>732.85</v>
      </c>
      <c r="N481" s="116">
        <v>744.8</v>
      </c>
      <c r="O481" s="116">
        <v>709.45</v>
      </c>
      <c r="P481" s="116">
        <v>744.8</v>
      </c>
      <c r="Q481" s="116">
        <v>732.85</v>
      </c>
      <c r="R481">
        <v>174470</v>
      </c>
    </row>
    <row r="482" spans="1:18" x14ac:dyDescent="0.25">
      <c r="A482" s="170">
        <v>45419</v>
      </c>
      <c r="B482" s="116">
        <v>740.05</v>
      </c>
      <c r="C482" s="116">
        <v>733.7</v>
      </c>
      <c r="D482" s="116">
        <v>710.65</v>
      </c>
      <c r="E482" s="116">
        <v>740.05</v>
      </c>
      <c r="F482" s="116">
        <v>733.7</v>
      </c>
      <c r="G482">
        <v>6868</v>
      </c>
      <c r="H482" s="116"/>
      <c r="I482" s="116"/>
      <c r="L482" s="170">
        <v>45419</v>
      </c>
      <c r="M482" s="116">
        <v>732.8</v>
      </c>
      <c r="N482" s="116">
        <v>742</v>
      </c>
      <c r="O482" s="116">
        <v>711.3</v>
      </c>
      <c r="P482" s="116">
        <v>730.45</v>
      </c>
      <c r="Q482" s="116">
        <v>732.8</v>
      </c>
      <c r="R482">
        <v>125668</v>
      </c>
    </row>
    <row r="483" spans="1:18" x14ac:dyDescent="0.25">
      <c r="A483" s="170">
        <v>45420</v>
      </c>
      <c r="B483" s="116">
        <v>733.85</v>
      </c>
      <c r="C483" s="116">
        <v>726.35</v>
      </c>
      <c r="D483" s="116">
        <v>718.95</v>
      </c>
      <c r="E483" s="116">
        <v>733.85</v>
      </c>
      <c r="F483" s="116">
        <v>726.35</v>
      </c>
      <c r="G483">
        <v>10966</v>
      </c>
      <c r="H483" s="116"/>
      <c r="I483" s="116"/>
      <c r="L483" s="170">
        <v>45420</v>
      </c>
      <c r="M483" s="116">
        <v>726.95</v>
      </c>
      <c r="N483" s="116">
        <v>734</v>
      </c>
      <c r="O483" s="116">
        <v>719.15</v>
      </c>
      <c r="P483" s="116">
        <v>734</v>
      </c>
      <c r="Q483" s="116">
        <v>726.95</v>
      </c>
      <c r="R483">
        <v>62599</v>
      </c>
    </row>
    <row r="484" spans="1:18" x14ac:dyDescent="0.25">
      <c r="A484" s="170">
        <v>45421</v>
      </c>
      <c r="B484" s="116">
        <v>729.3</v>
      </c>
      <c r="C484" s="116">
        <v>711.25</v>
      </c>
      <c r="D484" s="116">
        <v>706.35</v>
      </c>
      <c r="E484" s="116">
        <v>726</v>
      </c>
      <c r="F484" s="116">
        <v>711.25</v>
      </c>
      <c r="G484">
        <v>3326</v>
      </c>
      <c r="H484" s="116"/>
      <c r="I484" s="116"/>
      <c r="L484" s="170">
        <v>45421</v>
      </c>
      <c r="M484" s="116">
        <v>710.4</v>
      </c>
      <c r="N484" s="116">
        <v>729.75</v>
      </c>
      <c r="O484" s="116">
        <v>706.7</v>
      </c>
      <c r="P484" s="116">
        <v>726.75</v>
      </c>
      <c r="Q484" s="116">
        <v>710.4</v>
      </c>
      <c r="R484">
        <v>60668</v>
      </c>
    </row>
    <row r="485" spans="1:18" x14ac:dyDescent="0.25">
      <c r="A485" s="170">
        <v>45422</v>
      </c>
      <c r="B485" s="116">
        <v>742.3</v>
      </c>
      <c r="C485" s="116">
        <v>735.5</v>
      </c>
      <c r="D485" s="116">
        <v>709.4</v>
      </c>
      <c r="E485" s="116">
        <v>709.4</v>
      </c>
      <c r="F485" s="116">
        <v>735.5</v>
      </c>
      <c r="G485">
        <v>15415</v>
      </c>
      <c r="H485" s="116"/>
      <c r="I485" s="116"/>
      <c r="L485" s="170">
        <v>45422</v>
      </c>
      <c r="M485" s="116">
        <v>737.3</v>
      </c>
      <c r="N485" s="116">
        <v>742</v>
      </c>
      <c r="O485" s="116">
        <v>713.15</v>
      </c>
      <c r="P485" s="116">
        <v>713.15</v>
      </c>
      <c r="Q485" s="116">
        <v>737.3</v>
      </c>
      <c r="R485">
        <v>114884</v>
      </c>
    </row>
    <row r="486" spans="1:18" x14ac:dyDescent="0.25">
      <c r="A486" s="170">
        <v>45425</v>
      </c>
      <c r="B486" s="116">
        <v>756.6</v>
      </c>
      <c r="C486" s="116">
        <v>751.6</v>
      </c>
      <c r="D486" s="116">
        <v>733</v>
      </c>
      <c r="E486" s="116">
        <v>744.95</v>
      </c>
      <c r="F486" s="116">
        <v>751.6</v>
      </c>
      <c r="G486">
        <v>6007</v>
      </c>
      <c r="H486" s="116"/>
      <c r="I486" s="116"/>
      <c r="L486" s="170">
        <v>45425</v>
      </c>
      <c r="M486" s="116">
        <v>752.3</v>
      </c>
      <c r="N486" s="116">
        <v>756.9</v>
      </c>
      <c r="O486" s="116">
        <v>732</v>
      </c>
      <c r="P486" s="116">
        <v>740.6</v>
      </c>
      <c r="Q486" s="116">
        <v>752.3</v>
      </c>
      <c r="R486">
        <v>150953</v>
      </c>
    </row>
    <row r="487" spans="1:18" x14ac:dyDescent="0.25">
      <c r="A487" s="170">
        <v>45426</v>
      </c>
      <c r="B487" s="116">
        <v>763.55</v>
      </c>
      <c r="C487" s="116">
        <v>759.75</v>
      </c>
      <c r="D487" s="116">
        <v>751</v>
      </c>
      <c r="E487" s="116">
        <v>751</v>
      </c>
      <c r="F487" s="116">
        <v>759.75</v>
      </c>
      <c r="G487">
        <v>2595</v>
      </c>
      <c r="H487" s="116"/>
      <c r="I487" s="116"/>
      <c r="L487" s="170">
        <v>45426</v>
      </c>
      <c r="M487" s="116">
        <v>760.3</v>
      </c>
      <c r="N487" s="116">
        <v>764.35</v>
      </c>
      <c r="O487" s="116">
        <v>751.35</v>
      </c>
      <c r="P487" s="116">
        <v>755.95</v>
      </c>
      <c r="Q487" s="116">
        <v>760.3</v>
      </c>
      <c r="R487">
        <v>93390</v>
      </c>
    </row>
    <row r="488" spans="1:18" x14ac:dyDescent="0.25">
      <c r="A488" s="170">
        <v>45427</v>
      </c>
      <c r="B488" s="116">
        <v>779.9</v>
      </c>
      <c r="C488" s="116">
        <v>753.3</v>
      </c>
      <c r="D488" s="116">
        <v>745</v>
      </c>
      <c r="E488" s="116">
        <v>755.05</v>
      </c>
      <c r="F488" s="116">
        <v>753.3</v>
      </c>
      <c r="G488">
        <v>5114</v>
      </c>
      <c r="H488" s="116"/>
      <c r="I488" s="116"/>
      <c r="L488" s="170">
        <v>45427</v>
      </c>
      <c r="M488" s="116">
        <v>753.6</v>
      </c>
      <c r="N488" s="116">
        <v>778.4</v>
      </c>
      <c r="O488" s="116">
        <v>745</v>
      </c>
      <c r="P488" s="116">
        <v>763.7</v>
      </c>
      <c r="Q488" s="116">
        <v>753.6</v>
      </c>
      <c r="R488">
        <v>114109</v>
      </c>
    </row>
    <row r="489" spans="1:18" x14ac:dyDescent="0.25">
      <c r="A489" s="170">
        <v>45428</v>
      </c>
      <c r="B489" s="116">
        <v>798.35</v>
      </c>
      <c r="C489" s="116">
        <v>794.1</v>
      </c>
      <c r="D489" s="116">
        <v>763.55</v>
      </c>
      <c r="E489" s="116">
        <v>763.55</v>
      </c>
      <c r="F489" s="116">
        <v>794.1</v>
      </c>
      <c r="G489">
        <v>9574</v>
      </c>
      <c r="H489" s="116"/>
      <c r="I489" s="116"/>
      <c r="L489" s="170">
        <v>45428</v>
      </c>
      <c r="M489" s="116">
        <v>793.7</v>
      </c>
      <c r="N489" s="116">
        <v>798.4</v>
      </c>
      <c r="O489" s="116">
        <v>759.65</v>
      </c>
      <c r="P489" s="116">
        <v>759.85</v>
      </c>
      <c r="Q489" s="116">
        <v>793.7</v>
      </c>
      <c r="R489">
        <v>287536</v>
      </c>
    </row>
    <row r="490" spans="1:18" x14ac:dyDescent="0.25">
      <c r="A490" s="170">
        <v>45429</v>
      </c>
      <c r="B490" s="116">
        <v>831.95</v>
      </c>
      <c r="C490" s="116">
        <v>792.85</v>
      </c>
      <c r="D490" s="116">
        <v>788.8</v>
      </c>
      <c r="E490" s="116">
        <v>800.05</v>
      </c>
      <c r="F490" s="116">
        <v>792.85</v>
      </c>
      <c r="G490">
        <v>68858</v>
      </c>
      <c r="H490" s="116"/>
      <c r="I490" s="116"/>
      <c r="L490" s="170">
        <v>45429</v>
      </c>
      <c r="M490" s="116">
        <v>792.85</v>
      </c>
      <c r="N490" s="116">
        <v>831.85</v>
      </c>
      <c r="O490" s="116">
        <v>790</v>
      </c>
      <c r="P490" s="116">
        <v>804</v>
      </c>
      <c r="Q490" s="116">
        <v>792.85</v>
      </c>
      <c r="R490">
        <v>495258</v>
      </c>
    </row>
    <row r="491" spans="1:18" x14ac:dyDescent="0.25">
      <c r="A491" s="170">
        <v>45430</v>
      </c>
      <c r="B491" s="116">
        <v>828</v>
      </c>
      <c r="C491" s="116">
        <v>822.35</v>
      </c>
      <c r="D491" s="116">
        <v>796</v>
      </c>
      <c r="E491" s="116">
        <v>796.65</v>
      </c>
      <c r="F491" s="116">
        <v>822.35</v>
      </c>
      <c r="G491">
        <v>23274</v>
      </c>
      <c r="H491" s="116"/>
      <c r="I491" s="116"/>
      <c r="L491" s="170">
        <v>45430</v>
      </c>
      <c r="M491" s="116">
        <v>822.4</v>
      </c>
      <c r="N491" s="116">
        <v>829.3</v>
      </c>
      <c r="O491" s="116">
        <v>794.85</v>
      </c>
      <c r="P491" s="116">
        <v>794.85</v>
      </c>
      <c r="Q491" s="116">
        <v>822.4</v>
      </c>
      <c r="R491">
        <v>77788</v>
      </c>
    </row>
    <row r="492" spans="1:18" x14ac:dyDescent="0.25">
      <c r="A492" s="170">
        <v>45433</v>
      </c>
      <c r="B492" s="116">
        <v>824</v>
      </c>
      <c r="C492" s="116">
        <v>795.05</v>
      </c>
      <c r="D492" s="116">
        <v>790.7</v>
      </c>
      <c r="E492" s="116">
        <v>824</v>
      </c>
      <c r="F492" s="116">
        <v>795.05</v>
      </c>
      <c r="G492">
        <v>6573</v>
      </c>
      <c r="H492" s="116"/>
      <c r="I492" s="116"/>
      <c r="L492" s="170">
        <v>45433</v>
      </c>
      <c r="M492" s="116">
        <v>794.55</v>
      </c>
      <c r="N492" s="116">
        <v>822.75</v>
      </c>
      <c r="O492" s="116">
        <v>789.85</v>
      </c>
      <c r="P492" s="116">
        <v>822.35</v>
      </c>
      <c r="Q492" s="116">
        <v>794.55</v>
      </c>
      <c r="R492">
        <v>148025</v>
      </c>
    </row>
    <row r="493" spans="1:18" x14ac:dyDescent="0.25">
      <c r="A493" s="170">
        <v>45434</v>
      </c>
      <c r="B493" s="116">
        <v>809</v>
      </c>
      <c r="C493" s="116">
        <v>784.15</v>
      </c>
      <c r="D493" s="116">
        <v>780</v>
      </c>
      <c r="E493" s="116">
        <v>798</v>
      </c>
      <c r="F493" s="116">
        <v>784.15</v>
      </c>
      <c r="G493">
        <v>18932</v>
      </c>
      <c r="H493" s="116"/>
      <c r="I493" s="116"/>
      <c r="L493" s="170">
        <v>45434</v>
      </c>
      <c r="M493" s="116">
        <v>784.4</v>
      </c>
      <c r="N493" s="116">
        <v>808.95</v>
      </c>
      <c r="O493" s="116">
        <v>780.35</v>
      </c>
      <c r="P493" s="116">
        <v>798.05</v>
      </c>
      <c r="Q493" s="116">
        <v>784.4</v>
      </c>
      <c r="R493">
        <v>128422</v>
      </c>
    </row>
    <row r="494" spans="1:18" x14ac:dyDescent="0.25">
      <c r="A494" s="170">
        <v>45435</v>
      </c>
      <c r="B494" s="116">
        <v>813.25</v>
      </c>
      <c r="C494" s="116">
        <v>806.85</v>
      </c>
      <c r="D494" s="116">
        <v>770.05</v>
      </c>
      <c r="E494" s="116">
        <v>770.05</v>
      </c>
      <c r="F494" s="116">
        <v>806.85</v>
      </c>
      <c r="G494">
        <v>5077</v>
      </c>
      <c r="H494" s="116"/>
      <c r="I494" s="116"/>
      <c r="L494" s="170">
        <v>45435</v>
      </c>
      <c r="M494" s="116">
        <v>805.3</v>
      </c>
      <c r="N494" s="116">
        <v>815</v>
      </c>
      <c r="O494" s="116">
        <v>780</v>
      </c>
      <c r="P494" s="116">
        <v>784.4</v>
      </c>
      <c r="Q494" s="116">
        <v>805.3</v>
      </c>
      <c r="R494">
        <v>124281</v>
      </c>
    </row>
    <row r="495" spans="1:18" x14ac:dyDescent="0.25">
      <c r="A495" s="170">
        <v>45436</v>
      </c>
      <c r="B495" s="116">
        <v>805.05</v>
      </c>
      <c r="C495" s="116">
        <v>786.8</v>
      </c>
      <c r="D495" s="116">
        <v>781.65</v>
      </c>
      <c r="E495" s="116">
        <v>800.05</v>
      </c>
      <c r="F495" s="116">
        <v>786.8</v>
      </c>
      <c r="G495">
        <v>25687</v>
      </c>
      <c r="H495" s="116"/>
      <c r="I495" s="116"/>
      <c r="L495" s="170">
        <v>45436</v>
      </c>
      <c r="M495" s="116">
        <v>787.8</v>
      </c>
      <c r="N495" s="116">
        <v>807.85</v>
      </c>
      <c r="O495" s="116">
        <v>781.15</v>
      </c>
      <c r="P495" s="116">
        <v>805.45</v>
      </c>
      <c r="Q495" s="116">
        <v>787.8</v>
      </c>
      <c r="R495">
        <v>141280</v>
      </c>
    </row>
    <row r="496" spans="1:18" x14ac:dyDescent="0.25">
      <c r="A496" s="170">
        <v>45439</v>
      </c>
      <c r="B496" s="116">
        <v>824.35</v>
      </c>
      <c r="C496" s="116">
        <v>770.5</v>
      </c>
      <c r="D496" s="116">
        <v>743.55</v>
      </c>
      <c r="E496" s="116">
        <v>780.05</v>
      </c>
      <c r="F496" s="116">
        <v>770.5</v>
      </c>
      <c r="G496">
        <v>16487</v>
      </c>
      <c r="H496" s="116"/>
      <c r="I496" s="116"/>
      <c r="L496" s="170">
        <v>45439</v>
      </c>
      <c r="M496" s="116">
        <v>772.75</v>
      </c>
      <c r="N496" s="116">
        <v>825</v>
      </c>
      <c r="O496" s="116">
        <v>742.2</v>
      </c>
      <c r="P496" s="116">
        <v>788.95</v>
      </c>
      <c r="Q496" s="116">
        <v>772.75</v>
      </c>
      <c r="R496">
        <v>332278</v>
      </c>
    </row>
    <row r="497" spans="1:18" x14ac:dyDescent="0.25">
      <c r="A497" s="170">
        <v>45440</v>
      </c>
      <c r="B497" s="116">
        <v>780</v>
      </c>
      <c r="C497" s="116">
        <v>750.25</v>
      </c>
      <c r="D497" s="116">
        <v>740</v>
      </c>
      <c r="E497" s="116">
        <v>780</v>
      </c>
      <c r="F497" s="116">
        <v>750.25</v>
      </c>
      <c r="G497">
        <v>4869</v>
      </c>
      <c r="H497" s="116"/>
      <c r="I497" s="116"/>
      <c r="L497" s="170">
        <v>45440</v>
      </c>
      <c r="M497" s="116">
        <v>753</v>
      </c>
      <c r="N497" s="116">
        <v>774.9</v>
      </c>
      <c r="O497" s="116">
        <v>740</v>
      </c>
      <c r="P497" s="116">
        <v>772.75</v>
      </c>
      <c r="Q497" s="116">
        <v>753</v>
      </c>
      <c r="R497">
        <v>183483</v>
      </c>
    </row>
    <row r="498" spans="1:18" x14ac:dyDescent="0.25">
      <c r="A498" s="170">
        <v>45441</v>
      </c>
      <c r="B498" s="116">
        <v>754.45</v>
      </c>
      <c r="C498" s="116">
        <v>747.85</v>
      </c>
      <c r="D498" s="116">
        <v>738</v>
      </c>
      <c r="E498" s="116">
        <v>738</v>
      </c>
      <c r="F498" s="116">
        <v>747.85</v>
      </c>
      <c r="G498">
        <v>2680</v>
      </c>
      <c r="H498" s="116"/>
      <c r="I498" s="116"/>
      <c r="L498" s="170">
        <v>45441</v>
      </c>
      <c r="M498" s="116">
        <v>746.95</v>
      </c>
      <c r="N498" s="116">
        <v>752.8</v>
      </c>
      <c r="O498" s="116">
        <v>741</v>
      </c>
      <c r="P498" s="116">
        <v>750</v>
      </c>
      <c r="Q498" s="116">
        <v>746.95</v>
      </c>
      <c r="R498">
        <v>118419</v>
      </c>
    </row>
    <row r="499" spans="1:18" x14ac:dyDescent="0.25">
      <c r="A499" s="170">
        <v>45442</v>
      </c>
      <c r="B499" s="116">
        <v>770.35</v>
      </c>
      <c r="C499" s="116">
        <v>744.7</v>
      </c>
      <c r="D499" s="116">
        <v>741.45</v>
      </c>
      <c r="E499" s="116">
        <v>756.95</v>
      </c>
      <c r="F499" s="116">
        <v>744.7</v>
      </c>
      <c r="G499">
        <v>9425</v>
      </c>
      <c r="H499" s="116"/>
      <c r="I499" s="116"/>
      <c r="L499" s="170">
        <v>45442</v>
      </c>
      <c r="M499" s="116">
        <v>744.2</v>
      </c>
      <c r="N499" s="116">
        <v>769.45</v>
      </c>
      <c r="O499" s="116">
        <v>741.2</v>
      </c>
      <c r="P499" s="116">
        <v>749</v>
      </c>
      <c r="Q499" s="116">
        <v>744.2</v>
      </c>
      <c r="R499">
        <v>82326</v>
      </c>
    </row>
    <row r="500" spans="1:18" x14ac:dyDescent="0.25">
      <c r="A500" s="170">
        <v>45443</v>
      </c>
      <c r="B500" s="116">
        <v>792.6</v>
      </c>
      <c r="C500" s="116">
        <v>770.1</v>
      </c>
      <c r="D500" s="116">
        <v>725.75</v>
      </c>
      <c r="E500" s="116">
        <v>759.6</v>
      </c>
      <c r="F500" s="116">
        <v>770.1</v>
      </c>
      <c r="G500">
        <v>26392</v>
      </c>
      <c r="H500" s="116"/>
      <c r="I500" s="116"/>
      <c r="L500" s="170">
        <v>45443</v>
      </c>
      <c r="M500" s="116">
        <v>761.55</v>
      </c>
      <c r="N500" s="116">
        <v>790.9</v>
      </c>
      <c r="O500" s="116">
        <v>727</v>
      </c>
      <c r="P500" s="116">
        <v>745.6</v>
      </c>
      <c r="Q500" s="116">
        <v>761.55</v>
      </c>
      <c r="R500">
        <v>643540</v>
      </c>
    </row>
    <row r="501" spans="1:18" x14ac:dyDescent="0.25">
      <c r="A501" s="170">
        <v>45446</v>
      </c>
      <c r="B501" s="116">
        <v>787.85</v>
      </c>
      <c r="C501" s="116">
        <v>773.1</v>
      </c>
      <c r="D501" s="116">
        <v>747.05</v>
      </c>
      <c r="E501" s="116">
        <v>770.35</v>
      </c>
      <c r="F501" s="116">
        <v>773.1</v>
      </c>
      <c r="G501">
        <v>32811</v>
      </c>
      <c r="H501" s="116"/>
      <c r="I501" s="116"/>
      <c r="L501" s="170">
        <v>45446</v>
      </c>
      <c r="M501" s="116">
        <v>773.9</v>
      </c>
      <c r="N501" s="116">
        <v>782.6</v>
      </c>
      <c r="O501" s="116">
        <v>748</v>
      </c>
      <c r="P501" s="116">
        <v>779.85</v>
      </c>
      <c r="Q501" s="116">
        <v>773.9</v>
      </c>
      <c r="R501">
        <v>152541</v>
      </c>
    </row>
    <row r="502" spans="1:18" x14ac:dyDescent="0.25">
      <c r="A502" s="170">
        <v>45447</v>
      </c>
      <c r="B502" s="116">
        <v>766.05</v>
      </c>
      <c r="C502" s="116">
        <v>744.2</v>
      </c>
      <c r="D502" s="116">
        <v>675</v>
      </c>
      <c r="E502" s="116">
        <v>751</v>
      </c>
      <c r="F502" s="116">
        <v>744.2</v>
      </c>
      <c r="G502">
        <v>15654</v>
      </c>
      <c r="H502" s="116"/>
      <c r="I502" s="116"/>
      <c r="L502" s="170">
        <v>45447</v>
      </c>
      <c r="M502" s="116">
        <v>750.75</v>
      </c>
      <c r="N502" s="116">
        <v>767.25</v>
      </c>
      <c r="O502" s="116">
        <v>673.85</v>
      </c>
      <c r="P502" s="116">
        <v>766.9</v>
      </c>
      <c r="Q502" s="116">
        <v>750.75</v>
      </c>
      <c r="R502">
        <v>265928</v>
      </c>
    </row>
    <row r="503" spans="1:18" x14ac:dyDescent="0.25">
      <c r="A503" s="170">
        <v>45448</v>
      </c>
      <c r="B503" s="116">
        <v>773.7</v>
      </c>
      <c r="C503" s="116">
        <v>763</v>
      </c>
      <c r="D503" s="116">
        <v>716</v>
      </c>
      <c r="E503" s="116">
        <v>745.05</v>
      </c>
      <c r="F503" s="116">
        <v>763</v>
      </c>
      <c r="G503">
        <v>4644</v>
      </c>
      <c r="H503" s="116"/>
      <c r="I503" s="116"/>
      <c r="L503" s="170">
        <v>45448</v>
      </c>
      <c r="M503" s="116">
        <v>765.2</v>
      </c>
      <c r="N503" s="116">
        <v>774.8</v>
      </c>
      <c r="O503" s="116">
        <v>714</v>
      </c>
      <c r="P503" s="116">
        <v>750</v>
      </c>
      <c r="Q503" s="116">
        <v>765.2</v>
      </c>
      <c r="R503">
        <v>134768</v>
      </c>
    </row>
    <row r="504" spans="1:18" x14ac:dyDescent="0.25">
      <c r="A504" s="170">
        <v>45449</v>
      </c>
      <c r="B504" s="116">
        <v>804.7</v>
      </c>
      <c r="C504" s="116">
        <v>796.8</v>
      </c>
      <c r="D504" s="116">
        <v>765.2</v>
      </c>
      <c r="E504" s="116">
        <v>765.2</v>
      </c>
      <c r="F504" s="116">
        <v>796.8</v>
      </c>
      <c r="G504">
        <v>9347</v>
      </c>
      <c r="H504" s="116"/>
      <c r="I504" s="116"/>
      <c r="L504" s="170">
        <v>45449</v>
      </c>
      <c r="M504" s="116">
        <v>796.45</v>
      </c>
      <c r="N504" s="116">
        <v>804.9</v>
      </c>
      <c r="O504" s="116">
        <v>767.25</v>
      </c>
      <c r="P504" s="116">
        <v>768.8</v>
      </c>
      <c r="Q504" s="116">
        <v>796.45</v>
      </c>
      <c r="R504">
        <v>220540</v>
      </c>
    </row>
    <row r="505" spans="1:18" x14ac:dyDescent="0.25">
      <c r="A505" s="170">
        <v>45450</v>
      </c>
      <c r="B505" s="116">
        <v>809.45</v>
      </c>
      <c r="C505" s="116">
        <v>780.85</v>
      </c>
      <c r="D505" s="116">
        <v>775.75</v>
      </c>
      <c r="E505" s="116">
        <v>799.25</v>
      </c>
      <c r="F505" s="116">
        <v>780.85</v>
      </c>
      <c r="G505">
        <v>22990</v>
      </c>
      <c r="H505" s="116"/>
      <c r="I505" s="116"/>
      <c r="L505" s="170">
        <v>45450</v>
      </c>
      <c r="M505" s="116">
        <v>781.05</v>
      </c>
      <c r="N505" s="116">
        <v>815</v>
      </c>
      <c r="O505" s="116">
        <v>775.05</v>
      </c>
      <c r="P505" s="116">
        <v>810</v>
      </c>
      <c r="Q505" s="116">
        <v>781.05</v>
      </c>
      <c r="R505">
        <v>230450</v>
      </c>
    </row>
    <row r="506" spans="1:18" x14ac:dyDescent="0.25">
      <c r="A506" s="170">
        <v>45453</v>
      </c>
      <c r="B506" s="116">
        <v>798.75</v>
      </c>
      <c r="C506" s="116">
        <v>792.55</v>
      </c>
      <c r="D506" s="116">
        <v>770.2</v>
      </c>
      <c r="E506" s="116">
        <v>770.2</v>
      </c>
      <c r="F506" s="116">
        <v>792.55</v>
      </c>
      <c r="G506">
        <v>5684</v>
      </c>
      <c r="H506" s="116"/>
      <c r="I506" s="116"/>
      <c r="L506" s="170">
        <v>45453</v>
      </c>
      <c r="M506" s="116">
        <v>792.75</v>
      </c>
      <c r="N506" s="116">
        <v>799.95</v>
      </c>
      <c r="O506" s="116">
        <v>778.15</v>
      </c>
      <c r="P506" s="116">
        <v>787</v>
      </c>
      <c r="Q506" s="116">
        <v>792.75</v>
      </c>
      <c r="R506">
        <v>92548</v>
      </c>
    </row>
    <row r="507" spans="1:18" x14ac:dyDescent="0.25">
      <c r="A507" s="170">
        <v>45454</v>
      </c>
      <c r="B507" s="116">
        <v>898.35</v>
      </c>
      <c r="C507" s="116">
        <v>863.4</v>
      </c>
      <c r="D507" s="116">
        <v>799.05</v>
      </c>
      <c r="E507" s="116">
        <v>800</v>
      </c>
      <c r="F507" s="116">
        <v>863.4</v>
      </c>
      <c r="G507">
        <v>53842</v>
      </c>
      <c r="H507" s="116"/>
      <c r="I507" s="116"/>
      <c r="L507" s="170">
        <v>45454</v>
      </c>
      <c r="M507" s="116">
        <v>859.25</v>
      </c>
      <c r="N507" s="116">
        <v>898</v>
      </c>
      <c r="O507" s="116">
        <v>795.05</v>
      </c>
      <c r="P507" s="116">
        <v>809.95</v>
      </c>
      <c r="Q507" s="116">
        <v>859.25</v>
      </c>
      <c r="R507">
        <v>1439330</v>
      </c>
    </row>
    <row r="508" spans="1:18" x14ac:dyDescent="0.25">
      <c r="A508" s="170">
        <v>45455</v>
      </c>
      <c r="B508" s="116">
        <v>890.65</v>
      </c>
      <c r="C508" s="116">
        <v>883.9</v>
      </c>
      <c r="D508" s="116">
        <v>855.6</v>
      </c>
      <c r="E508" s="116">
        <v>863.85</v>
      </c>
      <c r="F508" s="116">
        <v>883.9</v>
      </c>
      <c r="G508">
        <v>59028</v>
      </c>
      <c r="H508" s="116"/>
      <c r="I508" s="116"/>
      <c r="L508" s="170">
        <v>45455</v>
      </c>
      <c r="M508" s="116">
        <v>884.65</v>
      </c>
      <c r="N508" s="116">
        <v>892.7</v>
      </c>
      <c r="O508" s="116">
        <v>856.05</v>
      </c>
      <c r="P508" s="116">
        <v>864.85</v>
      </c>
      <c r="Q508" s="116">
        <v>884.65</v>
      </c>
      <c r="R508">
        <v>522597</v>
      </c>
    </row>
    <row r="509" spans="1:18" x14ac:dyDescent="0.25">
      <c r="A509" s="170">
        <v>45456</v>
      </c>
      <c r="B509" s="116">
        <v>885.05</v>
      </c>
      <c r="C509" s="116">
        <v>856.9</v>
      </c>
      <c r="D509" s="116">
        <v>851.95</v>
      </c>
      <c r="E509" s="116">
        <v>885</v>
      </c>
      <c r="F509" s="116">
        <v>856.9</v>
      </c>
      <c r="G509">
        <v>13658</v>
      </c>
      <c r="H509" s="116"/>
      <c r="I509" s="116"/>
      <c r="L509" s="170">
        <v>45456</v>
      </c>
      <c r="M509" s="116">
        <v>857.7</v>
      </c>
      <c r="N509" s="116">
        <v>885</v>
      </c>
      <c r="O509" s="116">
        <v>851.5</v>
      </c>
      <c r="P509" s="116">
        <v>881.55</v>
      </c>
      <c r="Q509" s="116">
        <v>857.7</v>
      </c>
      <c r="R509">
        <v>193341</v>
      </c>
    </row>
    <row r="510" spans="1:18" x14ac:dyDescent="0.25">
      <c r="A510" s="170">
        <v>45457</v>
      </c>
      <c r="B510" s="116">
        <v>881.95</v>
      </c>
      <c r="C510" s="116">
        <v>865.95</v>
      </c>
      <c r="D510" s="116">
        <v>856.5</v>
      </c>
      <c r="E510" s="116">
        <v>857.95</v>
      </c>
      <c r="F510" s="116">
        <v>865.95</v>
      </c>
      <c r="G510">
        <v>6002</v>
      </c>
      <c r="H510" s="116"/>
      <c r="I510" s="116"/>
      <c r="L510" s="170">
        <v>45457</v>
      </c>
      <c r="M510" s="116">
        <v>866.4</v>
      </c>
      <c r="N510" s="116">
        <v>883.3</v>
      </c>
      <c r="O510" s="116">
        <v>855.4</v>
      </c>
      <c r="P510" s="116">
        <v>861.95</v>
      </c>
      <c r="Q510" s="116">
        <v>866.4</v>
      </c>
      <c r="R510">
        <v>160535</v>
      </c>
    </row>
    <row r="511" spans="1:18" x14ac:dyDescent="0.25">
      <c r="A511" s="170">
        <v>45461</v>
      </c>
      <c r="B511" s="116">
        <v>914.1</v>
      </c>
      <c r="C511" s="116">
        <v>881.05</v>
      </c>
      <c r="D511" s="116">
        <v>868.85</v>
      </c>
      <c r="E511" s="116">
        <v>870</v>
      </c>
      <c r="F511" s="116">
        <v>881.05</v>
      </c>
      <c r="G511">
        <v>16054</v>
      </c>
      <c r="H511" s="116"/>
      <c r="I511" s="116"/>
      <c r="L511" s="170">
        <v>45461</v>
      </c>
      <c r="M511" s="116">
        <v>882.15</v>
      </c>
      <c r="N511" s="116">
        <v>913.75</v>
      </c>
      <c r="O511" s="116">
        <v>867</v>
      </c>
      <c r="P511" s="116">
        <v>878.8</v>
      </c>
      <c r="Q511" s="116">
        <v>882.15</v>
      </c>
      <c r="R511">
        <v>458055</v>
      </c>
    </row>
    <row r="512" spans="1:18" x14ac:dyDescent="0.25">
      <c r="A512" s="170">
        <v>45462</v>
      </c>
      <c r="B512" s="116">
        <v>882.85</v>
      </c>
      <c r="C512" s="116">
        <v>852.35</v>
      </c>
      <c r="D512" s="116">
        <v>835</v>
      </c>
      <c r="E512" s="116">
        <v>866</v>
      </c>
      <c r="F512" s="116">
        <v>852.35</v>
      </c>
      <c r="G512">
        <v>19713</v>
      </c>
      <c r="H512" s="116"/>
      <c r="I512" s="116"/>
      <c r="L512" s="170">
        <v>45462</v>
      </c>
      <c r="M512" s="116">
        <v>852.4</v>
      </c>
      <c r="N512" s="116">
        <v>884.65</v>
      </c>
      <c r="O512" s="116">
        <v>834.85</v>
      </c>
      <c r="P512" s="116">
        <v>884.65</v>
      </c>
      <c r="Q512" s="116">
        <v>852.4</v>
      </c>
      <c r="R512">
        <v>240906</v>
      </c>
    </row>
    <row r="513" spans="1:18" x14ac:dyDescent="0.25">
      <c r="A513" s="170">
        <v>45463</v>
      </c>
      <c r="B513" s="116">
        <v>878.45</v>
      </c>
      <c r="C513" s="116">
        <v>873.6</v>
      </c>
      <c r="D513" s="116">
        <v>842.4</v>
      </c>
      <c r="E513" s="116">
        <v>855</v>
      </c>
      <c r="F513" s="116">
        <v>873.6</v>
      </c>
      <c r="G513">
        <v>9331</v>
      </c>
      <c r="H513" s="116"/>
      <c r="I513" s="116"/>
      <c r="L513" s="170">
        <v>45463</v>
      </c>
      <c r="M513" s="116">
        <v>874.2</v>
      </c>
      <c r="N513" s="116">
        <v>880</v>
      </c>
      <c r="O513" s="116">
        <v>842.05</v>
      </c>
      <c r="P513" s="116">
        <v>856.8</v>
      </c>
      <c r="Q513" s="116">
        <v>874.2</v>
      </c>
      <c r="R513">
        <v>123336</v>
      </c>
    </row>
    <row r="514" spans="1:18" x14ac:dyDescent="0.25">
      <c r="A514" s="170">
        <v>45464</v>
      </c>
      <c r="B514" s="116">
        <v>900</v>
      </c>
      <c r="C514" s="116">
        <v>852.65</v>
      </c>
      <c r="D514" s="116">
        <v>845.95</v>
      </c>
      <c r="E514" s="116">
        <v>888</v>
      </c>
      <c r="F514" s="116">
        <v>852.65</v>
      </c>
      <c r="G514">
        <v>7794</v>
      </c>
      <c r="H514" s="116"/>
      <c r="I514" s="116"/>
      <c r="L514" s="170">
        <v>45464</v>
      </c>
      <c r="M514" s="116">
        <v>855.95</v>
      </c>
      <c r="N514" s="116">
        <v>901</v>
      </c>
      <c r="O514" s="116">
        <v>842.2</v>
      </c>
      <c r="P514" s="116">
        <v>880</v>
      </c>
      <c r="Q514" s="116">
        <v>855.95</v>
      </c>
      <c r="R514">
        <v>189357</v>
      </c>
    </row>
    <row r="515" spans="1:18" x14ac:dyDescent="0.25">
      <c r="A515" s="170">
        <v>45467</v>
      </c>
      <c r="B515" s="116">
        <v>869.15</v>
      </c>
      <c r="C515" s="116">
        <v>855.75</v>
      </c>
      <c r="D515" s="116">
        <v>845.05</v>
      </c>
      <c r="E515" s="116">
        <v>845.05</v>
      </c>
      <c r="F515" s="116">
        <v>855.75</v>
      </c>
      <c r="G515">
        <v>3913</v>
      </c>
      <c r="H515" s="116"/>
      <c r="I515" s="116"/>
      <c r="L515" s="170">
        <v>45467</v>
      </c>
      <c r="M515" s="116">
        <v>855.55</v>
      </c>
      <c r="N515" s="116">
        <v>872.55</v>
      </c>
      <c r="O515" s="116">
        <v>853</v>
      </c>
      <c r="P515" s="116">
        <v>870.95</v>
      </c>
      <c r="Q515" s="116">
        <v>855.55</v>
      </c>
      <c r="R515">
        <v>76166</v>
      </c>
    </row>
    <row r="516" spans="1:18" x14ac:dyDescent="0.25">
      <c r="A516" s="170">
        <v>45468</v>
      </c>
      <c r="B516" s="116">
        <v>915.15</v>
      </c>
      <c r="C516" s="116">
        <v>890.7</v>
      </c>
      <c r="D516" s="116">
        <v>851.05</v>
      </c>
      <c r="E516" s="116">
        <v>851.05</v>
      </c>
      <c r="F516" s="116">
        <v>890.7</v>
      </c>
      <c r="G516">
        <v>53103</v>
      </c>
      <c r="H516" s="116"/>
      <c r="I516" s="116"/>
      <c r="L516" s="170">
        <v>45468</v>
      </c>
      <c r="M516" s="116">
        <v>888.6</v>
      </c>
      <c r="N516" s="116">
        <v>915.9</v>
      </c>
      <c r="O516" s="116">
        <v>855</v>
      </c>
      <c r="P516" s="116">
        <v>868</v>
      </c>
      <c r="Q516" s="116">
        <v>888.6</v>
      </c>
      <c r="R516">
        <v>482917</v>
      </c>
    </row>
    <row r="517" spans="1:18" x14ac:dyDescent="0.25">
      <c r="A517" s="170">
        <v>45469</v>
      </c>
      <c r="B517" s="116">
        <v>895.95</v>
      </c>
      <c r="C517" s="116">
        <v>871.7</v>
      </c>
      <c r="D517" s="116">
        <v>864.4</v>
      </c>
      <c r="E517" s="116">
        <v>873.15</v>
      </c>
      <c r="F517" s="116">
        <v>871.7</v>
      </c>
      <c r="G517">
        <v>30952</v>
      </c>
      <c r="H517" s="116"/>
      <c r="I517" s="116"/>
      <c r="L517" s="170">
        <v>45469</v>
      </c>
      <c r="M517" s="116">
        <v>871.2</v>
      </c>
      <c r="N517" s="116">
        <v>895.8</v>
      </c>
      <c r="O517" s="116">
        <v>865.05</v>
      </c>
      <c r="P517" s="116">
        <v>895.8</v>
      </c>
      <c r="Q517" s="116">
        <v>871.2</v>
      </c>
      <c r="R517">
        <v>119208</v>
      </c>
    </row>
    <row r="518" spans="1:18" x14ac:dyDescent="0.25">
      <c r="A518" s="170">
        <v>45470</v>
      </c>
      <c r="B518" s="116">
        <v>898.5</v>
      </c>
      <c r="C518" s="116">
        <v>866.15</v>
      </c>
      <c r="D518" s="116">
        <v>850.9</v>
      </c>
      <c r="E518" s="116">
        <v>898.5</v>
      </c>
      <c r="F518" s="116">
        <v>866.15</v>
      </c>
      <c r="G518">
        <v>28032</v>
      </c>
      <c r="H518" s="116"/>
      <c r="I518" s="116"/>
      <c r="L518" s="170">
        <v>45470</v>
      </c>
      <c r="M518" s="116">
        <v>866.25</v>
      </c>
      <c r="N518" s="116">
        <v>890</v>
      </c>
      <c r="O518" s="116">
        <v>851.95</v>
      </c>
      <c r="P518" s="116">
        <v>878.9</v>
      </c>
      <c r="Q518" s="116">
        <v>866.25</v>
      </c>
      <c r="R518">
        <v>137397</v>
      </c>
    </row>
    <row r="519" spans="1:18" x14ac:dyDescent="0.25">
      <c r="A519" s="170">
        <v>45471</v>
      </c>
      <c r="B519" s="116">
        <v>880.05</v>
      </c>
      <c r="C519" s="116">
        <v>857.3</v>
      </c>
      <c r="D519" s="116">
        <v>855</v>
      </c>
      <c r="E519" s="116">
        <v>880.05</v>
      </c>
      <c r="F519" s="116">
        <v>857.3</v>
      </c>
      <c r="G519">
        <v>1810</v>
      </c>
      <c r="H519" s="116"/>
      <c r="I519" s="116"/>
      <c r="L519" s="170">
        <v>45471</v>
      </c>
      <c r="M519" s="116">
        <v>856.45</v>
      </c>
      <c r="N519" s="116">
        <v>874.9</v>
      </c>
      <c r="O519" s="116">
        <v>854.95</v>
      </c>
      <c r="P519" s="116">
        <v>866.3</v>
      </c>
      <c r="Q519" s="116">
        <v>856.45</v>
      </c>
      <c r="R519">
        <v>73097</v>
      </c>
    </row>
    <row r="520" spans="1:18" x14ac:dyDescent="0.25">
      <c r="A520" s="170">
        <v>45474</v>
      </c>
      <c r="B520" s="116">
        <v>900.9</v>
      </c>
      <c r="C520" s="116">
        <v>897.75</v>
      </c>
      <c r="D520" s="116">
        <v>862.2</v>
      </c>
      <c r="E520" s="116">
        <v>876</v>
      </c>
      <c r="F520" s="116">
        <v>897.75</v>
      </c>
      <c r="G520">
        <v>39562</v>
      </c>
      <c r="H520" s="116"/>
      <c r="I520" s="116"/>
      <c r="L520" s="170">
        <v>45474</v>
      </c>
      <c r="M520" s="116">
        <v>897.85</v>
      </c>
      <c r="N520" s="116">
        <v>900.5</v>
      </c>
      <c r="O520" s="116">
        <v>860.8</v>
      </c>
      <c r="P520" s="116">
        <v>882.55</v>
      </c>
      <c r="Q520" s="116">
        <v>897.85</v>
      </c>
      <c r="R520">
        <v>321243</v>
      </c>
    </row>
    <row r="521" spans="1:18" x14ac:dyDescent="0.25">
      <c r="A521" s="170">
        <v>45475</v>
      </c>
      <c r="B521" s="116">
        <v>909.95</v>
      </c>
      <c r="C521" s="116">
        <v>881.65</v>
      </c>
      <c r="D521" s="116">
        <v>876.75</v>
      </c>
      <c r="E521" s="116">
        <v>909.95</v>
      </c>
      <c r="F521" s="116">
        <v>881.65</v>
      </c>
      <c r="G521">
        <v>8636</v>
      </c>
      <c r="H521" s="116"/>
      <c r="I521" s="116"/>
      <c r="L521" s="170">
        <v>45475</v>
      </c>
      <c r="M521" s="116">
        <v>881.5</v>
      </c>
      <c r="N521" s="116">
        <v>906.9</v>
      </c>
      <c r="O521" s="116">
        <v>876.05</v>
      </c>
      <c r="P521" s="116">
        <v>906</v>
      </c>
      <c r="Q521" s="116">
        <v>881.5</v>
      </c>
      <c r="R521">
        <v>172711</v>
      </c>
    </row>
    <row r="522" spans="1:18" x14ac:dyDescent="0.25">
      <c r="A522" s="170">
        <v>45476</v>
      </c>
      <c r="B522" s="116">
        <v>897.85</v>
      </c>
      <c r="C522" s="116">
        <v>891.5</v>
      </c>
      <c r="D522" s="116">
        <v>872.2</v>
      </c>
      <c r="E522" s="116">
        <v>894.95</v>
      </c>
      <c r="F522" s="116">
        <v>891.5</v>
      </c>
      <c r="G522">
        <v>20842</v>
      </c>
      <c r="H522" s="116"/>
      <c r="I522" s="116"/>
      <c r="L522" s="170">
        <v>45476</v>
      </c>
      <c r="M522" s="116">
        <v>893.8</v>
      </c>
      <c r="N522" s="116">
        <v>900</v>
      </c>
      <c r="O522" s="116">
        <v>871.8</v>
      </c>
      <c r="P522" s="116">
        <v>888.8</v>
      </c>
      <c r="Q522" s="116">
        <v>893.8</v>
      </c>
      <c r="R522">
        <v>145521</v>
      </c>
    </row>
    <row r="523" spans="1:18" x14ac:dyDescent="0.25">
      <c r="A523" s="170">
        <v>45477</v>
      </c>
      <c r="B523" s="116">
        <v>900.95</v>
      </c>
      <c r="C523" s="116">
        <v>890.85</v>
      </c>
      <c r="D523" s="116">
        <v>878.9</v>
      </c>
      <c r="E523" s="116">
        <v>893.5</v>
      </c>
      <c r="F523" s="116">
        <v>890.85</v>
      </c>
      <c r="G523">
        <v>6792</v>
      </c>
      <c r="H523" s="116"/>
      <c r="I523" s="116"/>
      <c r="L523" s="170">
        <v>45477</v>
      </c>
      <c r="M523" s="116">
        <v>888.2</v>
      </c>
      <c r="N523" s="116">
        <v>901.55</v>
      </c>
      <c r="O523" s="116">
        <v>879</v>
      </c>
      <c r="P523" s="116">
        <v>899.7</v>
      </c>
      <c r="Q523" s="116">
        <v>888.2</v>
      </c>
      <c r="R523">
        <v>130343</v>
      </c>
    </row>
    <row r="524" spans="1:18" x14ac:dyDescent="0.25">
      <c r="A524" s="170">
        <v>45478</v>
      </c>
      <c r="B524" s="116">
        <v>910.25</v>
      </c>
      <c r="C524" s="116">
        <v>884.95</v>
      </c>
      <c r="D524" s="116">
        <v>880.4</v>
      </c>
      <c r="E524" s="116">
        <v>895</v>
      </c>
      <c r="F524" s="116">
        <v>884.95</v>
      </c>
      <c r="G524">
        <v>32285</v>
      </c>
      <c r="H524" s="116"/>
      <c r="I524" s="116"/>
      <c r="L524" s="170">
        <v>45478</v>
      </c>
      <c r="M524" s="116">
        <v>885.9</v>
      </c>
      <c r="N524" s="116">
        <v>910.2</v>
      </c>
      <c r="O524" s="116">
        <v>880.05</v>
      </c>
      <c r="P524" s="116">
        <v>896.95</v>
      </c>
      <c r="Q524" s="116">
        <v>885.9</v>
      </c>
      <c r="R524">
        <v>357392</v>
      </c>
    </row>
    <row r="525" spans="1:18" x14ac:dyDescent="0.25">
      <c r="A525" s="170">
        <v>45481</v>
      </c>
      <c r="B525" s="116">
        <v>909</v>
      </c>
      <c r="C525" s="116">
        <v>888.05</v>
      </c>
      <c r="D525" s="116">
        <v>860</v>
      </c>
      <c r="E525" s="116">
        <v>909</v>
      </c>
      <c r="F525" s="116">
        <v>888.05</v>
      </c>
      <c r="G525">
        <v>8081</v>
      </c>
      <c r="H525" s="116"/>
      <c r="I525" s="116"/>
      <c r="L525" s="170">
        <v>45481</v>
      </c>
      <c r="M525" s="116">
        <v>886.2</v>
      </c>
      <c r="N525" s="116">
        <v>895</v>
      </c>
      <c r="O525" s="116">
        <v>860</v>
      </c>
      <c r="P525" s="116">
        <v>886</v>
      </c>
      <c r="Q525" s="116">
        <v>886.2</v>
      </c>
      <c r="R525">
        <v>223689</v>
      </c>
    </row>
    <row r="526" spans="1:18" x14ac:dyDescent="0.25">
      <c r="A526" s="170">
        <v>45482</v>
      </c>
      <c r="B526" s="116">
        <v>910.15</v>
      </c>
      <c r="C526" s="116">
        <v>868.8</v>
      </c>
      <c r="D526" s="116">
        <v>863.65</v>
      </c>
      <c r="E526" s="116">
        <v>873.2</v>
      </c>
      <c r="F526" s="116">
        <v>868.8</v>
      </c>
      <c r="G526">
        <v>29629</v>
      </c>
      <c r="H526" s="116"/>
      <c r="I526" s="116"/>
      <c r="L526" s="170">
        <v>45482</v>
      </c>
      <c r="M526" s="116">
        <v>870.25</v>
      </c>
      <c r="N526" s="116">
        <v>910</v>
      </c>
      <c r="O526" s="116">
        <v>864.15</v>
      </c>
      <c r="P526" s="116">
        <v>895.05</v>
      </c>
      <c r="Q526" s="116">
        <v>870.25</v>
      </c>
      <c r="R526">
        <v>350448</v>
      </c>
    </row>
    <row r="527" spans="1:18" x14ac:dyDescent="0.25">
      <c r="A527" s="170">
        <v>45483</v>
      </c>
      <c r="B527" s="116">
        <v>900</v>
      </c>
      <c r="C527" s="116">
        <v>893.9</v>
      </c>
      <c r="D527" s="116">
        <v>837.75</v>
      </c>
      <c r="E527" s="116">
        <v>874.95</v>
      </c>
      <c r="F527" s="116">
        <v>893.9</v>
      </c>
      <c r="G527">
        <v>12734</v>
      </c>
      <c r="H527" s="116"/>
      <c r="I527" s="116"/>
      <c r="L527" s="170">
        <v>45483</v>
      </c>
      <c r="M527" s="116">
        <v>893.95</v>
      </c>
      <c r="N527" s="116">
        <v>900</v>
      </c>
      <c r="O527" s="116">
        <v>835.05</v>
      </c>
      <c r="P527" s="116">
        <v>870.3</v>
      </c>
      <c r="Q527" s="116">
        <v>893.95</v>
      </c>
      <c r="R527">
        <v>365324</v>
      </c>
    </row>
    <row r="528" spans="1:18" x14ac:dyDescent="0.25">
      <c r="A528" s="170">
        <v>45484</v>
      </c>
      <c r="B528" s="116">
        <v>904.15</v>
      </c>
      <c r="C528" s="116">
        <v>891.8</v>
      </c>
      <c r="D528" s="116">
        <v>874.35</v>
      </c>
      <c r="E528" s="116">
        <v>894.6</v>
      </c>
      <c r="F528" s="116">
        <v>891.8</v>
      </c>
      <c r="G528">
        <v>12817</v>
      </c>
      <c r="H528" s="116"/>
      <c r="I528" s="116"/>
      <c r="L528" s="170">
        <v>45484</v>
      </c>
      <c r="M528" s="116">
        <v>892.7</v>
      </c>
      <c r="N528" s="116">
        <v>905</v>
      </c>
      <c r="O528" s="116">
        <v>874.45</v>
      </c>
      <c r="P528" s="116">
        <v>900</v>
      </c>
      <c r="Q528" s="116">
        <v>892.7</v>
      </c>
      <c r="R528">
        <v>280853</v>
      </c>
    </row>
    <row r="529" spans="1:18" x14ac:dyDescent="0.25">
      <c r="A529" s="170">
        <v>45485</v>
      </c>
      <c r="B529" s="116">
        <v>912.85</v>
      </c>
      <c r="C529" s="116">
        <v>894.75</v>
      </c>
      <c r="D529" s="116">
        <v>875.65</v>
      </c>
      <c r="E529" s="116">
        <v>890</v>
      </c>
      <c r="F529" s="116">
        <v>894.75</v>
      </c>
      <c r="G529">
        <v>15507</v>
      </c>
      <c r="H529" s="116"/>
      <c r="I529" s="116"/>
      <c r="L529" s="170">
        <v>45485</v>
      </c>
      <c r="M529" s="116">
        <v>894.55</v>
      </c>
      <c r="N529" s="116">
        <v>913.4</v>
      </c>
      <c r="O529" s="116">
        <v>875.7</v>
      </c>
      <c r="P529" s="116">
        <v>890</v>
      </c>
      <c r="Q529" s="116">
        <v>894.55</v>
      </c>
      <c r="R529">
        <v>419813</v>
      </c>
    </row>
    <row r="530" spans="1:18" x14ac:dyDescent="0.25">
      <c r="A530" s="170">
        <v>45488</v>
      </c>
      <c r="B530" s="116">
        <v>920.05</v>
      </c>
      <c r="C530" s="116">
        <v>871.15</v>
      </c>
      <c r="D530" s="116">
        <v>864.45</v>
      </c>
      <c r="E530" s="116">
        <v>912.2</v>
      </c>
      <c r="F530" s="116">
        <v>871.15</v>
      </c>
      <c r="G530">
        <v>45668</v>
      </c>
      <c r="H530" s="116"/>
      <c r="I530" s="116"/>
      <c r="L530" s="170">
        <v>45488</v>
      </c>
      <c r="M530" s="116">
        <v>874.4</v>
      </c>
      <c r="N530" s="116">
        <v>921</v>
      </c>
      <c r="O530" s="116">
        <v>865.05</v>
      </c>
      <c r="P530" s="116">
        <v>910</v>
      </c>
      <c r="Q530" s="116">
        <v>874.4</v>
      </c>
      <c r="R530">
        <v>735570</v>
      </c>
    </row>
    <row r="531" spans="1:18" x14ac:dyDescent="0.25">
      <c r="A531" s="170">
        <v>45489</v>
      </c>
      <c r="B531" s="116">
        <v>894</v>
      </c>
      <c r="C531" s="116">
        <v>886.55</v>
      </c>
      <c r="D531" s="116">
        <v>866.7</v>
      </c>
      <c r="E531" s="116">
        <v>870.15</v>
      </c>
      <c r="F531" s="116">
        <v>886.55</v>
      </c>
      <c r="G531">
        <v>6271</v>
      </c>
      <c r="H531" s="116"/>
      <c r="I531" s="116"/>
      <c r="L531" s="170">
        <v>45489</v>
      </c>
      <c r="M531" s="116">
        <v>886.8</v>
      </c>
      <c r="N531" s="116">
        <v>896</v>
      </c>
      <c r="O531" s="116">
        <v>866.4</v>
      </c>
      <c r="P531" s="116">
        <v>870</v>
      </c>
      <c r="Q531" s="116">
        <v>886.8</v>
      </c>
      <c r="R531">
        <v>184261</v>
      </c>
    </row>
    <row r="532" spans="1:18" x14ac:dyDescent="0.25">
      <c r="A532" s="170">
        <v>45491</v>
      </c>
      <c r="B532" s="116">
        <v>894</v>
      </c>
      <c r="C532" s="116">
        <v>869.25</v>
      </c>
      <c r="D532" s="116">
        <v>865.45</v>
      </c>
      <c r="E532" s="116">
        <v>894</v>
      </c>
      <c r="F532" s="116">
        <v>869.25</v>
      </c>
      <c r="G532">
        <v>11468</v>
      </c>
      <c r="H532" s="116"/>
      <c r="I532" s="116"/>
      <c r="L532" s="170">
        <v>45491</v>
      </c>
      <c r="M532" s="116">
        <v>869.6</v>
      </c>
      <c r="N532" s="116">
        <v>884.95</v>
      </c>
      <c r="O532" s="116">
        <v>865</v>
      </c>
      <c r="P532" s="116">
        <v>880</v>
      </c>
      <c r="Q532" s="116">
        <v>869.6</v>
      </c>
      <c r="R532">
        <v>158903</v>
      </c>
    </row>
    <row r="533" spans="1:18" x14ac:dyDescent="0.25">
      <c r="A533" s="170">
        <v>45492</v>
      </c>
      <c r="B533" s="116">
        <v>880</v>
      </c>
      <c r="C533" s="116">
        <v>867.45</v>
      </c>
      <c r="D533" s="116">
        <v>835.8</v>
      </c>
      <c r="E533" s="116">
        <v>876.65</v>
      </c>
      <c r="F533" s="116">
        <v>867.45</v>
      </c>
      <c r="G533">
        <v>10554</v>
      </c>
      <c r="H533" s="116"/>
      <c r="I533" s="116"/>
      <c r="L533" s="170">
        <v>45492</v>
      </c>
      <c r="M533" s="116">
        <v>864.35</v>
      </c>
      <c r="N533" s="116">
        <v>880.4</v>
      </c>
      <c r="O533" s="116">
        <v>835.5</v>
      </c>
      <c r="P533" s="116">
        <v>869.6</v>
      </c>
      <c r="Q533" s="116">
        <v>864.35</v>
      </c>
      <c r="R533">
        <v>244491</v>
      </c>
    </row>
    <row r="534" spans="1:18" x14ac:dyDescent="0.25">
      <c r="A534" s="170">
        <v>45495</v>
      </c>
      <c r="B534" s="116">
        <v>889.15</v>
      </c>
      <c r="C534" s="116">
        <v>879.55</v>
      </c>
      <c r="D534" s="116">
        <v>838.75</v>
      </c>
      <c r="E534" s="116">
        <v>845.15</v>
      </c>
      <c r="F534" s="116">
        <v>879.55</v>
      </c>
      <c r="G534">
        <v>31294</v>
      </c>
      <c r="H534" s="116"/>
      <c r="I534" s="116"/>
      <c r="L534" s="170">
        <v>45495</v>
      </c>
      <c r="M534" s="116">
        <v>880.85</v>
      </c>
      <c r="N534" s="116">
        <v>888</v>
      </c>
      <c r="O534" s="116">
        <v>840</v>
      </c>
      <c r="P534" s="116">
        <v>849.9</v>
      </c>
      <c r="Q534" s="116">
        <v>880.85</v>
      </c>
      <c r="R534">
        <v>183099</v>
      </c>
    </row>
    <row r="535" spans="1:18" x14ac:dyDescent="0.25">
      <c r="A535" s="170">
        <v>45496</v>
      </c>
      <c r="B535" s="116">
        <v>879.85</v>
      </c>
      <c r="C535" s="116">
        <v>871.7</v>
      </c>
      <c r="D535" s="116">
        <v>842</v>
      </c>
      <c r="E535" s="116">
        <v>870.3</v>
      </c>
      <c r="F535" s="116">
        <v>871.7</v>
      </c>
      <c r="G535">
        <v>17539</v>
      </c>
      <c r="H535" s="116"/>
      <c r="I535" s="116"/>
      <c r="L535" s="170">
        <v>45496</v>
      </c>
      <c r="M535" s="116">
        <v>873</v>
      </c>
      <c r="N535" s="116">
        <v>880</v>
      </c>
      <c r="O535" s="116">
        <v>841</v>
      </c>
      <c r="P535" s="116">
        <v>878</v>
      </c>
      <c r="Q535" s="116">
        <v>873</v>
      </c>
      <c r="R535">
        <v>180245</v>
      </c>
    </row>
    <row r="536" spans="1:18" x14ac:dyDescent="0.25">
      <c r="A536" s="170">
        <v>45497</v>
      </c>
      <c r="B536" s="116">
        <v>897.65</v>
      </c>
      <c r="C536" s="116">
        <v>888.4</v>
      </c>
      <c r="D536" s="116">
        <v>865.45</v>
      </c>
      <c r="E536" s="116">
        <v>875</v>
      </c>
      <c r="F536" s="116">
        <v>888.4</v>
      </c>
      <c r="G536">
        <v>8902</v>
      </c>
      <c r="H536" s="116"/>
      <c r="I536" s="116"/>
      <c r="L536" s="170">
        <v>45497</v>
      </c>
      <c r="M536" s="116">
        <v>888.3</v>
      </c>
      <c r="N536" s="116">
        <v>896.85</v>
      </c>
      <c r="O536" s="116">
        <v>864.8</v>
      </c>
      <c r="P536" s="116">
        <v>877.95</v>
      </c>
      <c r="Q536" s="116">
        <v>888.3</v>
      </c>
      <c r="R536">
        <v>247284</v>
      </c>
    </row>
    <row r="537" spans="1:18" x14ac:dyDescent="0.25">
      <c r="A537" s="170">
        <v>45498</v>
      </c>
      <c r="B537" s="116">
        <v>895</v>
      </c>
      <c r="C537" s="116">
        <v>884.65</v>
      </c>
      <c r="D537" s="116">
        <v>860</v>
      </c>
      <c r="E537" s="116">
        <v>860</v>
      </c>
      <c r="F537" s="116">
        <v>884.65</v>
      </c>
      <c r="G537">
        <v>11164</v>
      </c>
      <c r="H537" s="116"/>
      <c r="I537" s="116"/>
      <c r="L537" s="170">
        <v>45498</v>
      </c>
      <c r="M537" s="116">
        <v>884.4</v>
      </c>
      <c r="N537" s="116">
        <v>896</v>
      </c>
      <c r="O537" s="116">
        <v>876.55</v>
      </c>
      <c r="P537" s="116">
        <v>880.15</v>
      </c>
      <c r="Q537" s="116">
        <v>884.4</v>
      </c>
      <c r="R537">
        <v>91106</v>
      </c>
    </row>
    <row r="538" spans="1:18" x14ac:dyDescent="0.25">
      <c r="A538" s="170">
        <v>45499</v>
      </c>
      <c r="B538" s="116">
        <v>915</v>
      </c>
      <c r="C538" s="116">
        <v>908.25</v>
      </c>
      <c r="D538" s="116">
        <v>877.3</v>
      </c>
      <c r="E538" s="116">
        <v>892</v>
      </c>
      <c r="F538" s="116">
        <v>908.25</v>
      </c>
      <c r="G538">
        <v>32664</v>
      </c>
      <c r="H538" s="116"/>
      <c r="I538" s="116"/>
      <c r="L538" s="170">
        <v>45499</v>
      </c>
      <c r="M538" s="116">
        <v>908.8</v>
      </c>
      <c r="N538" s="116">
        <v>915.4</v>
      </c>
      <c r="O538" s="116">
        <v>878</v>
      </c>
      <c r="P538" s="116">
        <v>888</v>
      </c>
      <c r="Q538" s="116">
        <v>908.8</v>
      </c>
      <c r="R538">
        <v>267345</v>
      </c>
    </row>
    <row r="539" spans="1:18" x14ac:dyDescent="0.25">
      <c r="A539" s="170">
        <v>45502</v>
      </c>
      <c r="B539" s="116">
        <v>925.45</v>
      </c>
      <c r="C539" s="116">
        <v>897.85</v>
      </c>
      <c r="D539" s="116">
        <v>886.1</v>
      </c>
      <c r="E539" s="116">
        <v>919.95</v>
      </c>
      <c r="F539" s="116">
        <v>897.85</v>
      </c>
      <c r="G539">
        <v>15877</v>
      </c>
      <c r="H539" s="116"/>
      <c r="I539" s="116"/>
      <c r="L539" s="170">
        <v>45502</v>
      </c>
      <c r="M539" s="116">
        <v>898.05</v>
      </c>
      <c r="N539" s="116">
        <v>927.7</v>
      </c>
      <c r="O539" s="116">
        <v>885.15</v>
      </c>
      <c r="P539" s="116">
        <v>917</v>
      </c>
      <c r="Q539" s="116">
        <v>898.05</v>
      </c>
      <c r="R539">
        <v>388292</v>
      </c>
    </row>
    <row r="540" spans="1:18" x14ac:dyDescent="0.25">
      <c r="A540" s="170">
        <v>45503</v>
      </c>
      <c r="B540" s="116">
        <v>903</v>
      </c>
      <c r="C540" s="116">
        <v>880.1</v>
      </c>
      <c r="D540" s="116">
        <v>858.1</v>
      </c>
      <c r="E540" s="116">
        <v>885.25</v>
      </c>
      <c r="F540" s="116">
        <v>880.1</v>
      </c>
      <c r="G540">
        <v>9281</v>
      </c>
      <c r="H540" s="116"/>
      <c r="I540" s="116"/>
      <c r="L540" s="170">
        <v>45503</v>
      </c>
      <c r="M540" s="116">
        <v>879.4</v>
      </c>
      <c r="N540" s="116">
        <v>914</v>
      </c>
      <c r="O540" s="116">
        <v>858.1</v>
      </c>
      <c r="P540" s="116">
        <v>899.85</v>
      </c>
      <c r="Q540" s="116">
        <v>879.4</v>
      </c>
      <c r="R540">
        <v>207483</v>
      </c>
    </row>
    <row r="541" spans="1:18" x14ac:dyDescent="0.25">
      <c r="A541" s="170">
        <v>45504</v>
      </c>
      <c r="B541" s="116">
        <v>881.95</v>
      </c>
      <c r="C541" s="116">
        <v>876.65</v>
      </c>
      <c r="D541" s="116">
        <v>853.55</v>
      </c>
      <c r="E541" s="116">
        <v>860</v>
      </c>
      <c r="F541" s="116">
        <v>876.65</v>
      </c>
      <c r="G541">
        <v>33828</v>
      </c>
      <c r="H541" s="116"/>
      <c r="I541" s="116"/>
      <c r="L541" s="170">
        <v>45504</v>
      </c>
      <c r="M541" s="116">
        <v>876.8</v>
      </c>
      <c r="N541" s="116">
        <v>882.95</v>
      </c>
      <c r="O541" s="116">
        <v>853.85</v>
      </c>
      <c r="P541" s="116">
        <v>860</v>
      </c>
      <c r="Q541" s="116">
        <v>876.8</v>
      </c>
      <c r="R541">
        <v>249831</v>
      </c>
    </row>
    <row r="542" spans="1:18" x14ac:dyDescent="0.25">
      <c r="A542" s="170">
        <v>45505</v>
      </c>
      <c r="B542" s="116">
        <v>879.8</v>
      </c>
      <c r="C542" s="116">
        <v>850.85</v>
      </c>
      <c r="D542" s="116">
        <v>837</v>
      </c>
      <c r="E542" s="116">
        <v>877.7</v>
      </c>
      <c r="F542" s="116">
        <v>850.85</v>
      </c>
      <c r="G542">
        <v>10517</v>
      </c>
      <c r="H542" s="116"/>
      <c r="I542" s="116"/>
      <c r="L542" s="170">
        <v>45505</v>
      </c>
      <c r="M542" s="116">
        <v>851.5</v>
      </c>
      <c r="N542" s="116">
        <v>881.45</v>
      </c>
      <c r="O542" s="116">
        <v>837</v>
      </c>
      <c r="P542" s="116">
        <v>875</v>
      </c>
      <c r="Q542" s="116">
        <v>851.5</v>
      </c>
      <c r="R542">
        <v>298463</v>
      </c>
    </row>
    <row r="543" spans="1:18" x14ac:dyDescent="0.25">
      <c r="A543" s="170">
        <v>45506</v>
      </c>
      <c r="B543" s="116">
        <v>869.8</v>
      </c>
      <c r="C543" s="116">
        <v>855.85</v>
      </c>
      <c r="D543" s="116">
        <v>843</v>
      </c>
      <c r="E543" s="116">
        <v>858.95</v>
      </c>
      <c r="F543" s="116">
        <v>855.85</v>
      </c>
      <c r="G543">
        <v>8859</v>
      </c>
      <c r="H543" s="116"/>
      <c r="I543" s="116"/>
      <c r="L543" s="170">
        <v>45506</v>
      </c>
      <c r="M543" s="116">
        <v>864.15</v>
      </c>
      <c r="N543" s="116">
        <v>869.9</v>
      </c>
      <c r="O543" s="116">
        <v>842.5</v>
      </c>
      <c r="P543" s="116">
        <v>850</v>
      </c>
      <c r="Q543" s="116">
        <v>864.15</v>
      </c>
      <c r="R543">
        <v>236728</v>
      </c>
    </row>
    <row r="544" spans="1:18" x14ac:dyDescent="0.25">
      <c r="A544" s="170">
        <v>45509</v>
      </c>
      <c r="B544" s="116">
        <v>855</v>
      </c>
      <c r="C544" s="116">
        <v>836.05</v>
      </c>
      <c r="D544" s="116">
        <v>805.05</v>
      </c>
      <c r="E544" s="116">
        <v>805.05</v>
      </c>
      <c r="F544" s="116">
        <v>836.05</v>
      </c>
      <c r="G544">
        <v>16041</v>
      </c>
      <c r="H544" s="116"/>
      <c r="I544" s="116"/>
      <c r="L544" s="170">
        <v>45509</v>
      </c>
      <c r="M544" s="116">
        <v>837.1</v>
      </c>
      <c r="N544" s="116">
        <v>850</v>
      </c>
      <c r="O544" s="116">
        <v>815.5</v>
      </c>
      <c r="P544" s="116">
        <v>840</v>
      </c>
      <c r="Q544" s="116">
        <v>837.1</v>
      </c>
      <c r="R544">
        <v>242399</v>
      </c>
    </row>
    <row r="545" spans="1:18" x14ac:dyDescent="0.25">
      <c r="A545" s="170">
        <v>45510</v>
      </c>
      <c r="B545" s="116">
        <v>854.6</v>
      </c>
      <c r="C545" s="116">
        <v>841.35</v>
      </c>
      <c r="D545" s="116">
        <v>811.85</v>
      </c>
      <c r="E545" s="116">
        <v>819.35</v>
      </c>
      <c r="F545" s="116">
        <v>841.35</v>
      </c>
      <c r="G545">
        <v>10412</v>
      </c>
      <c r="H545" s="116"/>
      <c r="I545" s="116"/>
      <c r="L545" s="170">
        <v>45510</v>
      </c>
      <c r="M545" s="116">
        <v>841.15</v>
      </c>
      <c r="N545" s="116">
        <v>857.1</v>
      </c>
      <c r="O545" s="116">
        <v>812.1</v>
      </c>
      <c r="P545" s="116">
        <v>835.35</v>
      </c>
      <c r="Q545" s="116">
        <v>841.15</v>
      </c>
      <c r="R545">
        <v>207311</v>
      </c>
    </row>
    <row r="546" spans="1:18" x14ac:dyDescent="0.25">
      <c r="A546" s="170">
        <v>45511</v>
      </c>
      <c r="B546" s="116">
        <v>851.6</v>
      </c>
      <c r="C546" s="116">
        <v>846.55</v>
      </c>
      <c r="D546" s="116">
        <v>833.05</v>
      </c>
      <c r="E546" s="116">
        <v>851.6</v>
      </c>
      <c r="F546" s="116">
        <v>846.55</v>
      </c>
      <c r="G546">
        <v>16411</v>
      </c>
      <c r="H546" s="116"/>
      <c r="I546" s="116"/>
      <c r="L546" s="170">
        <v>45511</v>
      </c>
      <c r="M546" s="116">
        <v>847.45</v>
      </c>
      <c r="N546" s="116">
        <v>857</v>
      </c>
      <c r="O546" s="116">
        <v>833.3</v>
      </c>
      <c r="P546" s="116">
        <v>851</v>
      </c>
      <c r="Q546" s="116">
        <v>847.45</v>
      </c>
      <c r="R546">
        <v>114747</v>
      </c>
    </row>
    <row r="547" spans="1:18" x14ac:dyDescent="0.25">
      <c r="A547" s="170">
        <v>45512</v>
      </c>
      <c r="B547" s="116">
        <v>860</v>
      </c>
      <c r="C547" s="116">
        <v>845.25</v>
      </c>
      <c r="D547" s="116">
        <v>836.7</v>
      </c>
      <c r="E547" s="116">
        <v>860</v>
      </c>
      <c r="F547" s="116">
        <v>845.25</v>
      </c>
      <c r="G547">
        <v>4264</v>
      </c>
      <c r="H547" s="116"/>
      <c r="I547" s="116"/>
      <c r="L547" s="170">
        <v>45512</v>
      </c>
      <c r="M547" s="116">
        <v>845.75</v>
      </c>
      <c r="N547" s="116">
        <v>850</v>
      </c>
      <c r="O547" s="116">
        <v>836.8</v>
      </c>
      <c r="P547" s="116">
        <v>847</v>
      </c>
      <c r="Q547" s="116">
        <v>845.75</v>
      </c>
      <c r="R547">
        <v>94598</v>
      </c>
    </row>
    <row r="548" spans="1:18" x14ac:dyDescent="0.25">
      <c r="A548" s="170">
        <v>45513</v>
      </c>
      <c r="B548" s="116">
        <v>859</v>
      </c>
      <c r="C548" s="116">
        <v>832</v>
      </c>
      <c r="D548" s="116">
        <v>826.35</v>
      </c>
      <c r="E548" s="116">
        <v>859</v>
      </c>
      <c r="F548" s="116">
        <v>832</v>
      </c>
      <c r="G548">
        <v>2480</v>
      </c>
      <c r="H548" s="116"/>
      <c r="I548" s="116"/>
      <c r="L548" s="170">
        <v>45513</v>
      </c>
      <c r="M548" s="116">
        <v>833</v>
      </c>
      <c r="N548" s="116">
        <v>852.75</v>
      </c>
      <c r="O548" s="116">
        <v>826.1</v>
      </c>
      <c r="P548" s="116">
        <v>849.75</v>
      </c>
      <c r="Q548" s="116">
        <v>833</v>
      </c>
      <c r="R548">
        <v>103380</v>
      </c>
    </row>
    <row r="549" spans="1:18" x14ac:dyDescent="0.25">
      <c r="A549" s="170">
        <v>45516</v>
      </c>
      <c r="B549" s="116">
        <v>831</v>
      </c>
      <c r="C549" s="116">
        <v>805.65</v>
      </c>
      <c r="D549" s="116">
        <v>798.9</v>
      </c>
      <c r="E549" s="116">
        <v>831</v>
      </c>
      <c r="F549" s="116">
        <v>805.65</v>
      </c>
      <c r="G549">
        <v>5078</v>
      </c>
      <c r="H549" s="116"/>
      <c r="I549" s="116"/>
      <c r="L549" s="170">
        <v>45516</v>
      </c>
      <c r="M549" s="116">
        <v>805.7</v>
      </c>
      <c r="N549" s="116">
        <v>830</v>
      </c>
      <c r="O549" s="116">
        <v>798</v>
      </c>
      <c r="P549" s="116">
        <v>827.05</v>
      </c>
      <c r="Q549" s="116">
        <v>805.7</v>
      </c>
      <c r="R549">
        <v>173754</v>
      </c>
    </row>
    <row r="550" spans="1:18" x14ac:dyDescent="0.25">
      <c r="A550" s="170">
        <v>45517</v>
      </c>
      <c r="B550" s="116">
        <v>801.95</v>
      </c>
      <c r="C550" s="116">
        <v>740.55</v>
      </c>
      <c r="D550" s="116">
        <v>729.6</v>
      </c>
      <c r="E550" s="116">
        <v>796.5</v>
      </c>
      <c r="F550" s="116">
        <v>740.55</v>
      </c>
      <c r="G550">
        <v>19213</v>
      </c>
      <c r="H550" s="116"/>
      <c r="I550" s="116"/>
      <c r="L550" s="170">
        <v>45517</v>
      </c>
      <c r="M550" s="116">
        <v>739.9</v>
      </c>
      <c r="N550" s="116">
        <v>802.25</v>
      </c>
      <c r="O550" s="116">
        <v>728.95</v>
      </c>
      <c r="P550" s="116">
        <v>802</v>
      </c>
      <c r="Q550" s="116">
        <v>739.9</v>
      </c>
      <c r="R550">
        <v>713031</v>
      </c>
    </row>
    <row r="551" spans="1:18" x14ac:dyDescent="0.25">
      <c r="A551" s="170">
        <v>45518</v>
      </c>
      <c r="B551" s="116">
        <v>790</v>
      </c>
      <c r="C551" s="116">
        <v>775.1</v>
      </c>
      <c r="D551" s="116">
        <v>716.95</v>
      </c>
      <c r="E551" s="116">
        <v>737.95</v>
      </c>
      <c r="F551" s="116">
        <v>775.1</v>
      </c>
      <c r="G551">
        <v>38947</v>
      </c>
      <c r="H551" s="116"/>
      <c r="I551" s="116"/>
      <c r="L551" s="170">
        <v>45518</v>
      </c>
      <c r="M551" s="116">
        <v>777.05</v>
      </c>
      <c r="N551" s="116">
        <v>794.9</v>
      </c>
      <c r="O551" s="116">
        <v>716.05</v>
      </c>
      <c r="P551" s="116">
        <v>736</v>
      </c>
      <c r="Q551" s="116">
        <v>777.05</v>
      </c>
      <c r="R551">
        <v>441182</v>
      </c>
    </row>
    <row r="552" spans="1:18" x14ac:dyDescent="0.25">
      <c r="A552" s="170">
        <v>45520</v>
      </c>
      <c r="B552" s="116">
        <v>802.15</v>
      </c>
      <c r="C552" s="116">
        <v>794.65</v>
      </c>
      <c r="D552" s="116">
        <v>762.7</v>
      </c>
      <c r="E552" s="116">
        <v>790.6</v>
      </c>
      <c r="F552" s="116">
        <v>794.65</v>
      </c>
      <c r="G552">
        <v>8236</v>
      </c>
      <c r="H552" s="116"/>
      <c r="I552" s="116"/>
      <c r="L552" s="170">
        <v>45520</v>
      </c>
      <c r="M552" s="116">
        <v>798.35</v>
      </c>
      <c r="N552" s="116">
        <v>802.1</v>
      </c>
      <c r="O552" s="116">
        <v>762</v>
      </c>
      <c r="P552" s="116">
        <v>780</v>
      </c>
      <c r="Q552" s="116">
        <v>798.35</v>
      </c>
      <c r="R552">
        <v>255419</v>
      </c>
    </row>
    <row r="553" spans="1:18" x14ac:dyDescent="0.25">
      <c r="A553" s="170">
        <v>45523</v>
      </c>
      <c r="B553" s="116">
        <v>801</v>
      </c>
      <c r="C553" s="116">
        <v>799.05</v>
      </c>
      <c r="D553" s="116">
        <v>791</v>
      </c>
      <c r="E553" s="116">
        <v>794.65</v>
      </c>
      <c r="F553" s="116">
        <v>799.05</v>
      </c>
      <c r="G553">
        <v>6170</v>
      </c>
      <c r="H553" s="116"/>
      <c r="I553" s="116"/>
      <c r="L553" s="170">
        <v>45523</v>
      </c>
      <c r="M553" s="116">
        <v>795.8</v>
      </c>
      <c r="N553" s="116">
        <v>801.25</v>
      </c>
      <c r="O553" s="116">
        <v>790.1</v>
      </c>
      <c r="P553" s="116">
        <v>796.6</v>
      </c>
      <c r="Q553" s="116">
        <v>795.8</v>
      </c>
      <c r="R553">
        <v>111393</v>
      </c>
    </row>
    <row r="554" spans="1:18" x14ac:dyDescent="0.25">
      <c r="A554" s="170">
        <v>45524</v>
      </c>
      <c r="B554" s="116">
        <v>800.05</v>
      </c>
      <c r="C554" s="116">
        <v>794.9</v>
      </c>
      <c r="D554" s="116">
        <v>786.15</v>
      </c>
      <c r="E554" s="116">
        <v>786.15</v>
      </c>
      <c r="F554" s="116">
        <v>794.9</v>
      </c>
      <c r="G554">
        <v>12066</v>
      </c>
      <c r="H554" s="116"/>
      <c r="I554" s="116"/>
      <c r="L554" s="170">
        <v>45524</v>
      </c>
      <c r="M554" s="116">
        <v>795.4</v>
      </c>
      <c r="N554" s="116">
        <v>800.2</v>
      </c>
      <c r="O554" s="116">
        <v>785</v>
      </c>
      <c r="P554" s="116">
        <v>793.35</v>
      </c>
      <c r="Q554" s="116">
        <v>795.4</v>
      </c>
      <c r="R554">
        <v>63605</v>
      </c>
    </row>
    <row r="555" spans="1:18" x14ac:dyDescent="0.25">
      <c r="A555" s="170">
        <v>45525</v>
      </c>
      <c r="B555" s="116">
        <v>791.15</v>
      </c>
      <c r="C555" s="116">
        <v>788.05</v>
      </c>
      <c r="D555" s="116">
        <v>781.3</v>
      </c>
      <c r="E555" s="116">
        <v>788.05</v>
      </c>
      <c r="F555" s="116">
        <v>788.05</v>
      </c>
      <c r="G555">
        <v>3483</v>
      </c>
      <c r="H555" s="116"/>
      <c r="I555" s="116"/>
      <c r="L555" s="170">
        <v>45525</v>
      </c>
      <c r="M555" s="116">
        <v>788</v>
      </c>
      <c r="N555" s="116">
        <v>792</v>
      </c>
      <c r="O555" s="116">
        <v>781.65</v>
      </c>
      <c r="P555" s="116">
        <v>790.85</v>
      </c>
      <c r="Q555" s="116">
        <v>788</v>
      </c>
      <c r="R555">
        <v>134039</v>
      </c>
    </row>
    <row r="556" spans="1:18" x14ac:dyDescent="0.25">
      <c r="A556" s="170">
        <v>45526</v>
      </c>
      <c r="B556" s="116">
        <v>797.95</v>
      </c>
      <c r="C556" s="116">
        <v>773.95</v>
      </c>
      <c r="D556" s="116">
        <v>770</v>
      </c>
      <c r="E556" s="116">
        <v>797.95</v>
      </c>
      <c r="F556" s="116">
        <v>773.95</v>
      </c>
      <c r="G556">
        <v>15917</v>
      </c>
      <c r="H556" s="116"/>
      <c r="I556" s="116"/>
      <c r="L556" s="170">
        <v>45526</v>
      </c>
      <c r="M556" s="116">
        <v>773.5</v>
      </c>
      <c r="N556" s="116">
        <v>788.9</v>
      </c>
      <c r="O556" s="116">
        <v>770</v>
      </c>
      <c r="P556" s="116">
        <v>788.9</v>
      </c>
      <c r="Q556" s="116">
        <v>773.5</v>
      </c>
      <c r="R556">
        <v>84561</v>
      </c>
    </row>
    <row r="557" spans="1:18" x14ac:dyDescent="0.25">
      <c r="A557" s="170">
        <v>45527</v>
      </c>
      <c r="B557" s="116">
        <v>816</v>
      </c>
      <c r="C557" s="116">
        <v>808.7</v>
      </c>
      <c r="D557" s="116">
        <v>757.85</v>
      </c>
      <c r="E557" s="116">
        <v>775</v>
      </c>
      <c r="F557" s="116">
        <v>808.7</v>
      </c>
      <c r="G557">
        <v>33705</v>
      </c>
      <c r="H557" s="116"/>
      <c r="I557" s="116"/>
      <c r="L557" s="170">
        <v>45527</v>
      </c>
      <c r="M557" s="116">
        <v>807.3</v>
      </c>
      <c r="N557" s="116">
        <v>819</v>
      </c>
      <c r="O557" s="116">
        <v>757.35</v>
      </c>
      <c r="P557" s="116">
        <v>777</v>
      </c>
      <c r="Q557" s="116">
        <v>807.3</v>
      </c>
      <c r="R557">
        <v>274151</v>
      </c>
    </row>
    <row r="558" spans="1:18" x14ac:dyDescent="0.25">
      <c r="A558" s="170">
        <v>45530</v>
      </c>
      <c r="B558" s="116">
        <v>805.6</v>
      </c>
      <c r="C558" s="116">
        <v>791.95</v>
      </c>
      <c r="D558" s="116">
        <v>788</v>
      </c>
      <c r="E558" s="116">
        <v>804.9</v>
      </c>
      <c r="F558" s="116">
        <v>791.95</v>
      </c>
      <c r="G558">
        <v>13309</v>
      </c>
      <c r="H558" s="116"/>
      <c r="I558" s="116"/>
      <c r="L558" s="170">
        <v>45530</v>
      </c>
      <c r="M558" s="116">
        <v>792.35</v>
      </c>
      <c r="N558" s="116">
        <v>805.3</v>
      </c>
      <c r="O558" s="116">
        <v>787</v>
      </c>
      <c r="P558" s="116">
        <v>803.9</v>
      </c>
      <c r="Q558" s="116">
        <v>792.35</v>
      </c>
      <c r="R558">
        <v>75063</v>
      </c>
    </row>
    <row r="559" spans="1:18" x14ac:dyDescent="0.25">
      <c r="A559" s="170">
        <v>45531</v>
      </c>
      <c r="B559" s="116">
        <v>807.75</v>
      </c>
      <c r="C559" s="116">
        <v>792</v>
      </c>
      <c r="D559" s="116">
        <v>788.05</v>
      </c>
      <c r="E559" s="116">
        <v>807.75</v>
      </c>
      <c r="F559" s="116">
        <v>792</v>
      </c>
      <c r="G559">
        <v>5509</v>
      </c>
      <c r="H559" s="116"/>
      <c r="I559" s="116"/>
      <c r="L559" s="170">
        <v>45531</v>
      </c>
      <c r="M559" s="116">
        <v>793.3</v>
      </c>
      <c r="N559" s="116">
        <v>803.1</v>
      </c>
      <c r="O559" s="116">
        <v>788</v>
      </c>
      <c r="P559" s="116">
        <v>797</v>
      </c>
      <c r="Q559" s="116">
        <v>793.3</v>
      </c>
      <c r="R559">
        <v>77310</v>
      </c>
    </row>
    <row r="560" spans="1:18" x14ac:dyDescent="0.25">
      <c r="A560" s="170">
        <v>45532</v>
      </c>
      <c r="B560" s="116">
        <v>804.65</v>
      </c>
      <c r="C560" s="116">
        <v>801.45</v>
      </c>
      <c r="D560" s="116">
        <v>780.1</v>
      </c>
      <c r="E560" s="116">
        <v>793.9</v>
      </c>
      <c r="F560" s="116">
        <v>801.45</v>
      </c>
      <c r="G560">
        <v>5650</v>
      </c>
      <c r="H560" s="116"/>
      <c r="I560" s="116"/>
      <c r="L560" s="170">
        <v>45532</v>
      </c>
      <c r="M560" s="116">
        <v>800.9</v>
      </c>
      <c r="N560" s="116">
        <v>804.8</v>
      </c>
      <c r="O560" s="116">
        <v>780</v>
      </c>
      <c r="P560" s="116">
        <v>794</v>
      </c>
      <c r="Q560" s="116">
        <v>800.9</v>
      </c>
      <c r="R560">
        <v>127159</v>
      </c>
    </row>
    <row r="561" spans="1:18" x14ac:dyDescent="0.25">
      <c r="A561" s="170">
        <v>45533</v>
      </c>
      <c r="B561" s="116">
        <v>838</v>
      </c>
      <c r="C561" s="116">
        <v>806.35</v>
      </c>
      <c r="D561" s="116">
        <v>802.9</v>
      </c>
      <c r="E561" s="116">
        <v>805</v>
      </c>
      <c r="F561" s="116">
        <v>806.35</v>
      </c>
      <c r="G561">
        <v>27505</v>
      </c>
      <c r="H561" s="116"/>
      <c r="I561" s="116"/>
      <c r="L561" s="170">
        <v>45533</v>
      </c>
      <c r="M561" s="116">
        <v>806.5</v>
      </c>
      <c r="N561" s="116">
        <v>838.35</v>
      </c>
      <c r="O561" s="116">
        <v>802.1</v>
      </c>
      <c r="P561" s="116">
        <v>808</v>
      </c>
      <c r="Q561" s="116">
        <v>806.5</v>
      </c>
      <c r="R561">
        <v>220284</v>
      </c>
    </row>
    <row r="562" spans="1:18" x14ac:dyDescent="0.25">
      <c r="A562" s="170">
        <v>45534</v>
      </c>
      <c r="B562" s="116">
        <v>835</v>
      </c>
      <c r="C562" s="116">
        <v>819.55</v>
      </c>
      <c r="D562" s="116">
        <v>787.65</v>
      </c>
      <c r="E562" s="116">
        <v>819.95</v>
      </c>
      <c r="F562" s="116">
        <v>819.55</v>
      </c>
      <c r="G562">
        <v>10237</v>
      </c>
      <c r="H562" s="116"/>
      <c r="I562" s="116"/>
      <c r="L562" s="170">
        <v>45534</v>
      </c>
      <c r="M562" s="116">
        <v>814.25</v>
      </c>
      <c r="N562" s="116">
        <v>835</v>
      </c>
      <c r="O562" s="116">
        <v>787.1</v>
      </c>
      <c r="P562" s="116">
        <v>810</v>
      </c>
      <c r="Q562" s="116">
        <v>814.25</v>
      </c>
      <c r="R562">
        <v>296920</v>
      </c>
    </row>
    <row r="563" spans="1:18" x14ac:dyDescent="0.25">
      <c r="A563" s="170">
        <v>45537</v>
      </c>
      <c r="B563" s="116">
        <v>834.5</v>
      </c>
      <c r="C563" s="116">
        <v>809.1</v>
      </c>
      <c r="D563" s="116">
        <v>804.45</v>
      </c>
      <c r="E563" s="116">
        <v>834.5</v>
      </c>
      <c r="F563" s="116">
        <v>809.1</v>
      </c>
      <c r="G563">
        <v>12647</v>
      </c>
      <c r="H563" s="116"/>
      <c r="I563" s="116"/>
      <c r="L563" s="170">
        <v>45537</v>
      </c>
      <c r="M563" s="116">
        <v>810.45</v>
      </c>
      <c r="N563" s="116">
        <v>832.25</v>
      </c>
      <c r="O563" s="116">
        <v>804.95</v>
      </c>
      <c r="P563" s="116">
        <v>829</v>
      </c>
      <c r="Q563" s="116">
        <v>810.45</v>
      </c>
      <c r="R563">
        <v>109566</v>
      </c>
    </row>
    <row r="564" spans="1:18" x14ac:dyDescent="0.25">
      <c r="A564" s="170">
        <v>45538</v>
      </c>
      <c r="B564" s="116">
        <v>816.85</v>
      </c>
      <c r="C564" s="116">
        <v>805.5</v>
      </c>
      <c r="D564" s="116">
        <v>799</v>
      </c>
      <c r="E564" s="116">
        <v>801.25</v>
      </c>
      <c r="F564" s="116">
        <v>805.5</v>
      </c>
      <c r="G564">
        <v>6970</v>
      </c>
      <c r="H564" s="116"/>
      <c r="I564" s="116"/>
      <c r="L564" s="170">
        <v>45538</v>
      </c>
      <c r="M564" s="116">
        <v>806.75</v>
      </c>
      <c r="N564" s="116">
        <v>819.45</v>
      </c>
      <c r="O564" s="116">
        <v>799</v>
      </c>
      <c r="P564" s="116">
        <v>808</v>
      </c>
      <c r="Q564" s="116">
        <v>806.75</v>
      </c>
      <c r="R564">
        <v>84582</v>
      </c>
    </row>
    <row r="565" spans="1:18" x14ac:dyDescent="0.25">
      <c r="A565" s="170">
        <v>45539</v>
      </c>
      <c r="B565" s="116">
        <v>819.7</v>
      </c>
      <c r="C565" s="116">
        <v>817.65</v>
      </c>
      <c r="D565" s="116">
        <v>790</v>
      </c>
      <c r="E565" s="116">
        <v>805.5</v>
      </c>
      <c r="F565" s="116">
        <v>817.65</v>
      </c>
      <c r="G565">
        <v>8313</v>
      </c>
      <c r="H565" s="116"/>
      <c r="I565" s="116"/>
      <c r="L565" s="170">
        <v>45539</v>
      </c>
      <c r="M565" s="116">
        <v>817.8</v>
      </c>
      <c r="N565" s="116">
        <v>820.95</v>
      </c>
      <c r="O565" s="116">
        <v>787</v>
      </c>
      <c r="P565" s="116">
        <v>799.8</v>
      </c>
      <c r="Q565" s="116">
        <v>817.8</v>
      </c>
      <c r="R565">
        <v>97092</v>
      </c>
    </row>
    <row r="566" spans="1:18" x14ac:dyDescent="0.25">
      <c r="A566" s="170">
        <v>45540</v>
      </c>
      <c r="B566" s="116">
        <v>827.6</v>
      </c>
      <c r="C566" s="116">
        <v>819.3</v>
      </c>
      <c r="D566" s="116">
        <v>814.3</v>
      </c>
      <c r="E566" s="116">
        <v>825</v>
      </c>
      <c r="F566" s="116">
        <v>819.3</v>
      </c>
      <c r="G566">
        <v>11751</v>
      </c>
      <c r="H566" s="116"/>
      <c r="I566" s="116"/>
      <c r="L566" s="170">
        <v>45540</v>
      </c>
      <c r="M566" s="116">
        <v>819</v>
      </c>
      <c r="N566" s="116">
        <v>828.85</v>
      </c>
      <c r="O566" s="116">
        <v>813</v>
      </c>
      <c r="P566" s="116">
        <v>822.3</v>
      </c>
      <c r="Q566" s="116">
        <v>819</v>
      </c>
      <c r="R566">
        <v>60923</v>
      </c>
    </row>
    <row r="567" spans="1:18" x14ac:dyDescent="0.25">
      <c r="A567" s="170">
        <v>45541</v>
      </c>
      <c r="B567" s="116">
        <v>843</v>
      </c>
      <c r="C567" s="116">
        <v>815.8</v>
      </c>
      <c r="D567" s="116">
        <v>809.05</v>
      </c>
      <c r="E567" s="116">
        <v>822</v>
      </c>
      <c r="F567" s="116">
        <v>815.8</v>
      </c>
      <c r="G567">
        <v>15826</v>
      </c>
      <c r="H567" s="116"/>
      <c r="I567" s="116"/>
      <c r="L567" s="170">
        <v>45541</v>
      </c>
      <c r="M567" s="116">
        <v>816.3</v>
      </c>
      <c r="N567" s="116">
        <v>844</v>
      </c>
      <c r="O567" s="116">
        <v>809.1</v>
      </c>
      <c r="P567" s="116">
        <v>827</v>
      </c>
      <c r="Q567" s="116">
        <v>816.3</v>
      </c>
      <c r="R567">
        <v>155157</v>
      </c>
    </row>
    <row r="568" spans="1:18" x14ac:dyDescent="0.25">
      <c r="A568" s="170">
        <v>45544</v>
      </c>
      <c r="B568" s="116">
        <v>832.15</v>
      </c>
      <c r="C568" s="116">
        <v>805.65</v>
      </c>
      <c r="D568" s="116">
        <v>793.25</v>
      </c>
      <c r="E568" s="116">
        <v>832.15</v>
      </c>
      <c r="F568" s="116">
        <v>805.65</v>
      </c>
      <c r="G568">
        <v>5830</v>
      </c>
      <c r="H568" s="116"/>
      <c r="I568" s="116"/>
      <c r="L568" s="170">
        <v>45544</v>
      </c>
      <c r="M568" s="116">
        <v>804.4</v>
      </c>
      <c r="N568" s="116">
        <v>822.9</v>
      </c>
      <c r="O568" s="116">
        <v>793</v>
      </c>
      <c r="P568" s="116">
        <v>816.3</v>
      </c>
      <c r="Q568" s="116">
        <v>804.4</v>
      </c>
      <c r="R568">
        <v>78028</v>
      </c>
    </row>
    <row r="569" spans="1:18" x14ac:dyDescent="0.25">
      <c r="A569" s="170">
        <v>45545</v>
      </c>
      <c r="B569" s="116">
        <v>890.65</v>
      </c>
      <c r="C569" s="116">
        <v>876.45</v>
      </c>
      <c r="D569" s="116">
        <v>802.6</v>
      </c>
      <c r="E569" s="116">
        <v>802.6</v>
      </c>
      <c r="F569" s="116">
        <v>876.45</v>
      </c>
      <c r="G569">
        <v>49378</v>
      </c>
      <c r="H569" s="116"/>
      <c r="I569" s="116"/>
      <c r="L569" s="170">
        <v>45545</v>
      </c>
      <c r="M569" s="116">
        <v>875.4</v>
      </c>
      <c r="N569" s="116">
        <v>890</v>
      </c>
      <c r="O569" s="116">
        <v>804</v>
      </c>
      <c r="P569" s="116">
        <v>804.8</v>
      </c>
      <c r="Q569" s="116">
        <v>875.4</v>
      </c>
      <c r="R569">
        <v>411741</v>
      </c>
    </row>
    <row r="570" spans="1:18" x14ac:dyDescent="0.25">
      <c r="A570" s="170">
        <v>45546</v>
      </c>
      <c r="B570" s="116">
        <v>880.6</v>
      </c>
      <c r="C570" s="116">
        <v>846.15</v>
      </c>
      <c r="D570" s="116">
        <v>840.45</v>
      </c>
      <c r="E570" s="116">
        <v>876.65</v>
      </c>
      <c r="F570" s="116">
        <v>846.15</v>
      </c>
      <c r="G570">
        <v>15548</v>
      </c>
      <c r="H570" s="116"/>
      <c r="I570" s="116"/>
      <c r="L570" s="170">
        <v>45546</v>
      </c>
      <c r="M570" s="116">
        <v>846.2</v>
      </c>
      <c r="N570" s="116">
        <v>881.75</v>
      </c>
      <c r="O570" s="116">
        <v>843</v>
      </c>
      <c r="P570" s="116">
        <v>878</v>
      </c>
      <c r="Q570" s="116">
        <v>846.2</v>
      </c>
      <c r="R570">
        <v>131297</v>
      </c>
    </row>
    <row r="571" spans="1:18" x14ac:dyDescent="0.25">
      <c r="A571" s="170">
        <v>45547</v>
      </c>
      <c r="B571" s="116">
        <v>850.7</v>
      </c>
      <c r="C571" s="116">
        <v>843.8</v>
      </c>
      <c r="D571" s="116">
        <v>840</v>
      </c>
      <c r="E571" s="116">
        <v>846</v>
      </c>
      <c r="F571" s="116">
        <v>843.8</v>
      </c>
      <c r="G571">
        <v>3251</v>
      </c>
      <c r="H571" s="116"/>
      <c r="I571" s="116"/>
      <c r="L571" s="170">
        <v>45547</v>
      </c>
      <c r="M571" s="116">
        <v>845.5</v>
      </c>
      <c r="N571" s="116">
        <v>850</v>
      </c>
      <c r="O571" s="116">
        <v>840.05</v>
      </c>
      <c r="P571" s="116">
        <v>846.9</v>
      </c>
      <c r="Q571" s="116">
        <v>845.5</v>
      </c>
      <c r="R571">
        <v>71040</v>
      </c>
    </row>
    <row r="572" spans="1:18" x14ac:dyDescent="0.25">
      <c r="A572" s="170">
        <v>45548</v>
      </c>
      <c r="B572" s="116">
        <v>848.65</v>
      </c>
      <c r="C572" s="116">
        <v>840.8</v>
      </c>
      <c r="D572" s="116">
        <v>836.6</v>
      </c>
      <c r="E572" s="116">
        <v>840.6</v>
      </c>
      <c r="F572" s="116">
        <v>840.8</v>
      </c>
      <c r="G572">
        <v>1794</v>
      </c>
      <c r="H572" s="116"/>
      <c r="I572" s="116"/>
      <c r="L572" s="170">
        <v>45548</v>
      </c>
      <c r="M572" s="116">
        <v>841.4</v>
      </c>
      <c r="N572" s="116">
        <v>849.85</v>
      </c>
      <c r="O572" s="116">
        <v>836.75</v>
      </c>
      <c r="P572" s="116">
        <v>845</v>
      </c>
      <c r="Q572" s="116">
        <v>841.4</v>
      </c>
      <c r="R572">
        <v>52649</v>
      </c>
    </row>
    <row r="573" spans="1:18" x14ac:dyDescent="0.25">
      <c r="A573" s="170">
        <v>45551</v>
      </c>
      <c r="B573" s="116">
        <v>885</v>
      </c>
      <c r="C573" s="116">
        <v>875.4</v>
      </c>
      <c r="D573" s="116">
        <v>830.55</v>
      </c>
      <c r="E573" s="116">
        <v>830.55</v>
      </c>
      <c r="F573" s="116">
        <v>875.4</v>
      </c>
      <c r="G573">
        <v>7423</v>
      </c>
      <c r="H573" s="116"/>
      <c r="I573" s="116"/>
      <c r="L573" s="170">
        <v>45551</v>
      </c>
      <c r="M573" s="116">
        <v>876.55</v>
      </c>
      <c r="N573" s="116">
        <v>885</v>
      </c>
      <c r="O573" s="116">
        <v>831.45</v>
      </c>
      <c r="P573" s="116">
        <v>838</v>
      </c>
      <c r="Q573" s="116">
        <v>876.55</v>
      </c>
      <c r="R573">
        <v>225897</v>
      </c>
    </row>
    <row r="574" spans="1:18" x14ac:dyDescent="0.25">
      <c r="A574" s="170">
        <v>45552</v>
      </c>
      <c r="B574" s="116">
        <v>894.55</v>
      </c>
      <c r="C574" s="116">
        <v>878.85</v>
      </c>
      <c r="D574" s="116">
        <v>858.15</v>
      </c>
      <c r="E574" s="116">
        <v>894.55</v>
      </c>
      <c r="F574" s="116">
        <v>878.85</v>
      </c>
      <c r="G574">
        <v>8669</v>
      </c>
      <c r="H574" s="116"/>
      <c r="I574" s="116"/>
      <c r="L574" s="170">
        <v>45552</v>
      </c>
      <c r="M574" s="116">
        <v>879.4</v>
      </c>
      <c r="N574" s="116">
        <v>889.8</v>
      </c>
      <c r="O574" s="116">
        <v>856.6</v>
      </c>
      <c r="P574" s="116">
        <v>889.7</v>
      </c>
      <c r="Q574" s="116">
        <v>879.4</v>
      </c>
      <c r="R574">
        <v>222285</v>
      </c>
    </row>
    <row r="575" spans="1:18" x14ac:dyDescent="0.25">
      <c r="A575" s="170">
        <v>45553</v>
      </c>
      <c r="B575" s="116">
        <v>884.95</v>
      </c>
      <c r="C575" s="116">
        <v>863.75</v>
      </c>
      <c r="D575" s="116">
        <v>852.7</v>
      </c>
      <c r="E575" s="116">
        <v>884.95</v>
      </c>
      <c r="F575" s="116">
        <v>863.75</v>
      </c>
      <c r="G575">
        <v>4709</v>
      </c>
      <c r="H575" s="116"/>
      <c r="I575" s="116"/>
      <c r="L575" s="170">
        <v>45553</v>
      </c>
      <c r="M575" s="116">
        <v>864.65</v>
      </c>
      <c r="N575" s="116">
        <v>879.4</v>
      </c>
      <c r="O575" s="116">
        <v>839.95</v>
      </c>
      <c r="P575" s="116">
        <v>879.4</v>
      </c>
      <c r="Q575" s="116">
        <v>864.65</v>
      </c>
      <c r="R575">
        <v>94416</v>
      </c>
    </row>
    <row r="576" spans="1:18" x14ac:dyDescent="0.25">
      <c r="A576" s="170">
        <v>45554</v>
      </c>
      <c r="B576" s="116">
        <v>877</v>
      </c>
      <c r="C576" s="116">
        <v>852.55</v>
      </c>
      <c r="D576" s="116">
        <v>841.05</v>
      </c>
      <c r="E576" s="116">
        <v>864.65</v>
      </c>
      <c r="F576" s="116">
        <v>852.55</v>
      </c>
      <c r="G576">
        <v>8583</v>
      </c>
      <c r="H576" s="116"/>
      <c r="I576" s="116"/>
      <c r="L576" s="170">
        <v>45554</v>
      </c>
      <c r="M576" s="116">
        <v>854.55</v>
      </c>
      <c r="N576" s="116">
        <v>878.95</v>
      </c>
      <c r="O576" s="116">
        <v>840.25</v>
      </c>
      <c r="P576" s="116">
        <v>864.65</v>
      </c>
      <c r="Q576" s="116">
        <v>854.55</v>
      </c>
      <c r="R576">
        <v>80204</v>
      </c>
    </row>
    <row r="577" spans="1:18" x14ac:dyDescent="0.25">
      <c r="A577" s="170">
        <v>45555</v>
      </c>
      <c r="B577" s="116">
        <v>865</v>
      </c>
      <c r="C577" s="116">
        <v>854.85</v>
      </c>
      <c r="D577" s="116">
        <v>849.6</v>
      </c>
      <c r="E577" s="116">
        <v>865</v>
      </c>
      <c r="F577" s="116">
        <v>854.85</v>
      </c>
      <c r="G577">
        <v>1762</v>
      </c>
      <c r="H577" s="116"/>
      <c r="I577" s="116"/>
      <c r="L577" s="170">
        <v>45555</v>
      </c>
      <c r="M577" s="116">
        <v>855.5</v>
      </c>
      <c r="N577" s="116">
        <v>864.05</v>
      </c>
      <c r="O577" s="116">
        <v>850.1</v>
      </c>
      <c r="P577" s="116">
        <v>858</v>
      </c>
      <c r="Q577" s="116">
        <v>855.5</v>
      </c>
      <c r="R577">
        <v>54892</v>
      </c>
    </row>
    <row r="578" spans="1:18" x14ac:dyDescent="0.25">
      <c r="A578" s="170">
        <v>45558</v>
      </c>
      <c r="B578" s="116">
        <v>891.05</v>
      </c>
      <c r="C578" s="116">
        <v>863</v>
      </c>
      <c r="D578" s="116">
        <v>845.55</v>
      </c>
      <c r="E578" s="116">
        <v>845.55</v>
      </c>
      <c r="F578" s="116">
        <v>863</v>
      </c>
      <c r="G578">
        <v>7548</v>
      </c>
      <c r="H578" s="116"/>
      <c r="I578" s="116"/>
      <c r="L578" s="170">
        <v>45558</v>
      </c>
      <c r="M578" s="116">
        <v>863.85</v>
      </c>
      <c r="N578" s="116">
        <v>895</v>
      </c>
      <c r="O578" s="116">
        <v>856</v>
      </c>
      <c r="P578" s="116">
        <v>858</v>
      </c>
      <c r="Q578" s="116">
        <v>863.85</v>
      </c>
      <c r="R578">
        <v>242394</v>
      </c>
    </row>
    <row r="579" spans="1:18" x14ac:dyDescent="0.25">
      <c r="A579" s="170">
        <v>45559</v>
      </c>
      <c r="B579" s="116">
        <v>883.35</v>
      </c>
      <c r="C579" s="116">
        <v>877.6</v>
      </c>
      <c r="D579" s="116">
        <v>860</v>
      </c>
      <c r="E579" s="116">
        <v>880.3</v>
      </c>
      <c r="F579" s="116">
        <v>877.6</v>
      </c>
      <c r="G579">
        <v>3724</v>
      </c>
      <c r="H579" s="116"/>
      <c r="I579" s="116"/>
      <c r="L579" s="170">
        <v>45559</v>
      </c>
      <c r="M579" s="116">
        <v>878.75</v>
      </c>
      <c r="N579" s="116">
        <v>884.85</v>
      </c>
      <c r="O579" s="116">
        <v>859.35</v>
      </c>
      <c r="P579" s="116">
        <v>867.85</v>
      </c>
      <c r="Q579" s="116">
        <v>878.75</v>
      </c>
      <c r="R579">
        <v>103064</v>
      </c>
    </row>
    <row r="580" spans="1:18" x14ac:dyDescent="0.25">
      <c r="A580" s="170">
        <v>45560</v>
      </c>
      <c r="B580" s="116">
        <v>879.95</v>
      </c>
      <c r="C580" s="116">
        <v>873.05</v>
      </c>
      <c r="D580" s="116">
        <v>861.7</v>
      </c>
      <c r="E580" s="116">
        <v>879.95</v>
      </c>
      <c r="F580" s="116">
        <v>873.05</v>
      </c>
      <c r="G580">
        <v>1824</v>
      </c>
      <c r="H580" s="116"/>
      <c r="I580" s="116"/>
      <c r="L580" s="170">
        <v>45560</v>
      </c>
      <c r="M580" s="116">
        <v>871.9</v>
      </c>
      <c r="N580" s="116">
        <v>878.85</v>
      </c>
      <c r="O580" s="116">
        <v>861.05</v>
      </c>
      <c r="P580" s="116">
        <v>878.8</v>
      </c>
      <c r="Q580" s="116">
        <v>871.9</v>
      </c>
      <c r="R580">
        <v>70748</v>
      </c>
    </row>
    <row r="581" spans="1:18" x14ac:dyDescent="0.25">
      <c r="A581" s="170">
        <v>45561</v>
      </c>
      <c r="B581" s="116">
        <v>897.95</v>
      </c>
      <c r="C581" s="116">
        <v>861.8</v>
      </c>
      <c r="D581" s="116">
        <v>856</v>
      </c>
      <c r="E581" s="116">
        <v>856.1</v>
      </c>
      <c r="F581" s="116">
        <v>861.8</v>
      </c>
      <c r="G581">
        <v>14925</v>
      </c>
      <c r="H581" s="116"/>
      <c r="I581" s="116"/>
      <c r="L581" s="170">
        <v>45561</v>
      </c>
      <c r="M581" s="116">
        <v>862.25</v>
      </c>
      <c r="N581" s="116">
        <v>899.9</v>
      </c>
      <c r="O581" s="116">
        <v>856.4</v>
      </c>
      <c r="P581" s="116">
        <v>877.9</v>
      </c>
      <c r="Q581" s="116">
        <v>862.25</v>
      </c>
      <c r="R581">
        <v>224724</v>
      </c>
    </row>
    <row r="582" spans="1:18" x14ac:dyDescent="0.25">
      <c r="A582" s="170">
        <v>45562</v>
      </c>
      <c r="B582" s="116">
        <v>883.4</v>
      </c>
      <c r="C582" s="116">
        <v>875.1</v>
      </c>
      <c r="D582" s="116">
        <v>853.5</v>
      </c>
      <c r="E582" s="116">
        <v>860</v>
      </c>
      <c r="F582" s="116">
        <v>875.1</v>
      </c>
      <c r="G582">
        <v>7554</v>
      </c>
      <c r="H582" s="116"/>
      <c r="I582" s="116"/>
      <c r="L582" s="170">
        <v>45562</v>
      </c>
      <c r="M582" s="116">
        <v>876.35</v>
      </c>
      <c r="N582" s="116">
        <v>883.95</v>
      </c>
      <c r="O582" s="116">
        <v>853</v>
      </c>
      <c r="P582" s="116">
        <v>862</v>
      </c>
      <c r="Q582" s="116">
        <v>876.35</v>
      </c>
      <c r="R582">
        <v>107484</v>
      </c>
    </row>
    <row r="583" spans="1:18" x14ac:dyDescent="0.25">
      <c r="A583" s="170">
        <v>45565</v>
      </c>
      <c r="B583" s="116">
        <v>888.15</v>
      </c>
      <c r="C583" s="116">
        <v>878.55</v>
      </c>
      <c r="D583" s="116">
        <v>855</v>
      </c>
      <c r="E583" s="116">
        <v>873</v>
      </c>
      <c r="F583" s="116">
        <v>878.55</v>
      </c>
      <c r="G583">
        <v>7176</v>
      </c>
      <c r="H583" s="116"/>
      <c r="I583" s="116"/>
      <c r="L583" s="170">
        <v>45565</v>
      </c>
      <c r="M583" s="116">
        <v>880</v>
      </c>
      <c r="N583" s="116">
        <v>890</v>
      </c>
      <c r="O583" s="116">
        <v>855.45</v>
      </c>
      <c r="P583" s="116">
        <v>879.4</v>
      </c>
      <c r="Q583" s="116">
        <v>880</v>
      </c>
      <c r="R583">
        <v>124002</v>
      </c>
    </row>
    <row r="584" spans="1:18" x14ac:dyDescent="0.25">
      <c r="A584" s="170">
        <v>45566</v>
      </c>
      <c r="B584" s="116">
        <v>885.15</v>
      </c>
      <c r="C584" s="116">
        <v>876</v>
      </c>
      <c r="D584" s="116">
        <v>870</v>
      </c>
      <c r="E584" s="116">
        <v>879.85</v>
      </c>
      <c r="F584" s="116">
        <v>876</v>
      </c>
      <c r="G584">
        <v>3720</v>
      </c>
      <c r="H584" s="116"/>
      <c r="I584" s="116"/>
      <c r="L584" s="170">
        <v>45566</v>
      </c>
      <c r="M584" s="116">
        <v>874.5</v>
      </c>
      <c r="N584" s="116">
        <v>884.8</v>
      </c>
      <c r="O584" s="116">
        <v>869.75</v>
      </c>
      <c r="P584" s="116">
        <v>882</v>
      </c>
      <c r="Q584" s="116">
        <v>874.5</v>
      </c>
      <c r="R584">
        <v>84571</v>
      </c>
    </row>
    <row r="585" spans="1:18" x14ac:dyDescent="0.25">
      <c r="A585" s="170">
        <v>45568</v>
      </c>
      <c r="B585" s="116">
        <v>880.35</v>
      </c>
      <c r="C585" s="116">
        <v>874.95</v>
      </c>
      <c r="D585" s="116">
        <v>839.35</v>
      </c>
      <c r="E585" s="116">
        <v>840.05</v>
      </c>
      <c r="F585" s="116">
        <v>874.95</v>
      </c>
      <c r="G585">
        <v>18799</v>
      </c>
      <c r="H585" s="116"/>
      <c r="I585" s="116"/>
      <c r="L585" s="170">
        <v>45568</v>
      </c>
      <c r="M585" s="116">
        <v>873.65</v>
      </c>
      <c r="N585" s="116">
        <v>881.05</v>
      </c>
      <c r="O585" s="116">
        <v>830</v>
      </c>
      <c r="P585" s="116">
        <v>850.55</v>
      </c>
      <c r="Q585" s="116">
        <v>873.65</v>
      </c>
      <c r="R585">
        <v>130406</v>
      </c>
    </row>
    <row r="586" spans="1:18" x14ac:dyDescent="0.25">
      <c r="A586" s="170">
        <v>45569</v>
      </c>
      <c r="B586" s="116">
        <v>883</v>
      </c>
      <c r="C586" s="116">
        <v>876.25</v>
      </c>
      <c r="D586" s="116">
        <v>856</v>
      </c>
      <c r="E586" s="116">
        <v>873</v>
      </c>
      <c r="F586" s="116">
        <v>876.25</v>
      </c>
      <c r="G586">
        <v>27304</v>
      </c>
      <c r="H586" s="116"/>
      <c r="I586" s="116"/>
      <c r="L586" s="170">
        <v>45569</v>
      </c>
      <c r="M586" s="116">
        <v>877.7</v>
      </c>
      <c r="N586" s="116">
        <v>883.9</v>
      </c>
      <c r="O586" s="116">
        <v>855</v>
      </c>
      <c r="P586" s="116">
        <v>873</v>
      </c>
      <c r="Q586" s="116">
        <v>877.7</v>
      </c>
      <c r="R586">
        <v>131710</v>
      </c>
    </row>
    <row r="587" spans="1:18" x14ac:dyDescent="0.25">
      <c r="A587" s="170">
        <v>45572</v>
      </c>
      <c r="B587" s="116">
        <v>896.95</v>
      </c>
      <c r="C587" s="116">
        <v>880.3</v>
      </c>
      <c r="D587" s="116">
        <v>831.05</v>
      </c>
      <c r="E587" s="116">
        <v>870</v>
      </c>
      <c r="F587" s="116">
        <v>880.3</v>
      </c>
      <c r="G587">
        <v>10972</v>
      </c>
      <c r="H587" s="116"/>
      <c r="I587" s="116"/>
      <c r="L587" s="170">
        <v>45572</v>
      </c>
      <c r="M587" s="116">
        <v>882</v>
      </c>
      <c r="N587" s="116">
        <v>899</v>
      </c>
      <c r="O587" s="116">
        <v>830.45</v>
      </c>
      <c r="P587" s="116">
        <v>877.7</v>
      </c>
      <c r="Q587" s="116">
        <v>882</v>
      </c>
      <c r="R587">
        <v>246297</v>
      </c>
    </row>
    <row r="588" spans="1:18" x14ac:dyDescent="0.25">
      <c r="A588" s="170">
        <v>45573</v>
      </c>
      <c r="B588" s="116">
        <v>889.6</v>
      </c>
      <c r="C588" s="116">
        <v>881.55</v>
      </c>
      <c r="D588" s="116">
        <v>863.85</v>
      </c>
      <c r="E588" s="116">
        <v>866.75</v>
      </c>
      <c r="F588" s="116">
        <v>881.55</v>
      </c>
      <c r="G588">
        <v>5359</v>
      </c>
      <c r="H588" s="116"/>
      <c r="I588" s="116"/>
      <c r="L588" s="170">
        <v>45573</v>
      </c>
      <c r="M588" s="116">
        <v>882.45</v>
      </c>
      <c r="N588" s="116">
        <v>890</v>
      </c>
      <c r="O588" s="116">
        <v>863.05</v>
      </c>
      <c r="P588" s="116">
        <v>877</v>
      </c>
      <c r="Q588" s="116">
        <v>882.45</v>
      </c>
      <c r="R588">
        <v>108620</v>
      </c>
    </row>
    <row r="589" spans="1:18" x14ac:dyDescent="0.25">
      <c r="A589" s="170">
        <v>45574</v>
      </c>
      <c r="B589" s="116">
        <v>971.65</v>
      </c>
      <c r="C589" s="116">
        <v>947.95</v>
      </c>
      <c r="D589" s="116">
        <v>881.45</v>
      </c>
      <c r="E589" s="116">
        <v>888</v>
      </c>
      <c r="F589" s="116">
        <v>947.95</v>
      </c>
      <c r="G589">
        <v>84392</v>
      </c>
      <c r="H589" s="116"/>
      <c r="I589" s="116"/>
      <c r="L589" s="170">
        <v>45574</v>
      </c>
      <c r="M589" s="116">
        <v>946.95</v>
      </c>
      <c r="N589" s="116">
        <v>971</v>
      </c>
      <c r="O589" s="116">
        <v>880.05</v>
      </c>
      <c r="P589" s="116">
        <v>884.7</v>
      </c>
      <c r="Q589" s="116">
        <v>946.95</v>
      </c>
      <c r="R589">
        <v>1720299</v>
      </c>
    </row>
    <row r="590" spans="1:18" x14ac:dyDescent="0.25">
      <c r="A590" s="170">
        <v>45575</v>
      </c>
      <c r="B590" s="116">
        <v>965.1</v>
      </c>
      <c r="C590" s="116">
        <v>946.15</v>
      </c>
      <c r="D590" s="116">
        <v>935.7</v>
      </c>
      <c r="E590" s="116">
        <v>950.05</v>
      </c>
      <c r="F590" s="116">
        <v>946.15</v>
      </c>
      <c r="G590">
        <v>27945</v>
      </c>
      <c r="H590" s="116"/>
      <c r="I590" s="116"/>
      <c r="L590" s="170">
        <v>45575</v>
      </c>
      <c r="M590" s="116">
        <v>945.2</v>
      </c>
      <c r="N590" s="116">
        <v>967</v>
      </c>
      <c r="O590" s="116">
        <v>934.05</v>
      </c>
      <c r="P590" s="116">
        <v>950.95</v>
      </c>
      <c r="Q590" s="116">
        <v>945.2</v>
      </c>
      <c r="R590">
        <v>372258</v>
      </c>
    </row>
    <row r="591" spans="1:18" x14ac:dyDescent="0.25">
      <c r="A591" s="170">
        <v>45576</v>
      </c>
      <c r="B591" s="116">
        <v>960</v>
      </c>
      <c r="C591" s="116">
        <v>952.55</v>
      </c>
      <c r="D591" s="116">
        <v>934.95</v>
      </c>
      <c r="E591" s="116">
        <v>945.2</v>
      </c>
      <c r="F591" s="116">
        <v>952.55</v>
      </c>
      <c r="G591">
        <v>26901</v>
      </c>
      <c r="H591" s="116"/>
      <c r="I591" s="116"/>
      <c r="L591" s="170">
        <v>45576</v>
      </c>
      <c r="M591" s="116">
        <v>952.5</v>
      </c>
      <c r="N591" s="116">
        <v>960.05</v>
      </c>
      <c r="O591" s="116">
        <v>935</v>
      </c>
      <c r="P591" s="116">
        <v>944.2</v>
      </c>
      <c r="Q591" s="116">
        <v>952.5</v>
      </c>
      <c r="R591">
        <v>272038</v>
      </c>
    </row>
    <row r="592" spans="1:18" x14ac:dyDescent="0.25">
      <c r="A592" s="170">
        <v>45579</v>
      </c>
      <c r="B592" s="116">
        <v>990.9</v>
      </c>
      <c r="C592" s="116">
        <v>946.2</v>
      </c>
      <c r="D592" s="116">
        <v>936.45</v>
      </c>
      <c r="E592" s="116">
        <v>960</v>
      </c>
      <c r="F592" s="116">
        <v>946.2</v>
      </c>
      <c r="G592">
        <v>30828</v>
      </c>
      <c r="H592" s="116"/>
      <c r="I592" s="116"/>
      <c r="L592" s="170">
        <v>45579</v>
      </c>
      <c r="M592" s="116">
        <v>948.1</v>
      </c>
      <c r="N592" s="116">
        <v>992.95</v>
      </c>
      <c r="O592" s="116">
        <v>937.05</v>
      </c>
      <c r="P592" s="116">
        <v>959.95</v>
      </c>
      <c r="Q592" s="116">
        <v>948.1</v>
      </c>
      <c r="R592">
        <v>321338</v>
      </c>
    </row>
    <row r="593" spans="1:18" x14ac:dyDescent="0.25">
      <c r="A593" s="170">
        <v>45580</v>
      </c>
      <c r="B593" s="116">
        <v>951.65</v>
      </c>
      <c r="C593" s="116">
        <v>928.45</v>
      </c>
      <c r="D593" s="116">
        <v>924.4</v>
      </c>
      <c r="E593" s="116">
        <v>938.05</v>
      </c>
      <c r="F593" s="116">
        <v>928.45</v>
      </c>
      <c r="G593">
        <v>7034</v>
      </c>
      <c r="H593" s="116"/>
      <c r="I593" s="116"/>
      <c r="L593" s="170">
        <v>45580</v>
      </c>
      <c r="M593" s="116">
        <v>929</v>
      </c>
      <c r="N593" s="116">
        <v>951.75</v>
      </c>
      <c r="O593" s="116">
        <v>923</v>
      </c>
      <c r="P593" s="116">
        <v>951.65</v>
      </c>
      <c r="Q593" s="116">
        <v>929</v>
      </c>
      <c r="R593">
        <v>177004</v>
      </c>
    </row>
    <row r="594" spans="1:18" x14ac:dyDescent="0.25">
      <c r="A594" s="170">
        <v>45581</v>
      </c>
      <c r="B594" s="116">
        <v>955.35</v>
      </c>
      <c r="C594" s="116">
        <v>947.45</v>
      </c>
      <c r="D594" s="116">
        <v>925</v>
      </c>
      <c r="E594" s="116">
        <v>930</v>
      </c>
      <c r="F594" s="116">
        <v>947.45</v>
      </c>
      <c r="G594">
        <v>4127</v>
      </c>
      <c r="H594" s="116"/>
      <c r="I594" s="116"/>
      <c r="L594" s="170">
        <v>45581</v>
      </c>
      <c r="M594" s="116">
        <v>947.7</v>
      </c>
      <c r="N594" s="116">
        <v>955.85</v>
      </c>
      <c r="O594" s="116">
        <v>924.3</v>
      </c>
      <c r="P594" s="116">
        <v>929.9</v>
      </c>
      <c r="Q594" s="116">
        <v>947.7</v>
      </c>
      <c r="R594">
        <v>138210</v>
      </c>
    </row>
    <row r="595" spans="1:18" x14ac:dyDescent="0.25">
      <c r="A595" s="170">
        <v>45582</v>
      </c>
      <c r="B595" s="116">
        <v>961.05</v>
      </c>
      <c r="C595" s="116">
        <v>953.05</v>
      </c>
      <c r="D595" s="116">
        <v>928.75</v>
      </c>
      <c r="E595" s="116">
        <v>948</v>
      </c>
      <c r="F595" s="116">
        <v>953.05</v>
      </c>
      <c r="G595">
        <v>7565</v>
      </c>
      <c r="H595" s="116"/>
      <c r="I595" s="116"/>
      <c r="L595" s="170">
        <v>45582</v>
      </c>
      <c r="M595" s="116">
        <v>953.55</v>
      </c>
      <c r="N595" s="116">
        <v>962.95</v>
      </c>
      <c r="O595" s="116">
        <v>928.05</v>
      </c>
      <c r="P595" s="116">
        <v>938.2</v>
      </c>
      <c r="Q595" s="116">
        <v>953.55</v>
      </c>
      <c r="R595">
        <v>176102</v>
      </c>
    </row>
    <row r="596" spans="1:18" x14ac:dyDescent="0.25">
      <c r="A596" s="170">
        <v>45583</v>
      </c>
      <c r="B596" s="116">
        <v>946.35</v>
      </c>
      <c r="C596" s="116">
        <v>938.9</v>
      </c>
      <c r="D596" s="116">
        <v>894.95</v>
      </c>
      <c r="E596" s="116">
        <v>946</v>
      </c>
      <c r="F596" s="116">
        <v>938.9</v>
      </c>
      <c r="G596">
        <v>10629</v>
      </c>
      <c r="H596" s="116"/>
      <c r="I596" s="116"/>
      <c r="L596" s="170">
        <v>45583</v>
      </c>
      <c r="M596" s="116">
        <v>940.6</v>
      </c>
      <c r="N596" s="116">
        <v>949.8</v>
      </c>
      <c r="O596" s="116">
        <v>881.35</v>
      </c>
      <c r="P596" s="116">
        <v>949.8</v>
      </c>
      <c r="Q596" s="116">
        <v>940.6</v>
      </c>
      <c r="R596">
        <v>209084</v>
      </c>
    </row>
    <row r="597" spans="1:18" x14ac:dyDescent="0.25">
      <c r="A597" s="170">
        <v>45586</v>
      </c>
      <c r="B597" s="116">
        <v>942.9</v>
      </c>
      <c r="C597" s="116">
        <v>906.05</v>
      </c>
      <c r="D597" s="116">
        <v>900.5</v>
      </c>
      <c r="E597" s="116">
        <v>942.9</v>
      </c>
      <c r="F597" s="116">
        <v>906.05</v>
      </c>
      <c r="G597">
        <v>4898</v>
      </c>
      <c r="H597" s="116"/>
      <c r="I597" s="116"/>
      <c r="L597" s="170">
        <v>45586</v>
      </c>
      <c r="M597" s="116">
        <v>909.2</v>
      </c>
      <c r="N597" s="116">
        <v>950.75</v>
      </c>
      <c r="O597" s="116">
        <v>900.15</v>
      </c>
      <c r="P597" s="116">
        <v>950.75</v>
      </c>
      <c r="Q597" s="116">
        <v>909.2</v>
      </c>
      <c r="R597">
        <v>153418</v>
      </c>
    </row>
    <row r="598" spans="1:18" x14ac:dyDescent="0.25">
      <c r="A598" s="170">
        <v>45587</v>
      </c>
      <c r="B598" s="116">
        <v>930</v>
      </c>
      <c r="C598" s="116">
        <v>879.85</v>
      </c>
      <c r="D598" s="116">
        <v>845.1</v>
      </c>
      <c r="E598" s="116">
        <v>909</v>
      </c>
      <c r="F598" s="116">
        <v>879.85</v>
      </c>
      <c r="G598">
        <v>10610</v>
      </c>
      <c r="H598" s="116"/>
      <c r="I598" s="116"/>
      <c r="L598" s="170">
        <v>45587</v>
      </c>
      <c r="M598" s="116">
        <v>892</v>
      </c>
      <c r="N598" s="116">
        <v>938</v>
      </c>
      <c r="O598" s="116">
        <v>844.95</v>
      </c>
      <c r="P598" s="116">
        <v>904</v>
      </c>
      <c r="Q598" s="116">
        <v>892</v>
      </c>
      <c r="R598">
        <v>422474</v>
      </c>
    </row>
    <row r="599" spans="1:18" x14ac:dyDescent="0.25">
      <c r="A599" s="170">
        <v>45588</v>
      </c>
      <c r="B599" s="116">
        <v>916.2</v>
      </c>
      <c r="C599" s="116">
        <v>897.3</v>
      </c>
      <c r="D599" s="116">
        <v>867.25</v>
      </c>
      <c r="E599" s="116">
        <v>880.45</v>
      </c>
      <c r="F599" s="116">
        <v>897.3</v>
      </c>
      <c r="G599">
        <v>7231</v>
      </c>
      <c r="H599" s="116"/>
      <c r="I599" s="116"/>
      <c r="L599" s="170">
        <v>45588</v>
      </c>
      <c r="M599" s="116">
        <v>896.2</v>
      </c>
      <c r="N599" s="116">
        <v>918</v>
      </c>
      <c r="O599" s="116">
        <v>866.6</v>
      </c>
      <c r="P599" s="116">
        <v>890</v>
      </c>
      <c r="Q599" s="116">
        <v>896.2</v>
      </c>
      <c r="R599">
        <v>146516</v>
      </c>
    </row>
    <row r="600" spans="1:18" x14ac:dyDescent="0.25">
      <c r="A600" s="170">
        <v>45589</v>
      </c>
      <c r="B600" s="116">
        <v>917.8</v>
      </c>
      <c r="C600" s="116">
        <v>876</v>
      </c>
      <c r="D600" s="116">
        <v>870.05</v>
      </c>
      <c r="E600" s="116">
        <v>917.8</v>
      </c>
      <c r="F600" s="116">
        <v>876</v>
      </c>
      <c r="G600">
        <v>7638</v>
      </c>
      <c r="H600" s="116"/>
      <c r="I600" s="116"/>
      <c r="L600" s="170">
        <v>45589</v>
      </c>
      <c r="M600" s="116">
        <v>874.8</v>
      </c>
      <c r="N600" s="116">
        <v>901.2</v>
      </c>
      <c r="O600" s="116">
        <v>870</v>
      </c>
      <c r="P600" s="116">
        <v>896.2</v>
      </c>
      <c r="Q600" s="116">
        <v>874.8</v>
      </c>
      <c r="R600">
        <v>110786</v>
      </c>
    </row>
    <row r="601" spans="1:18" x14ac:dyDescent="0.25">
      <c r="A601" s="170">
        <v>45590</v>
      </c>
      <c r="B601" s="116">
        <v>890</v>
      </c>
      <c r="C601" s="116">
        <v>881</v>
      </c>
      <c r="D601" s="116">
        <v>852.55</v>
      </c>
      <c r="E601" s="116">
        <v>865.05</v>
      </c>
      <c r="F601" s="116">
        <v>881</v>
      </c>
      <c r="G601">
        <v>19312</v>
      </c>
      <c r="H601" s="116"/>
      <c r="I601" s="116"/>
      <c r="L601" s="170">
        <v>45590</v>
      </c>
      <c r="M601" s="116">
        <v>880.9</v>
      </c>
      <c r="N601" s="116">
        <v>892.9</v>
      </c>
      <c r="O601" s="116">
        <v>853.3</v>
      </c>
      <c r="P601" s="116">
        <v>873.95</v>
      </c>
      <c r="Q601" s="116">
        <v>880.9</v>
      </c>
      <c r="R601">
        <v>151703</v>
      </c>
    </row>
    <row r="602" spans="1:18" x14ac:dyDescent="0.25">
      <c r="A602" s="170">
        <v>45593</v>
      </c>
      <c r="B602" s="116">
        <v>899.95</v>
      </c>
      <c r="C602" s="116">
        <v>882.45</v>
      </c>
      <c r="D602" s="116">
        <v>860.4</v>
      </c>
      <c r="E602" s="116">
        <v>865.3</v>
      </c>
      <c r="F602" s="116">
        <v>882.45</v>
      </c>
      <c r="G602">
        <v>15361</v>
      </c>
      <c r="H602" s="116"/>
      <c r="I602" s="116"/>
      <c r="L602" s="170">
        <v>45593</v>
      </c>
      <c r="M602" s="116">
        <v>883.25</v>
      </c>
      <c r="N602" s="116">
        <v>899</v>
      </c>
      <c r="O602" s="116">
        <v>861.4</v>
      </c>
      <c r="P602" s="116">
        <v>880.9</v>
      </c>
      <c r="Q602" s="116">
        <v>883.25</v>
      </c>
      <c r="R602">
        <v>95548</v>
      </c>
    </row>
    <row r="603" spans="1:18" x14ac:dyDescent="0.25">
      <c r="A603" s="170">
        <v>45594</v>
      </c>
      <c r="B603" s="116">
        <v>886</v>
      </c>
      <c r="C603" s="116">
        <v>867.7</v>
      </c>
      <c r="D603" s="116">
        <v>862.75</v>
      </c>
      <c r="E603" s="116">
        <v>865.6</v>
      </c>
      <c r="F603" s="116">
        <v>867.7</v>
      </c>
      <c r="G603">
        <v>4252</v>
      </c>
      <c r="H603" s="116"/>
      <c r="I603" s="116"/>
      <c r="L603" s="170">
        <v>45594</v>
      </c>
      <c r="M603" s="116">
        <v>868.55</v>
      </c>
      <c r="N603" s="116">
        <v>888.4</v>
      </c>
      <c r="O603" s="116">
        <v>862</v>
      </c>
      <c r="P603" s="116">
        <v>877.95</v>
      </c>
      <c r="Q603" s="116">
        <v>868.55</v>
      </c>
      <c r="R603">
        <v>68979</v>
      </c>
    </row>
    <row r="604" spans="1:18" x14ac:dyDescent="0.25">
      <c r="A604" s="170">
        <v>45595</v>
      </c>
      <c r="B604" s="116">
        <v>915</v>
      </c>
      <c r="C604" s="116">
        <v>907.55</v>
      </c>
      <c r="D604" s="116">
        <v>867.95</v>
      </c>
      <c r="E604" s="116">
        <v>867.95</v>
      </c>
      <c r="F604" s="116">
        <v>907.55</v>
      </c>
      <c r="G604">
        <v>13216</v>
      </c>
      <c r="H604" s="116"/>
      <c r="I604" s="116"/>
      <c r="L604" s="170">
        <v>45595</v>
      </c>
      <c r="M604" s="116">
        <v>906.45</v>
      </c>
      <c r="N604" s="116">
        <v>915.15</v>
      </c>
      <c r="O604" s="116">
        <v>871</v>
      </c>
      <c r="P604" s="116">
        <v>877.65</v>
      </c>
      <c r="Q604" s="116">
        <v>906.45</v>
      </c>
      <c r="R604">
        <v>215817</v>
      </c>
    </row>
    <row r="605" spans="1:18" x14ac:dyDescent="0.25">
      <c r="A605" s="170">
        <v>45596</v>
      </c>
      <c r="B605" s="116">
        <v>919.9</v>
      </c>
      <c r="C605" s="116">
        <v>906.7</v>
      </c>
      <c r="D605" s="116">
        <v>889.75</v>
      </c>
      <c r="E605" s="116">
        <v>919.9</v>
      </c>
      <c r="F605" s="116">
        <v>906.7</v>
      </c>
      <c r="G605">
        <v>9871</v>
      </c>
      <c r="H605" s="116"/>
      <c r="I605" s="116"/>
      <c r="L605" s="170">
        <v>45596</v>
      </c>
      <c r="M605" s="116">
        <v>908.35</v>
      </c>
      <c r="N605" s="116">
        <v>914.35</v>
      </c>
      <c r="O605" s="116">
        <v>889.2</v>
      </c>
      <c r="P605" s="116">
        <v>904.7</v>
      </c>
      <c r="Q605" s="116">
        <v>908.35</v>
      </c>
      <c r="R605">
        <v>100877</v>
      </c>
    </row>
    <row r="606" spans="1:18" x14ac:dyDescent="0.25">
      <c r="A606" s="170">
        <v>45597</v>
      </c>
      <c r="B606" s="116">
        <v>932</v>
      </c>
      <c r="C606" s="116">
        <v>913.5</v>
      </c>
      <c r="D606" s="116">
        <v>902.6</v>
      </c>
      <c r="E606" s="116">
        <v>919.75</v>
      </c>
      <c r="F606" s="116">
        <v>913.5</v>
      </c>
      <c r="G606">
        <v>2527</v>
      </c>
      <c r="H606" s="116"/>
      <c r="I606" s="116"/>
      <c r="L606" s="170">
        <v>45597</v>
      </c>
      <c r="M606" s="116">
        <v>915.75</v>
      </c>
      <c r="N606" s="116">
        <v>932.65</v>
      </c>
      <c r="O606" s="116">
        <v>903.2</v>
      </c>
      <c r="P606" s="116">
        <v>912</v>
      </c>
      <c r="Q606" s="116">
        <v>915.75</v>
      </c>
      <c r="R606">
        <v>48972</v>
      </c>
    </row>
    <row r="607" spans="1:18" x14ac:dyDescent="0.25">
      <c r="A607" s="170">
        <v>45600</v>
      </c>
      <c r="B607" s="116">
        <v>919.15</v>
      </c>
      <c r="C607" s="116">
        <v>905.65</v>
      </c>
      <c r="D607" s="116">
        <v>894.45</v>
      </c>
      <c r="E607" s="116">
        <v>910.05</v>
      </c>
      <c r="F607" s="116">
        <v>905.65</v>
      </c>
      <c r="G607">
        <v>3770</v>
      </c>
      <c r="H607" s="116"/>
      <c r="I607" s="116"/>
      <c r="L607" s="170">
        <v>45600</v>
      </c>
      <c r="M607" s="116">
        <v>909.2</v>
      </c>
      <c r="N607" s="116">
        <v>933</v>
      </c>
      <c r="O607" s="116">
        <v>893.3</v>
      </c>
      <c r="P607" s="116">
        <v>924.7</v>
      </c>
      <c r="Q607" s="116">
        <v>909.2</v>
      </c>
      <c r="R607">
        <v>76732</v>
      </c>
    </row>
    <row r="608" spans="1:18" x14ac:dyDescent="0.25">
      <c r="A608" s="170">
        <v>45601</v>
      </c>
      <c r="B608" s="116">
        <v>920</v>
      </c>
      <c r="C608" s="116">
        <v>907.55</v>
      </c>
      <c r="D608" s="116">
        <v>894.55</v>
      </c>
      <c r="E608" s="116">
        <v>905.05</v>
      </c>
      <c r="F608" s="116">
        <v>907.55</v>
      </c>
      <c r="G608">
        <v>2509</v>
      </c>
      <c r="H608" s="116"/>
      <c r="I608" s="116"/>
      <c r="L608" s="170">
        <v>45601</v>
      </c>
      <c r="M608" s="116">
        <v>909.3</v>
      </c>
      <c r="N608" s="116">
        <v>914.45</v>
      </c>
      <c r="O608" s="116">
        <v>894</v>
      </c>
      <c r="P608" s="116">
        <v>903.65</v>
      </c>
      <c r="Q608" s="116">
        <v>909.3</v>
      </c>
      <c r="R608">
        <v>97470</v>
      </c>
    </row>
    <row r="609" spans="1:18" x14ac:dyDescent="0.25">
      <c r="A609" s="170">
        <v>45602</v>
      </c>
      <c r="B609" s="116">
        <v>925</v>
      </c>
      <c r="C609" s="116">
        <v>899.3</v>
      </c>
      <c r="D609" s="116">
        <v>895.3</v>
      </c>
      <c r="E609" s="116">
        <v>925</v>
      </c>
      <c r="F609" s="116">
        <v>899.3</v>
      </c>
      <c r="G609">
        <v>2966</v>
      </c>
      <c r="H609" s="116"/>
      <c r="I609" s="116"/>
      <c r="L609" s="170">
        <v>45602</v>
      </c>
      <c r="M609" s="116">
        <v>899.25</v>
      </c>
      <c r="N609" s="116">
        <v>919.75</v>
      </c>
      <c r="O609" s="116">
        <v>894.95</v>
      </c>
      <c r="P609" s="116">
        <v>919.75</v>
      </c>
      <c r="Q609" s="116">
        <v>899.25</v>
      </c>
      <c r="R609">
        <v>89753</v>
      </c>
    </row>
    <row r="610" spans="1:18" x14ac:dyDescent="0.25">
      <c r="A610" s="170">
        <v>45603</v>
      </c>
      <c r="B610" s="116">
        <v>917</v>
      </c>
      <c r="C610" s="116">
        <v>889.1</v>
      </c>
      <c r="D610" s="116">
        <v>884.1</v>
      </c>
      <c r="E610" s="116">
        <v>917</v>
      </c>
      <c r="F610" s="116">
        <v>889.1</v>
      </c>
      <c r="G610">
        <v>8613</v>
      </c>
      <c r="H610" s="116"/>
      <c r="I610" s="116"/>
      <c r="L610" s="170">
        <v>45603</v>
      </c>
      <c r="M610" s="116">
        <v>888.35</v>
      </c>
      <c r="N610" s="116">
        <v>902.65</v>
      </c>
      <c r="O610" s="116">
        <v>885</v>
      </c>
      <c r="P610" s="116">
        <v>899</v>
      </c>
      <c r="Q610" s="116">
        <v>888.35</v>
      </c>
      <c r="R610">
        <v>73631</v>
      </c>
    </row>
    <row r="611" spans="1:18" x14ac:dyDescent="0.25">
      <c r="A611" s="170">
        <v>45604</v>
      </c>
      <c r="B611" s="116">
        <v>896</v>
      </c>
      <c r="C611" s="116">
        <v>868.85</v>
      </c>
      <c r="D611" s="116">
        <v>859.85</v>
      </c>
      <c r="E611" s="116">
        <v>896</v>
      </c>
      <c r="F611" s="116">
        <v>868.85</v>
      </c>
      <c r="G611">
        <v>10071</v>
      </c>
      <c r="H611" s="116"/>
      <c r="I611" s="116"/>
      <c r="L611" s="170">
        <v>45604</v>
      </c>
      <c r="M611" s="116">
        <v>869.05</v>
      </c>
      <c r="N611" s="116">
        <v>897.25</v>
      </c>
      <c r="O611" s="116">
        <v>860.45</v>
      </c>
      <c r="P611" s="116">
        <v>897.2</v>
      </c>
      <c r="Q611" s="116">
        <v>869.05</v>
      </c>
      <c r="R611">
        <v>92094</v>
      </c>
    </row>
    <row r="612" spans="1:18" x14ac:dyDescent="0.25">
      <c r="A612" s="170">
        <v>45607</v>
      </c>
      <c r="B612" s="116">
        <v>905.7</v>
      </c>
      <c r="C612" s="116">
        <v>895</v>
      </c>
      <c r="D612" s="116">
        <v>852.55</v>
      </c>
      <c r="E612" s="116">
        <v>852.55</v>
      </c>
      <c r="F612" s="116">
        <v>895</v>
      </c>
      <c r="G612">
        <v>4888</v>
      </c>
      <c r="H612" s="116"/>
      <c r="I612" s="116"/>
      <c r="L612" s="170">
        <v>45607</v>
      </c>
      <c r="M612" s="116">
        <v>898.35</v>
      </c>
      <c r="N612" s="116">
        <v>905.45</v>
      </c>
      <c r="O612" s="116">
        <v>863.5</v>
      </c>
      <c r="P612" s="116">
        <v>874</v>
      </c>
      <c r="Q612" s="116">
        <v>898.35</v>
      </c>
      <c r="R612">
        <v>150564</v>
      </c>
    </row>
    <row r="613" spans="1:18" x14ac:dyDescent="0.25">
      <c r="A613" s="170">
        <v>45608</v>
      </c>
      <c r="B613" s="116">
        <v>898.75</v>
      </c>
      <c r="C613" s="116">
        <v>883.2</v>
      </c>
      <c r="D613" s="116">
        <v>876.3</v>
      </c>
      <c r="E613" s="116">
        <v>895.55</v>
      </c>
      <c r="F613" s="116">
        <v>883.2</v>
      </c>
      <c r="G613">
        <v>2416</v>
      </c>
      <c r="H613" s="116"/>
      <c r="I613" s="116"/>
      <c r="L613" s="170">
        <v>45608</v>
      </c>
      <c r="M613" s="116">
        <v>880.7</v>
      </c>
      <c r="N613" s="116">
        <v>900</v>
      </c>
      <c r="O613" s="116">
        <v>874.45</v>
      </c>
      <c r="P613" s="116">
        <v>895</v>
      </c>
      <c r="Q613" s="116">
        <v>880.7</v>
      </c>
      <c r="R613">
        <v>53708</v>
      </c>
    </row>
    <row r="614" spans="1:18" x14ac:dyDescent="0.25">
      <c r="A614" s="170">
        <v>45609</v>
      </c>
      <c r="B614" s="116">
        <v>894.85</v>
      </c>
      <c r="C614" s="116">
        <v>880.95</v>
      </c>
      <c r="D614" s="116">
        <v>847</v>
      </c>
      <c r="E614" s="116">
        <v>865.25</v>
      </c>
      <c r="F614" s="116">
        <v>880.95</v>
      </c>
      <c r="G614">
        <v>15407</v>
      </c>
      <c r="H614" s="116"/>
      <c r="I614" s="116"/>
      <c r="L614" s="170">
        <v>45609</v>
      </c>
      <c r="M614" s="116">
        <v>881.55</v>
      </c>
      <c r="N614" s="116">
        <v>895</v>
      </c>
      <c r="O614" s="116">
        <v>847</v>
      </c>
      <c r="P614" s="116">
        <v>862</v>
      </c>
      <c r="Q614" s="116">
        <v>881.55</v>
      </c>
      <c r="R614">
        <v>142063</v>
      </c>
    </row>
    <row r="615" spans="1:18" x14ac:dyDescent="0.25">
      <c r="A615" s="170">
        <v>45610</v>
      </c>
      <c r="B615" s="116">
        <v>893.8</v>
      </c>
      <c r="C615" s="116">
        <v>883.1</v>
      </c>
      <c r="D615" s="116">
        <v>860</v>
      </c>
      <c r="E615" s="116">
        <v>860</v>
      </c>
      <c r="F615" s="116">
        <v>883.1</v>
      </c>
      <c r="G615">
        <v>5467</v>
      </c>
      <c r="H615" s="116"/>
      <c r="I615" s="116"/>
      <c r="L615" s="170">
        <v>45610</v>
      </c>
      <c r="M615" s="116">
        <v>888.05</v>
      </c>
      <c r="N615" s="116">
        <v>893.65</v>
      </c>
      <c r="O615" s="116">
        <v>863.55</v>
      </c>
      <c r="P615" s="116">
        <v>877.6</v>
      </c>
      <c r="Q615" s="116">
        <v>888.05</v>
      </c>
      <c r="R615">
        <v>101987</v>
      </c>
    </row>
    <row r="616" spans="1:18" x14ac:dyDescent="0.25">
      <c r="A616" s="170">
        <v>45614</v>
      </c>
      <c r="B616" s="116">
        <v>909.8</v>
      </c>
      <c r="C616" s="116">
        <v>881.45</v>
      </c>
      <c r="D616" s="116">
        <v>864.05</v>
      </c>
      <c r="E616" s="116">
        <v>909.8</v>
      </c>
      <c r="F616" s="116">
        <v>881.45</v>
      </c>
      <c r="G616">
        <v>4913</v>
      </c>
      <c r="H616" s="116"/>
      <c r="I616" s="116"/>
      <c r="L616" s="170">
        <v>45614</v>
      </c>
      <c r="M616" s="116">
        <v>880.55</v>
      </c>
      <c r="N616" s="116">
        <v>888</v>
      </c>
      <c r="O616" s="116">
        <v>863</v>
      </c>
      <c r="P616" s="116">
        <v>887.9</v>
      </c>
      <c r="Q616" s="116">
        <v>880.55</v>
      </c>
      <c r="R616">
        <v>96866</v>
      </c>
    </row>
    <row r="617" spans="1:18" x14ac:dyDescent="0.25">
      <c r="A617" s="170">
        <v>45615</v>
      </c>
      <c r="B617" s="116">
        <v>911.55</v>
      </c>
      <c r="C617" s="116">
        <v>886.75</v>
      </c>
      <c r="D617" s="116">
        <v>865.05</v>
      </c>
      <c r="E617" s="116">
        <v>865.05</v>
      </c>
      <c r="F617" s="116">
        <v>886.75</v>
      </c>
      <c r="G617">
        <v>13241</v>
      </c>
      <c r="H617" s="116"/>
      <c r="I617" s="116"/>
      <c r="L617" s="170">
        <v>45615</v>
      </c>
      <c r="M617" s="116">
        <v>887.85</v>
      </c>
      <c r="N617" s="116">
        <v>914</v>
      </c>
      <c r="O617" s="116">
        <v>873.55</v>
      </c>
      <c r="P617" s="116">
        <v>876.9</v>
      </c>
      <c r="Q617" s="116">
        <v>887.85</v>
      </c>
      <c r="R617">
        <v>187393</v>
      </c>
    </row>
    <row r="618" spans="1:18" x14ac:dyDescent="0.25">
      <c r="A618" s="170">
        <v>45617</v>
      </c>
      <c r="B618" s="116">
        <v>885.45</v>
      </c>
      <c r="C618" s="116">
        <v>873</v>
      </c>
      <c r="D618" s="116">
        <v>868.4</v>
      </c>
      <c r="E618" s="116">
        <v>880.05</v>
      </c>
      <c r="F618" s="116">
        <v>873</v>
      </c>
      <c r="G618">
        <v>7456</v>
      </c>
      <c r="H618" s="116"/>
      <c r="I618" s="116"/>
      <c r="L618" s="170">
        <v>45617</v>
      </c>
      <c r="M618" s="116">
        <v>870.75</v>
      </c>
      <c r="N618" s="116">
        <v>887.85</v>
      </c>
      <c r="O618" s="116">
        <v>866.55</v>
      </c>
      <c r="P618" s="116">
        <v>887.85</v>
      </c>
      <c r="Q618" s="116">
        <v>870.75</v>
      </c>
      <c r="R618">
        <v>83124</v>
      </c>
    </row>
    <row r="619" spans="1:18" x14ac:dyDescent="0.25">
      <c r="A619" s="170">
        <v>45618</v>
      </c>
      <c r="B619" s="116">
        <v>886.95</v>
      </c>
      <c r="C619" s="116">
        <v>874.4</v>
      </c>
      <c r="D619" s="116">
        <v>866.25</v>
      </c>
      <c r="E619" s="116">
        <v>880</v>
      </c>
      <c r="F619" s="116">
        <v>874.4</v>
      </c>
      <c r="G619">
        <v>6924</v>
      </c>
      <c r="H619" s="116"/>
      <c r="I619" s="116"/>
      <c r="L619" s="170">
        <v>45618</v>
      </c>
      <c r="M619" s="116">
        <v>874.4</v>
      </c>
      <c r="N619" s="116">
        <v>887.05</v>
      </c>
      <c r="O619" s="116">
        <v>867</v>
      </c>
      <c r="P619" s="116">
        <v>875</v>
      </c>
      <c r="Q619" s="116">
        <v>874.4</v>
      </c>
      <c r="R619">
        <v>74370</v>
      </c>
    </row>
    <row r="620" spans="1:18" x14ac:dyDescent="0.25">
      <c r="A620" s="170">
        <v>45621</v>
      </c>
      <c r="B620" s="116">
        <v>893.6</v>
      </c>
      <c r="C620" s="116">
        <v>889</v>
      </c>
      <c r="D620" s="116">
        <v>872.2</v>
      </c>
      <c r="E620" s="116">
        <v>872.2</v>
      </c>
      <c r="F620" s="116">
        <v>889</v>
      </c>
      <c r="G620">
        <v>4782</v>
      </c>
      <c r="H620" s="116"/>
      <c r="I620" s="116"/>
      <c r="L620" s="170">
        <v>45621</v>
      </c>
      <c r="M620" s="116">
        <v>888.6</v>
      </c>
      <c r="N620" s="116">
        <v>894.45</v>
      </c>
      <c r="O620" s="116">
        <v>873.95</v>
      </c>
      <c r="P620" s="116">
        <v>879.9</v>
      </c>
      <c r="Q620" s="116">
        <v>888.6</v>
      </c>
      <c r="R620">
        <v>87018</v>
      </c>
    </row>
    <row r="621" spans="1:18" x14ac:dyDescent="0.25">
      <c r="A621" s="170">
        <v>45622</v>
      </c>
      <c r="B621" s="116">
        <v>907.8</v>
      </c>
      <c r="C621" s="116">
        <v>897</v>
      </c>
      <c r="D621" s="116">
        <v>889.4</v>
      </c>
      <c r="E621" s="116">
        <v>895.55</v>
      </c>
      <c r="F621" s="116">
        <v>897</v>
      </c>
      <c r="G621">
        <v>18308</v>
      </c>
      <c r="H621" s="116"/>
      <c r="I621" s="116"/>
      <c r="L621" s="170">
        <v>45622</v>
      </c>
      <c r="M621" s="116">
        <v>895.35</v>
      </c>
      <c r="N621" s="116">
        <v>908.85</v>
      </c>
      <c r="O621" s="116">
        <v>888.65</v>
      </c>
      <c r="P621" s="116">
        <v>888.65</v>
      </c>
      <c r="Q621" s="116">
        <v>895.35</v>
      </c>
      <c r="R621">
        <v>170535</v>
      </c>
    </row>
    <row r="622" spans="1:18" x14ac:dyDescent="0.25">
      <c r="A622" s="170">
        <v>45623</v>
      </c>
      <c r="B622" s="116">
        <v>908.95</v>
      </c>
      <c r="C622" s="116">
        <v>900.25</v>
      </c>
      <c r="D622" s="116">
        <v>878</v>
      </c>
      <c r="E622" s="116">
        <v>878</v>
      </c>
      <c r="F622" s="116">
        <v>900.25</v>
      </c>
      <c r="G622">
        <v>9038</v>
      </c>
      <c r="H622" s="116"/>
      <c r="I622" s="116"/>
      <c r="L622" s="170">
        <v>45623</v>
      </c>
      <c r="M622" s="116">
        <v>899.45</v>
      </c>
      <c r="N622" s="116">
        <v>908</v>
      </c>
      <c r="O622" s="116">
        <v>890</v>
      </c>
      <c r="P622" s="116">
        <v>895.35</v>
      </c>
      <c r="Q622" s="116">
        <v>899.45</v>
      </c>
      <c r="R622">
        <v>121344</v>
      </c>
    </row>
    <row r="623" spans="1:18" x14ac:dyDescent="0.25">
      <c r="A623" s="170">
        <v>45624</v>
      </c>
      <c r="B623" s="116">
        <v>924.1</v>
      </c>
      <c r="C623" s="116">
        <v>891.5</v>
      </c>
      <c r="D623" s="116">
        <v>886</v>
      </c>
      <c r="E623" s="116">
        <v>900.4</v>
      </c>
      <c r="F623" s="116">
        <v>891.5</v>
      </c>
      <c r="G623">
        <v>11828</v>
      </c>
      <c r="H623" s="116"/>
      <c r="I623" s="116"/>
      <c r="L623" s="170">
        <v>45624</v>
      </c>
      <c r="M623" s="116">
        <v>891.65</v>
      </c>
      <c r="N623" s="116">
        <v>924</v>
      </c>
      <c r="O623" s="116">
        <v>886.95</v>
      </c>
      <c r="P623" s="116">
        <v>905</v>
      </c>
      <c r="Q623" s="116">
        <v>891.65</v>
      </c>
      <c r="R623">
        <v>125689</v>
      </c>
    </row>
    <row r="624" spans="1:18" x14ac:dyDescent="0.25">
      <c r="A624" s="170">
        <v>45625</v>
      </c>
      <c r="B624" s="116">
        <v>894.7</v>
      </c>
      <c r="C624" s="116">
        <v>883.3</v>
      </c>
      <c r="D624" s="116">
        <v>876.25</v>
      </c>
      <c r="E624" s="116">
        <v>876.25</v>
      </c>
      <c r="F624" s="116">
        <v>883.3</v>
      </c>
      <c r="G624">
        <v>3168</v>
      </c>
      <c r="H624" s="116"/>
      <c r="I624" s="116"/>
      <c r="L624" s="170">
        <v>45625</v>
      </c>
      <c r="M624" s="116">
        <v>882.35</v>
      </c>
      <c r="N624" s="116">
        <v>895</v>
      </c>
      <c r="O624" s="116">
        <v>878</v>
      </c>
      <c r="P624" s="116">
        <v>891</v>
      </c>
      <c r="Q624" s="116">
        <v>882.35</v>
      </c>
      <c r="R624">
        <v>76510</v>
      </c>
    </row>
    <row r="625" spans="1:18" x14ac:dyDescent="0.25">
      <c r="A625" s="170">
        <v>45628</v>
      </c>
      <c r="B625" s="116">
        <v>888.25</v>
      </c>
      <c r="C625" s="116">
        <v>885.4</v>
      </c>
      <c r="D625" s="116">
        <v>865.65</v>
      </c>
      <c r="E625" s="116">
        <v>865.65</v>
      </c>
      <c r="F625" s="116">
        <v>885.4</v>
      </c>
      <c r="G625">
        <v>8757</v>
      </c>
      <c r="H625" s="116"/>
      <c r="I625" s="116"/>
      <c r="L625" s="170">
        <v>45628</v>
      </c>
      <c r="M625" s="116">
        <v>886.45</v>
      </c>
      <c r="N625" s="116">
        <v>891</v>
      </c>
      <c r="O625" s="116">
        <v>868</v>
      </c>
      <c r="P625" s="116">
        <v>880</v>
      </c>
      <c r="Q625" s="116">
        <v>886.45</v>
      </c>
      <c r="R625">
        <v>66152</v>
      </c>
    </row>
    <row r="626" spans="1:18" x14ac:dyDescent="0.25">
      <c r="A626" s="170">
        <v>45629</v>
      </c>
      <c r="B626" s="116">
        <v>908.2</v>
      </c>
      <c r="C626" s="116">
        <v>894.95</v>
      </c>
      <c r="D626" s="116">
        <v>878.45</v>
      </c>
      <c r="E626" s="116">
        <v>880</v>
      </c>
      <c r="F626" s="116">
        <v>894.95</v>
      </c>
      <c r="G626">
        <v>6640</v>
      </c>
      <c r="H626" s="116"/>
      <c r="I626" s="116"/>
      <c r="L626" s="170">
        <v>45629</v>
      </c>
      <c r="M626" s="116">
        <v>895.5</v>
      </c>
      <c r="N626" s="116">
        <v>909.8</v>
      </c>
      <c r="O626" s="116">
        <v>875.1</v>
      </c>
      <c r="P626" s="116">
        <v>884.8</v>
      </c>
      <c r="Q626" s="116">
        <v>895.5</v>
      </c>
      <c r="R626">
        <v>235084</v>
      </c>
    </row>
    <row r="627" spans="1:18" x14ac:dyDescent="0.25">
      <c r="A627" s="170">
        <v>45630</v>
      </c>
      <c r="B627" s="116">
        <v>915.7</v>
      </c>
      <c r="C627" s="116">
        <v>892.3</v>
      </c>
      <c r="D627" s="116">
        <v>890</v>
      </c>
      <c r="E627" s="116">
        <v>902.6</v>
      </c>
      <c r="F627" s="116">
        <v>892.3</v>
      </c>
      <c r="G627">
        <v>7897</v>
      </c>
      <c r="H627" s="116"/>
      <c r="I627" s="116"/>
      <c r="L627" s="170">
        <v>45630</v>
      </c>
      <c r="M627" s="116">
        <v>891.9</v>
      </c>
      <c r="N627" s="116">
        <v>914.9</v>
      </c>
      <c r="O627" s="116">
        <v>888</v>
      </c>
      <c r="P627" s="116">
        <v>895</v>
      </c>
      <c r="Q627" s="116">
        <v>891.9</v>
      </c>
      <c r="R627">
        <v>124995</v>
      </c>
    </row>
    <row r="628" spans="1:18" x14ac:dyDescent="0.25">
      <c r="A628" s="170">
        <v>45631</v>
      </c>
      <c r="B628" s="116">
        <v>896.7</v>
      </c>
      <c r="C628" s="116">
        <v>889.35</v>
      </c>
      <c r="D628" s="116">
        <v>886.8</v>
      </c>
      <c r="E628" s="116">
        <v>892.9</v>
      </c>
      <c r="F628" s="116">
        <v>889.35</v>
      </c>
      <c r="G628">
        <v>5142</v>
      </c>
      <c r="H628" s="116"/>
      <c r="I628" s="116"/>
      <c r="L628" s="170">
        <v>45631</v>
      </c>
      <c r="M628" s="116">
        <v>889.6</v>
      </c>
      <c r="N628" s="116">
        <v>897.5</v>
      </c>
      <c r="O628" s="116">
        <v>886.1</v>
      </c>
      <c r="P628" s="116">
        <v>893.25</v>
      </c>
      <c r="Q628" s="116">
        <v>889.6</v>
      </c>
      <c r="R628">
        <v>56506</v>
      </c>
    </row>
    <row r="629" spans="1:18" x14ac:dyDescent="0.25">
      <c r="A629" s="170">
        <v>45632</v>
      </c>
      <c r="B629" s="116">
        <v>894.95</v>
      </c>
      <c r="C629" s="116">
        <v>885.7</v>
      </c>
      <c r="D629" s="116">
        <v>883.7</v>
      </c>
      <c r="E629" s="116">
        <v>886</v>
      </c>
      <c r="F629" s="116">
        <v>885.7</v>
      </c>
      <c r="G629">
        <v>1275</v>
      </c>
      <c r="H629" s="116"/>
      <c r="I629" s="116"/>
      <c r="L629" s="170">
        <v>45632</v>
      </c>
      <c r="M629" s="116">
        <v>887.4</v>
      </c>
      <c r="N629" s="116">
        <v>895</v>
      </c>
      <c r="O629" s="116">
        <v>882</v>
      </c>
      <c r="P629" s="116">
        <v>890</v>
      </c>
      <c r="Q629" s="116">
        <v>887.4</v>
      </c>
      <c r="R629">
        <v>73723</v>
      </c>
    </row>
    <row r="630" spans="1:18" x14ac:dyDescent="0.25">
      <c r="A630" s="170">
        <v>45635</v>
      </c>
      <c r="B630" s="116">
        <v>938.2</v>
      </c>
      <c r="C630" s="116">
        <v>900.5</v>
      </c>
      <c r="D630" s="116">
        <v>871.5</v>
      </c>
      <c r="E630" s="116">
        <v>871.5</v>
      </c>
      <c r="F630" s="116">
        <v>900.5</v>
      </c>
      <c r="G630">
        <v>10092</v>
      </c>
      <c r="H630" s="116"/>
      <c r="I630" s="116"/>
      <c r="L630" s="170">
        <v>45635</v>
      </c>
      <c r="M630" s="116">
        <v>903.15</v>
      </c>
      <c r="N630" s="116">
        <v>910</v>
      </c>
      <c r="O630" s="116">
        <v>882.1</v>
      </c>
      <c r="P630" s="116">
        <v>898</v>
      </c>
      <c r="Q630" s="116">
        <v>903.15</v>
      </c>
      <c r="R630">
        <v>228343</v>
      </c>
    </row>
    <row r="631" spans="1:18" x14ac:dyDescent="0.25">
      <c r="A631" s="170">
        <v>45636</v>
      </c>
      <c r="B631" s="116">
        <v>920</v>
      </c>
      <c r="C631" s="116">
        <v>903.25</v>
      </c>
      <c r="D631" s="116">
        <v>894.05</v>
      </c>
      <c r="E631" s="116">
        <v>915.25</v>
      </c>
      <c r="F631" s="116">
        <v>903.25</v>
      </c>
      <c r="G631">
        <v>6723</v>
      </c>
      <c r="H631" s="116"/>
      <c r="I631" s="116"/>
      <c r="L631" s="170">
        <v>45636</v>
      </c>
      <c r="M631" s="116">
        <v>904.7</v>
      </c>
      <c r="N631" s="116">
        <v>920.9</v>
      </c>
      <c r="O631" s="116">
        <v>892.9</v>
      </c>
      <c r="P631" s="116">
        <v>905.5</v>
      </c>
      <c r="Q631" s="116">
        <v>904.7</v>
      </c>
      <c r="R631">
        <v>276991</v>
      </c>
    </row>
    <row r="632" spans="1:18" x14ac:dyDescent="0.25">
      <c r="A632" s="170">
        <v>45637</v>
      </c>
      <c r="B632" s="116">
        <v>920.8</v>
      </c>
      <c r="C632" s="116">
        <v>908.25</v>
      </c>
      <c r="D632" s="116">
        <v>900.25</v>
      </c>
      <c r="E632" s="116">
        <v>914.55</v>
      </c>
      <c r="F632" s="116">
        <v>908.25</v>
      </c>
      <c r="G632">
        <v>4039</v>
      </c>
      <c r="H632" s="116"/>
      <c r="I632" s="116"/>
      <c r="L632" s="170">
        <v>45637</v>
      </c>
      <c r="M632" s="116">
        <v>908.55</v>
      </c>
      <c r="N632" s="116">
        <v>920.9</v>
      </c>
      <c r="O632" s="116">
        <v>900</v>
      </c>
      <c r="P632" s="116">
        <v>904.7</v>
      </c>
      <c r="Q632" s="116">
        <v>908.55</v>
      </c>
      <c r="R632">
        <v>159591</v>
      </c>
    </row>
    <row r="633" spans="1:18" x14ac:dyDescent="0.25">
      <c r="A633" s="170">
        <v>45638</v>
      </c>
      <c r="B633" s="116">
        <v>935.8</v>
      </c>
      <c r="C633" s="116">
        <v>930.85</v>
      </c>
      <c r="D633" s="116">
        <v>901.7</v>
      </c>
      <c r="E633" s="116">
        <v>917.95</v>
      </c>
      <c r="F633" s="116">
        <v>930.85</v>
      </c>
      <c r="G633">
        <v>3682</v>
      </c>
      <c r="H633" s="116"/>
      <c r="I633" s="116"/>
      <c r="L633" s="170">
        <v>45638</v>
      </c>
      <c r="M633" s="116">
        <v>928.75</v>
      </c>
      <c r="N633" s="116">
        <v>937.9</v>
      </c>
      <c r="O633" s="116">
        <v>901.5</v>
      </c>
      <c r="P633" s="116">
        <v>915</v>
      </c>
      <c r="Q633" s="116">
        <v>928.75</v>
      </c>
      <c r="R633">
        <v>259432</v>
      </c>
    </row>
    <row r="634" spans="1:18" x14ac:dyDescent="0.25">
      <c r="A634" s="170">
        <v>45639</v>
      </c>
      <c r="B634" s="116">
        <v>970</v>
      </c>
      <c r="C634" s="116">
        <v>947.8</v>
      </c>
      <c r="D634" s="116">
        <v>921.05</v>
      </c>
      <c r="E634" s="116">
        <v>926.05</v>
      </c>
      <c r="F634" s="116">
        <v>947.8</v>
      </c>
      <c r="G634">
        <v>54518</v>
      </c>
      <c r="H634" s="116"/>
      <c r="I634" s="116"/>
      <c r="L634" s="170">
        <v>45639</v>
      </c>
      <c r="M634" s="116">
        <v>947.4</v>
      </c>
      <c r="N634" s="116">
        <v>969.85</v>
      </c>
      <c r="O634" s="116">
        <v>921.3</v>
      </c>
      <c r="P634" s="116">
        <v>928</v>
      </c>
      <c r="Q634" s="116">
        <v>947.4</v>
      </c>
      <c r="R634">
        <v>762546</v>
      </c>
    </row>
    <row r="635" spans="1:18" x14ac:dyDescent="0.25">
      <c r="A635" s="170">
        <v>45642</v>
      </c>
      <c r="B635" s="116">
        <v>959</v>
      </c>
      <c r="C635" s="116">
        <v>940.35</v>
      </c>
      <c r="D635" s="116">
        <v>930.9</v>
      </c>
      <c r="E635" s="116">
        <v>947.8</v>
      </c>
      <c r="F635" s="116">
        <v>940.35</v>
      </c>
      <c r="G635">
        <v>14707</v>
      </c>
      <c r="H635" s="116"/>
      <c r="I635" s="116"/>
      <c r="L635" s="170">
        <v>45642</v>
      </c>
      <c r="M635" s="116">
        <v>940.25</v>
      </c>
      <c r="N635" s="116">
        <v>958.15</v>
      </c>
      <c r="O635" s="116">
        <v>931</v>
      </c>
      <c r="P635" s="116">
        <v>958.15</v>
      </c>
      <c r="Q635" s="116">
        <v>940.25</v>
      </c>
      <c r="R635">
        <v>141032</v>
      </c>
    </row>
    <row r="636" spans="1:18" x14ac:dyDescent="0.25">
      <c r="A636" s="170">
        <v>45643</v>
      </c>
      <c r="B636" s="116">
        <v>1023.55</v>
      </c>
      <c r="C636" s="116">
        <v>982.8</v>
      </c>
      <c r="D636" s="116">
        <v>931.4</v>
      </c>
      <c r="E636" s="116">
        <v>937.5</v>
      </c>
      <c r="F636" s="116">
        <v>982.8</v>
      </c>
      <c r="G636">
        <v>75095</v>
      </c>
      <c r="H636" s="116"/>
      <c r="I636" s="116"/>
      <c r="L636" s="170">
        <v>45643</v>
      </c>
      <c r="M636" s="116">
        <v>983.35</v>
      </c>
      <c r="N636" s="116">
        <v>1024</v>
      </c>
      <c r="O636" s="116">
        <v>932.5</v>
      </c>
      <c r="P636" s="116">
        <v>941.95</v>
      </c>
      <c r="Q636" s="116">
        <v>983.35</v>
      </c>
      <c r="R636">
        <v>1113889</v>
      </c>
    </row>
    <row r="637" spans="1:18" x14ac:dyDescent="0.25">
      <c r="A637" s="170">
        <v>45644</v>
      </c>
      <c r="B637" s="116">
        <v>999.95</v>
      </c>
      <c r="C637" s="116">
        <v>955</v>
      </c>
      <c r="D637" s="116">
        <v>954</v>
      </c>
      <c r="E637" s="116">
        <v>999.95</v>
      </c>
      <c r="F637" s="116">
        <v>955</v>
      </c>
      <c r="G637">
        <v>12490</v>
      </c>
      <c r="H637" s="116"/>
      <c r="I637" s="116"/>
      <c r="L637" s="170">
        <v>45644</v>
      </c>
      <c r="M637" s="116">
        <v>956.65</v>
      </c>
      <c r="N637" s="116">
        <v>992.5</v>
      </c>
      <c r="O637" s="116">
        <v>952.3</v>
      </c>
      <c r="P637" s="116">
        <v>985</v>
      </c>
      <c r="Q637" s="116">
        <v>956.65</v>
      </c>
      <c r="R637">
        <v>171392</v>
      </c>
    </row>
    <row r="638" spans="1:18" x14ac:dyDescent="0.25">
      <c r="A638" s="170">
        <v>45645</v>
      </c>
      <c r="B638" s="116">
        <v>996.05</v>
      </c>
      <c r="C638" s="116">
        <v>989.5</v>
      </c>
      <c r="D638" s="116">
        <v>934.7</v>
      </c>
      <c r="E638" s="116">
        <v>940</v>
      </c>
      <c r="F638" s="116">
        <v>989.5</v>
      </c>
      <c r="G638">
        <v>20504</v>
      </c>
      <c r="H638" s="116"/>
      <c r="I638" s="116"/>
      <c r="L638" s="170">
        <v>45645</v>
      </c>
      <c r="M638" s="116">
        <v>990.45</v>
      </c>
      <c r="N638" s="116">
        <v>1000</v>
      </c>
      <c r="O638" s="116">
        <v>932</v>
      </c>
      <c r="P638" s="116">
        <v>932</v>
      </c>
      <c r="Q638" s="116">
        <v>990.45</v>
      </c>
      <c r="R638">
        <v>392191</v>
      </c>
    </row>
    <row r="639" spans="1:18" x14ac:dyDescent="0.25">
      <c r="A639" s="170">
        <v>45646</v>
      </c>
      <c r="B639" s="116">
        <v>999.2</v>
      </c>
      <c r="C639" s="116">
        <v>944.3</v>
      </c>
      <c r="D639" s="116">
        <v>940.65</v>
      </c>
      <c r="E639" s="116">
        <v>989.5</v>
      </c>
      <c r="F639" s="116">
        <v>944.3</v>
      </c>
      <c r="G639">
        <v>12092</v>
      </c>
      <c r="H639" s="116"/>
      <c r="I639" s="116"/>
      <c r="L639" s="170">
        <v>45646</v>
      </c>
      <c r="M639" s="116">
        <v>945.45</v>
      </c>
      <c r="N639" s="116">
        <v>1000.05</v>
      </c>
      <c r="O639" s="116">
        <v>937.1</v>
      </c>
      <c r="P639" s="116">
        <v>997.05</v>
      </c>
      <c r="Q639" s="116">
        <v>945.45</v>
      </c>
      <c r="R639">
        <v>267813</v>
      </c>
    </row>
    <row r="640" spans="1:18" x14ac:dyDescent="0.25">
      <c r="A640" s="170">
        <v>45649</v>
      </c>
      <c r="B640" s="116">
        <v>958.95</v>
      </c>
      <c r="C640" s="116">
        <v>922.5</v>
      </c>
      <c r="D640" s="116">
        <v>917.75</v>
      </c>
      <c r="E640" s="116">
        <v>928.2</v>
      </c>
      <c r="F640" s="116">
        <v>922.5</v>
      </c>
      <c r="G640">
        <v>13707</v>
      </c>
      <c r="H640" s="116"/>
      <c r="I640" s="116"/>
      <c r="L640" s="170">
        <v>45649</v>
      </c>
      <c r="M640" s="116">
        <v>924.2</v>
      </c>
      <c r="N640" s="116">
        <v>966.7</v>
      </c>
      <c r="O640" s="116">
        <v>917</v>
      </c>
      <c r="P640" s="116">
        <v>958.7</v>
      </c>
      <c r="Q640" s="116">
        <v>924.2</v>
      </c>
      <c r="R640">
        <v>294797</v>
      </c>
    </row>
    <row r="641" spans="1:18" x14ac:dyDescent="0.25">
      <c r="A641" s="170">
        <v>45650</v>
      </c>
      <c r="B641" s="116">
        <v>939.95</v>
      </c>
      <c r="C641" s="116">
        <v>918.5</v>
      </c>
      <c r="D641" s="116">
        <v>908.05</v>
      </c>
      <c r="E641" s="116">
        <v>939.95</v>
      </c>
      <c r="F641" s="116">
        <v>918.5</v>
      </c>
      <c r="G641">
        <v>4231</v>
      </c>
      <c r="H641" s="116"/>
      <c r="I641" s="116"/>
      <c r="L641" s="170">
        <v>45650</v>
      </c>
      <c r="M641" s="116">
        <v>919.35</v>
      </c>
      <c r="N641" s="116">
        <v>928.95</v>
      </c>
      <c r="O641" s="116">
        <v>908</v>
      </c>
      <c r="P641" s="116">
        <v>925.5</v>
      </c>
      <c r="Q641" s="116">
        <v>919.35</v>
      </c>
      <c r="R641">
        <v>126276</v>
      </c>
    </row>
    <row r="642" spans="1:18" x14ac:dyDescent="0.25">
      <c r="A642" s="170">
        <v>45652</v>
      </c>
      <c r="B642" s="116">
        <v>937.75</v>
      </c>
      <c r="C642" s="116">
        <v>918.25</v>
      </c>
      <c r="D642" s="116">
        <v>900.7</v>
      </c>
      <c r="E642" s="116">
        <v>937.75</v>
      </c>
      <c r="F642" s="116">
        <v>918.25</v>
      </c>
      <c r="G642">
        <v>4783</v>
      </c>
      <c r="H642" s="116"/>
      <c r="I642" s="116"/>
      <c r="L642" s="170">
        <v>45652</v>
      </c>
      <c r="M642" s="116">
        <v>919.55</v>
      </c>
      <c r="N642" s="116">
        <v>933.95</v>
      </c>
      <c r="O642" s="116">
        <v>900.2</v>
      </c>
      <c r="P642" s="116">
        <v>919.4</v>
      </c>
      <c r="Q642" s="116">
        <v>919.55</v>
      </c>
      <c r="R642">
        <v>149192</v>
      </c>
    </row>
    <row r="643" spans="1:18" x14ac:dyDescent="0.25">
      <c r="A643" s="170">
        <v>45653</v>
      </c>
      <c r="B643" s="116">
        <v>940.8</v>
      </c>
      <c r="C643" s="116">
        <v>933.4</v>
      </c>
      <c r="D643" s="116">
        <v>915</v>
      </c>
      <c r="E643" s="116">
        <v>922.65</v>
      </c>
      <c r="F643" s="116">
        <v>933.4</v>
      </c>
      <c r="G643">
        <v>5930</v>
      </c>
      <c r="H643" s="116"/>
      <c r="I643" s="116"/>
      <c r="L643" s="170">
        <v>45653</v>
      </c>
      <c r="M643" s="116">
        <v>932.85</v>
      </c>
      <c r="N643" s="116">
        <v>941.05</v>
      </c>
      <c r="O643" s="116">
        <v>914</v>
      </c>
      <c r="P643" s="116">
        <v>927.85</v>
      </c>
      <c r="Q643" s="116">
        <v>932.85</v>
      </c>
      <c r="R643">
        <v>132379</v>
      </c>
    </row>
    <row r="644" spans="1:18" x14ac:dyDescent="0.25">
      <c r="A644" s="170">
        <v>45656</v>
      </c>
      <c r="B644" s="116">
        <v>933.15</v>
      </c>
      <c r="C644" s="116">
        <v>916.8</v>
      </c>
      <c r="D644" s="116">
        <v>912.3</v>
      </c>
      <c r="E644" s="116">
        <v>933.05</v>
      </c>
      <c r="F644" s="116">
        <v>916.8</v>
      </c>
      <c r="G644">
        <v>8802</v>
      </c>
      <c r="H644" s="116"/>
      <c r="I644" s="116"/>
      <c r="L644" s="170">
        <v>45656</v>
      </c>
      <c r="M644" s="116">
        <v>916.8</v>
      </c>
      <c r="N644" s="116">
        <v>939.7</v>
      </c>
      <c r="O644" s="116">
        <v>912.4</v>
      </c>
      <c r="P644" s="116">
        <v>939.7</v>
      </c>
      <c r="Q644" s="116">
        <v>916.8</v>
      </c>
      <c r="R644">
        <v>73379</v>
      </c>
    </row>
    <row r="645" spans="1:18" x14ac:dyDescent="0.25">
      <c r="A645" s="170">
        <v>45657</v>
      </c>
      <c r="B645" s="116">
        <v>940</v>
      </c>
      <c r="C645" s="116">
        <v>935</v>
      </c>
      <c r="D645" s="116">
        <v>905</v>
      </c>
      <c r="E645" s="116">
        <v>905.25</v>
      </c>
      <c r="F645" s="116">
        <v>935</v>
      </c>
      <c r="G645">
        <v>10173</v>
      </c>
      <c r="H645" s="116"/>
      <c r="I645" s="116"/>
      <c r="L645" s="170">
        <v>45657</v>
      </c>
      <c r="M645" s="116">
        <v>935.35</v>
      </c>
      <c r="N645" s="116">
        <v>938</v>
      </c>
      <c r="O645" s="116">
        <v>905</v>
      </c>
      <c r="P645" s="116">
        <v>905</v>
      </c>
      <c r="Q645" s="116">
        <v>935.35</v>
      </c>
      <c r="R645">
        <v>94602</v>
      </c>
    </row>
    <row r="646" spans="1:18" x14ac:dyDescent="0.25">
      <c r="A646" s="170">
        <v>45658</v>
      </c>
      <c r="B646" s="116">
        <v>947.65</v>
      </c>
      <c r="C646" s="116">
        <v>935.4</v>
      </c>
      <c r="D646" s="116">
        <v>930</v>
      </c>
      <c r="E646" s="116">
        <v>930</v>
      </c>
      <c r="F646" s="116">
        <v>935.4</v>
      </c>
      <c r="G646">
        <v>5315</v>
      </c>
      <c r="H646" s="116"/>
      <c r="I646" s="116"/>
      <c r="L646" s="170">
        <v>45658</v>
      </c>
      <c r="M646" s="116">
        <v>934.4</v>
      </c>
      <c r="N646" s="116">
        <v>949</v>
      </c>
      <c r="O646" s="116">
        <v>929.8</v>
      </c>
      <c r="P646" s="116">
        <v>935.35</v>
      </c>
      <c r="Q646" s="116">
        <v>934.4</v>
      </c>
      <c r="R646">
        <v>68914</v>
      </c>
    </row>
    <row r="647" spans="1:18" x14ac:dyDescent="0.25">
      <c r="A647" s="170">
        <v>45659</v>
      </c>
      <c r="B647" s="116">
        <v>965.5</v>
      </c>
      <c r="C647" s="116">
        <v>961.65</v>
      </c>
      <c r="D647" s="116">
        <v>935</v>
      </c>
      <c r="E647" s="116">
        <v>939.45</v>
      </c>
      <c r="F647" s="116">
        <v>961.65</v>
      </c>
      <c r="G647">
        <v>11687</v>
      </c>
      <c r="H647" s="116"/>
      <c r="I647" s="116"/>
      <c r="L647" s="170">
        <v>45659</v>
      </c>
      <c r="M647" s="116">
        <v>962.2</v>
      </c>
      <c r="N647" s="116">
        <v>966</v>
      </c>
      <c r="O647" s="116">
        <v>933.35</v>
      </c>
      <c r="P647" s="116">
        <v>935.45</v>
      </c>
      <c r="Q647" s="116">
        <v>962.2</v>
      </c>
      <c r="R647">
        <v>100549</v>
      </c>
    </row>
    <row r="648" spans="1:18" x14ac:dyDescent="0.25">
      <c r="A648" s="170">
        <v>45660</v>
      </c>
      <c r="B648" s="116">
        <v>980.95</v>
      </c>
      <c r="C648" s="116">
        <v>953.25</v>
      </c>
      <c r="D648" s="116">
        <v>945.55</v>
      </c>
      <c r="E648" s="116">
        <v>980.95</v>
      </c>
      <c r="F648" s="116">
        <v>953.25</v>
      </c>
      <c r="G648">
        <v>4843</v>
      </c>
      <c r="H648" s="116"/>
      <c r="I648" s="116"/>
      <c r="L648" s="170">
        <v>45660</v>
      </c>
      <c r="M648" s="116">
        <v>954.7</v>
      </c>
      <c r="N648" s="116">
        <v>976.6</v>
      </c>
      <c r="O648" s="116">
        <v>950</v>
      </c>
      <c r="P648" s="116">
        <v>975</v>
      </c>
      <c r="Q648" s="116">
        <v>954.7</v>
      </c>
      <c r="R648">
        <v>69107</v>
      </c>
    </row>
    <row r="649" spans="1:18" x14ac:dyDescent="0.25">
      <c r="A649" s="170">
        <v>45663</v>
      </c>
      <c r="B649" s="116">
        <v>972.35</v>
      </c>
      <c r="C649" s="116">
        <v>920.65</v>
      </c>
      <c r="D649" s="116">
        <v>896.5</v>
      </c>
      <c r="E649" s="116">
        <v>972.35</v>
      </c>
      <c r="F649" s="116">
        <v>920.65</v>
      </c>
      <c r="G649">
        <v>6966</v>
      </c>
      <c r="H649" s="116"/>
      <c r="I649" s="116"/>
      <c r="L649" s="170">
        <v>45663</v>
      </c>
      <c r="M649" s="116">
        <v>925.8</v>
      </c>
      <c r="N649" s="116">
        <v>961.75</v>
      </c>
      <c r="O649" s="116">
        <v>895.9</v>
      </c>
      <c r="P649" s="116">
        <v>950.05</v>
      </c>
      <c r="Q649" s="116">
        <v>925.8</v>
      </c>
      <c r="R649">
        <v>234473</v>
      </c>
    </row>
    <row r="650" spans="1:18" x14ac:dyDescent="0.25">
      <c r="A650" s="170">
        <v>45664</v>
      </c>
      <c r="B650" s="116">
        <v>954</v>
      </c>
      <c r="C650" s="116">
        <v>941.35</v>
      </c>
      <c r="D650" s="116">
        <v>902.7</v>
      </c>
      <c r="E650" s="116">
        <v>902.7</v>
      </c>
      <c r="F650" s="116">
        <v>941.35</v>
      </c>
      <c r="G650">
        <v>4403</v>
      </c>
      <c r="H650" s="116"/>
      <c r="I650" s="116"/>
      <c r="L650" s="170">
        <v>45664</v>
      </c>
      <c r="M650" s="116">
        <v>941.55</v>
      </c>
      <c r="N650" s="116">
        <v>954.95</v>
      </c>
      <c r="O650" s="116">
        <v>920.55</v>
      </c>
      <c r="P650" s="116">
        <v>921</v>
      </c>
      <c r="Q650" s="116">
        <v>941.55</v>
      </c>
      <c r="R650">
        <v>73154</v>
      </c>
    </row>
    <row r="651" spans="1:18" x14ac:dyDescent="0.25">
      <c r="A651" s="170">
        <v>45665</v>
      </c>
      <c r="B651" s="116">
        <v>955</v>
      </c>
      <c r="C651" s="116">
        <v>945.45</v>
      </c>
      <c r="D651" s="116">
        <v>927.6</v>
      </c>
      <c r="E651" s="116">
        <v>952.2</v>
      </c>
      <c r="F651" s="116">
        <v>945.45</v>
      </c>
      <c r="G651">
        <v>3753</v>
      </c>
      <c r="H651" s="116"/>
      <c r="I651" s="116"/>
      <c r="L651" s="170">
        <v>45665</v>
      </c>
      <c r="M651" s="116">
        <v>944.75</v>
      </c>
      <c r="N651" s="116">
        <v>956.6</v>
      </c>
      <c r="O651" s="116">
        <v>927.6</v>
      </c>
      <c r="P651" s="116">
        <v>938.1</v>
      </c>
      <c r="Q651" s="116">
        <v>944.75</v>
      </c>
      <c r="R651">
        <v>86043</v>
      </c>
    </row>
    <row r="652" spans="1:18" x14ac:dyDescent="0.25">
      <c r="A652" s="170">
        <v>45666</v>
      </c>
      <c r="B652" s="116">
        <v>947.95</v>
      </c>
      <c r="C652" s="116">
        <v>923.6</v>
      </c>
      <c r="D652" s="116">
        <v>920.75</v>
      </c>
      <c r="E652" s="116">
        <v>930.25</v>
      </c>
      <c r="F652" s="116">
        <v>923.6</v>
      </c>
      <c r="G652">
        <v>7509</v>
      </c>
      <c r="H652" s="116"/>
      <c r="I652" s="116"/>
      <c r="L652" s="170">
        <v>45666</v>
      </c>
      <c r="M652" s="116">
        <v>924.3</v>
      </c>
      <c r="N652" s="116">
        <v>946.45</v>
      </c>
      <c r="O652" s="116">
        <v>920</v>
      </c>
      <c r="P652" s="116">
        <v>935</v>
      </c>
      <c r="Q652" s="116">
        <v>924.3</v>
      </c>
      <c r="R652">
        <v>66508</v>
      </c>
    </row>
    <row r="653" spans="1:18" x14ac:dyDescent="0.25">
      <c r="A653" s="170">
        <v>45667</v>
      </c>
      <c r="B653" s="116">
        <v>949.2</v>
      </c>
      <c r="C653" s="116">
        <v>925.4</v>
      </c>
      <c r="D653" s="116">
        <v>890</v>
      </c>
      <c r="E653" s="116">
        <v>901.05</v>
      </c>
      <c r="F653" s="116">
        <v>925.4</v>
      </c>
      <c r="G653">
        <v>10961</v>
      </c>
      <c r="H653" s="116"/>
      <c r="I653" s="116"/>
      <c r="L653" s="170">
        <v>45667</v>
      </c>
      <c r="M653" s="116">
        <v>926.3</v>
      </c>
      <c r="N653" s="116">
        <v>950</v>
      </c>
      <c r="O653" s="116">
        <v>889.65</v>
      </c>
      <c r="P653" s="116">
        <v>920</v>
      </c>
      <c r="Q653" s="116">
        <v>926.3</v>
      </c>
      <c r="R653">
        <v>211521</v>
      </c>
    </row>
    <row r="654" spans="1:18" x14ac:dyDescent="0.25">
      <c r="A654" s="170">
        <v>45670</v>
      </c>
      <c r="B654" s="116">
        <v>918</v>
      </c>
      <c r="C654" s="116">
        <v>896</v>
      </c>
      <c r="D654" s="116">
        <v>882.05</v>
      </c>
      <c r="E654" s="116">
        <v>893.05</v>
      </c>
      <c r="F654" s="116">
        <v>896</v>
      </c>
      <c r="G654">
        <v>6566</v>
      </c>
      <c r="H654" s="116"/>
      <c r="I654" s="116"/>
      <c r="L654" s="170">
        <v>45670</v>
      </c>
      <c r="M654" s="116">
        <v>902.8</v>
      </c>
      <c r="N654" s="116">
        <v>922.45</v>
      </c>
      <c r="O654" s="116">
        <v>882.5</v>
      </c>
      <c r="P654" s="116">
        <v>919.95</v>
      </c>
      <c r="Q654" s="116">
        <v>902.8</v>
      </c>
      <c r="R654">
        <v>162859</v>
      </c>
    </row>
    <row r="655" spans="1:18" x14ac:dyDescent="0.25">
      <c r="A655" s="170">
        <v>45671</v>
      </c>
      <c r="B655" s="116">
        <v>913.95</v>
      </c>
      <c r="C655" s="116">
        <v>904.05</v>
      </c>
      <c r="D655" s="116">
        <v>884</v>
      </c>
      <c r="E655" s="116">
        <v>902.8</v>
      </c>
      <c r="F655" s="116">
        <v>904.05</v>
      </c>
      <c r="G655">
        <v>4036</v>
      </c>
      <c r="H655" s="116"/>
      <c r="I655" s="116"/>
      <c r="L655" s="170">
        <v>45671</v>
      </c>
      <c r="M655" s="116">
        <v>905.35</v>
      </c>
      <c r="N655" s="116">
        <v>914.8</v>
      </c>
      <c r="O655" s="116">
        <v>882.05</v>
      </c>
      <c r="P655" s="116">
        <v>892.1</v>
      </c>
      <c r="Q655" s="116">
        <v>905.35</v>
      </c>
      <c r="R655">
        <v>102878</v>
      </c>
    </row>
    <row r="656" spans="1:18" x14ac:dyDescent="0.25">
      <c r="A656" s="170">
        <v>45672</v>
      </c>
      <c r="B656" s="116">
        <v>927.45</v>
      </c>
      <c r="C656" s="116">
        <v>915.85</v>
      </c>
      <c r="D656" s="116">
        <v>894.45</v>
      </c>
      <c r="E656" s="116">
        <v>900.05</v>
      </c>
      <c r="F656" s="116">
        <v>915.85</v>
      </c>
      <c r="G656">
        <v>4469</v>
      </c>
      <c r="H656" s="116"/>
      <c r="I656" s="116"/>
      <c r="L656" s="170">
        <v>45672</v>
      </c>
      <c r="M656" s="116">
        <v>923.85</v>
      </c>
      <c r="N656" s="116">
        <v>930</v>
      </c>
      <c r="O656" s="116">
        <v>894</v>
      </c>
      <c r="P656" s="116">
        <v>904.7</v>
      </c>
      <c r="Q656" s="116">
        <v>923.85</v>
      </c>
      <c r="R656">
        <v>88740</v>
      </c>
    </row>
    <row r="657" spans="1:18" x14ac:dyDescent="0.25">
      <c r="A657" s="170">
        <v>45673</v>
      </c>
      <c r="B657" s="116">
        <v>982.9</v>
      </c>
      <c r="C657" s="116">
        <v>964.3</v>
      </c>
      <c r="D657" s="116">
        <v>932.1</v>
      </c>
      <c r="E657" s="116">
        <v>932.2</v>
      </c>
      <c r="F657" s="116">
        <v>964.3</v>
      </c>
      <c r="G657">
        <v>7499</v>
      </c>
      <c r="H657" s="116"/>
      <c r="I657" s="116"/>
      <c r="L657" s="170">
        <v>45673</v>
      </c>
      <c r="M657" s="116">
        <v>965.2</v>
      </c>
      <c r="N657" s="116">
        <v>981.95</v>
      </c>
      <c r="O657" s="116">
        <v>929.55</v>
      </c>
      <c r="P657" s="116">
        <v>934.7</v>
      </c>
      <c r="Q657" s="116">
        <v>965.2</v>
      </c>
      <c r="R657">
        <v>234760</v>
      </c>
    </row>
    <row r="658" spans="1:18" x14ac:dyDescent="0.25">
      <c r="A658" s="170">
        <v>45674</v>
      </c>
      <c r="B658" s="116">
        <v>990</v>
      </c>
      <c r="C658" s="116">
        <v>974.2</v>
      </c>
      <c r="D658" s="116">
        <v>961.65</v>
      </c>
      <c r="E658" s="116">
        <v>966.05</v>
      </c>
      <c r="F658" s="116">
        <v>974.2</v>
      </c>
      <c r="G658">
        <v>9827</v>
      </c>
      <c r="H658" s="116"/>
      <c r="I658" s="116"/>
      <c r="L658" s="170">
        <v>45674</v>
      </c>
      <c r="M658" s="116">
        <v>976.15</v>
      </c>
      <c r="N658" s="116">
        <v>990</v>
      </c>
      <c r="O658" s="116">
        <v>962.65</v>
      </c>
      <c r="P658" s="116">
        <v>979</v>
      </c>
      <c r="Q658" s="116">
        <v>976.15</v>
      </c>
      <c r="R658">
        <v>169690</v>
      </c>
    </row>
    <row r="659" spans="1:18" x14ac:dyDescent="0.25">
      <c r="A659" s="170">
        <v>45677</v>
      </c>
      <c r="B659" s="116">
        <v>985.45</v>
      </c>
      <c r="C659" s="116">
        <v>948.25</v>
      </c>
      <c r="D659" s="116">
        <v>937.5</v>
      </c>
      <c r="E659" s="116">
        <v>970.05</v>
      </c>
      <c r="F659" s="116">
        <v>948.25</v>
      </c>
      <c r="G659">
        <v>4666</v>
      </c>
      <c r="H659" s="116"/>
      <c r="I659" s="116"/>
      <c r="L659" s="170">
        <v>45677</v>
      </c>
      <c r="M659" s="116">
        <v>949.55</v>
      </c>
      <c r="N659" s="116">
        <v>990</v>
      </c>
      <c r="O659" s="116">
        <v>935.05</v>
      </c>
      <c r="P659" s="116">
        <v>985</v>
      </c>
      <c r="Q659" s="116">
        <v>949.55</v>
      </c>
      <c r="R659">
        <v>166907</v>
      </c>
    </row>
    <row r="660" spans="1:18" x14ac:dyDescent="0.25">
      <c r="A660" s="170">
        <v>45678</v>
      </c>
      <c r="B660" s="116">
        <v>970.6</v>
      </c>
      <c r="C660" s="116">
        <v>955.2</v>
      </c>
      <c r="D660" s="116">
        <v>926.15</v>
      </c>
      <c r="E660" s="116">
        <v>926.15</v>
      </c>
      <c r="F660" s="116">
        <v>955.2</v>
      </c>
      <c r="G660">
        <v>5652</v>
      </c>
      <c r="H660" s="116"/>
      <c r="I660" s="116"/>
      <c r="L660" s="170">
        <v>45678</v>
      </c>
      <c r="M660" s="116">
        <v>959.95</v>
      </c>
      <c r="N660" s="116">
        <v>969.65</v>
      </c>
      <c r="O660" s="116">
        <v>932.9</v>
      </c>
      <c r="P660" s="116">
        <v>940.05</v>
      </c>
      <c r="Q660" s="116">
        <v>959.95</v>
      </c>
      <c r="R660">
        <v>125030</v>
      </c>
    </row>
    <row r="661" spans="1:18" x14ac:dyDescent="0.25">
      <c r="A661" s="170">
        <v>45679</v>
      </c>
      <c r="B661" s="116">
        <v>964.95</v>
      </c>
      <c r="C661" s="116">
        <v>948.45</v>
      </c>
      <c r="D661" s="116">
        <v>931.05</v>
      </c>
      <c r="E661" s="116">
        <v>964.95</v>
      </c>
      <c r="F661" s="116">
        <v>948.45</v>
      </c>
      <c r="G661">
        <v>3468</v>
      </c>
      <c r="H661" s="116"/>
      <c r="I661" s="116"/>
      <c r="L661" s="170">
        <v>45679</v>
      </c>
      <c r="M661" s="116">
        <v>946.65</v>
      </c>
      <c r="N661" s="116">
        <v>959.1</v>
      </c>
      <c r="O661" s="116">
        <v>930.3</v>
      </c>
      <c r="P661" s="116">
        <v>959.1</v>
      </c>
      <c r="Q661" s="116">
        <v>946.65</v>
      </c>
      <c r="R661">
        <v>86866</v>
      </c>
    </row>
    <row r="662" spans="1:18" x14ac:dyDescent="0.25">
      <c r="A662" s="170">
        <v>45680</v>
      </c>
      <c r="B662" s="116">
        <v>982</v>
      </c>
      <c r="C662" s="116">
        <v>972.45</v>
      </c>
      <c r="D662" s="116">
        <v>940.1</v>
      </c>
      <c r="E662" s="116">
        <v>944.8</v>
      </c>
      <c r="F662" s="116">
        <v>972.45</v>
      </c>
      <c r="G662">
        <v>6941</v>
      </c>
      <c r="H662" s="116"/>
      <c r="I662" s="116"/>
      <c r="L662" s="170">
        <v>45680</v>
      </c>
      <c r="M662" s="116">
        <v>973.05</v>
      </c>
      <c r="N662" s="116">
        <v>983</v>
      </c>
      <c r="O662" s="116">
        <v>938</v>
      </c>
      <c r="P662" s="116">
        <v>938</v>
      </c>
      <c r="Q662" s="116">
        <v>973.05</v>
      </c>
      <c r="R662">
        <v>114081</v>
      </c>
    </row>
    <row r="663" spans="1:18" x14ac:dyDescent="0.25">
      <c r="A663" s="170">
        <v>45681</v>
      </c>
      <c r="B663" s="116">
        <v>975.2</v>
      </c>
      <c r="C663" s="116">
        <v>961.85</v>
      </c>
      <c r="D663" s="116">
        <v>943.1</v>
      </c>
      <c r="E663" s="116">
        <v>970</v>
      </c>
      <c r="F663" s="116">
        <v>961.85</v>
      </c>
      <c r="G663">
        <v>6796</v>
      </c>
      <c r="H663" s="116"/>
      <c r="I663" s="116"/>
      <c r="L663" s="170">
        <v>45681</v>
      </c>
      <c r="M663" s="116">
        <v>959.65</v>
      </c>
      <c r="N663" s="116">
        <v>981.9</v>
      </c>
      <c r="O663" s="116">
        <v>943</v>
      </c>
      <c r="P663" s="116">
        <v>969.7</v>
      </c>
      <c r="Q663" s="116">
        <v>959.65</v>
      </c>
      <c r="R663">
        <v>138975</v>
      </c>
    </row>
    <row r="664" spans="1:18" x14ac:dyDescent="0.25">
      <c r="A664" s="170">
        <v>45684</v>
      </c>
      <c r="B664" s="116">
        <v>948.85</v>
      </c>
      <c r="C664" s="116">
        <v>907.9</v>
      </c>
      <c r="D664" s="116">
        <v>886.05</v>
      </c>
      <c r="E664" s="116">
        <v>938.6</v>
      </c>
      <c r="F664" s="116">
        <v>907.9</v>
      </c>
      <c r="G664">
        <v>27970</v>
      </c>
      <c r="H664" s="116"/>
      <c r="I664" s="116"/>
      <c r="L664" s="170">
        <v>45684</v>
      </c>
      <c r="M664" s="116">
        <v>906.9</v>
      </c>
      <c r="N664" s="116">
        <v>948.8</v>
      </c>
      <c r="O664" s="116">
        <v>885.95</v>
      </c>
      <c r="P664" s="116">
        <v>948.8</v>
      </c>
      <c r="Q664" s="116">
        <v>906.9</v>
      </c>
      <c r="R664">
        <v>251693</v>
      </c>
    </row>
    <row r="665" spans="1:18" x14ac:dyDescent="0.25">
      <c r="A665" s="170">
        <v>45685</v>
      </c>
      <c r="B665" s="116">
        <v>903</v>
      </c>
      <c r="C665" s="116">
        <v>834.15</v>
      </c>
      <c r="D665" s="116">
        <v>811.25</v>
      </c>
      <c r="E665" s="116">
        <v>902.95</v>
      </c>
      <c r="F665" s="116">
        <v>834.15</v>
      </c>
      <c r="G665">
        <v>30021</v>
      </c>
      <c r="H665" s="116"/>
      <c r="I665" s="116"/>
      <c r="L665" s="170">
        <v>45685</v>
      </c>
      <c r="M665" s="116">
        <v>838.2</v>
      </c>
      <c r="N665" s="116">
        <v>904</v>
      </c>
      <c r="O665" s="116">
        <v>821.55</v>
      </c>
      <c r="P665" s="116">
        <v>900.5</v>
      </c>
      <c r="Q665" s="116">
        <v>838.2</v>
      </c>
      <c r="R665">
        <v>179436</v>
      </c>
    </row>
    <row r="666" spans="1:18" x14ac:dyDescent="0.25">
      <c r="A666" s="170">
        <v>45686</v>
      </c>
      <c r="B666" s="116">
        <v>799.95</v>
      </c>
      <c r="C666" s="116">
        <v>693</v>
      </c>
      <c r="D666" s="116">
        <v>672.05</v>
      </c>
      <c r="E666" s="116">
        <v>799.95</v>
      </c>
      <c r="F666" s="116">
        <v>693</v>
      </c>
      <c r="G666">
        <v>77230</v>
      </c>
      <c r="H666" s="116"/>
      <c r="I666" s="116"/>
      <c r="L666" s="170">
        <v>45686</v>
      </c>
      <c r="M666" s="116">
        <v>690.05</v>
      </c>
      <c r="N666" s="116">
        <v>794.3</v>
      </c>
      <c r="O666" s="116">
        <v>672.55</v>
      </c>
      <c r="P666" s="116">
        <v>765.35</v>
      </c>
      <c r="Q666" s="116">
        <v>690.05</v>
      </c>
      <c r="R666">
        <v>1965608</v>
      </c>
    </row>
    <row r="667" spans="1:18" x14ac:dyDescent="0.25">
      <c r="A667" s="170">
        <v>45687</v>
      </c>
      <c r="B667" s="116">
        <v>719.85</v>
      </c>
      <c r="C667" s="116">
        <v>696.5</v>
      </c>
      <c r="D667" s="116">
        <v>651.6</v>
      </c>
      <c r="E667" s="116">
        <v>690</v>
      </c>
      <c r="F667" s="116">
        <v>696.5</v>
      </c>
      <c r="G667">
        <v>73358</v>
      </c>
      <c r="H667" s="116"/>
      <c r="I667" s="116"/>
      <c r="L667" s="170">
        <v>45687</v>
      </c>
      <c r="M667" s="116">
        <v>695.6</v>
      </c>
      <c r="N667" s="116">
        <v>720</v>
      </c>
      <c r="O667" s="116">
        <v>652.29999999999995</v>
      </c>
      <c r="P667" s="116">
        <v>690</v>
      </c>
      <c r="Q667" s="116">
        <v>695.6</v>
      </c>
      <c r="R667">
        <v>1098602</v>
      </c>
    </row>
    <row r="668" spans="1:18" x14ac:dyDescent="0.25">
      <c r="A668" s="170">
        <v>45688</v>
      </c>
      <c r="B668" s="116">
        <v>709.7</v>
      </c>
      <c r="C668" s="116">
        <v>696.1</v>
      </c>
      <c r="D668" s="116">
        <v>676.15</v>
      </c>
      <c r="E668" s="116">
        <v>676.15</v>
      </c>
      <c r="F668" s="116">
        <v>696.1</v>
      </c>
      <c r="G668">
        <v>21322</v>
      </c>
      <c r="H668" s="116"/>
      <c r="I668" s="116"/>
      <c r="L668" s="170">
        <v>45688</v>
      </c>
      <c r="M668" s="116">
        <v>696.7</v>
      </c>
      <c r="N668" s="116">
        <v>708.95</v>
      </c>
      <c r="O668" s="116">
        <v>681.7</v>
      </c>
      <c r="P668" s="116">
        <v>681.7</v>
      </c>
      <c r="Q668" s="116">
        <v>696.7</v>
      </c>
      <c r="R668">
        <v>192016</v>
      </c>
    </row>
    <row r="669" spans="1:18" x14ac:dyDescent="0.25">
      <c r="A669" s="170">
        <v>45689</v>
      </c>
      <c r="B669" s="116">
        <v>725</v>
      </c>
      <c r="C669" s="116">
        <v>714</v>
      </c>
      <c r="D669" s="116">
        <v>688</v>
      </c>
      <c r="E669" s="116">
        <v>710.05</v>
      </c>
      <c r="F669" s="116">
        <v>714</v>
      </c>
      <c r="G669">
        <v>7867</v>
      </c>
      <c r="H669" s="116"/>
      <c r="I669" s="116"/>
      <c r="L669" s="170">
        <v>45689</v>
      </c>
      <c r="M669" s="116">
        <v>714.7</v>
      </c>
      <c r="N669" s="116">
        <v>724.7</v>
      </c>
      <c r="O669" s="116">
        <v>685.55</v>
      </c>
      <c r="P669" s="116">
        <v>696.7</v>
      </c>
      <c r="Q669" s="116">
        <v>714.7</v>
      </c>
      <c r="R669">
        <v>117617</v>
      </c>
    </row>
    <row r="670" spans="1:18" x14ac:dyDescent="0.25">
      <c r="A670" s="170">
        <v>45691</v>
      </c>
      <c r="B670" s="116">
        <v>709.75</v>
      </c>
      <c r="C670" s="116">
        <v>694.9</v>
      </c>
      <c r="D670" s="116">
        <v>665.35</v>
      </c>
      <c r="E670" s="116">
        <v>709.75</v>
      </c>
      <c r="F670" s="116">
        <v>694.9</v>
      </c>
      <c r="G670">
        <v>13687</v>
      </c>
      <c r="H670" s="116"/>
      <c r="I670" s="116"/>
      <c r="L670" s="170">
        <v>45691</v>
      </c>
      <c r="M670" s="116">
        <v>692</v>
      </c>
      <c r="N670" s="116">
        <v>709</v>
      </c>
      <c r="O670" s="116">
        <v>665.2</v>
      </c>
      <c r="P670" s="116">
        <v>706</v>
      </c>
      <c r="Q670" s="116">
        <v>692</v>
      </c>
      <c r="R670">
        <v>239249</v>
      </c>
    </row>
    <row r="671" spans="1:18" x14ac:dyDescent="0.25">
      <c r="A671" s="170">
        <v>45692</v>
      </c>
      <c r="B671" s="116">
        <v>702.7</v>
      </c>
      <c r="C671" s="116">
        <v>679.75</v>
      </c>
      <c r="D671" s="116">
        <v>671</v>
      </c>
      <c r="E671" s="116">
        <v>702.7</v>
      </c>
      <c r="F671" s="116">
        <v>679.75</v>
      </c>
      <c r="G671">
        <v>13950</v>
      </c>
      <c r="H671" s="116"/>
      <c r="I671" s="116"/>
      <c r="L671" s="170">
        <v>45692</v>
      </c>
      <c r="M671" s="116">
        <v>676.5</v>
      </c>
      <c r="N671" s="116">
        <v>703.25</v>
      </c>
      <c r="O671" s="116">
        <v>670</v>
      </c>
      <c r="P671" s="116">
        <v>698.8</v>
      </c>
      <c r="Q671" s="116">
        <v>676.5</v>
      </c>
      <c r="R671">
        <v>173506</v>
      </c>
    </row>
    <row r="672" spans="1:18" x14ac:dyDescent="0.25">
      <c r="A672" s="170">
        <v>45693</v>
      </c>
      <c r="B672" s="116">
        <v>690.05</v>
      </c>
      <c r="C672" s="116">
        <v>674.95</v>
      </c>
      <c r="D672" s="116">
        <v>672.15</v>
      </c>
      <c r="E672" s="116">
        <v>678</v>
      </c>
      <c r="F672" s="116">
        <v>674.95</v>
      </c>
      <c r="G672">
        <v>10786</v>
      </c>
      <c r="H672" s="116"/>
      <c r="I672" s="116"/>
      <c r="L672" s="170">
        <v>45693</v>
      </c>
      <c r="M672" s="116">
        <v>674.6</v>
      </c>
      <c r="N672" s="116">
        <v>689.75</v>
      </c>
      <c r="O672" s="116">
        <v>671.2</v>
      </c>
      <c r="P672" s="116">
        <v>676.1</v>
      </c>
      <c r="Q672" s="116">
        <v>674.6</v>
      </c>
      <c r="R672">
        <v>136596</v>
      </c>
    </row>
    <row r="673" spans="1:18" x14ac:dyDescent="0.25">
      <c r="A673" s="170">
        <v>45694</v>
      </c>
      <c r="B673" s="116">
        <v>687.4</v>
      </c>
      <c r="C673" s="116">
        <v>681.1</v>
      </c>
      <c r="D673" s="116">
        <v>669.4</v>
      </c>
      <c r="E673" s="116">
        <v>672.6</v>
      </c>
      <c r="F673" s="116">
        <v>681.1</v>
      </c>
      <c r="G673">
        <v>10970</v>
      </c>
      <c r="H673" s="116"/>
      <c r="I673" s="116"/>
      <c r="L673" s="170">
        <v>45694</v>
      </c>
      <c r="M673" s="116">
        <v>681.3</v>
      </c>
      <c r="N673" s="116">
        <v>687.05</v>
      </c>
      <c r="O673" s="116">
        <v>670</v>
      </c>
      <c r="P673" s="116">
        <v>675.1</v>
      </c>
      <c r="Q673" s="116">
        <v>681.3</v>
      </c>
      <c r="R673">
        <v>98238</v>
      </c>
    </row>
    <row r="674" spans="1:18" x14ac:dyDescent="0.25">
      <c r="A674" s="170">
        <v>45695</v>
      </c>
      <c r="B674" s="116">
        <v>683.5</v>
      </c>
      <c r="C674" s="116">
        <v>671.95</v>
      </c>
      <c r="D674" s="116">
        <v>670</v>
      </c>
      <c r="E674" s="116">
        <v>670.1</v>
      </c>
      <c r="F674" s="116">
        <v>671.95</v>
      </c>
      <c r="G674">
        <v>5271</v>
      </c>
      <c r="H674" s="116"/>
      <c r="I674" s="116"/>
      <c r="L674" s="170">
        <v>45695</v>
      </c>
      <c r="M674" s="116">
        <v>672.05</v>
      </c>
      <c r="N674" s="116">
        <v>684.5</v>
      </c>
      <c r="O674" s="116">
        <v>669</v>
      </c>
      <c r="P674" s="116">
        <v>684.5</v>
      </c>
      <c r="Q674" s="116">
        <v>672.05</v>
      </c>
      <c r="R674">
        <v>92010</v>
      </c>
    </row>
    <row r="675" spans="1:18" x14ac:dyDescent="0.25">
      <c r="A675" s="170">
        <v>45698</v>
      </c>
      <c r="B675" s="116">
        <v>712</v>
      </c>
      <c r="C675" s="116">
        <v>704.05</v>
      </c>
      <c r="D675" s="116">
        <v>654.4</v>
      </c>
      <c r="E675" s="116">
        <v>670.6</v>
      </c>
      <c r="F675" s="116">
        <v>704.05</v>
      </c>
      <c r="G675">
        <v>9922</v>
      </c>
      <c r="H675" s="116"/>
      <c r="I675" s="116"/>
      <c r="L675" s="170">
        <v>45698</v>
      </c>
      <c r="M675" s="116">
        <v>704.8</v>
      </c>
      <c r="N675" s="116">
        <v>714.65</v>
      </c>
      <c r="O675" s="116">
        <v>653</v>
      </c>
      <c r="P675" s="116">
        <v>678</v>
      </c>
      <c r="Q675" s="116">
        <v>704.8</v>
      </c>
      <c r="R675">
        <v>307177</v>
      </c>
    </row>
    <row r="676" spans="1:18" x14ac:dyDescent="0.25">
      <c r="A676" s="170">
        <v>45699</v>
      </c>
      <c r="B676" s="116">
        <v>718.9</v>
      </c>
      <c r="C676" s="116">
        <v>705.05</v>
      </c>
      <c r="D676" s="116">
        <v>669.55</v>
      </c>
      <c r="E676" s="116">
        <v>694.7</v>
      </c>
      <c r="F676" s="116">
        <v>705.05</v>
      </c>
      <c r="G676">
        <v>11113</v>
      </c>
      <c r="H676" s="116"/>
      <c r="I676" s="116"/>
      <c r="L676" s="170">
        <v>45699</v>
      </c>
      <c r="M676" s="116">
        <v>707.35</v>
      </c>
      <c r="N676" s="116">
        <v>720</v>
      </c>
      <c r="O676" s="116">
        <v>669</v>
      </c>
      <c r="P676" s="116">
        <v>690</v>
      </c>
      <c r="Q676" s="116">
        <v>707.35</v>
      </c>
      <c r="R676">
        <v>319739</v>
      </c>
    </row>
    <row r="677" spans="1:18" x14ac:dyDescent="0.25">
      <c r="A677" s="170">
        <v>45700</v>
      </c>
      <c r="B677" s="116">
        <v>713</v>
      </c>
      <c r="C677" s="116">
        <v>707.05</v>
      </c>
      <c r="D677" s="116">
        <v>662.9</v>
      </c>
      <c r="E677" s="116">
        <v>700.9</v>
      </c>
      <c r="F677" s="116">
        <v>707.05</v>
      </c>
      <c r="G677">
        <v>11823</v>
      </c>
      <c r="H677" s="116"/>
      <c r="I677" s="116"/>
      <c r="L677" s="170">
        <v>45700</v>
      </c>
      <c r="M677" s="116">
        <v>706.7</v>
      </c>
      <c r="N677" s="116">
        <v>714</v>
      </c>
      <c r="O677" s="116">
        <v>661.9</v>
      </c>
      <c r="P677" s="116">
        <v>695</v>
      </c>
      <c r="Q677" s="116">
        <v>706.7</v>
      </c>
      <c r="R677">
        <v>361689</v>
      </c>
    </row>
    <row r="678" spans="1:18" x14ac:dyDescent="0.25">
      <c r="A678" s="170">
        <v>45701</v>
      </c>
      <c r="B678" s="116">
        <v>722</v>
      </c>
      <c r="C678" s="116">
        <v>705.5</v>
      </c>
      <c r="D678" s="116">
        <v>692</v>
      </c>
      <c r="E678" s="116">
        <v>692.95</v>
      </c>
      <c r="F678" s="116">
        <v>705.5</v>
      </c>
      <c r="G678">
        <v>19052</v>
      </c>
      <c r="H678" s="116"/>
      <c r="I678" s="116"/>
      <c r="L678" s="170">
        <v>45701</v>
      </c>
      <c r="M678" s="116">
        <v>704.75</v>
      </c>
      <c r="N678" s="116">
        <v>723.4</v>
      </c>
      <c r="O678" s="116">
        <v>688.9</v>
      </c>
      <c r="P678" s="116">
        <v>695</v>
      </c>
      <c r="Q678" s="116">
        <v>704.75</v>
      </c>
      <c r="R678">
        <v>266427</v>
      </c>
    </row>
    <row r="679" spans="1:18" x14ac:dyDescent="0.25">
      <c r="A679" s="170">
        <v>45702</v>
      </c>
      <c r="B679" s="116">
        <v>714.95</v>
      </c>
      <c r="C679" s="116">
        <v>672.3</v>
      </c>
      <c r="D679" s="116">
        <v>662.1</v>
      </c>
      <c r="E679" s="116">
        <v>714.95</v>
      </c>
      <c r="F679" s="116">
        <v>672.3</v>
      </c>
      <c r="G679">
        <v>26610</v>
      </c>
      <c r="H679" s="116"/>
      <c r="I679" s="116"/>
      <c r="L679" s="170">
        <v>45702</v>
      </c>
      <c r="M679" s="116">
        <v>672.35</v>
      </c>
      <c r="N679" s="116">
        <v>712.8</v>
      </c>
      <c r="O679" s="116">
        <v>660.3</v>
      </c>
      <c r="P679" s="116">
        <v>712.8</v>
      </c>
      <c r="Q679" s="116">
        <v>672.35</v>
      </c>
      <c r="R679">
        <v>212152</v>
      </c>
    </row>
    <row r="680" spans="1:18" x14ac:dyDescent="0.25">
      <c r="A680" s="170">
        <v>45705</v>
      </c>
      <c r="B680" s="116">
        <v>688.65</v>
      </c>
      <c r="C680" s="116">
        <v>678.55</v>
      </c>
      <c r="D680" s="116">
        <v>655.04999999999995</v>
      </c>
      <c r="E680" s="116">
        <v>662.65</v>
      </c>
      <c r="F680" s="116">
        <v>678.55</v>
      </c>
      <c r="G680">
        <v>16953</v>
      </c>
      <c r="H680" s="116"/>
      <c r="I680" s="116"/>
      <c r="L680" s="170">
        <v>45705</v>
      </c>
      <c r="M680" s="116">
        <v>677.2</v>
      </c>
      <c r="N680" s="116">
        <v>689</v>
      </c>
      <c r="O680" s="116">
        <v>654.04999999999995</v>
      </c>
      <c r="P680" s="116">
        <v>668.85</v>
      </c>
      <c r="Q680" s="116">
        <v>677.2</v>
      </c>
      <c r="R680">
        <v>210344</v>
      </c>
    </row>
    <row r="681" spans="1:18" x14ac:dyDescent="0.25">
      <c r="A681" s="170">
        <v>45706</v>
      </c>
      <c r="B681" s="116">
        <v>702</v>
      </c>
      <c r="C681" s="116">
        <v>690.85</v>
      </c>
      <c r="D681" s="116">
        <v>660.9</v>
      </c>
      <c r="E681" s="116">
        <v>670</v>
      </c>
      <c r="F681" s="116">
        <v>690.85</v>
      </c>
      <c r="G681">
        <v>25339</v>
      </c>
      <c r="H681" s="116"/>
      <c r="I681" s="116"/>
      <c r="L681" s="170">
        <v>45706</v>
      </c>
      <c r="M681" s="116">
        <v>688.25</v>
      </c>
      <c r="N681" s="116">
        <v>703</v>
      </c>
      <c r="O681" s="116">
        <v>660.8</v>
      </c>
      <c r="P681" s="116">
        <v>668</v>
      </c>
      <c r="Q681" s="116">
        <v>688.25</v>
      </c>
      <c r="R681">
        <v>282246</v>
      </c>
    </row>
    <row r="682" spans="1:18" x14ac:dyDescent="0.25">
      <c r="A682" s="170">
        <v>45707</v>
      </c>
      <c r="B682" s="116">
        <v>700.5</v>
      </c>
      <c r="C682" s="116">
        <v>680.4</v>
      </c>
      <c r="D682" s="116">
        <v>677.5</v>
      </c>
      <c r="E682" s="116">
        <v>694.3</v>
      </c>
      <c r="F682" s="116">
        <v>680.4</v>
      </c>
      <c r="G682">
        <v>8961</v>
      </c>
      <c r="H682" s="116"/>
      <c r="I682" s="116"/>
      <c r="L682" s="170">
        <v>45707</v>
      </c>
      <c r="M682" s="116">
        <v>681.75</v>
      </c>
      <c r="N682" s="116">
        <v>699.8</v>
      </c>
      <c r="O682" s="116">
        <v>676.7</v>
      </c>
      <c r="P682" s="116">
        <v>685.55</v>
      </c>
      <c r="Q682" s="116">
        <v>681.75</v>
      </c>
      <c r="R682">
        <v>124800</v>
      </c>
    </row>
    <row r="683" spans="1:18" x14ac:dyDescent="0.25">
      <c r="A683" s="170">
        <v>45708</v>
      </c>
      <c r="B683" s="116">
        <v>736.95</v>
      </c>
      <c r="C683" s="116">
        <v>723.85</v>
      </c>
      <c r="D683" s="116">
        <v>672.5</v>
      </c>
      <c r="E683" s="116">
        <v>672.5</v>
      </c>
      <c r="F683" s="116">
        <v>723.85</v>
      </c>
      <c r="G683">
        <v>10128</v>
      </c>
      <c r="H683" s="116"/>
      <c r="I683" s="116"/>
      <c r="L683" s="170">
        <v>45708</v>
      </c>
      <c r="M683" s="116">
        <v>720.9</v>
      </c>
      <c r="N683" s="116">
        <v>738</v>
      </c>
      <c r="O683" s="116">
        <v>679.6</v>
      </c>
      <c r="P683" s="116">
        <v>682.4</v>
      </c>
      <c r="Q683" s="116">
        <v>720.9</v>
      </c>
      <c r="R683">
        <v>240487</v>
      </c>
    </row>
    <row r="684" spans="1:18" x14ac:dyDescent="0.25">
      <c r="A684" s="170">
        <v>45709</v>
      </c>
      <c r="B684" s="116">
        <v>776</v>
      </c>
      <c r="C684" s="116">
        <v>763.05</v>
      </c>
      <c r="D684" s="116">
        <v>710.85</v>
      </c>
      <c r="E684" s="116">
        <v>724.95</v>
      </c>
      <c r="F684" s="116">
        <v>763.05</v>
      </c>
      <c r="G684">
        <v>23978</v>
      </c>
      <c r="H684" s="116"/>
      <c r="I684" s="116"/>
      <c r="L684" s="170">
        <v>45709</v>
      </c>
      <c r="M684" s="116">
        <v>762.8</v>
      </c>
      <c r="N684" s="116">
        <v>777</v>
      </c>
      <c r="O684" s="116">
        <v>710.4</v>
      </c>
      <c r="P684" s="116">
        <v>711.55</v>
      </c>
      <c r="Q684" s="116">
        <v>762.8</v>
      </c>
      <c r="R684">
        <v>367570</v>
      </c>
    </row>
    <row r="685" spans="1:18" x14ac:dyDescent="0.25">
      <c r="A685" s="170">
        <v>45712</v>
      </c>
      <c r="B685" s="116">
        <v>787.85</v>
      </c>
      <c r="C685" s="116">
        <v>754.85</v>
      </c>
      <c r="D685" s="116">
        <v>736.9</v>
      </c>
      <c r="E685" s="116">
        <v>755</v>
      </c>
      <c r="F685" s="116">
        <v>754.85</v>
      </c>
      <c r="G685">
        <v>25390</v>
      </c>
      <c r="H685" s="116"/>
      <c r="I685" s="116"/>
      <c r="L685" s="170">
        <v>45712</v>
      </c>
      <c r="M685" s="116">
        <v>757.95</v>
      </c>
      <c r="N685" s="116">
        <v>784.95</v>
      </c>
      <c r="O685" s="116">
        <v>735.95</v>
      </c>
      <c r="P685" s="116">
        <v>750.25</v>
      </c>
      <c r="Q685" s="116">
        <v>757.95</v>
      </c>
      <c r="R685">
        <v>240481</v>
      </c>
    </row>
    <row r="686" spans="1:18" x14ac:dyDescent="0.25">
      <c r="A686" s="170">
        <v>45713</v>
      </c>
      <c r="B686" s="116">
        <v>786</v>
      </c>
      <c r="C686" s="116">
        <v>778.3</v>
      </c>
      <c r="D686" s="116">
        <v>749.6</v>
      </c>
      <c r="E686" s="116">
        <v>749.6</v>
      </c>
      <c r="F686" s="116">
        <v>778.3</v>
      </c>
      <c r="G686">
        <v>6299</v>
      </c>
      <c r="H686" s="116"/>
      <c r="I686" s="116"/>
      <c r="L686" s="170">
        <v>45713</v>
      </c>
      <c r="M686" s="116">
        <v>778.35</v>
      </c>
      <c r="N686" s="116">
        <v>786.3</v>
      </c>
      <c r="O686" s="116">
        <v>746.65</v>
      </c>
      <c r="P686" s="116">
        <v>748</v>
      </c>
      <c r="Q686" s="116">
        <v>778.35</v>
      </c>
      <c r="R686">
        <v>197735</v>
      </c>
    </row>
    <row r="687" spans="1:18" x14ac:dyDescent="0.25">
      <c r="A687" s="170">
        <v>45715</v>
      </c>
      <c r="B687" s="116">
        <v>864</v>
      </c>
      <c r="C687" s="116">
        <v>814.05</v>
      </c>
      <c r="D687" s="116">
        <v>763.25</v>
      </c>
      <c r="E687" s="116">
        <v>777.9</v>
      </c>
      <c r="F687" s="116">
        <v>814.05</v>
      </c>
      <c r="G687">
        <v>8545</v>
      </c>
      <c r="H687" s="116"/>
      <c r="I687" s="116"/>
      <c r="L687" s="170">
        <v>45715</v>
      </c>
      <c r="M687" s="116">
        <v>820.75</v>
      </c>
      <c r="N687" s="116">
        <v>863.7</v>
      </c>
      <c r="O687" s="116">
        <v>762.35</v>
      </c>
      <c r="P687" s="116">
        <v>777.7</v>
      </c>
      <c r="Q687" s="116">
        <v>820.75</v>
      </c>
      <c r="R687">
        <v>242027</v>
      </c>
    </row>
    <row r="688" spans="1:18" x14ac:dyDescent="0.25">
      <c r="A688" s="170">
        <v>45716</v>
      </c>
      <c r="B688" s="116">
        <v>863.85</v>
      </c>
      <c r="C688" s="116">
        <v>842.55</v>
      </c>
      <c r="D688" s="116">
        <v>796.25</v>
      </c>
      <c r="E688" s="116">
        <v>825</v>
      </c>
      <c r="F688" s="116">
        <v>842.55</v>
      </c>
      <c r="G688">
        <v>15939</v>
      </c>
      <c r="H688" s="116"/>
      <c r="I688" s="116"/>
      <c r="L688" s="170">
        <v>45716</v>
      </c>
      <c r="M688" s="116">
        <v>849.3</v>
      </c>
      <c r="N688" s="116">
        <v>864.15</v>
      </c>
      <c r="O688" s="116">
        <v>794.5</v>
      </c>
      <c r="P688" s="116">
        <v>807.1</v>
      </c>
      <c r="Q688" s="116">
        <v>849.3</v>
      </c>
      <c r="R688">
        <v>410184</v>
      </c>
    </row>
    <row r="689" spans="1:18" x14ac:dyDescent="0.25">
      <c r="A689" s="170">
        <v>45719</v>
      </c>
      <c r="B689" s="116">
        <v>846</v>
      </c>
      <c r="C689" s="116">
        <v>806.3</v>
      </c>
      <c r="D689" s="116">
        <v>789.85</v>
      </c>
      <c r="E689" s="116">
        <v>839.45</v>
      </c>
      <c r="F689" s="116">
        <v>806.3</v>
      </c>
      <c r="G689">
        <v>19363</v>
      </c>
      <c r="H689" s="116"/>
      <c r="I689" s="116"/>
      <c r="L689" s="170">
        <v>45719</v>
      </c>
      <c r="M689" s="116">
        <v>809.1</v>
      </c>
      <c r="N689" s="116">
        <v>847.95</v>
      </c>
      <c r="O689" s="116">
        <v>785.5</v>
      </c>
      <c r="P689" s="116">
        <v>830.2</v>
      </c>
      <c r="Q689" s="116">
        <v>809.1</v>
      </c>
      <c r="R689">
        <v>353533</v>
      </c>
    </row>
    <row r="690" spans="1:18" x14ac:dyDescent="0.25">
      <c r="A690" s="170">
        <v>45720</v>
      </c>
      <c r="B690" s="116">
        <v>831</v>
      </c>
      <c r="C690" s="116">
        <v>819.35</v>
      </c>
      <c r="D690" s="116">
        <v>788.5</v>
      </c>
      <c r="E690" s="116">
        <v>789.95</v>
      </c>
      <c r="F690" s="116">
        <v>819.35</v>
      </c>
      <c r="G690">
        <v>14831</v>
      </c>
      <c r="H690" s="116"/>
      <c r="I690" s="116"/>
      <c r="L690" s="170">
        <v>45720</v>
      </c>
      <c r="M690" s="116">
        <v>813.05</v>
      </c>
      <c r="N690" s="116">
        <v>831.3</v>
      </c>
      <c r="O690" s="116">
        <v>786</v>
      </c>
      <c r="P690" s="116">
        <v>786</v>
      </c>
      <c r="Q690" s="116">
        <v>813.05</v>
      </c>
      <c r="R690">
        <v>223345</v>
      </c>
    </row>
    <row r="691" spans="1:18" x14ac:dyDescent="0.25">
      <c r="A691" s="170">
        <v>45721</v>
      </c>
      <c r="B691" s="116">
        <v>833.95</v>
      </c>
      <c r="C691" s="116">
        <v>822.1</v>
      </c>
      <c r="D691" s="116">
        <v>813.95</v>
      </c>
      <c r="E691" s="116">
        <v>818.95</v>
      </c>
      <c r="F691" s="116">
        <v>822.1</v>
      </c>
      <c r="G691">
        <v>14509</v>
      </c>
      <c r="H691" s="116"/>
      <c r="I691" s="116"/>
      <c r="L691" s="170">
        <v>45721</v>
      </c>
      <c r="M691" s="116">
        <v>823.45</v>
      </c>
      <c r="N691" s="116">
        <v>834</v>
      </c>
      <c r="O691" s="116">
        <v>812</v>
      </c>
      <c r="P691" s="116">
        <v>813</v>
      </c>
      <c r="Q691" s="116">
        <v>823.45</v>
      </c>
      <c r="R691">
        <v>161744</v>
      </c>
    </row>
    <row r="692" spans="1:18" x14ac:dyDescent="0.25">
      <c r="A692" s="170">
        <v>45722</v>
      </c>
      <c r="B692" s="116">
        <v>843.55</v>
      </c>
      <c r="C692" s="116">
        <v>831.5</v>
      </c>
      <c r="D692" s="116">
        <v>819.3</v>
      </c>
      <c r="E692" s="116">
        <v>829.95</v>
      </c>
      <c r="F692" s="116">
        <v>831.5</v>
      </c>
      <c r="G692">
        <v>7263</v>
      </c>
      <c r="H692" s="116"/>
      <c r="I692" s="116"/>
      <c r="L692" s="170">
        <v>45722</v>
      </c>
      <c r="M692" s="116">
        <v>833.05</v>
      </c>
      <c r="N692" s="116">
        <v>846</v>
      </c>
      <c r="O692" s="116">
        <v>819.1</v>
      </c>
      <c r="P692" s="116">
        <v>819.7</v>
      </c>
      <c r="Q692" s="116">
        <v>833.05</v>
      </c>
      <c r="R692">
        <v>184496</v>
      </c>
    </row>
    <row r="693" spans="1:18" x14ac:dyDescent="0.25">
      <c r="A693" s="170">
        <v>45723</v>
      </c>
      <c r="B693" s="116">
        <v>848.1</v>
      </c>
      <c r="C693" s="116">
        <v>836.6</v>
      </c>
      <c r="D693" s="116">
        <v>833.15</v>
      </c>
      <c r="E693" s="116">
        <v>848</v>
      </c>
      <c r="F693" s="116">
        <v>836.6</v>
      </c>
      <c r="G693">
        <v>3349</v>
      </c>
      <c r="H693" s="116"/>
      <c r="I693" s="116"/>
      <c r="L693" s="170">
        <v>45723</v>
      </c>
      <c r="M693" s="116">
        <v>836.85</v>
      </c>
      <c r="N693" s="116">
        <v>849</v>
      </c>
      <c r="O693" s="116">
        <v>831.5</v>
      </c>
      <c r="P693" s="116">
        <v>839.75</v>
      </c>
      <c r="Q693" s="116">
        <v>836.85</v>
      </c>
      <c r="R693">
        <v>140093</v>
      </c>
    </row>
    <row r="694" spans="1:18" x14ac:dyDescent="0.25">
      <c r="A694" s="170">
        <v>45726</v>
      </c>
      <c r="B694" s="116">
        <v>850</v>
      </c>
      <c r="C694" s="116">
        <v>842.65</v>
      </c>
      <c r="D694" s="116">
        <v>817.2</v>
      </c>
      <c r="E694" s="116">
        <v>817.2</v>
      </c>
      <c r="F694" s="116">
        <v>842.65</v>
      </c>
      <c r="G694">
        <v>9651</v>
      </c>
      <c r="H694" s="116"/>
      <c r="I694" s="116"/>
      <c r="L694" s="170">
        <v>45726</v>
      </c>
      <c r="M694" s="116">
        <v>843.1</v>
      </c>
      <c r="N694" s="116">
        <v>849.95</v>
      </c>
      <c r="O694" s="116">
        <v>826.2</v>
      </c>
      <c r="P694" s="116">
        <v>843.45</v>
      </c>
      <c r="Q694" s="116">
        <v>843.1</v>
      </c>
      <c r="R694">
        <v>159742</v>
      </c>
    </row>
    <row r="695" spans="1:18" x14ac:dyDescent="0.25">
      <c r="A695" s="170">
        <v>45727</v>
      </c>
      <c r="B695" s="116">
        <v>849</v>
      </c>
      <c r="C695" s="116">
        <v>840.7</v>
      </c>
      <c r="D695" s="116">
        <v>812.05</v>
      </c>
      <c r="E695" s="116">
        <v>812.05</v>
      </c>
      <c r="F695" s="116">
        <v>840.7</v>
      </c>
      <c r="G695">
        <v>3077</v>
      </c>
      <c r="H695" s="116"/>
      <c r="I695" s="116"/>
      <c r="L695" s="170">
        <v>45727</v>
      </c>
      <c r="M695" s="116">
        <v>843.85</v>
      </c>
      <c r="N695" s="116">
        <v>849.7</v>
      </c>
      <c r="O695" s="116">
        <v>825.75</v>
      </c>
      <c r="P695" s="116">
        <v>830</v>
      </c>
      <c r="Q695" s="116">
        <v>843.85</v>
      </c>
      <c r="R695">
        <v>110005</v>
      </c>
    </row>
    <row r="696" spans="1:18" x14ac:dyDescent="0.25">
      <c r="A696" s="170">
        <v>45728</v>
      </c>
      <c r="B696" s="116">
        <v>851.9</v>
      </c>
      <c r="C696" s="116">
        <v>811.5</v>
      </c>
      <c r="D696" s="116">
        <v>805.5</v>
      </c>
      <c r="E696" s="116">
        <v>843.3</v>
      </c>
      <c r="F696" s="116">
        <v>811.5</v>
      </c>
      <c r="G696">
        <v>5932</v>
      </c>
      <c r="H696" s="116"/>
      <c r="I696" s="116"/>
      <c r="L696" s="170">
        <v>45728</v>
      </c>
      <c r="M696" s="116">
        <v>815.8</v>
      </c>
      <c r="N696" s="116">
        <v>853.15</v>
      </c>
      <c r="O696" s="116">
        <v>806.95</v>
      </c>
      <c r="P696" s="116">
        <v>838.2</v>
      </c>
      <c r="Q696" s="116">
        <v>815.8</v>
      </c>
      <c r="R696">
        <v>148245</v>
      </c>
    </row>
    <row r="697" spans="1:18" x14ac:dyDescent="0.25">
      <c r="A697" s="170">
        <v>45729</v>
      </c>
      <c r="B697" s="116">
        <v>831.65</v>
      </c>
      <c r="C697" s="116">
        <v>827.35</v>
      </c>
      <c r="D697" s="116">
        <v>802.9</v>
      </c>
      <c r="E697" s="116">
        <v>824.1</v>
      </c>
      <c r="F697" s="116">
        <v>827.35</v>
      </c>
      <c r="G697">
        <v>5059</v>
      </c>
      <c r="H697" s="116"/>
      <c r="I697" s="116"/>
      <c r="L697" s="170">
        <v>45729</v>
      </c>
      <c r="M697" s="116">
        <v>827.6</v>
      </c>
      <c r="N697" s="116">
        <v>832</v>
      </c>
      <c r="O697" s="116">
        <v>802.65</v>
      </c>
      <c r="P697" s="116">
        <v>816.05</v>
      </c>
      <c r="Q697" s="116">
        <v>827.6</v>
      </c>
      <c r="R697">
        <v>129559</v>
      </c>
    </row>
    <row r="698" spans="1:18" x14ac:dyDescent="0.25">
      <c r="A698" s="170">
        <v>45733</v>
      </c>
      <c r="B698" s="116">
        <v>839</v>
      </c>
      <c r="C698" s="116">
        <v>816</v>
      </c>
      <c r="D698" s="116">
        <v>810.15</v>
      </c>
      <c r="E698" s="116">
        <v>839</v>
      </c>
      <c r="F698" s="116">
        <v>816</v>
      </c>
      <c r="G698">
        <v>4255</v>
      </c>
      <c r="H698" s="116"/>
      <c r="I698" s="116"/>
      <c r="L698" s="170">
        <v>45733</v>
      </c>
      <c r="M698" s="116">
        <v>818.65</v>
      </c>
      <c r="N698" s="116">
        <v>831.5</v>
      </c>
      <c r="O698" s="116">
        <v>810</v>
      </c>
      <c r="P698" s="116">
        <v>827.6</v>
      </c>
      <c r="Q698" s="116">
        <v>818.65</v>
      </c>
      <c r="R698">
        <v>107609</v>
      </c>
    </row>
    <row r="699" spans="1:18" x14ac:dyDescent="0.25">
      <c r="A699" s="170">
        <v>45734</v>
      </c>
      <c r="B699" s="116">
        <v>827</v>
      </c>
      <c r="C699" s="116">
        <v>820.55</v>
      </c>
      <c r="D699" s="116">
        <v>807.4</v>
      </c>
      <c r="E699" s="116">
        <v>811.4</v>
      </c>
      <c r="F699" s="116">
        <v>820.55</v>
      </c>
      <c r="G699">
        <v>4649</v>
      </c>
      <c r="H699" s="116"/>
      <c r="I699" s="116"/>
      <c r="L699" s="170">
        <v>45734</v>
      </c>
      <c r="M699" s="116">
        <v>820.9</v>
      </c>
      <c r="N699" s="116">
        <v>828</v>
      </c>
      <c r="O699" s="116">
        <v>806.75</v>
      </c>
      <c r="P699" s="116">
        <v>812.7</v>
      </c>
      <c r="Q699" s="116">
        <v>820.9</v>
      </c>
      <c r="R699">
        <v>78350</v>
      </c>
    </row>
    <row r="700" spans="1:18" x14ac:dyDescent="0.25">
      <c r="A700" s="170">
        <v>45735</v>
      </c>
      <c r="B700" s="116">
        <v>844.8</v>
      </c>
      <c r="C700" s="116">
        <v>833.1</v>
      </c>
      <c r="D700" s="116">
        <v>820.05</v>
      </c>
      <c r="E700" s="116">
        <v>820.05</v>
      </c>
      <c r="F700" s="116">
        <v>833.1</v>
      </c>
      <c r="G700">
        <v>2775</v>
      </c>
      <c r="H700" s="116"/>
      <c r="I700" s="116"/>
      <c r="L700" s="170">
        <v>45735</v>
      </c>
      <c r="M700" s="116">
        <v>832.25</v>
      </c>
      <c r="N700" s="116">
        <v>844.95</v>
      </c>
      <c r="O700" s="116">
        <v>822.35</v>
      </c>
      <c r="P700" s="116">
        <v>829</v>
      </c>
      <c r="Q700" s="116">
        <v>832.25</v>
      </c>
      <c r="R700">
        <v>85272</v>
      </c>
    </row>
    <row r="701" spans="1:18" x14ac:dyDescent="0.25">
      <c r="A701" s="170">
        <v>45736</v>
      </c>
      <c r="B701" s="116">
        <v>875</v>
      </c>
      <c r="C701" s="116">
        <v>866</v>
      </c>
      <c r="D701" s="116">
        <v>828.45</v>
      </c>
      <c r="E701" s="116">
        <v>843.95</v>
      </c>
      <c r="F701" s="116">
        <v>866</v>
      </c>
      <c r="G701">
        <v>10572</v>
      </c>
      <c r="H701" s="116"/>
      <c r="I701" s="116"/>
      <c r="L701" s="170">
        <v>45736</v>
      </c>
      <c r="M701" s="116">
        <v>867.25</v>
      </c>
      <c r="N701" s="116">
        <v>876.95</v>
      </c>
      <c r="O701" s="116">
        <v>829.5</v>
      </c>
      <c r="P701" s="116">
        <v>835.05</v>
      </c>
      <c r="Q701" s="116">
        <v>867.25</v>
      </c>
      <c r="R701">
        <v>139365</v>
      </c>
    </row>
    <row r="702" spans="1:18" x14ac:dyDescent="0.25">
      <c r="A702" s="170">
        <v>45737</v>
      </c>
      <c r="B702" s="116">
        <v>886.5</v>
      </c>
      <c r="C702" s="116">
        <v>872.2</v>
      </c>
      <c r="D702" s="116">
        <v>863.1</v>
      </c>
      <c r="E702" s="116">
        <v>870.25</v>
      </c>
      <c r="F702" s="116">
        <v>872.2</v>
      </c>
      <c r="G702">
        <v>7623</v>
      </c>
      <c r="H702" s="116"/>
      <c r="I702" s="116"/>
      <c r="L702" s="170">
        <v>45737</v>
      </c>
      <c r="M702" s="116">
        <v>875.65</v>
      </c>
      <c r="N702" s="116">
        <v>887.5</v>
      </c>
      <c r="O702" s="116">
        <v>863.75</v>
      </c>
      <c r="P702" s="116">
        <v>872</v>
      </c>
      <c r="Q702" s="116">
        <v>875.65</v>
      </c>
      <c r="R702">
        <v>173825</v>
      </c>
    </row>
    <row r="703" spans="1:18" x14ac:dyDescent="0.25">
      <c r="A703" s="170">
        <v>45740</v>
      </c>
      <c r="B703" s="116">
        <v>885.95</v>
      </c>
      <c r="C703" s="116">
        <v>869.6</v>
      </c>
      <c r="D703" s="116">
        <v>865.2</v>
      </c>
      <c r="E703" s="116">
        <v>876</v>
      </c>
      <c r="F703" s="116">
        <v>869.6</v>
      </c>
      <c r="G703">
        <v>8762</v>
      </c>
      <c r="H703" s="116"/>
      <c r="I703" s="116"/>
      <c r="L703" s="170">
        <v>45740</v>
      </c>
      <c r="M703" s="116">
        <v>869.55</v>
      </c>
      <c r="N703" s="116">
        <v>888.35</v>
      </c>
      <c r="O703" s="116">
        <v>865.1</v>
      </c>
      <c r="P703" s="116">
        <v>882</v>
      </c>
      <c r="Q703" s="116">
        <v>869.55</v>
      </c>
      <c r="R703">
        <v>111195</v>
      </c>
    </row>
    <row r="704" spans="1:18" x14ac:dyDescent="0.25">
      <c r="A704" s="170">
        <v>45741</v>
      </c>
      <c r="B704" s="116">
        <v>893</v>
      </c>
      <c r="C704" s="116">
        <v>884.45</v>
      </c>
      <c r="D704" s="116">
        <v>857.8</v>
      </c>
      <c r="E704" s="116">
        <v>869</v>
      </c>
      <c r="F704" s="116">
        <v>884.45</v>
      </c>
      <c r="G704">
        <v>10148</v>
      </c>
      <c r="H704" s="116"/>
      <c r="I704" s="116"/>
      <c r="L704" s="170">
        <v>45741</v>
      </c>
      <c r="M704" s="116">
        <v>883.45</v>
      </c>
      <c r="N704" s="116">
        <v>894.1</v>
      </c>
      <c r="O704" s="116">
        <v>858.55</v>
      </c>
      <c r="P704" s="116">
        <v>877.3</v>
      </c>
      <c r="Q704" s="116">
        <v>883.45</v>
      </c>
      <c r="R704">
        <v>135322</v>
      </c>
    </row>
    <row r="705" spans="1:18" x14ac:dyDescent="0.25">
      <c r="A705" s="170">
        <v>45742</v>
      </c>
      <c r="B705" s="116">
        <v>880.25</v>
      </c>
      <c r="C705" s="116">
        <v>864.1</v>
      </c>
      <c r="D705" s="116">
        <v>845.05</v>
      </c>
      <c r="E705" s="116">
        <v>845.05</v>
      </c>
      <c r="F705" s="116">
        <v>864.1</v>
      </c>
      <c r="G705">
        <v>10038</v>
      </c>
      <c r="H705" s="116"/>
      <c r="I705" s="116"/>
      <c r="L705" s="170">
        <v>45742</v>
      </c>
      <c r="M705" s="116">
        <v>865.8</v>
      </c>
      <c r="N705" s="116">
        <v>881.15</v>
      </c>
      <c r="O705" s="116">
        <v>855.05</v>
      </c>
      <c r="P705" s="116">
        <v>871.6</v>
      </c>
      <c r="Q705" s="116">
        <v>865.8</v>
      </c>
      <c r="R705">
        <v>74622</v>
      </c>
    </row>
    <row r="706" spans="1:18" x14ac:dyDescent="0.25">
      <c r="A706" s="170">
        <v>45743</v>
      </c>
      <c r="B706" s="116">
        <v>872.05</v>
      </c>
      <c r="C706" s="116">
        <v>852.65</v>
      </c>
      <c r="D706" s="116">
        <v>845.2</v>
      </c>
      <c r="E706" s="116">
        <v>858.8</v>
      </c>
      <c r="F706" s="116">
        <v>852.65</v>
      </c>
      <c r="G706">
        <v>5384</v>
      </c>
      <c r="H706" s="116"/>
      <c r="I706" s="116"/>
      <c r="L706" s="170">
        <v>45743</v>
      </c>
      <c r="M706" s="116">
        <v>853.05</v>
      </c>
      <c r="N706" s="116">
        <v>872</v>
      </c>
      <c r="O706" s="116">
        <v>842</v>
      </c>
      <c r="P706" s="116">
        <v>858</v>
      </c>
      <c r="Q706" s="116">
        <v>853.05</v>
      </c>
      <c r="R706">
        <v>83108</v>
      </c>
    </row>
    <row r="707" spans="1:18" x14ac:dyDescent="0.25">
      <c r="A707" s="170">
        <v>45744</v>
      </c>
      <c r="B707" s="116">
        <v>869.55</v>
      </c>
      <c r="C707" s="116">
        <v>849.1</v>
      </c>
      <c r="D707" s="116">
        <v>845</v>
      </c>
      <c r="E707" s="116">
        <v>859.6</v>
      </c>
      <c r="F707" s="116">
        <v>849.1</v>
      </c>
      <c r="G707">
        <v>1738</v>
      </c>
      <c r="H707" s="116"/>
      <c r="I707" s="116"/>
      <c r="L707" s="170">
        <v>45744</v>
      </c>
      <c r="M707" s="116">
        <v>852.35</v>
      </c>
      <c r="N707" s="116">
        <v>870.1</v>
      </c>
      <c r="O707" s="116">
        <v>845.2</v>
      </c>
      <c r="P707" s="116">
        <v>859</v>
      </c>
      <c r="Q707" s="116">
        <v>852.35</v>
      </c>
      <c r="R707">
        <v>76272</v>
      </c>
    </row>
    <row r="708" spans="1:18" x14ac:dyDescent="0.25">
      <c r="A708" s="170">
        <v>45748</v>
      </c>
      <c r="B708" s="116">
        <v>852.5</v>
      </c>
      <c r="C708" s="116">
        <v>827.2</v>
      </c>
      <c r="D708" s="116">
        <v>825</v>
      </c>
      <c r="E708" s="116">
        <v>846.05</v>
      </c>
      <c r="F708" s="116">
        <v>827.2</v>
      </c>
      <c r="G708">
        <v>5843</v>
      </c>
      <c r="H708" s="116"/>
      <c r="I708" s="116"/>
      <c r="L708" s="170">
        <v>45748</v>
      </c>
      <c r="M708" s="116">
        <v>828.1</v>
      </c>
      <c r="N708" s="116">
        <v>853</v>
      </c>
      <c r="O708" s="116">
        <v>824.2</v>
      </c>
      <c r="P708" s="116">
        <v>850</v>
      </c>
      <c r="Q708" s="116">
        <v>828.1</v>
      </c>
      <c r="R708">
        <v>76570</v>
      </c>
    </row>
    <row r="709" spans="1:18" x14ac:dyDescent="0.25">
      <c r="A709" s="170">
        <v>45749</v>
      </c>
      <c r="B709" s="116">
        <v>847.15</v>
      </c>
      <c r="C709" s="116">
        <v>842.25</v>
      </c>
      <c r="D709" s="116">
        <v>817.3</v>
      </c>
      <c r="E709" s="116">
        <v>825.6</v>
      </c>
      <c r="F709" s="116">
        <v>842.25</v>
      </c>
      <c r="G709">
        <v>1394</v>
      </c>
      <c r="H709" s="116"/>
      <c r="I709" s="116"/>
      <c r="L709" s="170">
        <v>45749</v>
      </c>
      <c r="M709" s="116">
        <v>840.6</v>
      </c>
      <c r="N709" s="116">
        <v>848.9</v>
      </c>
      <c r="O709" s="116">
        <v>816.6</v>
      </c>
      <c r="P709" s="116">
        <v>828.1</v>
      </c>
      <c r="Q709" s="116">
        <v>840.6</v>
      </c>
      <c r="R709">
        <v>85620</v>
      </c>
    </row>
    <row r="710" spans="1:18" x14ac:dyDescent="0.25">
      <c r="A710" s="170">
        <v>45750</v>
      </c>
      <c r="B710" s="116">
        <v>852.55</v>
      </c>
      <c r="C710" s="116">
        <v>847.6</v>
      </c>
      <c r="D710" s="116">
        <v>828.6</v>
      </c>
      <c r="E710" s="116">
        <v>840</v>
      </c>
      <c r="F710" s="116">
        <v>847.6</v>
      </c>
      <c r="G710">
        <v>4264</v>
      </c>
      <c r="H710" s="116"/>
      <c r="I710" s="116"/>
      <c r="L710" s="170">
        <v>45750</v>
      </c>
      <c r="M710" s="116">
        <v>849.1</v>
      </c>
      <c r="N710" s="116">
        <v>853.1</v>
      </c>
      <c r="O710" s="116">
        <v>828</v>
      </c>
      <c r="P710" s="116">
        <v>828</v>
      </c>
      <c r="Q710" s="116">
        <v>849.1</v>
      </c>
      <c r="R710">
        <v>77808</v>
      </c>
    </row>
    <row r="711" spans="1:18" x14ac:dyDescent="0.25">
      <c r="A711" s="170">
        <v>45751</v>
      </c>
      <c r="B711" s="116">
        <v>845</v>
      </c>
      <c r="C711" s="116">
        <v>813.3</v>
      </c>
      <c r="D711" s="116">
        <v>808.85</v>
      </c>
      <c r="E711" s="116">
        <v>845</v>
      </c>
      <c r="F711" s="116">
        <v>813.3</v>
      </c>
      <c r="G711">
        <v>13230</v>
      </c>
      <c r="H711" s="116"/>
      <c r="I711" s="116"/>
      <c r="L711" s="170">
        <v>45751</v>
      </c>
      <c r="M711" s="116">
        <v>815.95</v>
      </c>
      <c r="N711" s="116">
        <v>844.85</v>
      </c>
      <c r="O711" s="116">
        <v>808.7</v>
      </c>
      <c r="P711" s="116">
        <v>838</v>
      </c>
      <c r="Q711" s="116">
        <v>815.95</v>
      </c>
      <c r="R711">
        <v>119086</v>
      </c>
    </row>
    <row r="712" spans="1:18" x14ac:dyDescent="0.25">
      <c r="A712" s="170">
        <v>45754</v>
      </c>
      <c r="B712" s="116">
        <v>812</v>
      </c>
      <c r="C712" s="116">
        <v>795.75</v>
      </c>
      <c r="D712" s="116">
        <v>685</v>
      </c>
      <c r="E712" s="116">
        <v>685</v>
      </c>
      <c r="F712" s="116">
        <v>795.75</v>
      </c>
      <c r="G712">
        <v>3443</v>
      </c>
      <c r="H712" s="116"/>
      <c r="I712" s="116"/>
      <c r="L712" s="170">
        <v>45754</v>
      </c>
      <c r="M712" s="116">
        <v>802</v>
      </c>
      <c r="N712" s="116">
        <v>815</v>
      </c>
      <c r="O712" s="116">
        <v>690.25</v>
      </c>
      <c r="P712" s="116">
        <v>690.3</v>
      </c>
      <c r="Q712" s="116">
        <v>802</v>
      </c>
      <c r="R712">
        <v>128579</v>
      </c>
    </row>
    <row r="713" spans="1:18" x14ac:dyDescent="0.25">
      <c r="A713" s="170">
        <v>45755</v>
      </c>
      <c r="B713" s="116">
        <v>831</v>
      </c>
      <c r="C713" s="116">
        <v>802.3</v>
      </c>
      <c r="D713" s="116">
        <v>795</v>
      </c>
      <c r="E713" s="116">
        <v>831</v>
      </c>
      <c r="F713" s="116">
        <v>802.3</v>
      </c>
      <c r="G713">
        <v>2532</v>
      </c>
      <c r="H713" s="116"/>
      <c r="I713" s="116"/>
      <c r="L713" s="170">
        <v>45755</v>
      </c>
      <c r="M713" s="116">
        <v>801.8</v>
      </c>
      <c r="N713" s="116">
        <v>818</v>
      </c>
      <c r="O713" s="116">
        <v>795.1</v>
      </c>
      <c r="P713" s="116">
        <v>808.35</v>
      </c>
      <c r="Q713" s="116">
        <v>801.8</v>
      </c>
      <c r="R713">
        <v>88574</v>
      </c>
    </row>
    <row r="714" spans="1:18" x14ac:dyDescent="0.25">
      <c r="A714" s="170">
        <v>45756</v>
      </c>
      <c r="B714" s="116">
        <v>810</v>
      </c>
      <c r="C714" s="116">
        <v>800.05</v>
      </c>
      <c r="D714" s="116">
        <v>779.25</v>
      </c>
      <c r="E714" s="116">
        <v>810</v>
      </c>
      <c r="F714" s="116">
        <v>800.05</v>
      </c>
      <c r="G714">
        <v>7042</v>
      </c>
      <c r="H714" s="116"/>
      <c r="I714" s="116"/>
      <c r="L714" s="170">
        <v>45756</v>
      </c>
      <c r="M714" s="116">
        <v>797.95</v>
      </c>
      <c r="N714" s="116">
        <v>811.95</v>
      </c>
      <c r="O714" s="116">
        <v>780</v>
      </c>
      <c r="P714" s="116">
        <v>800</v>
      </c>
      <c r="Q714" s="116">
        <v>797.95</v>
      </c>
      <c r="R714">
        <v>95065</v>
      </c>
    </row>
    <row r="715" spans="1:18" x14ac:dyDescent="0.25">
      <c r="A715" s="170">
        <v>45758</v>
      </c>
      <c r="B715" s="116">
        <v>845.5</v>
      </c>
      <c r="C715" s="116">
        <v>839.3</v>
      </c>
      <c r="D715" s="116">
        <v>804</v>
      </c>
      <c r="E715" s="116">
        <v>822</v>
      </c>
      <c r="F715" s="116">
        <v>839.3</v>
      </c>
      <c r="G715">
        <v>10272</v>
      </c>
      <c r="H715" s="116"/>
      <c r="I715" s="116"/>
      <c r="L715" s="170">
        <v>45758</v>
      </c>
      <c r="M715" s="116">
        <v>840.9</v>
      </c>
      <c r="N715" s="116">
        <v>846.15</v>
      </c>
      <c r="O715" s="116">
        <v>802.05</v>
      </c>
      <c r="P715" s="116">
        <v>815</v>
      </c>
      <c r="Q715" s="116">
        <v>840.9</v>
      </c>
      <c r="R715">
        <v>111682</v>
      </c>
    </row>
    <row r="716" spans="1:18" x14ac:dyDescent="0.25">
      <c r="A716" s="170">
        <v>45762</v>
      </c>
      <c r="B716" s="116">
        <v>875</v>
      </c>
      <c r="C716" s="116">
        <v>868.85</v>
      </c>
      <c r="D716" s="116">
        <v>843.2</v>
      </c>
      <c r="E716" s="116">
        <v>845.45</v>
      </c>
      <c r="F716" s="116">
        <v>868.85</v>
      </c>
      <c r="G716">
        <v>1951</v>
      </c>
      <c r="H716" s="116"/>
      <c r="I716" s="116"/>
      <c r="L716" s="170">
        <v>45762</v>
      </c>
      <c r="M716" s="116">
        <v>867.95</v>
      </c>
      <c r="N716" s="116">
        <v>874.45</v>
      </c>
      <c r="O716" s="116">
        <v>840.9</v>
      </c>
      <c r="P716" s="116">
        <v>850</v>
      </c>
      <c r="Q716" s="116">
        <v>867.95</v>
      </c>
      <c r="R716">
        <v>67357</v>
      </c>
    </row>
    <row r="717" spans="1:18" x14ac:dyDescent="0.25">
      <c r="A717" s="170">
        <v>45763</v>
      </c>
      <c r="B717" s="116">
        <v>883</v>
      </c>
      <c r="C717" s="116">
        <v>874.15</v>
      </c>
      <c r="D717" s="116">
        <v>835</v>
      </c>
      <c r="E717" s="116">
        <v>835</v>
      </c>
      <c r="F717" s="116">
        <v>874.15</v>
      </c>
      <c r="G717">
        <v>6713</v>
      </c>
      <c r="H717" s="116"/>
      <c r="I717" s="116"/>
      <c r="L717" s="170">
        <v>45763</v>
      </c>
      <c r="M717" s="116">
        <v>875.65</v>
      </c>
      <c r="N717" s="116">
        <v>883.95</v>
      </c>
      <c r="O717" s="116">
        <v>858.7</v>
      </c>
      <c r="P717" s="116">
        <v>867</v>
      </c>
      <c r="Q717" s="116">
        <v>875.65</v>
      </c>
      <c r="R717">
        <v>84996</v>
      </c>
    </row>
    <row r="718" spans="1:18" x14ac:dyDescent="0.25">
      <c r="A718" s="170">
        <v>45764</v>
      </c>
      <c r="B718" s="116">
        <v>881.95</v>
      </c>
      <c r="C718" s="116">
        <v>872.15</v>
      </c>
      <c r="D718" s="116">
        <v>870</v>
      </c>
      <c r="E718" s="116">
        <v>872.1</v>
      </c>
      <c r="F718" s="116">
        <v>872.15</v>
      </c>
      <c r="G718">
        <v>3476</v>
      </c>
      <c r="H718" s="116"/>
      <c r="I718" s="116"/>
      <c r="L718" s="170">
        <v>45764</v>
      </c>
      <c r="M718" s="116">
        <v>873.65</v>
      </c>
      <c r="N718" s="116">
        <v>882</v>
      </c>
      <c r="O718" s="116">
        <v>867.05</v>
      </c>
      <c r="P718" s="116">
        <v>867.05</v>
      </c>
      <c r="Q718" s="116">
        <v>873.65</v>
      </c>
      <c r="R718">
        <v>51252</v>
      </c>
    </row>
    <row r="719" spans="1:18" x14ac:dyDescent="0.25">
      <c r="A719" s="170">
        <v>45768</v>
      </c>
      <c r="B719" s="116">
        <v>892</v>
      </c>
      <c r="C719" s="116">
        <v>872.65</v>
      </c>
      <c r="D719" s="116">
        <v>864.45</v>
      </c>
      <c r="E719" s="116">
        <v>892</v>
      </c>
      <c r="F719" s="116">
        <v>872.65</v>
      </c>
      <c r="G719">
        <v>3917</v>
      </c>
      <c r="H719" s="116"/>
      <c r="I719" s="116"/>
      <c r="L719" s="170">
        <v>45768</v>
      </c>
      <c r="M719" s="116">
        <v>870.2</v>
      </c>
      <c r="N719" s="116">
        <v>877.55</v>
      </c>
      <c r="O719" s="116">
        <v>863</v>
      </c>
      <c r="P719" s="116">
        <v>875</v>
      </c>
      <c r="Q719" s="116">
        <v>870.2</v>
      </c>
      <c r="R719">
        <v>59915</v>
      </c>
    </row>
    <row r="720" spans="1:18" x14ac:dyDescent="0.25">
      <c r="A720" s="170">
        <v>45769</v>
      </c>
      <c r="B720" s="116">
        <v>907.9</v>
      </c>
      <c r="C720" s="116">
        <v>859</v>
      </c>
      <c r="D720" s="116">
        <v>854.2</v>
      </c>
      <c r="E720" s="116">
        <v>907.9</v>
      </c>
      <c r="F720" s="116">
        <v>859</v>
      </c>
      <c r="G720">
        <v>7548</v>
      </c>
      <c r="H720" s="116"/>
      <c r="I720" s="116"/>
      <c r="L720" s="170">
        <v>45769</v>
      </c>
      <c r="M720" s="116">
        <v>857.95</v>
      </c>
      <c r="N720" s="116">
        <v>878.85</v>
      </c>
      <c r="O720" s="116">
        <v>855.1</v>
      </c>
      <c r="P720" s="116">
        <v>865.15</v>
      </c>
      <c r="Q720" s="116">
        <v>857.95</v>
      </c>
      <c r="R720">
        <v>96519</v>
      </c>
    </row>
    <row r="721" spans="1:18" x14ac:dyDescent="0.25">
      <c r="A721" s="170">
        <v>45770</v>
      </c>
      <c r="B721" s="116">
        <v>866.4</v>
      </c>
      <c r="C721" s="116">
        <v>826.9</v>
      </c>
      <c r="D721" s="116">
        <v>822.05</v>
      </c>
      <c r="E721" s="116">
        <v>858</v>
      </c>
      <c r="F721" s="116">
        <v>826.9</v>
      </c>
      <c r="G721">
        <v>11495</v>
      </c>
      <c r="H721" s="116"/>
      <c r="I721" s="116"/>
      <c r="L721" s="170">
        <v>45770</v>
      </c>
      <c r="M721" s="116">
        <v>827.3</v>
      </c>
      <c r="N721" s="116">
        <v>865</v>
      </c>
      <c r="O721" s="116">
        <v>822.1</v>
      </c>
      <c r="P721" s="116">
        <v>860</v>
      </c>
      <c r="Q721" s="116">
        <v>827.3</v>
      </c>
      <c r="R721">
        <v>110041</v>
      </c>
    </row>
    <row r="722" spans="1:18" x14ac:dyDescent="0.25">
      <c r="A722" s="170">
        <v>45771</v>
      </c>
      <c r="B722" s="116">
        <v>848.05</v>
      </c>
      <c r="C722" s="116">
        <v>828.5</v>
      </c>
      <c r="D722" s="116">
        <v>823.7</v>
      </c>
      <c r="E722" s="116">
        <v>833.45</v>
      </c>
      <c r="F722" s="116">
        <v>828.5</v>
      </c>
      <c r="G722">
        <v>2346</v>
      </c>
      <c r="H722" s="116"/>
      <c r="I722" s="116"/>
      <c r="L722" s="170">
        <v>45771</v>
      </c>
      <c r="M722" s="116">
        <v>827.7</v>
      </c>
      <c r="N722" s="116">
        <v>849.25</v>
      </c>
      <c r="O722" s="116">
        <v>823</v>
      </c>
      <c r="P722" s="116">
        <v>823</v>
      </c>
      <c r="Q722" s="116">
        <v>827.7</v>
      </c>
      <c r="R722">
        <v>80835</v>
      </c>
    </row>
    <row r="723" spans="1:18" x14ac:dyDescent="0.25">
      <c r="A723" s="170">
        <v>45772</v>
      </c>
      <c r="B723" s="116">
        <v>839.45</v>
      </c>
      <c r="C723" s="116">
        <v>804.1</v>
      </c>
      <c r="D723" s="116">
        <v>793.35</v>
      </c>
      <c r="E723" s="116">
        <v>839.45</v>
      </c>
      <c r="F723" s="116">
        <v>804.1</v>
      </c>
      <c r="G723">
        <v>9119</v>
      </c>
      <c r="H723" s="116"/>
      <c r="I723" s="116"/>
      <c r="L723" s="170">
        <v>45772</v>
      </c>
      <c r="M723" s="116">
        <v>804.55</v>
      </c>
      <c r="N723" s="116">
        <v>831</v>
      </c>
      <c r="O723" s="116">
        <v>794</v>
      </c>
      <c r="P723" s="116">
        <v>831</v>
      </c>
      <c r="Q723" s="116">
        <v>804.55</v>
      </c>
      <c r="R723">
        <v>70044</v>
      </c>
    </row>
    <row r="724" spans="1:18" x14ac:dyDescent="0.25">
      <c r="A724" s="170">
        <v>45775</v>
      </c>
      <c r="B724" s="116">
        <v>804.7</v>
      </c>
      <c r="C724" s="116">
        <v>787.1</v>
      </c>
      <c r="D724" s="116">
        <v>786</v>
      </c>
      <c r="E724" s="116">
        <v>795.3</v>
      </c>
      <c r="F724" s="116">
        <v>787.1</v>
      </c>
      <c r="G724">
        <v>3159</v>
      </c>
      <c r="H724" s="116"/>
      <c r="I724" s="116"/>
      <c r="L724" s="170">
        <v>45775</v>
      </c>
      <c r="M724" s="116">
        <v>788</v>
      </c>
      <c r="N724" s="116">
        <v>807.95</v>
      </c>
      <c r="O724" s="116">
        <v>785</v>
      </c>
      <c r="P724" s="116">
        <v>796.3</v>
      </c>
      <c r="Q724" s="116">
        <v>788</v>
      </c>
      <c r="R724">
        <v>90725</v>
      </c>
    </row>
    <row r="725" spans="1:18" x14ac:dyDescent="0.25">
      <c r="A725" s="170">
        <v>45776</v>
      </c>
      <c r="B725" s="116">
        <v>796.1</v>
      </c>
      <c r="C725" s="116">
        <v>774.35</v>
      </c>
      <c r="D725" s="116">
        <v>770.95</v>
      </c>
      <c r="E725" s="116">
        <v>794.3</v>
      </c>
      <c r="F725" s="116">
        <v>774.35</v>
      </c>
      <c r="G725">
        <v>2441</v>
      </c>
      <c r="H725" s="116"/>
      <c r="I725" s="116"/>
      <c r="L725" s="170">
        <v>45776</v>
      </c>
      <c r="M725" s="116">
        <v>773.4</v>
      </c>
      <c r="N725" s="116">
        <v>800</v>
      </c>
      <c r="O725" s="116">
        <v>770</v>
      </c>
      <c r="P725" s="116">
        <v>788.6</v>
      </c>
      <c r="Q725" s="116">
        <v>773.4</v>
      </c>
      <c r="R725">
        <v>62870</v>
      </c>
    </row>
    <row r="726" spans="1:18" x14ac:dyDescent="0.25">
      <c r="A726" s="170">
        <v>45777</v>
      </c>
      <c r="B726" s="116">
        <v>782.7</v>
      </c>
      <c r="C726" s="116">
        <v>776.2</v>
      </c>
      <c r="D726" s="116">
        <v>753.1</v>
      </c>
      <c r="E726" s="116">
        <v>766.25</v>
      </c>
      <c r="F726" s="116">
        <v>776.2</v>
      </c>
      <c r="G726">
        <v>8299</v>
      </c>
      <c r="H726" s="116"/>
      <c r="I726" s="116"/>
      <c r="L726" s="170">
        <v>45777</v>
      </c>
      <c r="M726" s="116">
        <v>775.5</v>
      </c>
      <c r="N726" s="116">
        <v>783.9</v>
      </c>
      <c r="O726" s="116">
        <v>752.35</v>
      </c>
      <c r="P726" s="116">
        <v>768.45</v>
      </c>
      <c r="Q726" s="116">
        <v>775.5</v>
      </c>
      <c r="R726">
        <v>107442</v>
      </c>
    </row>
    <row r="727" spans="1:18" x14ac:dyDescent="0.25">
      <c r="A727" s="170">
        <v>45779</v>
      </c>
      <c r="B727" s="116">
        <v>773</v>
      </c>
      <c r="C727" s="116">
        <v>763.55</v>
      </c>
      <c r="D727" s="116">
        <v>755.3</v>
      </c>
      <c r="E727" s="116">
        <v>769.95</v>
      </c>
      <c r="F727" s="116">
        <v>763.55</v>
      </c>
      <c r="G727">
        <v>4506</v>
      </c>
      <c r="H727" s="116"/>
      <c r="I727" s="116"/>
      <c r="L727" s="170">
        <v>45779</v>
      </c>
      <c r="M727" s="116">
        <v>760.7</v>
      </c>
      <c r="N727" s="116">
        <v>773.5</v>
      </c>
      <c r="O727" s="116">
        <v>755</v>
      </c>
      <c r="P727" s="116">
        <v>765.5</v>
      </c>
      <c r="Q727" s="116">
        <v>760.7</v>
      </c>
      <c r="R727">
        <v>62201</v>
      </c>
    </row>
    <row r="728" spans="1:18" x14ac:dyDescent="0.25">
      <c r="A728" s="170">
        <v>45782</v>
      </c>
      <c r="B728" s="116">
        <v>768.65</v>
      </c>
      <c r="C728" s="116">
        <v>752.4</v>
      </c>
      <c r="D728" s="116">
        <v>749.2</v>
      </c>
      <c r="E728" s="116">
        <v>760.45</v>
      </c>
      <c r="F728" s="116">
        <v>752.4</v>
      </c>
      <c r="G728">
        <v>6344</v>
      </c>
      <c r="H728" s="116"/>
      <c r="I728" s="116"/>
      <c r="L728" s="170">
        <v>45782</v>
      </c>
      <c r="M728" s="116">
        <v>751.7</v>
      </c>
      <c r="N728" s="116">
        <v>771.95</v>
      </c>
      <c r="O728" s="116">
        <v>749.1</v>
      </c>
      <c r="P728" s="116">
        <v>762.8</v>
      </c>
      <c r="Q728" s="116">
        <v>751.7</v>
      </c>
      <c r="R728">
        <v>69254</v>
      </c>
    </row>
    <row r="729" spans="1:18" x14ac:dyDescent="0.25">
      <c r="A729" s="170">
        <v>45783</v>
      </c>
      <c r="B729" s="116">
        <v>765</v>
      </c>
      <c r="C729" s="116">
        <v>743.95</v>
      </c>
      <c r="D729" s="116">
        <v>729</v>
      </c>
      <c r="E729" s="116">
        <v>765</v>
      </c>
      <c r="F729" s="116">
        <v>743.95</v>
      </c>
      <c r="G729">
        <v>8710</v>
      </c>
      <c r="H729" s="116"/>
      <c r="I729" s="116"/>
      <c r="L729" s="170">
        <v>45783</v>
      </c>
      <c r="M729" s="116">
        <v>744</v>
      </c>
      <c r="N729" s="116">
        <v>758.3</v>
      </c>
      <c r="O729" s="116">
        <v>726.85</v>
      </c>
      <c r="P729" s="116">
        <v>751.7</v>
      </c>
      <c r="Q729" s="116">
        <v>744</v>
      </c>
      <c r="R729">
        <v>115670</v>
      </c>
    </row>
    <row r="730" spans="1:18" x14ac:dyDescent="0.25">
      <c r="A730" s="170">
        <v>45784</v>
      </c>
      <c r="B730" s="116">
        <v>755</v>
      </c>
      <c r="C730" s="116">
        <v>746.7</v>
      </c>
      <c r="D730" s="116">
        <v>730.5</v>
      </c>
      <c r="E730" s="116">
        <v>730.5</v>
      </c>
      <c r="F730" s="116">
        <v>746.7</v>
      </c>
      <c r="G730">
        <v>5234</v>
      </c>
      <c r="H730" s="116"/>
      <c r="I730" s="116"/>
      <c r="L730" s="170">
        <v>45784</v>
      </c>
      <c r="M730" s="116">
        <v>746.05</v>
      </c>
      <c r="N730" s="116">
        <v>756.15</v>
      </c>
      <c r="O730" s="116">
        <v>733.1</v>
      </c>
      <c r="P730" s="116">
        <v>738</v>
      </c>
      <c r="Q730" s="116">
        <v>746.05</v>
      </c>
      <c r="R730">
        <v>102381</v>
      </c>
    </row>
    <row r="731" spans="1:18" x14ac:dyDescent="0.25">
      <c r="A731" s="170">
        <v>45785</v>
      </c>
      <c r="B731" s="116">
        <v>757.95</v>
      </c>
      <c r="C731" s="116">
        <v>737.45</v>
      </c>
      <c r="D731" s="116">
        <v>730</v>
      </c>
      <c r="E731" s="116">
        <v>757.95</v>
      </c>
      <c r="F731" s="116">
        <v>737.45</v>
      </c>
      <c r="G731">
        <v>6086</v>
      </c>
      <c r="H731" s="116"/>
      <c r="I731" s="116"/>
      <c r="L731" s="170">
        <v>45785</v>
      </c>
      <c r="M731" s="116">
        <v>736.85</v>
      </c>
      <c r="N731" s="116">
        <v>755</v>
      </c>
      <c r="O731" s="116">
        <v>720.35</v>
      </c>
      <c r="P731" s="116">
        <v>748.9</v>
      </c>
      <c r="Q731" s="116">
        <v>736.85</v>
      </c>
      <c r="R731">
        <v>58436</v>
      </c>
    </row>
    <row r="732" spans="1:18" x14ac:dyDescent="0.25">
      <c r="A732" s="170">
        <v>45786</v>
      </c>
      <c r="B732" s="116">
        <v>729.7</v>
      </c>
      <c r="C732" s="116">
        <v>713.9</v>
      </c>
      <c r="D732" s="116">
        <v>711.85</v>
      </c>
      <c r="E732" s="116">
        <v>729.7</v>
      </c>
      <c r="F732" s="116">
        <v>713.9</v>
      </c>
      <c r="G732">
        <v>7515</v>
      </c>
      <c r="H732" s="116"/>
      <c r="I732" s="116"/>
      <c r="L732" s="170">
        <v>45786</v>
      </c>
      <c r="M732" s="116">
        <v>714.45</v>
      </c>
      <c r="N732" s="116">
        <v>728.9</v>
      </c>
      <c r="O732" s="116">
        <v>711.05</v>
      </c>
      <c r="P732" s="116">
        <v>717.1</v>
      </c>
      <c r="Q732" s="116">
        <v>714.45</v>
      </c>
      <c r="R732">
        <v>57303</v>
      </c>
    </row>
    <row r="733" spans="1:18" x14ac:dyDescent="0.25">
      <c r="A733" s="170">
        <v>45789</v>
      </c>
      <c r="B733" s="116">
        <v>752.2</v>
      </c>
      <c r="C733" s="116">
        <v>735.45</v>
      </c>
      <c r="D733" s="116">
        <v>732.3</v>
      </c>
      <c r="E733" s="116">
        <v>749.1</v>
      </c>
      <c r="F733" s="116">
        <v>735.45</v>
      </c>
      <c r="G733">
        <v>4668</v>
      </c>
      <c r="H733" s="116"/>
      <c r="I733" s="116"/>
      <c r="L733" s="170">
        <v>45789</v>
      </c>
      <c r="M733" s="116">
        <v>733.9</v>
      </c>
      <c r="N733" s="116">
        <v>755</v>
      </c>
      <c r="O733" s="116">
        <v>730.5</v>
      </c>
      <c r="P733" s="116">
        <v>749</v>
      </c>
      <c r="Q733" s="116">
        <v>733.9</v>
      </c>
      <c r="R733">
        <v>79703</v>
      </c>
    </row>
    <row r="734" spans="1:18" x14ac:dyDescent="0.25">
      <c r="A734" s="170">
        <v>45790</v>
      </c>
      <c r="B734" s="116">
        <v>747</v>
      </c>
      <c r="C734" s="116">
        <v>739.95</v>
      </c>
      <c r="D734" s="116">
        <v>736.2</v>
      </c>
      <c r="E734" s="116">
        <v>745</v>
      </c>
      <c r="F734" s="116">
        <v>739.95</v>
      </c>
      <c r="G734">
        <v>5767</v>
      </c>
      <c r="H734" s="116"/>
      <c r="I734" s="116"/>
      <c r="L734" s="170">
        <v>45790</v>
      </c>
      <c r="M734" s="116">
        <v>739.15</v>
      </c>
      <c r="N734" s="116">
        <v>749</v>
      </c>
      <c r="O734" s="116">
        <v>735</v>
      </c>
      <c r="P734" s="116">
        <v>744</v>
      </c>
      <c r="Q734" s="116">
        <v>739.15</v>
      </c>
      <c r="R734">
        <v>87606</v>
      </c>
    </row>
    <row r="735" spans="1:18" x14ac:dyDescent="0.25">
      <c r="A735" s="170">
        <v>45791</v>
      </c>
      <c r="B735" s="116">
        <v>753.55</v>
      </c>
      <c r="C735" s="116">
        <v>744.85</v>
      </c>
      <c r="D735" s="116">
        <v>739.4</v>
      </c>
      <c r="E735" s="116">
        <v>745.05</v>
      </c>
      <c r="F735" s="116">
        <v>744.85</v>
      </c>
      <c r="G735">
        <v>9002</v>
      </c>
      <c r="H735" s="116"/>
      <c r="I735" s="116"/>
      <c r="L735" s="170">
        <v>45791</v>
      </c>
      <c r="M735" s="116">
        <v>744.55</v>
      </c>
      <c r="N735" s="116">
        <v>753.45</v>
      </c>
      <c r="O735" s="116">
        <v>740.05</v>
      </c>
      <c r="P735" s="116">
        <v>746</v>
      </c>
      <c r="Q735" s="116">
        <v>744.55</v>
      </c>
      <c r="R735">
        <v>59669</v>
      </c>
    </row>
    <row r="736" spans="1:18" x14ac:dyDescent="0.25">
      <c r="A736" s="170">
        <v>45792</v>
      </c>
      <c r="B736" s="116">
        <v>767</v>
      </c>
      <c r="C736" s="116">
        <v>760.35</v>
      </c>
      <c r="D736" s="116">
        <v>744.8</v>
      </c>
      <c r="E736" s="116">
        <v>744.85</v>
      </c>
      <c r="F736" s="116">
        <v>760.35</v>
      </c>
      <c r="G736">
        <v>13927</v>
      </c>
      <c r="H736" s="116"/>
      <c r="I736" s="116"/>
      <c r="L736" s="170">
        <v>45792</v>
      </c>
      <c r="M736" s="116">
        <v>758.9</v>
      </c>
      <c r="N736" s="116">
        <v>768</v>
      </c>
      <c r="O736" s="116">
        <v>745.05</v>
      </c>
      <c r="P736" s="116">
        <v>750</v>
      </c>
      <c r="Q736" s="116">
        <v>758.9</v>
      </c>
      <c r="R736">
        <v>90023</v>
      </c>
    </row>
    <row r="737" spans="1:18" x14ac:dyDescent="0.25">
      <c r="A737" s="170">
        <v>45793</v>
      </c>
      <c r="B737" s="116">
        <v>768.25</v>
      </c>
      <c r="C737" s="116">
        <v>755.75</v>
      </c>
      <c r="D737" s="116">
        <v>753.3</v>
      </c>
      <c r="E737" s="116">
        <v>760.35</v>
      </c>
      <c r="F737" s="116">
        <v>755.75</v>
      </c>
      <c r="G737">
        <v>7041</v>
      </c>
      <c r="H737" s="116"/>
      <c r="I737" s="116"/>
      <c r="L737" s="170">
        <v>45793</v>
      </c>
      <c r="M737" s="116">
        <v>755.3</v>
      </c>
      <c r="N737" s="116">
        <v>768.2</v>
      </c>
      <c r="O737" s="116">
        <v>751.55</v>
      </c>
      <c r="P737" s="116">
        <v>763.3</v>
      </c>
      <c r="Q737" s="116">
        <v>755.3</v>
      </c>
      <c r="R737">
        <v>61768</v>
      </c>
    </row>
    <row r="738" spans="1:18" x14ac:dyDescent="0.25">
      <c r="A738" s="170">
        <v>45796</v>
      </c>
      <c r="B738" s="116">
        <v>777.95</v>
      </c>
      <c r="C738" s="116">
        <v>769.05</v>
      </c>
      <c r="D738" s="116">
        <v>748.9</v>
      </c>
      <c r="E738" s="116">
        <v>755.05</v>
      </c>
      <c r="F738" s="116">
        <v>769.05</v>
      </c>
      <c r="G738">
        <v>10113</v>
      </c>
      <c r="H738" s="116"/>
      <c r="I738" s="116"/>
      <c r="L738" s="170">
        <v>45796</v>
      </c>
      <c r="M738" s="116">
        <v>767.15</v>
      </c>
      <c r="N738" s="116">
        <v>779.5</v>
      </c>
      <c r="O738" s="116">
        <v>748.1</v>
      </c>
      <c r="P738" s="116">
        <v>766</v>
      </c>
      <c r="Q738" s="116">
        <v>767.15</v>
      </c>
      <c r="R738">
        <v>111792</v>
      </c>
    </row>
    <row r="739" spans="1:18" x14ac:dyDescent="0.25">
      <c r="A739" s="170">
        <v>45797</v>
      </c>
      <c r="B739" s="116">
        <v>772.05</v>
      </c>
      <c r="C739" s="116">
        <v>754.7</v>
      </c>
      <c r="D739" s="116">
        <v>750</v>
      </c>
      <c r="E739" s="116">
        <v>769.05</v>
      </c>
      <c r="F739" s="116">
        <v>754.7</v>
      </c>
      <c r="G739">
        <v>5032</v>
      </c>
      <c r="H739" s="116"/>
      <c r="I739" s="116"/>
      <c r="L739" s="170">
        <v>45797</v>
      </c>
      <c r="M739" s="116">
        <v>752.5</v>
      </c>
      <c r="N739" s="116">
        <v>774.8</v>
      </c>
      <c r="O739" s="116">
        <v>749.6</v>
      </c>
      <c r="P739" s="116">
        <v>767.15</v>
      </c>
      <c r="Q739" s="116">
        <v>752.5</v>
      </c>
      <c r="R739">
        <v>46502</v>
      </c>
    </row>
    <row r="740" spans="1:18" x14ac:dyDescent="0.25">
      <c r="A740" s="170">
        <v>45798</v>
      </c>
      <c r="B740" s="116">
        <v>771.95</v>
      </c>
      <c r="C740" s="116">
        <v>757.7</v>
      </c>
      <c r="D740" s="116">
        <v>740.2</v>
      </c>
      <c r="E740" s="116">
        <v>754.7</v>
      </c>
      <c r="F740" s="116">
        <v>757.7</v>
      </c>
      <c r="G740">
        <v>12512</v>
      </c>
      <c r="H740" s="116"/>
      <c r="I740" s="116"/>
      <c r="L740" s="170">
        <v>45798</v>
      </c>
      <c r="M740" s="116">
        <v>759.15</v>
      </c>
      <c r="N740" s="116">
        <v>772.6</v>
      </c>
      <c r="O740" s="116">
        <v>738.9</v>
      </c>
      <c r="P740" s="116">
        <v>757.2</v>
      </c>
      <c r="Q740" s="116">
        <v>759.15</v>
      </c>
      <c r="R740">
        <v>104529</v>
      </c>
    </row>
    <row r="741" spans="1:18" x14ac:dyDescent="0.25">
      <c r="A741" s="170">
        <v>45799</v>
      </c>
      <c r="B741" s="116">
        <v>770</v>
      </c>
      <c r="C741" s="116">
        <v>750.6</v>
      </c>
      <c r="D741" s="116">
        <v>748.5</v>
      </c>
      <c r="E741" s="116">
        <v>753</v>
      </c>
      <c r="F741" s="116">
        <v>750.6</v>
      </c>
      <c r="G741">
        <v>1495</v>
      </c>
      <c r="H741" s="116"/>
      <c r="I741" s="116"/>
      <c r="L741" s="170">
        <v>45799</v>
      </c>
      <c r="M741" s="116">
        <v>751.6</v>
      </c>
      <c r="N741" s="116">
        <v>758.95</v>
      </c>
      <c r="O741" s="116">
        <v>748</v>
      </c>
      <c r="P741" s="116">
        <v>758.4</v>
      </c>
      <c r="Q741" s="116">
        <v>751.6</v>
      </c>
      <c r="R741">
        <v>35300</v>
      </c>
    </row>
    <row r="742" spans="1:18" x14ac:dyDescent="0.25">
      <c r="A742" s="170">
        <v>45800</v>
      </c>
      <c r="B742" s="116">
        <v>758.35</v>
      </c>
      <c r="C742" s="116">
        <v>751.3</v>
      </c>
      <c r="D742" s="116">
        <v>747.95</v>
      </c>
      <c r="E742" s="116">
        <v>751.05</v>
      </c>
      <c r="F742" s="116">
        <v>751.3</v>
      </c>
      <c r="G742">
        <v>1695</v>
      </c>
      <c r="H742" s="116"/>
      <c r="I742" s="116"/>
      <c r="L742" s="170">
        <v>45800</v>
      </c>
      <c r="M742" s="116">
        <v>750.55</v>
      </c>
      <c r="N742" s="116">
        <v>757.85</v>
      </c>
      <c r="O742" s="116">
        <v>747.1</v>
      </c>
      <c r="P742" s="116">
        <v>755</v>
      </c>
      <c r="Q742" s="116">
        <v>750.55</v>
      </c>
      <c r="R742">
        <v>53639</v>
      </c>
    </row>
    <row r="743" spans="1:18" x14ac:dyDescent="0.25">
      <c r="A743" s="170">
        <v>45803</v>
      </c>
      <c r="B743" s="116">
        <v>757.2</v>
      </c>
      <c r="C743" s="116">
        <v>741.9</v>
      </c>
      <c r="D743" s="116">
        <v>738</v>
      </c>
      <c r="E743" s="116">
        <v>740.05</v>
      </c>
      <c r="F743" s="116">
        <v>741.9</v>
      </c>
      <c r="G743">
        <v>8072</v>
      </c>
      <c r="H743" s="116"/>
      <c r="I743" s="116"/>
      <c r="L743" s="170">
        <v>45803</v>
      </c>
      <c r="M743" s="116">
        <v>740.4</v>
      </c>
      <c r="N743" s="116">
        <v>763.5</v>
      </c>
      <c r="O743" s="116">
        <v>733.8</v>
      </c>
      <c r="P743" s="116">
        <v>750.55</v>
      </c>
      <c r="Q743" s="116">
        <v>740.4</v>
      </c>
      <c r="R743">
        <v>118843</v>
      </c>
    </row>
    <row r="744" spans="1:18" x14ac:dyDescent="0.25">
      <c r="A744" s="170">
        <v>45804</v>
      </c>
      <c r="B744" s="116">
        <v>749.65</v>
      </c>
      <c r="C744" s="116">
        <v>741.9</v>
      </c>
      <c r="D744" s="116">
        <v>737.05</v>
      </c>
      <c r="E744" s="116">
        <v>737.05</v>
      </c>
      <c r="F744" s="116">
        <v>741.9</v>
      </c>
      <c r="G744">
        <v>6594</v>
      </c>
      <c r="H744" s="116"/>
      <c r="I744" s="116"/>
      <c r="L744" s="170">
        <v>45804</v>
      </c>
      <c r="M744" s="116">
        <v>740.85</v>
      </c>
      <c r="N744" s="116">
        <v>749</v>
      </c>
      <c r="O744" s="116">
        <v>737.65</v>
      </c>
      <c r="P744" s="116">
        <v>744.25</v>
      </c>
      <c r="Q744" s="116">
        <v>740.85</v>
      </c>
      <c r="R744">
        <v>35581</v>
      </c>
    </row>
    <row r="745" spans="1:18" x14ac:dyDescent="0.25">
      <c r="A745" s="170">
        <v>45805</v>
      </c>
      <c r="B745" s="116">
        <v>760</v>
      </c>
      <c r="C745" s="116">
        <v>757.55</v>
      </c>
      <c r="D745" s="116">
        <v>729.9</v>
      </c>
      <c r="E745" s="116">
        <v>742.5</v>
      </c>
      <c r="F745" s="116">
        <v>757.55</v>
      </c>
      <c r="G745">
        <v>12383</v>
      </c>
      <c r="H745" s="116"/>
      <c r="I745" s="116"/>
      <c r="L745" s="170">
        <v>45805</v>
      </c>
      <c r="M745" s="116">
        <v>757.65</v>
      </c>
      <c r="N745" s="116">
        <v>760.5</v>
      </c>
      <c r="O745" s="116">
        <v>736.5</v>
      </c>
      <c r="P745" s="116">
        <v>747.5</v>
      </c>
      <c r="Q745" s="116">
        <v>757.65</v>
      </c>
      <c r="R745">
        <v>73073</v>
      </c>
    </row>
    <row r="746" spans="1:18" x14ac:dyDescent="0.25">
      <c r="A746" s="170">
        <v>45806</v>
      </c>
      <c r="B746" s="116">
        <v>757.6</v>
      </c>
      <c r="C746" s="116">
        <v>745.75</v>
      </c>
      <c r="D746" s="116">
        <v>743</v>
      </c>
      <c r="E746" s="116">
        <v>757.6</v>
      </c>
      <c r="F746" s="116">
        <v>745.75</v>
      </c>
      <c r="G746">
        <v>5543</v>
      </c>
      <c r="H746" s="116"/>
      <c r="I746" s="116"/>
      <c r="L746" s="170">
        <v>45806</v>
      </c>
      <c r="M746" s="116">
        <v>745.85</v>
      </c>
      <c r="N746" s="116">
        <v>766</v>
      </c>
      <c r="O746" s="116">
        <v>742.15</v>
      </c>
      <c r="P746" s="116">
        <v>763.6</v>
      </c>
      <c r="Q746" s="116">
        <v>745.85</v>
      </c>
      <c r="R746">
        <v>83188</v>
      </c>
    </row>
    <row r="747" spans="1:18" x14ac:dyDescent="0.25">
      <c r="A747" s="170">
        <v>45807</v>
      </c>
      <c r="B747" s="116">
        <v>778.8</v>
      </c>
      <c r="C747" s="116">
        <v>776.1</v>
      </c>
      <c r="D747" s="116">
        <v>740.05</v>
      </c>
      <c r="E747" s="116">
        <v>744.6</v>
      </c>
      <c r="F747" s="116">
        <v>776.1</v>
      </c>
      <c r="G747">
        <v>7184</v>
      </c>
      <c r="H747" s="116"/>
      <c r="I747" s="116"/>
      <c r="L747" s="170">
        <v>45807</v>
      </c>
      <c r="M747" s="116">
        <v>775.7</v>
      </c>
      <c r="N747" s="116">
        <v>778</v>
      </c>
      <c r="O747" s="116">
        <v>739</v>
      </c>
      <c r="P747" s="116">
        <v>745.85</v>
      </c>
      <c r="Q747" s="116">
        <v>775.7</v>
      </c>
      <c r="R747">
        <v>284340</v>
      </c>
    </row>
    <row r="748" spans="1:18" x14ac:dyDescent="0.25">
      <c r="A748" s="170">
        <v>45810</v>
      </c>
      <c r="B748" s="116">
        <v>793.75</v>
      </c>
      <c r="C748" s="116">
        <v>774.2</v>
      </c>
      <c r="D748" s="116">
        <v>764.95</v>
      </c>
      <c r="E748" s="116">
        <v>770.8</v>
      </c>
      <c r="F748" s="116">
        <v>774.2</v>
      </c>
      <c r="G748">
        <v>12582</v>
      </c>
      <c r="H748" s="116"/>
      <c r="I748" s="116"/>
      <c r="L748" s="170">
        <v>45810</v>
      </c>
      <c r="M748" s="116">
        <v>775.45</v>
      </c>
      <c r="N748" s="116">
        <v>793.1</v>
      </c>
      <c r="O748" s="116">
        <v>765.4</v>
      </c>
      <c r="P748" s="116">
        <v>775.7</v>
      </c>
      <c r="Q748" s="116">
        <v>775.45</v>
      </c>
      <c r="R748">
        <v>132184</v>
      </c>
    </row>
    <row r="749" spans="1:18" x14ac:dyDescent="0.25">
      <c r="A749" s="170">
        <v>45811</v>
      </c>
      <c r="B749" s="116">
        <v>785.55</v>
      </c>
      <c r="C749" s="116">
        <v>757.3</v>
      </c>
      <c r="D749" s="116">
        <v>755.1</v>
      </c>
      <c r="E749" s="116">
        <v>770.15</v>
      </c>
      <c r="F749" s="116">
        <v>757.3</v>
      </c>
      <c r="G749">
        <v>3309</v>
      </c>
      <c r="H749" s="116"/>
      <c r="I749" s="116"/>
      <c r="L749" s="170">
        <v>45811</v>
      </c>
      <c r="M749" s="116">
        <v>757.65</v>
      </c>
      <c r="N749" s="116">
        <v>778.85</v>
      </c>
      <c r="O749" s="116">
        <v>754.1</v>
      </c>
      <c r="P749" s="116">
        <v>775.55</v>
      </c>
      <c r="Q749" s="116">
        <v>757.65</v>
      </c>
      <c r="R749">
        <v>48256</v>
      </c>
    </row>
    <row r="750" spans="1:18" x14ac:dyDescent="0.25">
      <c r="A750" s="170">
        <v>45812</v>
      </c>
      <c r="B750" s="116">
        <v>762.2</v>
      </c>
      <c r="C750" s="116">
        <v>756</v>
      </c>
      <c r="D750" s="116">
        <v>754</v>
      </c>
      <c r="E750" s="116">
        <v>757.65</v>
      </c>
      <c r="F750" s="116">
        <v>756</v>
      </c>
      <c r="G750">
        <v>5358</v>
      </c>
      <c r="H750" s="116"/>
      <c r="I750" s="116"/>
      <c r="L750" s="170">
        <v>45812</v>
      </c>
      <c r="M750" s="116">
        <v>756.6</v>
      </c>
      <c r="N750" s="116">
        <v>765</v>
      </c>
      <c r="O750" s="116">
        <v>754</v>
      </c>
      <c r="P750" s="116">
        <v>760.7</v>
      </c>
      <c r="Q750" s="116">
        <v>756.6</v>
      </c>
      <c r="R750">
        <v>45051</v>
      </c>
    </row>
    <row r="751" spans="1:18" x14ac:dyDescent="0.25">
      <c r="A751" s="170">
        <v>45813</v>
      </c>
      <c r="B751" s="116">
        <v>761.45</v>
      </c>
      <c r="C751" s="116">
        <v>750.55</v>
      </c>
      <c r="D751" s="116">
        <v>747.55</v>
      </c>
      <c r="E751" s="116">
        <v>759.25</v>
      </c>
      <c r="F751" s="116">
        <v>750.55</v>
      </c>
      <c r="G751">
        <v>1747</v>
      </c>
      <c r="H751" s="116"/>
      <c r="I751" s="116"/>
      <c r="L751" s="170">
        <v>45813</v>
      </c>
      <c r="M751" s="116">
        <v>750.5</v>
      </c>
      <c r="N751" s="116">
        <v>762.5</v>
      </c>
      <c r="O751" s="116">
        <v>748.1</v>
      </c>
      <c r="P751" s="116">
        <v>760</v>
      </c>
      <c r="Q751" s="116">
        <v>750.5</v>
      </c>
      <c r="R751">
        <v>53145</v>
      </c>
    </row>
    <row r="752" spans="1:18" x14ac:dyDescent="0.25">
      <c r="A752" s="170">
        <v>45814</v>
      </c>
      <c r="B752" s="116">
        <v>756.5</v>
      </c>
      <c r="C752" s="116">
        <v>742.1</v>
      </c>
      <c r="D752" s="116">
        <v>740</v>
      </c>
      <c r="E752" s="116">
        <v>743</v>
      </c>
      <c r="F752" s="116">
        <v>742.1</v>
      </c>
      <c r="G752">
        <v>11651</v>
      </c>
      <c r="H752" s="116"/>
      <c r="I752" s="116"/>
      <c r="L752" s="170">
        <v>45814</v>
      </c>
      <c r="M752" s="116">
        <v>742.6</v>
      </c>
      <c r="N752" s="116">
        <v>761.3</v>
      </c>
      <c r="O752" s="116">
        <v>740.05</v>
      </c>
      <c r="P752" s="116">
        <v>750.55</v>
      </c>
      <c r="Q752" s="116">
        <v>742.6</v>
      </c>
      <c r="R752">
        <v>90962</v>
      </c>
    </row>
    <row r="753" spans="1:18" x14ac:dyDescent="0.25">
      <c r="A753" s="170">
        <v>45817</v>
      </c>
      <c r="B753" s="116">
        <v>748.6</v>
      </c>
      <c r="C753" s="116">
        <v>742.25</v>
      </c>
      <c r="D753" s="116">
        <v>722.55</v>
      </c>
      <c r="E753" s="116">
        <v>722.55</v>
      </c>
      <c r="F753" s="116">
        <v>742.25</v>
      </c>
      <c r="G753">
        <v>4799</v>
      </c>
      <c r="H753" s="116"/>
      <c r="I753" s="116"/>
      <c r="L753" s="170">
        <v>45817</v>
      </c>
      <c r="M753" s="116">
        <v>742.65</v>
      </c>
      <c r="N753" s="116">
        <v>748</v>
      </c>
      <c r="O753" s="116">
        <v>737.7</v>
      </c>
      <c r="P753" s="116">
        <v>743</v>
      </c>
      <c r="Q753" s="116">
        <v>742.65</v>
      </c>
      <c r="R753">
        <v>116262</v>
      </c>
    </row>
    <row r="754" spans="1:18" x14ac:dyDescent="0.25">
      <c r="A754" s="170">
        <v>45818</v>
      </c>
      <c r="B754" s="116">
        <v>764.9</v>
      </c>
      <c r="C754" s="116">
        <v>758.9</v>
      </c>
      <c r="D754" s="116">
        <v>742.45</v>
      </c>
      <c r="E754" s="116">
        <v>742.85</v>
      </c>
      <c r="F754" s="116">
        <v>758.9</v>
      </c>
      <c r="G754">
        <v>4878</v>
      </c>
      <c r="H754" s="116"/>
      <c r="I754" s="116"/>
      <c r="L754" s="170">
        <v>45818</v>
      </c>
      <c r="M754" s="116">
        <v>760.15</v>
      </c>
      <c r="N754" s="116">
        <v>764.3</v>
      </c>
      <c r="O754" s="116">
        <v>741</v>
      </c>
      <c r="P754" s="116">
        <v>748.7</v>
      </c>
      <c r="Q754" s="116">
        <v>760.15</v>
      </c>
      <c r="R754">
        <v>118862</v>
      </c>
    </row>
    <row r="755" spans="1:18" x14ac:dyDescent="0.25">
      <c r="A755" s="170">
        <v>45819</v>
      </c>
      <c r="B755" s="116">
        <v>765</v>
      </c>
      <c r="C755" s="116">
        <v>749.25</v>
      </c>
      <c r="D755" s="116">
        <v>746.85</v>
      </c>
      <c r="E755" s="116">
        <v>765</v>
      </c>
      <c r="F755" s="116">
        <v>749.25</v>
      </c>
      <c r="G755">
        <v>2851</v>
      </c>
      <c r="H755" s="116"/>
      <c r="I755" s="116"/>
      <c r="L755" s="170">
        <v>45819</v>
      </c>
      <c r="M755" s="116">
        <v>749.85</v>
      </c>
      <c r="N755" s="116">
        <v>765.95</v>
      </c>
      <c r="O755" s="116">
        <v>747.1</v>
      </c>
      <c r="P755" s="116">
        <v>762.9</v>
      </c>
      <c r="Q755" s="116">
        <v>749.85</v>
      </c>
      <c r="R755">
        <v>69480</v>
      </c>
    </row>
    <row r="756" spans="1:18" x14ac:dyDescent="0.25">
      <c r="A756" s="170">
        <v>45820</v>
      </c>
      <c r="B756" s="116">
        <v>756.35</v>
      </c>
      <c r="C756" s="116">
        <v>740.1</v>
      </c>
      <c r="D756" s="116">
        <v>735.95</v>
      </c>
      <c r="E756" s="116">
        <v>756.35</v>
      </c>
      <c r="F756" s="116">
        <v>740.1</v>
      </c>
      <c r="G756">
        <v>4318</v>
      </c>
      <c r="H756" s="116"/>
      <c r="I756" s="116"/>
      <c r="L756" s="170">
        <v>45820</v>
      </c>
      <c r="M756" s="116">
        <v>738.3</v>
      </c>
      <c r="N756" s="116">
        <v>757.3</v>
      </c>
      <c r="O756" s="116">
        <v>735</v>
      </c>
      <c r="P756" s="116">
        <v>757.3</v>
      </c>
      <c r="Q756" s="116">
        <v>738.3</v>
      </c>
      <c r="R756">
        <v>72601</v>
      </c>
    </row>
    <row r="757" spans="1:18" x14ac:dyDescent="0.25">
      <c r="A757" s="170">
        <v>45821</v>
      </c>
      <c r="B757" s="116">
        <v>752</v>
      </c>
      <c r="C757" s="116">
        <v>749.1</v>
      </c>
      <c r="D757" s="116">
        <v>723.45</v>
      </c>
      <c r="E757" s="116">
        <v>723.55</v>
      </c>
      <c r="F757" s="116">
        <v>749.1</v>
      </c>
      <c r="G757">
        <v>10773</v>
      </c>
      <c r="H757" s="116"/>
      <c r="I757" s="116"/>
      <c r="L757" s="170">
        <v>45821</v>
      </c>
      <c r="M757" s="116">
        <v>749.55</v>
      </c>
      <c r="N757" s="116">
        <v>751.7</v>
      </c>
      <c r="O757" s="116">
        <v>724.5</v>
      </c>
      <c r="P757" s="116">
        <v>730</v>
      </c>
      <c r="Q757" s="116">
        <v>749.55</v>
      </c>
      <c r="R757">
        <v>88155</v>
      </c>
    </row>
    <row r="758" spans="1:18" x14ac:dyDescent="0.25">
      <c r="A758" s="170">
        <v>45824</v>
      </c>
      <c r="B758" s="116">
        <v>748</v>
      </c>
      <c r="C758" s="116">
        <v>738.7</v>
      </c>
      <c r="D758" s="116">
        <v>735</v>
      </c>
      <c r="E758" s="116">
        <v>748</v>
      </c>
      <c r="F758" s="116">
        <v>738.7</v>
      </c>
      <c r="G758">
        <v>3622</v>
      </c>
      <c r="H758" s="116"/>
      <c r="I758" s="116"/>
      <c r="L758" s="170">
        <v>45824</v>
      </c>
      <c r="M758" s="116">
        <v>738.75</v>
      </c>
      <c r="N758" s="116">
        <v>748.95</v>
      </c>
      <c r="O758" s="116">
        <v>734.8</v>
      </c>
      <c r="P758" s="116">
        <v>748.95</v>
      </c>
      <c r="Q758" s="116">
        <v>738.75</v>
      </c>
      <c r="R758">
        <v>59198</v>
      </c>
    </row>
    <row r="759" spans="1:18" x14ac:dyDescent="0.25">
      <c r="A759" s="170">
        <v>45825</v>
      </c>
      <c r="B759" s="116">
        <v>746.55</v>
      </c>
      <c r="C759" s="116">
        <v>745.3</v>
      </c>
      <c r="D759" s="116">
        <v>732.45</v>
      </c>
      <c r="E759" s="116">
        <v>741.55</v>
      </c>
      <c r="F759" s="116">
        <v>745.3</v>
      </c>
      <c r="G759">
        <v>1499</v>
      </c>
      <c r="H759" s="116"/>
      <c r="I759" s="116"/>
      <c r="L759" s="170">
        <v>45825</v>
      </c>
      <c r="M759" s="116">
        <v>746.25</v>
      </c>
      <c r="N759" s="116">
        <v>747.5</v>
      </c>
      <c r="O759" s="116">
        <v>732</v>
      </c>
      <c r="P759" s="116">
        <v>744</v>
      </c>
      <c r="Q759" s="116">
        <v>746.25</v>
      </c>
      <c r="R759">
        <v>81147</v>
      </c>
    </row>
    <row r="760" spans="1:18" x14ac:dyDescent="0.25">
      <c r="A760" s="170">
        <v>45826</v>
      </c>
      <c r="B760" s="116">
        <v>746.05</v>
      </c>
      <c r="C760" s="116">
        <v>737.1</v>
      </c>
      <c r="D760" s="116">
        <v>725.15</v>
      </c>
      <c r="E760" s="116">
        <v>725.15</v>
      </c>
      <c r="F760" s="116">
        <v>737.1</v>
      </c>
      <c r="G760">
        <v>1963</v>
      </c>
      <c r="H760" s="116"/>
      <c r="I760" s="116"/>
      <c r="L760" s="170">
        <v>45826</v>
      </c>
      <c r="M760" s="116">
        <v>737.3</v>
      </c>
      <c r="N760" s="116">
        <v>747.2</v>
      </c>
      <c r="O760" s="116">
        <v>735</v>
      </c>
      <c r="P760" s="116">
        <v>736.1</v>
      </c>
      <c r="Q760" s="116">
        <v>737.3</v>
      </c>
      <c r="R760">
        <v>54198</v>
      </c>
    </row>
    <row r="761" spans="1:18" x14ac:dyDescent="0.25">
      <c r="A761" s="170">
        <v>45827</v>
      </c>
      <c r="B761" s="116">
        <v>740.1</v>
      </c>
      <c r="C761" s="116">
        <v>722.4</v>
      </c>
      <c r="D761" s="116">
        <v>721.05</v>
      </c>
      <c r="E761" s="116">
        <v>726.2</v>
      </c>
      <c r="F761" s="116">
        <v>722.4</v>
      </c>
      <c r="G761">
        <v>1067</v>
      </c>
      <c r="H761" s="116"/>
      <c r="I761" s="116"/>
      <c r="L761" s="170">
        <v>45827</v>
      </c>
      <c r="M761" s="116">
        <v>727</v>
      </c>
      <c r="N761" s="116">
        <v>742.7</v>
      </c>
      <c r="O761" s="116">
        <v>722</v>
      </c>
      <c r="P761" s="116">
        <v>737.3</v>
      </c>
      <c r="Q761" s="116">
        <v>727</v>
      </c>
      <c r="R761">
        <v>44360</v>
      </c>
    </row>
    <row r="762" spans="1:18" x14ac:dyDescent="0.25">
      <c r="A762" s="170">
        <v>45828</v>
      </c>
      <c r="B762" s="116">
        <v>731.1</v>
      </c>
      <c r="C762" s="116">
        <v>721.7</v>
      </c>
      <c r="D762" s="116">
        <v>711.7</v>
      </c>
      <c r="E762" s="116">
        <v>711.7</v>
      </c>
      <c r="F762" s="116">
        <v>721.7</v>
      </c>
      <c r="G762">
        <v>1802</v>
      </c>
      <c r="H762" s="116"/>
      <c r="I762" s="116"/>
      <c r="L762" s="170">
        <v>45828</v>
      </c>
      <c r="M762" s="116">
        <v>724.65</v>
      </c>
      <c r="N762" s="116">
        <v>732.8</v>
      </c>
      <c r="O762" s="116">
        <v>722.85</v>
      </c>
      <c r="P762" s="116">
        <v>732.8</v>
      </c>
      <c r="Q762" s="116">
        <v>724.65</v>
      </c>
      <c r="R762">
        <v>45711</v>
      </c>
    </row>
    <row r="763" spans="1:18" x14ac:dyDescent="0.25">
      <c r="A763" s="170">
        <v>45831</v>
      </c>
      <c r="B763" s="116">
        <v>726.6</v>
      </c>
      <c r="C763" s="116">
        <v>716.6</v>
      </c>
      <c r="D763" s="116">
        <v>712.1</v>
      </c>
      <c r="E763" s="116">
        <v>725</v>
      </c>
      <c r="F763" s="116">
        <v>716.6</v>
      </c>
      <c r="G763">
        <v>1188</v>
      </c>
      <c r="H763" s="116"/>
      <c r="I763" s="116"/>
      <c r="L763" s="170">
        <v>45831</v>
      </c>
      <c r="M763" s="116">
        <v>715.85</v>
      </c>
      <c r="N763" s="116">
        <v>727.7</v>
      </c>
      <c r="O763" s="116">
        <v>707.3</v>
      </c>
      <c r="P763" s="116">
        <v>725</v>
      </c>
      <c r="Q763" s="116">
        <v>715.85</v>
      </c>
      <c r="R763">
        <v>66287</v>
      </c>
    </row>
    <row r="764" spans="1:18" x14ac:dyDescent="0.25">
      <c r="A764" s="170">
        <v>45832</v>
      </c>
      <c r="B764" s="116">
        <v>752.6</v>
      </c>
      <c r="C764" s="116">
        <v>740.95</v>
      </c>
      <c r="D764" s="116">
        <v>713.1</v>
      </c>
      <c r="E764" s="116">
        <v>717.4</v>
      </c>
      <c r="F764" s="116">
        <v>740.95</v>
      </c>
      <c r="G764">
        <v>6033</v>
      </c>
      <c r="H764" s="116"/>
      <c r="I764" s="116"/>
      <c r="L764" s="170">
        <v>45832</v>
      </c>
      <c r="M764" s="116">
        <v>742.95</v>
      </c>
      <c r="N764" s="116">
        <v>753</v>
      </c>
      <c r="O764" s="116">
        <v>713.35</v>
      </c>
      <c r="P764" s="116">
        <v>727.8</v>
      </c>
      <c r="Q764" s="116">
        <v>742.95</v>
      </c>
      <c r="R764">
        <v>105387</v>
      </c>
    </row>
    <row r="765" spans="1:18" x14ac:dyDescent="0.25">
      <c r="A765" s="170">
        <v>45833</v>
      </c>
      <c r="B765" s="116">
        <v>772.15</v>
      </c>
      <c r="C765" s="116">
        <v>767.75</v>
      </c>
      <c r="D765" s="116">
        <v>732.65</v>
      </c>
      <c r="E765" s="116">
        <v>743.55</v>
      </c>
      <c r="F765" s="116">
        <v>767.75</v>
      </c>
      <c r="G765">
        <v>9170</v>
      </c>
      <c r="H765" s="116"/>
      <c r="I765" s="116"/>
      <c r="L765" s="170">
        <v>45833</v>
      </c>
      <c r="M765" s="116">
        <v>770.2</v>
      </c>
      <c r="N765" s="116">
        <v>773</v>
      </c>
      <c r="O765" s="116">
        <v>740.5</v>
      </c>
      <c r="P765" s="116">
        <v>748</v>
      </c>
      <c r="Q765" s="116">
        <v>770.2</v>
      </c>
      <c r="R765">
        <v>128017</v>
      </c>
    </row>
    <row r="766" spans="1:18" x14ac:dyDescent="0.25">
      <c r="A766" s="170">
        <v>45834</v>
      </c>
      <c r="B766" s="116">
        <v>783.15</v>
      </c>
      <c r="C766" s="116">
        <v>760.35</v>
      </c>
      <c r="D766" s="116">
        <v>756.45</v>
      </c>
      <c r="E766" s="116">
        <v>783.15</v>
      </c>
      <c r="F766" s="116">
        <v>760.35</v>
      </c>
      <c r="G766">
        <v>1407</v>
      </c>
      <c r="H766" s="116"/>
      <c r="I766" s="116"/>
      <c r="L766" s="170">
        <v>45834</v>
      </c>
      <c r="M766" s="116">
        <v>762.55</v>
      </c>
      <c r="N766" s="116">
        <v>776.25</v>
      </c>
      <c r="O766" s="116">
        <v>756</v>
      </c>
      <c r="P766" s="116">
        <v>770.2</v>
      </c>
      <c r="Q766" s="116">
        <v>762.55</v>
      </c>
      <c r="R766">
        <v>73033</v>
      </c>
    </row>
    <row r="767" spans="1:18" x14ac:dyDescent="0.25">
      <c r="A767" s="170">
        <v>45835</v>
      </c>
      <c r="B767" s="116">
        <v>765.95</v>
      </c>
      <c r="C767" s="116">
        <v>754.1</v>
      </c>
      <c r="D767" s="116">
        <v>750.95</v>
      </c>
      <c r="E767" s="116">
        <v>764</v>
      </c>
      <c r="F767" s="116">
        <v>754.1</v>
      </c>
      <c r="G767">
        <v>1102</v>
      </c>
      <c r="H767" s="116"/>
      <c r="I767" s="116"/>
      <c r="L767" s="170">
        <v>45835</v>
      </c>
      <c r="M767" s="116">
        <v>754.15</v>
      </c>
      <c r="N767" s="116">
        <v>772</v>
      </c>
      <c r="O767" s="116">
        <v>750</v>
      </c>
      <c r="P767" s="116">
        <v>765.4</v>
      </c>
      <c r="Q767" s="116">
        <v>754.15</v>
      </c>
      <c r="R767">
        <v>45729</v>
      </c>
    </row>
    <row r="768" spans="1:18" x14ac:dyDescent="0.25">
      <c r="A768" s="170">
        <v>45838</v>
      </c>
      <c r="B768" s="116">
        <v>770.6</v>
      </c>
      <c r="C768" s="116">
        <v>767.7</v>
      </c>
      <c r="D768" s="116">
        <v>754.35</v>
      </c>
      <c r="E768" s="116">
        <v>765</v>
      </c>
      <c r="F768" s="116">
        <v>767.7</v>
      </c>
      <c r="G768">
        <v>2168</v>
      </c>
      <c r="H768" s="116"/>
      <c r="I768" s="116"/>
      <c r="L768" s="170">
        <v>45838</v>
      </c>
      <c r="M768" s="116">
        <v>767.85</v>
      </c>
      <c r="N768" s="116">
        <v>772</v>
      </c>
      <c r="O768" s="116">
        <v>751.15</v>
      </c>
      <c r="P768" s="116">
        <v>764.9</v>
      </c>
      <c r="Q768" s="116">
        <v>767.85</v>
      </c>
      <c r="R768">
        <v>103857</v>
      </c>
    </row>
    <row r="769" spans="1:18" x14ac:dyDescent="0.25">
      <c r="A769" s="170">
        <v>45839</v>
      </c>
      <c r="B769" s="116">
        <v>772.2</v>
      </c>
      <c r="C769" s="116">
        <v>768.2</v>
      </c>
      <c r="D769" s="116">
        <v>763</v>
      </c>
      <c r="E769" s="116">
        <v>767.75</v>
      </c>
      <c r="F769" s="116">
        <v>768.2</v>
      </c>
      <c r="G769">
        <v>2791</v>
      </c>
      <c r="H769" s="116"/>
      <c r="I769" s="116"/>
      <c r="L769" s="170">
        <v>45839</v>
      </c>
      <c r="M769" s="116">
        <v>769.25</v>
      </c>
      <c r="N769" s="116">
        <v>773.25</v>
      </c>
      <c r="O769" s="116">
        <v>761.65</v>
      </c>
      <c r="P769" s="116">
        <v>772</v>
      </c>
      <c r="Q769" s="116">
        <v>769.25</v>
      </c>
      <c r="R769">
        <v>46795</v>
      </c>
    </row>
    <row r="770" spans="1:18" x14ac:dyDescent="0.25">
      <c r="A770" s="170">
        <v>45840</v>
      </c>
      <c r="B770" s="116">
        <v>769</v>
      </c>
      <c r="C770" s="116">
        <v>758.8</v>
      </c>
      <c r="D770" s="116">
        <v>755.6</v>
      </c>
      <c r="E770" s="116">
        <v>769</v>
      </c>
      <c r="F770" s="116">
        <v>758.8</v>
      </c>
      <c r="G770">
        <v>2491</v>
      </c>
      <c r="H770" s="116"/>
      <c r="I770" s="116"/>
      <c r="L770" s="170">
        <v>45840</v>
      </c>
      <c r="M770" s="116">
        <v>756.7</v>
      </c>
      <c r="N770" s="116">
        <v>767.95</v>
      </c>
      <c r="O770" s="116">
        <v>752.5</v>
      </c>
      <c r="P770" s="116">
        <v>765.3</v>
      </c>
      <c r="Q770" s="116">
        <v>756.7</v>
      </c>
      <c r="R770">
        <v>45958</v>
      </c>
    </row>
    <row r="771" spans="1:18" x14ac:dyDescent="0.25">
      <c r="A771" s="170">
        <v>45841</v>
      </c>
      <c r="B771" s="116">
        <v>768</v>
      </c>
      <c r="C771" s="116">
        <v>763</v>
      </c>
      <c r="D771" s="116">
        <v>750.55</v>
      </c>
      <c r="E771" s="116">
        <v>750.55</v>
      </c>
      <c r="F771" s="116">
        <v>763</v>
      </c>
      <c r="G771">
        <v>3729</v>
      </c>
      <c r="H771" s="116"/>
      <c r="I771" s="116"/>
      <c r="L771" s="170">
        <v>45841</v>
      </c>
      <c r="M771" s="116">
        <v>763.55</v>
      </c>
      <c r="N771" s="116">
        <v>770</v>
      </c>
      <c r="O771" s="116">
        <v>750.05</v>
      </c>
      <c r="P771" s="116">
        <v>770</v>
      </c>
      <c r="Q771" s="116">
        <v>763.55</v>
      </c>
      <c r="R771">
        <v>40139</v>
      </c>
    </row>
    <row r="772" spans="1:18" x14ac:dyDescent="0.25">
      <c r="A772" s="170">
        <v>45842</v>
      </c>
      <c r="B772" s="116">
        <v>768.7</v>
      </c>
      <c r="C772" s="116">
        <v>756.95</v>
      </c>
      <c r="D772" s="116">
        <v>754.85</v>
      </c>
      <c r="E772" s="116">
        <v>768.7</v>
      </c>
      <c r="F772" s="116">
        <v>756.95</v>
      </c>
      <c r="G772">
        <v>1361</v>
      </c>
      <c r="H772" s="116"/>
      <c r="I772" s="116"/>
      <c r="L772" s="170">
        <v>45842</v>
      </c>
      <c r="M772" s="116">
        <v>757.45</v>
      </c>
      <c r="N772" s="116">
        <v>768</v>
      </c>
      <c r="O772" s="116">
        <v>755</v>
      </c>
      <c r="P772" s="116">
        <v>768</v>
      </c>
      <c r="Q772" s="116">
        <v>757.45</v>
      </c>
      <c r="R772">
        <v>28324</v>
      </c>
    </row>
    <row r="773" spans="1:18" x14ac:dyDescent="0.25">
      <c r="A773" s="170">
        <v>45845</v>
      </c>
      <c r="B773" s="116">
        <v>775.15</v>
      </c>
      <c r="C773" s="116">
        <v>772.6</v>
      </c>
      <c r="D773" s="116">
        <v>746.4</v>
      </c>
      <c r="E773" s="116">
        <v>756.7</v>
      </c>
      <c r="F773" s="116">
        <v>772.6</v>
      </c>
      <c r="G773">
        <v>4823</v>
      </c>
      <c r="H773" s="116"/>
      <c r="I773" s="116"/>
      <c r="L773" s="170">
        <v>45845</v>
      </c>
      <c r="M773" s="116">
        <v>772.25</v>
      </c>
      <c r="N773" s="116">
        <v>776</v>
      </c>
      <c r="O773" s="116">
        <v>746.4</v>
      </c>
      <c r="P773" s="116">
        <v>753.4</v>
      </c>
      <c r="Q773" s="116">
        <v>772.25</v>
      </c>
      <c r="R773">
        <v>132943</v>
      </c>
    </row>
    <row r="774" spans="1:18" x14ac:dyDescent="0.25">
      <c r="A774" s="170">
        <v>45846</v>
      </c>
      <c r="B774" s="116">
        <v>773.8</v>
      </c>
      <c r="C774" s="116">
        <v>771.3</v>
      </c>
      <c r="D774" s="116">
        <v>756.6</v>
      </c>
      <c r="E774" s="116">
        <v>756.6</v>
      </c>
      <c r="F774" s="116">
        <v>771.3</v>
      </c>
      <c r="G774">
        <v>6109</v>
      </c>
      <c r="H774" s="116"/>
      <c r="I774" s="116"/>
      <c r="L774" s="170">
        <v>45846</v>
      </c>
      <c r="M774" s="116">
        <v>769.2</v>
      </c>
      <c r="N774" s="116">
        <v>774</v>
      </c>
      <c r="O774" s="116">
        <v>760.2</v>
      </c>
      <c r="P774" s="116">
        <v>772</v>
      </c>
      <c r="Q774" s="116">
        <v>769.2</v>
      </c>
      <c r="R774">
        <v>48598</v>
      </c>
    </row>
    <row r="775" spans="1:18" x14ac:dyDescent="0.25">
      <c r="A775" s="170">
        <v>45847</v>
      </c>
      <c r="B775" s="116">
        <v>783.95</v>
      </c>
      <c r="C775" s="116">
        <v>774.9</v>
      </c>
      <c r="D775" s="116">
        <v>753.95</v>
      </c>
      <c r="E775" s="116">
        <v>769.35</v>
      </c>
      <c r="F775" s="116">
        <v>774.9</v>
      </c>
      <c r="G775">
        <v>7318</v>
      </c>
      <c r="H775" s="116"/>
      <c r="I775" s="116"/>
      <c r="L775" s="170">
        <v>45847</v>
      </c>
      <c r="M775" s="116">
        <v>778.3</v>
      </c>
      <c r="N775" s="116">
        <v>784.4</v>
      </c>
      <c r="O775" s="116">
        <v>754</v>
      </c>
      <c r="P775" s="116">
        <v>765.2</v>
      </c>
      <c r="Q775" s="116">
        <v>778.3</v>
      </c>
      <c r="R775">
        <v>161755</v>
      </c>
    </row>
    <row r="776" spans="1:18" x14ac:dyDescent="0.25">
      <c r="A776" s="170">
        <v>45848</v>
      </c>
      <c r="B776" s="116">
        <v>780.25</v>
      </c>
      <c r="C776" s="116">
        <v>770.9</v>
      </c>
      <c r="D776" s="116">
        <v>764.05</v>
      </c>
      <c r="E776" s="116">
        <v>774.9</v>
      </c>
      <c r="F776" s="116">
        <v>770.9</v>
      </c>
      <c r="G776">
        <v>3668</v>
      </c>
      <c r="H776" s="116"/>
      <c r="I776" s="116"/>
      <c r="L776" s="170">
        <v>45848</v>
      </c>
      <c r="M776" s="116">
        <v>770.35</v>
      </c>
      <c r="N776" s="116">
        <v>780.75</v>
      </c>
      <c r="O776" s="116">
        <v>764.1</v>
      </c>
      <c r="P776" s="116">
        <v>778</v>
      </c>
      <c r="Q776" s="116">
        <v>770.35</v>
      </c>
      <c r="R776">
        <v>101676</v>
      </c>
    </row>
    <row r="777" spans="1:18" x14ac:dyDescent="0.25">
      <c r="A777" s="170">
        <v>45849</v>
      </c>
      <c r="B777" s="116">
        <v>775.3</v>
      </c>
      <c r="C777" s="116">
        <v>772.15</v>
      </c>
      <c r="D777" s="116">
        <v>758.95</v>
      </c>
      <c r="E777" s="116">
        <v>770.85</v>
      </c>
      <c r="F777" s="116">
        <v>772.15</v>
      </c>
      <c r="G777">
        <v>5494</v>
      </c>
      <c r="H777" s="116"/>
      <c r="I777" s="116"/>
      <c r="L777" s="170">
        <v>45849</v>
      </c>
      <c r="M777" s="116">
        <v>770.55</v>
      </c>
      <c r="N777" s="116">
        <v>776.05</v>
      </c>
      <c r="O777" s="116">
        <v>758</v>
      </c>
      <c r="P777" s="116">
        <v>770</v>
      </c>
      <c r="Q777" s="116">
        <v>770.55</v>
      </c>
      <c r="R777">
        <v>124208</v>
      </c>
    </row>
    <row r="778" spans="1:18" x14ac:dyDescent="0.25">
      <c r="A778" s="170">
        <v>45852</v>
      </c>
      <c r="B778" s="116">
        <v>796.75</v>
      </c>
      <c r="C778" s="116">
        <v>787.7</v>
      </c>
      <c r="D778" s="116">
        <v>762.4</v>
      </c>
      <c r="E778" s="116">
        <v>777.95</v>
      </c>
      <c r="F778" s="116">
        <v>787.7</v>
      </c>
      <c r="G778">
        <v>14228</v>
      </c>
      <c r="H778" s="116"/>
      <c r="I778" s="116"/>
      <c r="L778" s="170">
        <v>45852</v>
      </c>
      <c r="M778" s="116">
        <v>790.8</v>
      </c>
      <c r="N778" s="116">
        <v>798</v>
      </c>
      <c r="O778" s="116">
        <v>762.45</v>
      </c>
      <c r="P778" s="116">
        <v>770</v>
      </c>
      <c r="Q778" s="116">
        <v>790.8</v>
      </c>
      <c r="R778">
        <v>129163</v>
      </c>
    </row>
    <row r="779" spans="1:18" x14ac:dyDescent="0.25">
      <c r="A779" s="170">
        <v>45853</v>
      </c>
      <c r="B779" s="116">
        <v>808</v>
      </c>
      <c r="C779" s="116">
        <v>798.45</v>
      </c>
      <c r="D779" s="116">
        <v>787.7</v>
      </c>
      <c r="E779" s="116">
        <v>791.6</v>
      </c>
      <c r="F779" s="116">
        <v>798.45</v>
      </c>
      <c r="G779">
        <v>6703</v>
      </c>
      <c r="H779" s="116"/>
      <c r="I779" s="116"/>
      <c r="L779" s="170">
        <v>45853</v>
      </c>
      <c r="M779" s="116">
        <v>800.2</v>
      </c>
      <c r="N779" s="116">
        <v>808.45</v>
      </c>
      <c r="O779" s="116">
        <v>786.05</v>
      </c>
      <c r="P779" s="116">
        <v>786.05</v>
      </c>
      <c r="Q779" s="116">
        <v>800.2</v>
      </c>
      <c r="R779">
        <v>131750</v>
      </c>
    </row>
    <row r="780" spans="1:18" x14ac:dyDescent="0.25">
      <c r="A780" s="170">
        <v>45854</v>
      </c>
      <c r="B780" s="116">
        <v>825.9</v>
      </c>
      <c r="C780" s="116">
        <v>819.75</v>
      </c>
      <c r="D780" s="116">
        <v>792.9</v>
      </c>
      <c r="E780" s="116">
        <v>798.45</v>
      </c>
      <c r="F780" s="116">
        <v>819.75</v>
      </c>
      <c r="G780">
        <v>3512</v>
      </c>
      <c r="H780" s="116"/>
      <c r="I780" s="116"/>
      <c r="L780" s="170">
        <v>45854</v>
      </c>
      <c r="M780" s="116">
        <v>819.15</v>
      </c>
      <c r="N780" s="116">
        <v>824.7</v>
      </c>
      <c r="O780" s="116">
        <v>792.55</v>
      </c>
      <c r="P780" s="116">
        <v>801.8</v>
      </c>
      <c r="Q780" s="116">
        <v>819.15</v>
      </c>
      <c r="R780">
        <v>118135</v>
      </c>
    </row>
    <row r="781" spans="1:18" x14ac:dyDescent="0.25">
      <c r="A781" s="170">
        <v>45855</v>
      </c>
      <c r="B781" s="116">
        <v>822</v>
      </c>
      <c r="C781" s="116">
        <v>803.85</v>
      </c>
      <c r="D781" s="116">
        <v>801</v>
      </c>
      <c r="E781" s="116">
        <v>822</v>
      </c>
      <c r="F781" s="116">
        <v>803.85</v>
      </c>
      <c r="G781">
        <v>6005</v>
      </c>
      <c r="H781" s="116"/>
      <c r="I781" s="116"/>
      <c r="L781" s="170">
        <v>45855</v>
      </c>
      <c r="M781" s="116">
        <v>805.5</v>
      </c>
      <c r="N781" s="116">
        <v>823.25</v>
      </c>
      <c r="O781" s="116">
        <v>801.1</v>
      </c>
      <c r="P781" s="116">
        <v>822.95</v>
      </c>
      <c r="Q781" s="116">
        <v>805.5</v>
      </c>
      <c r="R781">
        <v>74617</v>
      </c>
    </row>
    <row r="782" spans="1:18" x14ac:dyDescent="0.25">
      <c r="A782" s="170">
        <v>45856</v>
      </c>
      <c r="B782" s="116">
        <v>812.9</v>
      </c>
      <c r="C782" s="116">
        <v>805.35</v>
      </c>
      <c r="D782" s="116">
        <v>791.3</v>
      </c>
      <c r="E782" s="116">
        <v>807.85</v>
      </c>
      <c r="F782" s="116">
        <v>805.35</v>
      </c>
      <c r="G782">
        <v>3982</v>
      </c>
      <c r="H782" s="116"/>
      <c r="I782" s="116"/>
      <c r="L782" s="170">
        <v>45856</v>
      </c>
      <c r="M782" s="116">
        <v>808.05</v>
      </c>
      <c r="N782" s="116">
        <v>812.8</v>
      </c>
      <c r="O782" s="116">
        <v>790.85</v>
      </c>
      <c r="P782" s="116">
        <v>802</v>
      </c>
      <c r="Q782" s="116">
        <v>808.05</v>
      </c>
      <c r="R782">
        <v>72110</v>
      </c>
    </row>
    <row r="783" spans="1:18" x14ac:dyDescent="0.25">
      <c r="A783" s="170">
        <v>45859</v>
      </c>
      <c r="B783" s="116">
        <v>831.7</v>
      </c>
      <c r="C783" s="116">
        <v>827.1</v>
      </c>
      <c r="D783" s="116">
        <v>798.8</v>
      </c>
      <c r="E783" s="116">
        <v>805.35</v>
      </c>
      <c r="F783" s="116">
        <v>827.1</v>
      </c>
      <c r="G783">
        <v>5161</v>
      </c>
      <c r="H783" s="116"/>
      <c r="I783" s="116"/>
      <c r="L783" s="170">
        <v>45859</v>
      </c>
      <c r="M783" s="116">
        <v>825.9</v>
      </c>
      <c r="N783" s="116">
        <v>831.95</v>
      </c>
      <c r="O783" s="116">
        <v>798.05</v>
      </c>
      <c r="P783" s="116">
        <v>805</v>
      </c>
      <c r="Q783" s="116">
        <v>825.9</v>
      </c>
      <c r="R783">
        <v>117029</v>
      </c>
    </row>
    <row r="784" spans="1:18" x14ac:dyDescent="0.25">
      <c r="A784" s="170">
        <v>45860</v>
      </c>
      <c r="B784" s="116">
        <v>830</v>
      </c>
      <c r="C784" s="116">
        <v>814.9</v>
      </c>
      <c r="D784" s="116">
        <v>808.4</v>
      </c>
      <c r="E784" s="116">
        <v>825.05</v>
      </c>
      <c r="F784" s="116">
        <v>814.9</v>
      </c>
      <c r="G784">
        <v>7829</v>
      </c>
      <c r="H784" s="116"/>
      <c r="I784" s="116"/>
      <c r="L784" s="170">
        <v>45860</v>
      </c>
      <c r="M784" s="116">
        <v>817.4</v>
      </c>
      <c r="N784" s="116">
        <v>829.25</v>
      </c>
      <c r="O784" s="116">
        <v>811.5</v>
      </c>
      <c r="P784" s="116">
        <v>826.95</v>
      </c>
      <c r="Q784" s="116">
        <v>817.4</v>
      </c>
      <c r="R784">
        <v>86708</v>
      </c>
    </row>
    <row r="785" spans="1:18" x14ac:dyDescent="0.25">
      <c r="A785" s="170">
        <v>45861</v>
      </c>
      <c r="B785" s="116">
        <v>835.2</v>
      </c>
      <c r="C785" s="116">
        <v>830.55</v>
      </c>
      <c r="D785" s="116">
        <v>804.15</v>
      </c>
      <c r="E785" s="116">
        <v>812.3</v>
      </c>
      <c r="F785" s="116">
        <v>830.55</v>
      </c>
      <c r="G785">
        <v>5063</v>
      </c>
      <c r="H785" s="116"/>
      <c r="I785" s="116"/>
      <c r="L785" s="170">
        <v>45861</v>
      </c>
      <c r="M785" s="116">
        <v>831</v>
      </c>
      <c r="N785" s="116">
        <v>834.95</v>
      </c>
      <c r="O785" s="116">
        <v>804.85</v>
      </c>
      <c r="P785" s="116">
        <v>815</v>
      </c>
      <c r="Q785" s="116">
        <v>831</v>
      </c>
      <c r="R785">
        <v>96599</v>
      </c>
    </row>
    <row r="786" spans="1:18" x14ac:dyDescent="0.25">
      <c r="A786" s="170">
        <v>45862</v>
      </c>
      <c r="B786" s="116">
        <v>834</v>
      </c>
      <c r="C786" s="116">
        <v>816.75</v>
      </c>
      <c r="D786" s="116">
        <v>812.05</v>
      </c>
      <c r="E786" s="116">
        <v>828</v>
      </c>
      <c r="F786" s="116">
        <v>816.75</v>
      </c>
      <c r="G786">
        <v>2336</v>
      </c>
      <c r="H786" s="116"/>
      <c r="I786" s="116"/>
      <c r="L786" s="170">
        <v>45862</v>
      </c>
      <c r="M786" s="116">
        <v>816.4</v>
      </c>
      <c r="N786" s="116">
        <v>835.05</v>
      </c>
      <c r="O786" s="116">
        <v>811</v>
      </c>
      <c r="P786" s="116">
        <v>833</v>
      </c>
      <c r="Q786" s="116">
        <v>816.4</v>
      </c>
      <c r="R786">
        <v>74152</v>
      </c>
    </row>
    <row r="787" spans="1:18" x14ac:dyDescent="0.25">
      <c r="A787" s="170">
        <v>45863</v>
      </c>
      <c r="B787" s="116">
        <v>835.1</v>
      </c>
      <c r="C787" s="116">
        <v>825.75</v>
      </c>
      <c r="D787" s="116">
        <v>811.6</v>
      </c>
      <c r="E787" s="116">
        <v>820.05</v>
      </c>
      <c r="F787" s="116">
        <v>825.75</v>
      </c>
      <c r="G787">
        <v>17777</v>
      </c>
      <c r="H787" s="116"/>
      <c r="I787" s="116"/>
      <c r="L787" s="170">
        <v>45863</v>
      </c>
      <c r="M787" s="116">
        <v>826.3</v>
      </c>
      <c r="N787" s="116">
        <v>836.55</v>
      </c>
      <c r="O787" s="116">
        <v>812.1</v>
      </c>
      <c r="P787" s="116">
        <v>824</v>
      </c>
      <c r="Q787" s="116">
        <v>826.3</v>
      </c>
      <c r="R787">
        <v>179702</v>
      </c>
    </row>
    <row r="788" spans="1:18" x14ac:dyDescent="0.25">
      <c r="A788" s="170">
        <v>45866</v>
      </c>
      <c r="B788" s="116">
        <v>842.25</v>
      </c>
      <c r="C788" s="116">
        <v>806</v>
      </c>
      <c r="D788" s="116">
        <v>796.75</v>
      </c>
      <c r="E788" s="116">
        <v>842.25</v>
      </c>
      <c r="F788" s="116">
        <v>806</v>
      </c>
      <c r="G788">
        <v>9500</v>
      </c>
      <c r="H788" s="116"/>
      <c r="I788" s="116"/>
      <c r="L788" s="170">
        <v>45866</v>
      </c>
      <c r="M788" s="116">
        <v>808.2</v>
      </c>
      <c r="N788" s="116">
        <v>826.3</v>
      </c>
      <c r="O788" s="116">
        <v>796.5</v>
      </c>
      <c r="P788" s="116">
        <v>813</v>
      </c>
      <c r="Q788" s="116">
        <v>808.2</v>
      </c>
      <c r="R788">
        <v>97423</v>
      </c>
    </row>
    <row r="789" spans="1:18" x14ac:dyDescent="0.25">
      <c r="A789" s="170">
        <v>45867</v>
      </c>
      <c r="B789" s="116">
        <v>810.65</v>
      </c>
      <c r="C789" s="116">
        <v>799.6</v>
      </c>
      <c r="D789" s="116">
        <v>793.2</v>
      </c>
      <c r="E789" s="116">
        <v>799.95</v>
      </c>
      <c r="F789" s="116">
        <v>799.6</v>
      </c>
      <c r="G789">
        <v>3888</v>
      </c>
      <c r="H789" s="116"/>
      <c r="I789" s="116"/>
      <c r="L789" s="170">
        <v>45867</v>
      </c>
      <c r="M789" s="116">
        <v>797.3</v>
      </c>
      <c r="N789" s="116">
        <v>811.45</v>
      </c>
      <c r="O789" s="116">
        <v>791.5</v>
      </c>
      <c r="P789" s="116">
        <v>791.5</v>
      </c>
      <c r="Q789" s="116">
        <v>797.3</v>
      </c>
      <c r="R789">
        <v>59908</v>
      </c>
    </row>
    <row r="790" spans="1:18" x14ac:dyDescent="0.25">
      <c r="A790" s="170">
        <v>45868</v>
      </c>
      <c r="B790" s="116">
        <v>804.05</v>
      </c>
      <c r="C790" s="116">
        <v>785.6</v>
      </c>
      <c r="D790" s="116">
        <v>778.65</v>
      </c>
      <c r="E790" s="116">
        <v>798.95</v>
      </c>
      <c r="F790" s="116">
        <v>785.6</v>
      </c>
      <c r="G790">
        <v>10730</v>
      </c>
      <c r="H790" s="116"/>
      <c r="I790" s="116"/>
      <c r="L790" s="170">
        <v>45868</v>
      </c>
      <c r="M790" s="116">
        <v>786.45</v>
      </c>
      <c r="N790" s="116">
        <v>803.1</v>
      </c>
      <c r="O790" s="116">
        <v>780</v>
      </c>
      <c r="P790" s="116">
        <v>797.8</v>
      </c>
      <c r="Q790" s="116">
        <v>786.45</v>
      </c>
      <c r="R790">
        <v>112188</v>
      </c>
    </row>
    <row r="791" spans="1:18" x14ac:dyDescent="0.25">
      <c r="A791" s="170">
        <v>45869</v>
      </c>
      <c r="B791" s="116">
        <v>789.6</v>
      </c>
      <c r="C791" s="116">
        <v>778.1</v>
      </c>
      <c r="D791" s="116">
        <v>767.55</v>
      </c>
      <c r="E791" s="116">
        <v>767.55</v>
      </c>
      <c r="F791" s="116">
        <v>778.1</v>
      </c>
      <c r="G791">
        <v>2991</v>
      </c>
      <c r="H791" s="116"/>
      <c r="I791" s="116"/>
      <c r="L791" s="170">
        <v>45869</v>
      </c>
      <c r="M791" s="116">
        <v>776.3</v>
      </c>
      <c r="N791" s="116">
        <v>791.6</v>
      </c>
      <c r="O791" s="116">
        <v>766.55</v>
      </c>
      <c r="P791" s="116">
        <v>779</v>
      </c>
      <c r="Q791" s="116">
        <v>776.3</v>
      </c>
      <c r="R791">
        <v>66515</v>
      </c>
    </row>
    <row r="792" spans="1:18" x14ac:dyDescent="0.25">
      <c r="A792" s="170">
        <v>45870</v>
      </c>
      <c r="B792" s="116">
        <v>778.05</v>
      </c>
      <c r="C792" s="116">
        <v>772.25</v>
      </c>
      <c r="D792" s="116">
        <v>764</v>
      </c>
      <c r="E792" s="116">
        <v>768.2</v>
      </c>
      <c r="F792" s="116">
        <v>772.25</v>
      </c>
      <c r="G792">
        <v>7372</v>
      </c>
      <c r="H792" s="116"/>
      <c r="I792" s="116"/>
      <c r="L792" s="170">
        <v>45870</v>
      </c>
      <c r="M792" s="116">
        <v>772.4</v>
      </c>
      <c r="N792" s="116">
        <v>779.1</v>
      </c>
      <c r="O792" s="116">
        <v>763.55</v>
      </c>
      <c r="P792" s="116">
        <v>769</v>
      </c>
      <c r="Q792" s="116">
        <v>772.4</v>
      </c>
      <c r="R792">
        <v>43157</v>
      </c>
    </row>
    <row r="793" spans="1:18" x14ac:dyDescent="0.25">
      <c r="A793" s="170">
        <v>45873</v>
      </c>
      <c r="B793" s="116">
        <v>792.15</v>
      </c>
      <c r="C793" s="116">
        <v>782.55</v>
      </c>
      <c r="D793" s="116">
        <v>767.65</v>
      </c>
      <c r="E793" s="116">
        <v>770.95</v>
      </c>
      <c r="F793" s="116">
        <v>782.55</v>
      </c>
      <c r="G793">
        <v>3911</v>
      </c>
      <c r="H793" s="116"/>
      <c r="I793" s="116"/>
      <c r="L793" s="170">
        <v>45873</v>
      </c>
      <c r="M793" s="116">
        <v>780.45</v>
      </c>
      <c r="N793" s="116">
        <v>793</v>
      </c>
      <c r="O793" s="116">
        <v>765</v>
      </c>
      <c r="P793" s="116">
        <v>772.9</v>
      </c>
      <c r="Q793" s="116">
        <v>780.45</v>
      </c>
      <c r="R793">
        <v>77087</v>
      </c>
    </row>
    <row r="794" spans="1:18" x14ac:dyDescent="0.25">
      <c r="A794" s="170">
        <v>45874</v>
      </c>
      <c r="B794" s="116">
        <v>794.95</v>
      </c>
      <c r="C794" s="116">
        <v>790.7</v>
      </c>
      <c r="D794" s="116">
        <v>775.55</v>
      </c>
      <c r="E794" s="116">
        <v>782</v>
      </c>
      <c r="F794" s="116">
        <v>790.7</v>
      </c>
      <c r="G794">
        <v>5917</v>
      </c>
      <c r="H794" s="116"/>
      <c r="I794" s="116"/>
      <c r="L794" s="170">
        <v>45874</v>
      </c>
      <c r="M794" s="116">
        <v>791.3</v>
      </c>
      <c r="N794" s="116">
        <v>794.2</v>
      </c>
      <c r="O794" s="116">
        <v>775.15</v>
      </c>
      <c r="P794" s="116">
        <v>780.45</v>
      </c>
      <c r="Q794" s="116">
        <v>791.3</v>
      </c>
      <c r="R794">
        <v>46293</v>
      </c>
    </row>
    <row r="795" spans="1:18" x14ac:dyDescent="0.25">
      <c r="A795" s="170">
        <v>45875</v>
      </c>
      <c r="B795" s="116">
        <v>790.05</v>
      </c>
      <c r="C795" s="116">
        <v>764.4</v>
      </c>
      <c r="D795" s="116">
        <v>761</v>
      </c>
      <c r="E795" s="116">
        <v>790.05</v>
      </c>
      <c r="F795" s="116">
        <v>764.4</v>
      </c>
      <c r="G795">
        <v>3324</v>
      </c>
      <c r="H795" s="116"/>
      <c r="I795" s="116"/>
      <c r="L795" s="170">
        <v>45875</v>
      </c>
      <c r="M795" s="116">
        <v>764.85</v>
      </c>
      <c r="N795" s="116">
        <v>795</v>
      </c>
      <c r="O795" s="116">
        <v>753.3</v>
      </c>
      <c r="P795" s="116">
        <v>791.3</v>
      </c>
      <c r="Q795" s="116">
        <v>764.85</v>
      </c>
      <c r="R795">
        <v>74988</v>
      </c>
    </row>
    <row r="796" spans="1:18" x14ac:dyDescent="0.25">
      <c r="A796" s="170">
        <v>45876</v>
      </c>
      <c r="B796" s="116">
        <v>783.05</v>
      </c>
      <c r="C796" s="116">
        <v>767.65</v>
      </c>
      <c r="D796" s="116">
        <v>754.5</v>
      </c>
      <c r="E796" s="116">
        <v>769.85</v>
      </c>
      <c r="F796" s="116">
        <v>767.65</v>
      </c>
      <c r="G796">
        <v>2094</v>
      </c>
      <c r="H796" s="116"/>
      <c r="I796" s="116"/>
      <c r="L796" s="170">
        <v>45876</v>
      </c>
      <c r="M796" s="116">
        <v>770.85</v>
      </c>
      <c r="N796" s="116">
        <v>787.5</v>
      </c>
      <c r="O796" s="116">
        <v>753.05</v>
      </c>
      <c r="P796" s="116">
        <v>759.95</v>
      </c>
      <c r="Q796" s="116">
        <v>770.85</v>
      </c>
      <c r="R796">
        <v>69402</v>
      </c>
    </row>
    <row r="797" spans="1:18" x14ac:dyDescent="0.25">
      <c r="A797" s="170">
        <v>45877</v>
      </c>
      <c r="B797" s="116">
        <v>776.5</v>
      </c>
      <c r="C797" s="116">
        <v>769.3</v>
      </c>
      <c r="D797" s="116">
        <v>764.2</v>
      </c>
      <c r="E797" s="116">
        <v>768.6</v>
      </c>
      <c r="F797" s="116">
        <v>769.3</v>
      </c>
      <c r="G797">
        <v>1875</v>
      </c>
      <c r="H797" s="116"/>
      <c r="I797" s="116"/>
      <c r="L797" s="170">
        <v>45877</v>
      </c>
      <c r="M797" s="116">
        <v>771.4</v>
      </c>
      <c r="N797" s="116">
        <v>777</v>
      </c>
      <c r="O797" s="116">
        <v>761.2</v>
      </c>
      <c r="P797" s="116">
        <v>775</v>
      </c>
      <c r="Q797" s="116">
        <v>771.4</v>
      </c>
      <c r="R797">
        <v>73519</v>
      </c>
    </row>
    <row r="798" spans="1:18" x14ac:dyDescent="0.25">
      <c r="A798" s="170">
        <v>45880</v>
      </c>
      <c r="B798" s="116">
        <v>774</v>
      </c>
      <c r="C798" s="116">
        <v>765</v>
      </c>
      <c r="D798" s="116">
        <v>755</v>
      </c>
      <c r="E798" s="116">
        <v>755</v>
      </c>
      <c r="F798" s="116">
        <v>765</v>
      </c>
      <c r="G798">
        <v>1556</v>
      </c>
      <c r="H798" s="116"/>
      <c r="I798" s="116"/>
      <c r="L798" s="170">
        <v>45880</v>
      </c>
      <c r="M798" s="116">
        <v>765.25</v>
      </c>
      <c r="N798" s="116">
        <v>775</v>
      </c>
      <c r="O798" s="116">
        <v>757.65</v>
      </c>
      <c r="P798" s="116">
        <v>757.65</v>
      </c>
      <c r="Q798" s="116">
        <v>765.25</v>
      </c>
      <c r="R798">
        <v>47435</v>
      </c>
    </row>
    <row r="799" spans="1:18" x14ac:dyDescent="0.25">
      <c r="A799" s="170">
        <v>45881</v>
      </c>
      <c r="B799" s="116">
        <v>768.85</v>
      </c>
      <c r="C799" s="116">
        <v>756.35</v>
      </c>
      <c r="D799" s="116">
        <v>751.45</v>
      </c>
      <c r="E799" s="116">
        <v>766.05</v>
      </c>
      <c r="F799" s="116">
        <v>756.35</v>
      </c>
      <c r="G799">
        <v>1351</v>
      </c>
      <c r="H799" s="116"/>
      <c r="I799" s="116"/>
      <c r="L799" s="170">
        <v>45881</v>
      </c>
      <c r="M799" s="116">
        <v>754.7</v>
      </c>
      <c r="N799" s="116">
        <v>770.85</v>
      </c>
      <c r="O799" s="116">
        <v>751</v>
      </c>
      <c r="P799" s="116">
        <v>761.2</v>
      </c>
      <c r="Q799" s="116">
        <v>754.7</v>
      </c>
      <c r="R799">
        <v>31492</v>
      </c>
    </row>
    <row r="800" spans="1:18" x14ac:dyDescent="0.25">
      <c r="A800" s="170">
        <v>45882</v>
      </c>
      <c r="B800" s="116">
        <v>758.5</v>
      </c>
      <c r="C800" s="116">
        <v>749.45</v>
      </c>
      <c r="D800" s="116">
        <v>747.6</v>
      </c>
      <c r="E800" s="116">
        <v>758.05</v>
      </c>
      <c r="F800" s="116">
        <v>749.45</v>
      </c>
      <c r="G800">
        <v>3536</v>
      </c>
      <c r="H800" s="116"/>
      <c r="I800" s="116"/>
      <c r="L800" s="170">
        <v>45882</v>
      </c>
      <c r="M800" s="116">
        <v>749.85</v>
      </c>
      <c r="N800" s="116">
        <v>758.65</v>
      </c>
      <c r="O800" s="116">
        <v>746</v>
      </c>
      <c r="P800" s="116">
        <v>758.5</v>
      </c>
      <c r="Q800" s="116">
        <v>749.85</v>
      </c>
      <c r="R800">
        <v>33968</v>
      </c>
    </row>
    <row r="801" spans="1:18" x14ac:dyDescent="0.25">
      <c r="A801" s="170">
        <v>45883</v>
      </c>
      <c r="B801" s="116">
        <v>755.8</v>
      </c>
      <c r="C801" s="116">
        <v>752.4</v>
      </c>
      <c r="D801" s="116">
        <v>743</v>
      </c>
      <c r="E801" s="116">
        <v>747.6</v>
      </c>
      <c r="F801" s="116">
        <v>752.4</v>
      </c>
      <c r="G801">
        <v>4323</v>
      </c>
      <c r="H801" s="116"/>
      <c r="I801" s="116"/>
      <c r="L801" s="170">
        <v>45883</v>
      </c>
      <c r="M801" s="116">
        <v>753</v>
      </c>
      <c r="N801" s="116">
        <v>759.9</v>
      </c>
      <c r="O801" s="116">
        <v>742</v>
      </c>
      <c r="P801" s="116">
        <v>751.35</v>
      </c>
      <c r="Q801" s="116">
        <v>753</v>
      </c>
      <c r="R801">
        <v>47861</v>
      </c>
    </row>
    <row r="802" spans="1:18" x14ac:dyDescent="0.25">
      <c r="A802" s="170">
        <v>45887</v>
      </c>
      <c r="B802" s="116">
        <v>769.55</v>
      </c>
      <c r="C802" s="116">
        <v>762.35</v>
      </c>
      <c r="D802" s="116">
        <v>752.3</v>
      </c>
      <c r="E802" s="116">
        <v>757.95</v>
      </c>
      <c r="F802" s="116">
        <v>762.35</v>
      </c>
      <c r="G802">
        <v>1479</v>
      </c>
      <c r="H802" s="116"/>
      <c r="I802" s="116"/>
      <c r="L802" s="170">
        <v>45887</v>
      </c>
      <c r="M802" s="116">
        <v>761.55</v>
      </c>
      <c r="N802" s="116">
        <v>768.9</v>
      </c>
      <c r="O802" s="116">
        <v>750.75</v>
      </c>
      <c r="P802" s="116">
        <v>754</v>
      </c>
      <c r="Q802" s="116">
        <v>761.55</v>
      </c>
      <c r="R802">
        <v>35951</v>
      </c>
    </row>
    <row r="803" spans="1:18" x14ac:dyDescent="0.25">
      <c r="A803" s="170">
        <v>45888</v>
      </c>
      <c r="B803" s="116">
        <v>771.95</v>
      </c>
      <c r="C803" s="116">
        <v>762.55</v>
      </c>
      <c r="D803" s="116">
        <v>760.05</v>
      </c>
      <c r="E803" s="116">
        <v>771.95</v>
      </c>
      <c r="F803" s="116">
        <v>762.55</v>
      </c>
      <c r="G803">
        <v>3347</v>
      </c>
      <c r="H803" s="116"/>
      <c r="I803" s="116"/>
      <c r="L803" s="170">
        <v>45888</v>
      </c>
      <c r="M803" s="116">
        <v>763.05</v>
      </c>
      <c r="N803" s="116">
        <v>771.05</v>
      </c>
      <c r="O803" s="116">
        <v>760</v>
      </c>
      <c r="P803" s="116">
        <v>771</v>
      </c>
      <c r="Q803" s="116">
        <v>763.05</v>
      </c>
      <c r="R803">
        <v>32344</v>
      </c>
    </row>
    <row r="804" spans="1:18" x14ac:dyDescent="0.25">
      <c r="A804" s="170">
        <v>45889</v>
      </c>
      <c r="B804" s="116">
        <v>766.6</v>
      </c>
      <c r="C804" s="116">
        <v>753.15</v>
      </c>
      <c r="D804" s="116">
        <v>751.15</v>
      </c>
      <c r="E804" s="116">
        <v>763</v>
      </c>
      <c r="F804" s="116">
        <v>753.15</v>
      </c>
      <c r="G804">
        <v>2200</v>
      </c>
      <c r="H804" s="116"/>
      <c r="I804" s="116"/>
      <c r="L804" s="170">
        <v>45889</v>
      </c>
      <c r="M804" s="116">
        <v>754.45</v>
      </c>
      <c r="N804" s="116">
        <v>767.5</v>
      </c>
      <c r="O804" s="116">
        <v>750.35</v>
      </c>
      <c r="P804" s="116">
        <v>763</v>
      </c>
      <c r="Q804" s="116">
        <v>754.45</v>
      </c>
      <c r="R804">
        <v>62169</v>
      </c>
    </row>
    <row r="805" spans="1:18" x14ac:dyDescent="0.25">
      <c r="A805" s="170">
        <v>45890</v>
      </c>
      <c r="B805" s="116">
        <v>755.65</v>
      </c>
      <c r="C805" s="116">
        <v>750.1</v>
      </c>
      <c r="D805" s="116">
        <v>745.7</v>
      </c>
      <c r="E805" s="116">
        <v>753</v>
      </c>
      <c r="F805" s="116">
        <v>750.1</v>
      </c>
      <c r="G805">
        <v>1402</v>
      </c>
      <c r="H805" s="116"/>
      <c r="I805" s="116"/>
      <c r="L805" s="170">
        <v>45890</v>
      </c>
      <c r="M805" s="116">
        <v>749.65</v>
      </c>
      <c r="N805" s="116">
        <v>758.1</v>
      </c>
      <c r="O805" s="116">
        <v>745.1</v>
      </c>
      <c r="P805" s="116">
        <v>752</v>
      </c>
      <c r="Q805" s="116">
        <v>749.65</v>
      </c>
      <c r="R805">
        <v>37070</v>
      </c>
    </row>
    <row r="806" spans="1:18" x14ac:dyDescent="0.25">
      <c r="A806" s="170">
        <v>45891</v>
      </c>
      <c r="B806" s="116">
        <v>763.25</v>
      </c>
      <c r="C806" s="116">
        <v>747.85</v>
      </c>
      <c r="D806" s="116">
        <v>736</v>
      </c>
      <c r="E806" s="116">
        <v>754.95</v>
      </c>
      <c r="F806" s="116">
        <v>747.85</v>
      </c>
      <c r="G806">
        <v>6767</v>
      </c>
      <c r="H806" s="116"/>
      <c r="I806" s="116"/>
      <c r="L806" s="170">
        <v>45891</v>
      </c>
      <c r="M806" s="116">
        <v>749.35</v>
      </c>
      <c r="N806" s="116">
        <v>763.5</v>
      </c>
      <c r="O806" s="116">
        <v>736</v>
      </c>
      <c r="P806" s="116">
        <v>749.5</v>
      </c>
      <c r="Q806" s="116">
        <v>749.35</v>
      </c>
      <c r="R806">
        <v>171737</v>
      </c>
    </row>
    <row r="807" spans="1:18" x14ac:dyDescent="0.25">
      <c r="A807" s="170">
        <v>45894</v>
      </c>
      <c r="B807" s="116">
        <v>753.05</v>
      </c>
      <c r="C807" s="116">
        <v>739.55</v>
      </c>
      <c r="D807" s="116">
        <v>737.05</v>
      </c>
      <c r="E807" s="116">
        <v>737.05</v>
      </c>
      <c r="F807" s="116">
        <v>739.55</v>
      </c>
      <c r="G807">
        <v>2435</v>
      </c>
      <c r="H807" s="116"/>
      <c r="I807" s="116"/>
      <c r="L807" s="170">
        <v>45894</v>
      </c>
      <c r="M807" s="116">
        <v>740.7</v>
      </c>
      <c r="N807" s="116">
        <v>754.2</v>
      </c>
      <c r="O807" s="116">
        <v>738.25</v>
      </c>
      <c r="P807" s="116">
        <v>747.4</v>
      </c>
      <c r="Q807" s="116">
        <v>740.7</v>
      </c>
      <c r="R807">
        <v>59937</v>
      </c>
    </row>
    <row r="808" spans="1:18" x14ac:dyDescent="0.25">
      <c r="A808" s="170">
        <v>45895</v>
      </c>
      <c r="B808" s="116">
        <v>741.55</v>
      </c>
      <c r="C808" s="116">
        <v>732.6</v>
      </c>
      <c r="D808" s="116">
        <v>727.55</v>
      </c>
      <c r="E808" s="116">
        <v>738</v>
      </c>
      <c r="F808" s="116">
        <v>732.6</v>
      </c>
      <c r="G808">
        <v>2405</v>
      </c>
      <c r="H808" s="116"/>
      <c r="I808" s="116"/>
      <c r="L808" s="170">
        <v>45895</v>
      </c>
      <c r="M808" s="116">
        <v>733.55</v>
      </c>
      <c r="N808" s="116">
        <v>746.3</v>
      </c>
      <c r="O808" s="116">
        <v>728.1</v>
      </c>
      <c r="P808" s="116">
        <v>740.7</v>
      </c>
      <c r="Q808" s="116">
        <v>733.55</v>
      </c>
      <c r="R808">
        <v>51027</v>
      </c>
    </row>
    <row r="809" spans="1:18" x14ac:dyDescent="0.25">
      <c r="A809" s="170">
        <v>45897</v>
      </c>
      <c r="B809" s="116">
        <v>739.95</v>
      </c>
      <c r="C809" s="116">
        <v>726.1</v>
      </c>
      <c r="D809" s="116">
        <v>722.7</v>
      </c>
      <c r="E809" s="116">
        <v>735</v>
      </c>
      <c r="F809" s="116">
        <v>726.1</v>
      </c>
      <c r="G809">
        <v>2419</v>
      </c>
      <c r="H809" s="116"/>
      <c r="I809" s="116"/>
      <c r="L809" s="170">
        <v>45897</v>
      </c>
      <c r="M809" s="116">
        <v>725.95</v>
      </c>
      <c r="N809" s="116">
        <v>739.95</v>
      </c>
      <c r="O809" s="116">
        <v>723.55</v>
      </c>
      <c r="P809" s="116">
        <v>735.9</v>
      </c>
      <c r="Q809" s="116">
        <v>725.95</v>
      </c>
      <c r="R809">
        <v>41734</v>
      </c>
    </row>
    <row r="810" spans="1:18" x14ac:dyDescent="0.25">
      <c r="A810" s="170">
        <v>45898</v>
      </c>
      <c r="B810" s="116">
        <v>729.7</v>
      </c>
      <c r="C810" s="116">
        <v>718.15</v>
      </c>
      <c r="D810" s="116">
        <v>715</v>
      </c>
      <c r="E810" s="116">
        <v>726.05</v>
      </c>
      <c r="F810" s="116">
        <v>718.15</v>
      </c>
      <c r="G810">
        <v>5962</v>
      </c>
      <c r="H810" s="116"/>
      <c r="I810" s="116"/>
      <c r="L810" s="170">
        <v>45898</v>
      </c>
      <c r="M810" s="116">
        <v>719.75</v>
      </c>
      <c r="N810" s="116">
        <v>729.9</v>
      </c>
      <c r="O810" s="116">
        <v>714.5</v>
      </c>
      <c r="P810" s="116">
        <v>725.55</v>
      </c>
      <c r="Q810" s="116">
        <v>719.75</v>
      </c>
      <c r="R810">
        <v>54670</v>
      </c>
    </row>
    <row r="811" spans="1:18" x14ac:dyDescent="0.25">
      <c r="A811" s="170">
        <v>45901</v>
      </c>
      <c r="B811" s="116">
        <v>733.8</v>
      </c>
      <c r="C811" s="116">
        <v>725.7</v>
      </c>
      <c r="D811" s="116">
        <v>717.85</v>
      </c>
      <c r="E811" s="116">
        <v>722.55</v>
      </c>
      <c r="F811" s="116">
        <v>725.7</v>
      </c>
      <c r="G811">
        <v>3028</v>
      </c>
      <c r="H811" s="116"/>
      <c r="I811" s="116"/>
      <c r="L811" s="170">
        <v>45901</v>
      </c>
      <c r="M811" s="116">
        <v>726.25</v>
      </c>
      <c r="N811" s="116">
        <v>734.4</v>
      </c>
      <c r="O811" s="116">
        <v>716.75</v>
      </c>
      <c r="P811" s="116">
        <v>717.05</v>
      </c>
      <c r="Q811" s="116">
        <v>726.25</v>
      </c>
      <c r="R811">
        <v>32844</v>
      </c>
    </row>
    <row r="812" spans="1:18" x14ac:dyDescent="0.25">
      <c r="A812" s="170">
        <v>45902</v>
      </c>
      <c r="B812" s="116">
        <v>731.95</v>
      </c>
      <c r="C812" s="116">
        <v>727.05</v>
      </c>
      <c r="D812" s="116">
        <v>720.15</v>
      </c>
      <c r="E812" s="116">
        <v>720.15</v>
      </c>
      <c r="F812" s="116">
        <v>727.05</v>
      </c>
      <c r="G812">
        <v>1201</v>
      </c>
      <c r="H812" s="116"/>
      <c r="I812" s="116"/>
      <c r="L812" s="170">
        <v>45902</v>
      </c>
      <c r="M812" s="116">
        <v>726.7</v>
      </c>
      <c r="N812" s="116">
        <v>734</v>
      </c>
      <c r="O812" s="116">
        <v>723.4</v>
      </c>
      <c r="P812" s="116">
        <v>733.9</v>
      </c>
      <c r="Q812" s="116">
        <v>726.7</v>
      </c>
      <c r="R812">
        <v>27226</v>
      </c>
    </row>
    <row r="813" spans="1:18" x14ac:dyDescent="0.25">
      <c r="A813" s="170">
        <v>45903</v>
      </c>
      <c r="B813" s="116">
        <v>730.7</v>
      </c>
      <c r="C813" s="116">
        <v>725.6</v>
      </c>
      <c r="D813" s="116">
        <v>718.15</v>
      </c>
      <c r="E813" s="116">
        <v>720.2</v>
      </c>
      <c r="F813" s="116">
        <v>725.6</v>
      </c>
      <c r="G813">
        <v>4694</v>
      </c>
      <c r="H813" s="116"/>
      <c r="I813" s="116"/>
      <c r="L813" s="170">
        <v>45903</v>
      </c>
      <c r="M813" s="116">
        <v>725.75</v>
      </c>
      <c r="N813" s="116">
        <v>731.2</v>
      </c>
      <c r="O813" s="116">
        <v>720.5</v>
      </c>
      <c r="P813" s="116">
        <v>725.7</v>
      </c>
      <c r="Q813" s="116">
        <v>725.75</v>
      </c>
      <c r="R813">
        <v>25565</v>
      </c>
    </row>
    <row r="814" spans="1:18" x14ac:dyDescent="0.25">
      <c r="A814" s="170">
        <v>45904</v>
      </c>
      <c r="B814" s="116">
        <v>735.95</v>
      </c>
      <c r="C814" s="116">
        <v>708.35</v>
      </c>
      <c r="D814" s="116">
        <v>707</v>
      </c>
      <c r="E814" s="116">
        <v>735.95</v>
      </c>
      <c r="F814" s="116">
        <v>708.35</v>
      </c>
      <c r="G814">
        <v>2121</v>
      </c>
      <c r="H814" s="116"/>
      <c r="I814" s="116"/>
      <c r="L814" s="170">
        <v>45904</v>
      </c>
      <c r="M814" s="116">
        <v>708.6</v>
      </c>
      <c r="N814" s="116">
        <v>735</v>
      </c>
      <c r="O814" s="116">
        <v>707</v>
      </c>
      <c r="P814" s="116">
        <v>735</v>
      </c>
      <c r="Q814" s="116">
        <v>708.6</v>
      </c>
      <c r="R814">
        <v>55142</v>
      </c>
    </row>
    <row r="815" spans="1:18" x14ac:dyDescent="0.25">
      <c r="A815" s="170">
        <v>45905</v>
      </c>
      <c r="B815" s="116">
        <v>712.05</v>
      </c>
      <c r="C815" s="116">
        <v>697.6</v>
      </c>
      <c r="D815" s="116">
        <v>692.35</v>
      </c>
      <c r="E815" s="116">
        <v>712.05</v>
      </c>
      <c r="F815" s="116">
        <v>697.6</v>
      </c>
      <c r="G815">
        <v>5663</v>
      </c>
      <c r="H815" s="116"/>
      <c r="I815" s="116"/>
      <c r="L815" s="170">
        <v>45905</v>
      </c>
      <c r="M815" s="116">
        <v>697.75</v>
      </c>
      <c r="N815" s="116">
        <v>714.9</v>
      </c>
      <c r="O815" s="116">
        <v>691.1</v>
      </c>
      <c r="P815" s="116">
        <v>714.9</v>
      </c>
      <c r="Q815" s="116">
        <v>697.75</v>
      </c>
      <c r="R815">
        <v>76215</v>
      </c>
    </row>
    <row r="816" spans="1:18" x14ac:dyDescent="0.25">
      <c r="A816" s="170">
        <v>45908</v>
      </c>
      <c r="B816" s="116">
        <v>702</v>
      </c>
      <c r="C816" s="116">
        <v>692.55</v>
      </c>
      <c r="D816" s="116">
        <v>688.55</v>
      </c>
      <c r="E816" s="116">
        <v>701.15</v>
      </c>
      <c r="F816" s="116">
        <v>692.55</v>
      </c>
      <c r="G816">
        <v>5562</v>
      </c>
      <c r="H816" s="116"/>
      <c r="I816" s="116"/>
      <c r="L816" s="170">
        <v>45908</v>
      </c>
      <c r="M816" s="116">
        <v>693.05</v>
      </c>
      <c r="N816" s="116">
        <v>705</v>
      </c>
      <c r="O816" s="116">
        <v>688.15</v>
      </c>
      <c r="P816" s="116">
        <v>705</v>
      </c>
      <c r="Q816" s="116">
        <v>693.05</v>
      </c>
      <c r="R816">
        <v>105971</v>
      </c>
    </row>
    <row r="817" spans="1:18" x14ac:dyDescent="0.25">
      <c r="A817" s="170">
        <v>45909</v>
      </c>
      <c r="B817" s="116">
        <v>709.2</v>
      </c>
      <c r="C817" s="116">
        <v>695.75</v>
      </c>
      <c r="D817" s="116">
        <v>686.25</v>
      </c>
      <c r="E817" s="116">
        <v>686.25</v>
      </c>
      <c r="F817" s="116">
        <v>695.75</v>
      </c>
      <c r="G817">
        <v>3253</v>
      </c>
      <c r="H817" s="116"/>
      <c r="I817" s="116"/>
      <c r="L817" s="170">
        <v>45909</v>
      </c>
      <c r="M817" s="116">
        <v>695.2</v>
      </c>
      <c r="N817" s="116">
        <v>708.8</v>
      </c>
      <c r="O817" s="116">
        <v>690</v>
      </c>
      <c r="P817" s="116">
        <v>693.05</v>
      </c>
      <c r="Q817" s="116">
        <v>695.2</v>
      </c>
      <c r="R817">
        <v>113848</v>
      </c>
    </row>
    <row r="818" spans="1:18" x14ac:dyDescent="0.25">
      <c r="A818" s="170">
        <v>45910</v>
      </c>
      <c r="B818" s="116">
        <v>712.2</v>
      </c>
      <c r="C818" s="116">
        <v>690.15</v>
      </c>
      <c r="D818" s="116">
        <v>688</v>
      </c>
      <c r="E818" s="116">
        <v>700</v>
      </c>
      <c r="F818" s="116">
        <v>690.15</v>
      </c>
      <c r="G818">
        <v>11871</v>
      </c>
      <c r="H818" s="116"/>
      <c r="I818" s="116"/>
      <c r="L818" s="170">
        <v>45910</v>
      </c>
      <c r="M818" s="116">
        <v>689.65</v>
      </c>
      <c r="N818" s="116">
        <v>714</v>
      </c>
      <c r="O818" s="116">
        <v>687.35</v>
      </c>
      <c r="P818" s="116">
        <v>706.3</v>
      </c>
      <c r="Q818" s="116">
        <v>689.65</v>
      </c>
      <c r="R818">
        <v>142715</v>
      </c>
    </row>
    <row r="819" spans="1:18" x14ac:dyDescent="0.25">
      <c r="A819" s="170">
        <v>45911</v>
      </c>
      <c r="B819" s="116">
        <v>693</v>
      </c>
      <c r="C819" s="116">
        <v>673.8</v>
      </c>
      <c r="D819" s="116">
        <v>670.2</v>
      </c>
      <c r="E819" s="116">
        <v>690.15</v>
      </c>
      <c r="F819" s="116">
        <v>673.8</v>
      </c>
      <c r="G819">
        <v>16593</v>
      </c>
      <c r="H819" s="116"/>
      <c r="I819" s="116"/>
      <c r="L819" s="170">
        <v>45911</v>
      </c>
      <c r="M819" s="116">
        <v>673.2</v>
      </c>
      <c r="N819" s="116">
        <v>695.8</v>
      </c>
      <c r="O819" s="116">
        <v>669.7</v>
      </c>
      <c r="P819" s="116">
        <v>692.95</v>
      </c>
      <c r="Q819" s="116">
        <v>673.2</v>
      </c>
      <c r="R819">
        <v>188738</v>
      </c>
    </row>
    <row r="820" spans="1:18" x14ac:dyDescent="0.25">
      <c r="A820" s="170">
        <v>45912</v>
      </c>
      <c r="B820" s="116">
        <v>702.95</v>
      </c>
      <c r="C820" s="116">
        <v>694.2</v>
      </c>
      <c r="D820" s="116">
        <v>673</v>
      </c>
      <c r="E820" s="116">
        <v>682.25</v>
      </c>
      <c r="F820" s="116">
        <v>694.2</v>
      </c>
      <c r="G820">
        <v>24748</v>
      </c>
      <c r="H820" s="116"/>
      <c r="I820" s="116"/>
      <c r="L820" s="170">
        <v>45912</v>
      </c>
      <c r="M820" s="116">
        <v>695.05</v>
      </c>
      <c r="N820" s="116">
        <v>704</v>
      </c>
      <c r="O820" s="116">
        <v>672.15</v>
      </c>
      <c r="P820" s="116">
        <v>675.05</v>
      </c>
      <c r="Q820" s="116">
        <v>695.05</v>
      </c>
      <c r="R820">
        <v>433495</v>
      </c>
    </row>
    <row r="821" spans="1:18" x14ac:dyDescent="0.25">
      <c r="A821" s="170">
        <v>45915</v>
      </c>
      <c r="B821" s="116">
        <v>705</v>
      </c>
      <c r="C821" s="116">
        <v>692.1</v>
      </c>
      <c r="D821" s="116">
        <v>678.8</v>
      </c>
      <c r="E821" s="116">
        <v>705</v>
      </c>
      <c r="F821" s="116">
        <v>692.1</v>
      </c>
      <c r="G821">
        <v>7378</v>
      </c>
      <c r="H821" s="116"/>
      <c r="I821" s="116"/>
      <c r="L821" s="170">
        <v>45915</v>
      </c>
      <c r="M821" s="116">
        <v>691.9</v>
      </c>
      <c r="N821" s="116">
        <v>698.7</v>
      </c>
      <c r="O821" s="116">
        <v>677</v>
      </c>
      <c r="P821" s="116">
        <v>695.05</v>
      </c>
      <c r="Q821" s="116">
        <v>691.9</v>
      </c>
      <c r="R821">
        <v>166488</v>
      </c>
    </row>
    <row r="822" spans="1:18" x14ac:dyDescent="0.25">
      <c r="A822" s="170">
        <v>45916</v>
      </c>
      <c r="B822" s="116">
        <v>696.3</v>
      </c>
      <c r="C822" s="116">
        <v>690.1</v>
      </c>
      <c r="D822" s="116">
        <v>684.05</v>
      </c>
      <c r="E822" s="116">
        <v>694.05</v>
      </c>
      <c r="F822" s="116">
        <v>690.1</v>
      </c>
      <c r="G822">
        <v>6652</v>
      </c>
      <c r="H822" s="116"/>
      <c r="I822" s="116"/>
      <c r="L822" s="170">
        <v>45916</v>
      </c>
      <c r="M822" s="116">
        <v>689.75</v>
      </c>
      <c r="N822" s="116">
        <v>695.35</v>
      </c>
      <c r="O822" s="116">
        <v>684.2</v>
      </c>
      <c r="P822" s="116">
        <v>695.35</v>
      </c>
      <c r="Q822" s="116">
        <v>689.75</v>
      </c>
      <c r="R822">
        <v>72909</v>
      </c>
    </row>
    <row r="823" spans="1:18" x14ac:dyDescent="0.25">
      <c r="A823" s="170">
        <v>45917</v>
      </c>
      <c r="B823" s="116">
        <v>709.7</v>
      </c>
      <c r="C823" s="116">
        <v>688.4</v>
      </c>
      <c r="D823" s="116">
        <v>685.05</v>
      </c>
      <c r="E823" s="116">
        <v>685.05</v>
      </c>
      <c r="F823" s="116">
        <v>688.4</v>
      </c>
      <c r="G823">
        <v>12656</v>
      </c>
      <c r="H823" s="116"/>
      <c r="I823" s="116"/>
      <c r="L823" s="170">
        <v>45917</v>
      </c>
      <c r="M823" s="116">
        <v>688.5</v>
      </c>
      <c r="N823" s="116">
        <v>710.1</v>
      </c>
      <c r="O823" s="116">
        <v>685.3</v>
      </c>
      <c r="P823" s="116">
        <v>690.1</v>
      </c>
      <c r="Q823" s="116">
        <v>688.5</v>
      </c>
      <c r="R823">
        <v>146033</v>
      </c>
    </row>
    <row r="824" spans="1:18" x14ac:dyDescent="0.25">
      <c r="A824" s="170">
        <v>45918</v>
      </c>
      <c r="B824" s="116">
        <v>691.4</v>
      </c>
      <c r="C824" s="116">
        <v>684.65</v>
      </c>
      <c r="D824" s="116">
        <v>683.5</v>
      </c>
      <c r="E824" s="116">
        <v>690.05</v>
      </c>
      <c r="F824" s="116">
        <v>684.65</v>
      </c>
      <c r="G824">
        <v>2770</v>
      </c>
      <c r="H824" s="116"/>
      <c r="I824" s="116"/>
      <c r="L824" s="170">
        <v>45918</v>
      </c>
      <c r="M824" s="116">
        <v>684.85</v>
      </c>
      <c r="N824" s="116">
        <v>697.45</v>
      </c>
      <c r="O824" s="116">
        <v>683</v>
      </c>
      <c r="P824" s="116">
        <v>694</v>
      </c>
      <c r="Q824" s="116">
        <v>684.85</v>
      </c>
      <c r="R824">
        <v>57001</v>
      </c>
    </row>
    <row r="825" spans="1:18" x14ac:dyDescent="0.25">
      <c r="A825" s="170">
        <v>45919</v>
      </c>
      <c r="B825" s="116">
        <v>721</v>
      </c>
      <c r="C825" s="116">
        <v>684.3</v>
      </c>
      <c r="D825" s="116">
        <v>677.95</v>
      </c>
      <c r="E825" s="116">
        <v>721</v>
      </c>
      <c r="F825" s="116">
        <v>684.3</v>
      </c>
      <c r="G825">
        <v>6200</v>
      </c>
      <c r="H825" s="116"/>
      <c r="I825" s="116"/>
      <c r="L825" s="170">
        <v>45919</v>
      </c>
      <c r="M825" s="116">
        <v>684.35</v>
      </c>
      <c r="N825" s="116">
        <v>688.45</v>
      </c>
      <c r="O825" s="116">
        <v>678.1</v>
      </c>
      <c r="P825" s="116">
        <v>684.85</v>
      </c>
      <c r="Q825" s="116">
        <v>684.35</v>
      </c>
      <c r="R825">
        <v>84235</v>
      </c>
    </row>
    <row r="826" spans="1:18" x14ac:dyDescent="0.25">
      <c r="A826" s="170">
        <v>45922</v>
      </c>
      <c r="B826" s="116">
        <v>688</v>
      </c>
      <c r="C826" s="116">
        <v>681.15</v>
      </c>
      <c r="D826" s="116">
        <v>678</v>
      </c>
      <c r="E826" s="116">
        <v>683.25</v>
      </c>
      <c r="F826" s="116">
        <v>681.15</v>
      </c>
      <c r="G826">
        <v>6138</v>
      </c>
      <c r="H826" s="116"/>
      <c r="I826" s="116"/>
      <c r="L826" s="170">
        <v>45922</v>
      </c>
      <c r="M826" s="116">
        <v>680.65</v>
      </c>
      <c r="N826" s="116">
        <v>686.95</v>
      </c>
      <c r="O826" s="116">
        <v>677.05</v>
      </c>
      <c r="P826" s="116">
        <v>680</v>
      </c>
      <c r="Q826" s="116">
        <v>680.65</v>
      </c>
      <c r="R826">
        <v>82285</v>
      </c>
    </row>
    <row r="827" spans="1:18" x14ac:dyDescent="0.25">
      <c r="A827" s="170">
        <v>45923</v>
      </c>
      <c r="B827" s="116">
        <v>689.7</v>
      </c>
      <c r="C827" s="116">
        <v>674.2</v>
      </c>
      <c r="D827" s="116">
        <v>673</v>
      </c>
      <c r="E827" s="116">
        <v>689.7</v>
      </c>
      <c r="F827" s="116">
        <v>674.2</v>
      </c>
      <c r="G827">
        <v>6009</v>
      </c>
      <c r="H827" s="116"/>
      <c r="I827" s="116"/>
      <c r="L827" s="170">
        <v>45923</v>
      </c>
      <c r="M827" s="116">
        <v>674.1</v>
      </c>
      <c r="N827" s="116">
        <v>683.55</v>
      </c>
      <c r="O827" s="116">
        <v>673</v>
      </c>
      <c r="P827" s="116">
        <v>678.1</v>
      </c>
      <c r="Q827" s="116">
        <v>674.1</v>
      </c>
      <c r="R827">
        <v>53050</v>
      </c>
    </row>
    <row r="828" spans="1:18" x14ac:dyDescent="0.25">
      <c r="A828" s="170">
        <v>45924</v>
      </c>
      <c r="B828" s="116">
        <v>676.7</v>
      </c>
      <c r="C828" s="116">
        <v>659.4</v>
      </c>
      <c r="D828" s="116">
        <v>657.7</v>
      </c>
      <c r="E828" s="116">
        <v>676</v>
      </c>
      <c r="F828" s="116">
        <v>659.4</v>
      </c>
      <c r="G828">
        <v>11595</v>
      </c>
      <c r="H828" s="116"/>
      <c r="I828" s="116"/>
      <c r="L828" s="170">
        <v>45924</v>
      </c>
      <c r="M828" s="116">
        <v>660.25</v>
      </c>
      <c r="N828" s="116">
        <v>677.05</v>
      </c>
      <c r="O828" s="116">
        <v>658</v>
      </c>
      <c r="P828" s="116">
        <v>676</v>
      </c>
      <c r="Q828" s="116">
        <v>660.25</v>
      </c>
      <c r="R828">
        <v>105887</v>
      </c>
    </row>
    <row r="829" spans="1:18" x14ac:dyDescent="0.25">
      <c r="A829" s="170">
        <v>45925</v>
      </c>
      <c r="B829" s="116">
        <v>680</v>
      </c>
      <c r="C829" s="116">
        <v>648.04999999999995</v>
      </c>
      <c r="D829" s="116">
        <v>645.70000000000005</v>
      </c>
      <c r="E829" s="116">
        <v>674.75</v>
      </c>
      <c r="F829" s="116">
        <v>648.04999999999995</v>
      </c>
      <c r="G829">
        <v>4504</v>
      </c>
      <c r="H829" s="116"/>
      <c r="I829" s="116"/>
      <c r="L829" s="170">
        <v>45925</v>
      </c>
      <c r="M829" s="116">
        <v>648.1</v>
      </c>
      <c r="N829" s="116">
        <v>663.55</v>
      </c>
      <c r="O829" s="116">
        <v>645.45000000000005</v>
      </c>
      <c r="P829" s="116">
        <v>660.25</v>
      </c>
      <c r="Q829" s="116">
        <v>648.1</v>
      </c>
      <c r="R829">
        <v>96330</v>
      </c>
    </row>
    <row r="830" spans="1:18" x14ac:dyDescent="0.25">
      <c r="A830" s="170">
        <v>45926</v>
      </c>
      <c r="B830" s="116">
        <v>648</v>
      </c>
      <c r="C830" s="116">
        <v>632.29999999999995</v>
      </c>
      <c r="D830" s="116">
        <v>628.70000000000005</v>
      </c>
      <c r="E830" s="116">
        <v>648</v>
      </c>
      <c r="F830" s="116">
        <v>632.29999999999995</v>
      </c>
      <c r="G830">
        <v>8542</v>
      </c>
      <c r="H830" s="116"/>
      <c r="I830" s="116"/>
      <c r="L830" s="170">
        <v>45926</v>
      </c>
      <c r="M830" s="116">
        <v>632.29999999999995</v>
      </c>
      <c r="N830" s="116">
        <v>648.1</v>
      </c>
      <c r="O830" s="116">
        <v>630</v>
      </c>
      <c r="P830" s="116">
        <v>646.04999999999995</v>
      </c>
      <c r="Q830" s="116">
        <v>632.29999999999995</v>
      </c>
      <c r="R830">
        <v>125938</v>
      </c>
    </row>
    <row r="831" spans="1:18" x14ac:dyDescent="0.25">
      <c r="A831" s="170">
        <v>45929</v>
      </c>
      <c r="B831" s="116">
        <v>683.05</v>
      </c>
      <c r="C831" s="116">
        <v>666.2</v>
      </c>
      <c r="D831" s="116">
        <v>626</v>
      </c>
      <c r="E831" s="116">
        <v>628.45000000000005</v>
      </c>
      <c r="F831" s="116">
        <v>666.2</v>
      </c>
      <c r="G831">
        <v>16410</v>
      </c>
      <c r="H831" s="116"/>
      <c r="I831" s="116"/>
      <c r="L831" s="170">
        <v>45929</v>
      </c>
      <c r="M831" s="116">
        <v>665.4</v>
      </c>
      <c r="N831" s="116">
        <v>682</v>
      </c>
      <c r="O831" s="116">
        <v>625.15</v>
      </c>
      <c r="P831" s="116">
        <v>631.1</v>
      </c>
      <c r="Q831" s="116">
        <v>665.4</v>
      </c>
      <c r="R831">
        <v>185032</v>
      </c>
    </row>
    <row r="832" spans="1:18" x14ac:dyDescent="0.25">
      <c r="A832" s="170">
        <v>45930</v>
      </c>
      <c r="B832" s="116">
        <v>690</v>
      </c>
      <c r="C832" s="116">
        <v>682.6</v>
      </c>
      <c r="D832" s="116">
        <v>647.9</v>
      </c>
      <c r="E832" s="116">
        <v>649.65</v>
      </c>
      <c r="F832" s="116">
        <v>682.6</v>
      </c>
      <c r="G832">
        <v>16289</v>
      </c>
      <c r="H832" s="116"/>
      <c r="I832" s="116"/>
      <c r="L832" s="170">
        <v>45930</v>
      </c>
      <c r="M832" s="116">
        <v>683.45</v>
      </c>
      <c r="N832" s="116">
        <v>690.9</v>
      </c>
      <c r="O832" s="116">
        <v>648.15</v>
      </c>
      <c r="P832" s="116">
        <v>668.65</v>
      </c>
      <c r="Q832" s="116">
        <v>683.45</v>
      </c>
      <c r="R832">
        <v>202592</v>
      </c>
    </row>
    <row r="833" spans="1:18" x14ac:dyDescent="0.25">
      <c r="A833" s="170">
        <v>45931</v>
      </c>
      <c r="B833" s="116">
        <v>687.6</v>
      </c>
      <c r="C833" s="116">
        <v>670</v>
      </c>
      <c r="D833" s="116">
        <v>665</v>
      </c>
      <c r="E833" s="116">
        <v>687.6</v>
      </c>
      <c r="F833" s="116">
        <v>670</v>
      </c>
      <c r="G833">
        <v>6121</v>
      </c>
      <c r="H833" s="116"/>
      <c r="I833" s="116"/>
      <c r="L833" s="170">
        <v>45931</v>
      </c>
      <c r="M833" s="116">
        <v>668.95</v>
      </c>
      <c r="N833" s="116">
        <v>683.1</v>
      </c>
      <c r="O833" s="116">
        <v>665</v>
      </c>
      <c r="P833" s="116">
        <v>683.1</v>
      </c>
      <c r="Q833" s="116">
        <v>668.95</v>
      </c>
      <c r="R833">
        <v>127833</v>
      </c>
    </row>
    <row r="834" spans="1:18" x14ac:dyDescent="0.25">
      <c r="A834" s="170">
        <v>45933</v>
      </c>
      <c r="B834" s="116">
        <v>678</v>
      </c>
      <c r="C834" s="116">
        <v>675.05</v>
      </c>
      <c r="D834" s="116">
        <v>661.65</v>
      </c>
      <c r="E834" s="116">
        <v>665.15</v>
      </c>
      <c r="F834" s="116">
        <v>675.05</v>
      </c>
      <c r="G834">
        <v>6526</v>
      </c>
      <c r="H834" s="116"/>
      <c r="I834" s="116"/>
      <c r="L834" s="170">
        <v>45933</v>
      </c>
      <c r="M834" s="116">
        <v>675.4</v>
      </c>
      <c r="N834" s="116">
        <v>677.9</v>
      </c>
      <c r="O834" s="116">
        <v>661.55</v>
      </c>
      <c r="P834" s="116">
        <v>668.7</v>
      </c>
      <c r="Q834" s="116">
        <v>675.4</v>
      </c>
      <c r="R834">
        <v>62093</v>
      </c>
    </row>
    <row r="835" spans="1:18" x14ac:dyDescent="0.25">
      <c r="A835" s="170">
        <v>45936</v>
      </c>
      <c r="B835" s="116">
        <v>684.95</v>
      </c>
      <c r="C835" s="116">
        <v>667.2</v>
      </c>
      <c r="D835" s="116">
        <v>665</v>
      </c>
      <c r="E835" s="116">
        <v>684.95</v>
      </c>
      <c r="F835" s="116">
        <v>667.2</v>
      </c>
      <c r="G835">
        <v>2459</v>
      </c>
      <c r="H835" s="116"/>
      <c r="I835" s="116"/>
      <c r="L835" s="170">
        <v>45936</v>
      </c>
      <c r="M835" s="116">
        <v>667.45</v>
      </c>
      <c r="N835" s="116">
        <v>676.45</v>
      </c>
      <c r="O835" s="116">
        <v>665</v>
      </c>
      <c r="P835" s="116">
        <v>675.4</v>
      </c>
      <c r="Q835" s="116">
        <v>667.45</v>
      </c>
      <c r="R835">
        <v>38959</v>
      </c>
    </row>
    <row r="836" spans="1:18" x14ac:dyDescent="0.25">
      <c r="A836" s="170">
        <v>45937</v>
      </c>
      <c r="B836" s="116">
        <v>668.9</v>
      </c>
      <c r="C836" s="116">
        <v>660.6</v>
      </c>
      <c r="D836" s="116">
        <v>658.25</v>
      </c>
      <c r="E836" s="116">
        <v>665.1</v>
      </c>
      <c r="F836" s="116">
        <v>660.6</v>
      </c>
      <c r="G836">
        <v>1719</v>
      </c>
      <c r="H836" s="116"/>
      <c r="I836" s="116"/>
      <c r="L836" s="170">
        <v>45937</v>
      </c>
      <c r="M836" s="116">
        <v>660</v>
      </c>
      <c r="N836" s="116">
        <v>669</v>
      </c>
      <c r="O836" s="116">
        <v>658</v>
      </c>
      <c r="P836" s="116">
        <v>669</v>
      </c>
      <c r="Q836" s="116">
        <v>660</v>
      </c>
      <c r="R836">
        <v>68209</v>
      </c>
    </row>
    <row r="837" spans="1:18" x14ac:dyDescent="0.25">
      <c r="A837" s="170">
        <v>45938</v>
      </c>
      <c r="B837" s="116">
        <v>672</v>
      </c>
      <c r="C837" s="116">
        <v>661.45</v>
      </c>
      <c r="D837" s="116">
        <v>658</v>
      </c>
      <c r="E837" s="116">
        <v>664.75</v>
      </c>
      <c r="F837" s="116">
        <v>661.45</v>
      </c>
      <c r="G837">
        <v>8873</v>
      </c>
      <c r="H837" s="116"/>
      <c r="I837" s="116"/>
      <c r="L837" s="170">
        <v>45938</v>
      </c>
      <c r="M837" s="116">
        <v>661.7</v>
      </c>
      <c r="N837" s="116">
        <v>672.9</v>
      </c>
      <c r="O837" s="116">
        <v>657.05</v>
      </c>
      <c r="P837" s="116">
        <v>662</v>
      </c>
      <c r="Q837" s="116">
        <v>661.7</v>
      </c>
      <c r="R837">
        <v>107928</v>
      </c>
    </row>
    <row r="838" spans="1:18" x14ac:dyDescent="0.25">
      <c r="A838" s="170">
        <v>45939</v>
      </c>
      <c r="B838" s="116">
        <v>671.4</v>
      </c>
      <c r="C838" s="116">
        <v>667.65</v>
      </c>
      <c r="D838" s="116">
        <v>646.95000000000005</v>
      </c>
      <c r="E838" s="116">
        <v>662</v>
      </c>
      <c r="F838" s="116">
        <v>667.65</v>
      </c>
      <c r="G838">
        <v>3307</v>
      </c>
      <c r="H838" s="116"/>
      <c r="I838" s="116"/>
      <c r="L838" s="170">
        <v>45939</v>
      </c>
      <c r="M838" s="116">
        <v>667.45</v>
      </c>
      <c r="N838" s="116">
        <v>673</v>
      </c>
      <c r="O838" s="116">
        <v>646.45000000000005</v>
      </c>
      <c r="P838" s="116">
        <v>661.7</v>
      </c>
      <c r="Q838" s="116">
        <v>667.45</v>
      </c>
      <c r="R838">
        <v>130438</v>
      </c>
    </row>
    <row r="839" spans="1:18" x14ac:dyDescent="0.25">
      <c r="A839" s="170">
        <v>45940</v>
      </c>
      <c r="B839" s="116">
        <v>673.85</v>
      </c>
      <c r="C839" s="116">
        <v>665.1</v>
      </c>
      <c r="D839" s="116">
        <v>662.45</v>
      </c>
      <c r="E839" s="116">
        <v>664.7</v>
      </c>
      <c r="F839" s="116">
        <v>665.1</v>
      </c>
      <c r="G839">
        <v>5366</v>
      </c>
      <c r="H839" s="116"/>
      <c r="I839" s="116"/>
      <c r="L839" s="170">
        <v>45940</v>
      </c>
      <c r="M839" s="116">
        <v>665.4</v>
      </c>
      <c r="N839" s="116">
        <v>673.35</v>
      </c>
      <c r="O839" s="116">
        <v>661.6</v>
      </c>
      <c r="P839" s="116">
        <v>667.45</v>
      </c>
      <c r="Q839" s="116">
        <v>665.4</v>
      </c>
      <c r="R839">
        <v>45081</v>
      </c>
    </row>
    <row r="840" spans="1:18" x14ac:dyDescent="0.25">
      <c r="A840" s="170">
        <v>45943</v>
      </c>
      <c r="B840" s="116">
        <v>677.55</v>
      </c>
      <c r="C840" s="116">
        <v>674.3</v>
      </c>
      <c r="D840" s="116">
        <v>657</v>
      </c>
      <c r="E840" s="116">
        <v>657.05</v>
      </c>
      <c r="F840" s="116">
        <v>674.3</v>
      </c>
      <c r="G840">
        <v>3189</v>
      </c>
      <c r="H840" s="116"/>
      <c r="I840" s="116"/>
      <c r="L840" s="170">
        <v>45943</v>
      </c>
      <c r="M840" s="116">
        <v>672.6</v>
      </c>
      <c r="N840" s="116">
        <v>674.9</v>
      </c>
      <c r="O840" s="116">
        <v>656.6</v>
      </c>
      <c r="P840" s="116">
        <v>664.55</v>
      </c>
      <c r="Q840" s="116">
        <v>672.6</v>
      </c>
      <c r="R840">
        <v>128493</v>
      </c>
    </row>
    <row r="841" spans="1:18" x14ac:dyDescent="0.25">
      <c r="A841" s="170">
        <v>45944</v>
      </c>
      <c r="B841" s="116">
        <v>673</v>
      </c>
      <c r="C841" s="116">
        <v>664.15</v>
      </c>
      <c r="D841" s="116">
        <v>661.1</v>
      </c>
      <c r="E841" s="116">
        <v>665.05</v>
      </c>
      <c r="F841" s="116">
        <v>664.15</v>
      </c>
      <c r="G841">
        <v>10508</v>
      </c>
      <c r="H841" s="116"/>
      <c r="I841" s="116"/>
      <c r="L841" s="170">
        <v>45944</v>
      </c>
      <c r="M841" s="116">
        <v>663.45</v>
      </c>
      <c r="N841" s="116">
        <v>673.1</v>
      </c>
      <c r="O841" s="116">
        <v>661.05</v>
      </c>
      <c r="P841" s="116">
        <v>671.2</v>
      </c>
      <c r="Q841" s="116">
        <v>663.45</v>
      </c>
      <c r="R841">
        <v>40120</v>
      </c>
    </row>
    <row r="842" spans="1:18" x14ac:dyDescent="0.25">
      <c r="A842" s="170">
        <v>45945</v>
      </c>
      <c r="B842" s="116">
        <v>665.95</v>
      </c>
      <c r="C842" s="116">
        <v>653.75</v>
      </c>
      <c r="D842" s="116">
        <v>651</v>
      </c>
      <c r="E842" s="116">
        <v>663.85</v>
      </c>
      <c r="F842" s="116">
        <v>653.75</v>
      </c>
      <c r="G842">
        <v>5352</v>
      </c>
      <c r="H842" s="116"/>
      <c r="I842" s="116"/>
      <c r="L842" s="170">
        <v>45945</v>
      </c>
      <c r="M842" s="116">
        <v>653.15</v>
      </c>
      <c r="N842" s="116">
        <v>664.15</v>
      </c>
      <c r="O842" s="116">
        <v>650.15</v>
      </c>
      <c r="P842" s="116">
        <v>660.55</v>
      </c>
      <c r="Q842" s="116">
        <v>653.15</v>
      </c>
      <c r="R842">
        <v>70537</v>
      </c>
    </row>
    <row r="843" spans="1:18" x14ac:dyDescent="0.25">
      <c r="A843" s="170">
        <v>45946</v>
      </c>
      <c r="B843" s="116">
        <v>662.2</v>
      </c>
      <c r="C843" s="116">
        <v>655.5</v>
      </c>
      <c r="D843" s="116">
        <v>650.75</v>
      </c>
      <c r="E843" s="116">
        <v>657.35</v>
      </c>
      <c r="F843" s="116">
        <v>655.5</v>
      </c>
      <c r="G843">
        <v>5630</v>
      </c>
      <c r="H843" s="116"/>
      <c r="I843" s="116"/>
      <c r="L843" s="170">
        <v>45946</v>
      </c>
      <c r="M843" s="116">
        <v>654.65</v>
      </c>
      <c r="N843" s="116">
        <v>662.4</v>
      </c>
      <c r="O843" s="116">
        <v>650.70000000000005</v>
      </c>
      <c r="P843" s="116">
        <v>656.6</v>
      </c>
      <c r="Q843" s="116">
        <v>654.65</v>
      </c>
      <c r="R843">
        <v>86114</v>
      </c>
    </row>
    <row r="844" spans="1:18" x14ac:dyDescent="0.25">
      <c r="A844" s="170">
        <v>45947</v>
      </c>
      <c r="B844" s="116">
        <v>655.9</v>
      </c>
      <c r="C844" s="116">
        <v>649.1</v>
      </c>
      <c r="D844" s="116">
        <v>647.79999999999995</v>
      </c>
      <c r="E844" s="116">
        <v>650.75</v>
      </c>
      <c r="F844" s="116">
        <v>649.1</v>
      </c>
      <c r="G844">
        <v>8100</v>
      </c>
      <c r="H844" s="116"/>
      <c r="I844" s="116"/>
      <c r="L844" s="170">
        <v>45947</v>
      </c>
      <c r="M844" s="116">
        <v>649.5</v>
      </c>
      <c r="N844" s="116">
        <v>656.1</v>
      </c>
      <c r="O844" s="116">
        <v>646.35</v>
      </c>
      <c r="P844" s="116">
        <v>653.70000000000005</v>
      </c>
      <c r="Q844" s="116">
        <v>649.5</v>
      </c>
      <c r="R844">
        <v>48452</v>
      </c>
    </row>
    <row r="845" spans="1:18" x14ac:dyDescent="0.25">
      <c r="A845" s="170">
        <v>45950</v>
      </c>
      <c r="B845" s="116">
        <v>654.45000000000005</v>
      </c>
      <c r="C845" s="116">
        <v>651.85</v>
      </c>
      <c r="D845" s="116">
        <v>639</v>
      </c>
      <c r="E845" s="116">
        <v>653.79999999999995</v>
      </c>
      <c r="F845" s="116">
        <v>651.85</v>
      </c>
      <c r="G845">
        <v>3578</v>
      </c>
      <c r="H845" s="116"/>
      <c r="I845" s="116"/>
      <c r="L845" s="170">
        <v>45950</v>
      </c>
      <c r="M845" s="116">
        <v>651.54999999999995</v>
      </c>
      <c r="N845" s="116">
        <v>654</v>
      </c>
      <c r="O845" s="116">
        <v>641.29999999999995</v>
      </c>
      <c r="P845" s="116">
        <v>648.04999999999995</v>
      </c>
      <c r="Q845" s="116">
        <v>651.54999999999995</v>
      </c>
      <c r="R845">
        <v>47996</v>
      </c>
    </row>
    <row r="846" spans="1:18" x14ac:dyDescent="0.25">
      <c r="A846" s="170">
        <v>45951</v>
      </c>
      <c r="B846" s="116">
        <v>680</v>
      </c>
      <c r="C846" s="116">
        <v>662</v>
      </c>
      <c r="D846" s="116">
        <v>649</v>
      </c>
      <c r="E846" s="116">
        <v>650</v>
      </c>
      <c r="F846" s="116">
        <v>662</v>
      </c>
      <c r="G846">
        <v>6576</v>
      </c>
      <c r="H846" s="116"/>
      <c r="I846" s="116"/>
      <c r="L846" s="170">
        <v>45951</v>
      </c>
      <c r="M846" s="116">
        <v>661.8</v>
      </c>
      <c r="N846" s="116">
        <v>688.35</v>
      </c>
      <c r="O846" s="116">
        <v>647</v>
      </c>
      <c r="P846" s="116">
        <v>648.04999999999995</v>
      </c>
      <c r="Q846" s="116">
        <v>661.8</v>
      </c>
      <c r="R846">
        <v>45672</v>
      </c>
    </row>
    <row r="847" spans="1:18" x14ac:dyDescent="0.25">
      <c r="A847" s="170">
        <v>45953</v>
      </c>
      <c r="B847" s="116">
        <v>666</v>
      </c>
      <c r="C847" s="116">
        <v>650.45000000000005</v>
      </c>
      <c r="D847" s="116">
        <v>646.35</v>
      </c>
      <c r="E847" s="116">
        <v>646.35</v>
      </c>
      <c r="F847" s="116">
        <v>650.45000000000005</v>
      </c>
      <c r="G847">
        <v>7641</v>
      </c>
      <c r="H847" s="116"/>
      <c r="I847" s="116"/>
      <c r="L847" s="170">
        <v>45953</v>
      </c>
      <c r="M847" s="116">
        <v>651</v>
      </c>
      <c r="N847" s="116">
        <v>665.9</v>
      </c>
      <c r="O847" s="116">
        <v>650</v>
      </c>
      <c r="P847" s="116">
        <v>661.8</v>
      </c>
      <c r="Q847" s="116">
        <v>651</v>
      </c>
      <c r="R847">
        <v>71191</v>
      </c>
    </row>
    <row r="848" spans="1:18" x14ac:dyDescent="0.25">
      <c r="A848" s="170">
        <v>45954</v>
      </c>
      <c r="B848" s="116">
        <v>654.95000000000005</v>
      </c>
      <c r="C848" s="116">
        <v>652.45000000000005</v>
      </c>
      <c r="D848" s="116">
        <v>645.6</v>
      </c>
      <c r="E848" s="116">
        <v>650.29999999999995</v>
      </c>
      <c r="F848" s="116">
        <v>652.45000000000005</v>
      </c>
      <c r="G848">
        <v>4204</v>
      </c>
      <c r="H848" s="116"/>
      <c r="I848" s="116"/>
      <c r="L848" s="170">
        <v>45954</v>
      </c>
      <c r="M848" s="116">
        <v>651.25</v>
      </c>
      <c r="N848" s="116">
        <v>663.7</v>
      </c>
      <c r="O848" s="116">
        <v>646</v>
      </c>
      <c r="P848" s="116">
        <v>651</v>
      </c>
      <c r="Q848" s="116">
        <v>651.25</v>
      </c>
      <c r="R848">
        <v>59312</v>
      </c>
    </row>
    <row r="849" spans="1:18" x14ac:dyDescent="0.25">
      <c r="A849" s="170">
        <v>45957</v>
      </c>
      <c r="B849" s="116">
        <v>653.04999999999995</v>
      </c>
      <c r="C849" s="116">
        <v>646.9</v>
      </c>
      <c r="D849" s="116">
        <v>643.54999999999995</v>
      </c>
      <c r="E849" s="116">
        <v>650.04999999999995</v>
      </c>
      <c r="F849" s="116">
        <v>646.9</v>
      </c>
      <c r="G849">
        <v>6546</v>
      </c>
      <c r="H849" s="116"/>
      <c r="I849" s="116"/>
      <c r="L849" s="170">
        <v>45957</v>
      </c>
      <c r="M849" s="116">
        <v>646.4</v>
      </c>
      <c r="N849" s="116">
        <v>654.65</v>
      </c>
      <c r="O849" s="116">
        <v>643.75</v>
      </c>
      <c r="P849" s="116">
        <v>654.65</v>
      </c>
      <c r="Q849" s="116">
        <v>646.4</v>
      </c>
      <c r="R849">
        <v>125750</v>
      </c>
    </row>
    <row r="850" spans="1:18" x14ac:dyDescent="0.25">
      <c r="A850" s="170">
        <v>45958</v>
      </c>
      <c r="B850" s="116">
        <v>654.1</v>
      </c>
      <c r="C850" s="116">
        <v>652.70000000000005</v>
      </c>
      <c r="D850" s="116">
        <v>646.25</v>
      </c>
      <c r="E850" s="116">
        <v>647.29999999999995</v>
      </c>
      <c r="F850" s="116">
        <v>652.70000000000005</v>
      </c>
      <c r="G850">
        <v>6635</v>
      </c>
      <c r="H850" s="116"/>
      <c r="I850" s="116"/>
      <c r="L850" s="170">
        <v>45958</v>
      </c>
      <c r="M850" s="116">
        <v>652.70000000000005</v>
      </c>
      <c r="N850" s="116">
        <v>664.9</v>
      </c>
      <c r="O850" s="116">
        <v>646.25</v>
      </c>
      <c r="P850" s="116">
        <v>646.4</v>
      </c>
      <c r="Q850" s="116">
        <v>652.70000000000005</v>
      </c>
      <c r="R850">
        <v>53050</v>
      </c>
    </row>
    <row r="851" spans="1:18" x14ac:dyDescent="0.25">
      <c r="A851" s="170">
        <v>45959</v>
      </c>
      <c r="B851" s="116">
        <v>657.95</v>
      </c>
      <c r="C851" s="116">
        <v>649.45000000000005</v>
      </c>
      <c r="D851" s="116">
        <v>647.45000000000005</v>
      </c>
      <c r="E851" s="116">
        <v>656.4</v>
      </c>
      <c r="F851" s="116">
        <v>649.45000000000005</v>
      </c>
      <c r="G851">
        <v>4576</v>
      </c>
      <c r="H851" s="116"/>
      <c r="I851" s="116"/>
      <c r="L851" s="170">
        <v>45959</v>
      </c>
      <c r="M851" s="116">
        <v>649.4</v>
      </c>
      <c r="N851" s="116">
        <v>658.9</v>
      </c>
      <c r="O851" s="116">
        <v>647.54999999999995</v>
      </c>
      <c r="P851" s="116">
        <v>658.9</v>
      </c>
      <c r="Q851" s="116">
        <v>649.4</v>
      </c>
      <c r="R851">
        <v>50365</v>
      </c>
    </row>
    <row r="852" spans="1:18" x14ac:dyDescent="0.25">
      <c r="A852" s="170">
        <v>45960</v>
      </c>
      <c r="B852" s="116">
        <v>655.04999999999995</v>
      </c>
      <c r="C852" s="116">
        <v>651.9</v>
      </c>
      <c r="D852" s="116">
        <v>646.95000000000005</v>
      </c>
      <c r="E852" s="116">
        <v>646.95000000000005</v>
      </c>
      <c r="F852" s="116">
        <v>651.9</v>
      </c>
      <c r="G852">
        <v>4694</v>
      </c>
      <c r="H852" s="116"/>
      <c r="I852" s="116"/>
      <c r="L852" s="170">
        <v>45960</v>
      </c>
      <c r="M852" s="116">
        <v>651.70000000000005</v>
      </c>
      <c r="N852" s="116">
        <v>654.70000000000005</v>
      </c>
      <c r="O852" s="116">
        <v>648</v>
      </c>
      <c r="P852" s="116">
        <v>649.4</v>
      </c>
      <c r="Q852" s="116">
        <v>651.70000000000005</v>
      </c>
      <c r="R852">
        <v>42146</v>
      </c>
    </row>
    <row r="853" spans="1:18" x14ac:dyDescent="0.25">
      <c r="A853" s="170">
        <v>45961</v>
      </c>
      <c r="B853" s="116">
        <v>653.4</v>
      </c>
      <c r="C853" s="116">
        <v>645.35</v>
      </c>
      <c r="D853" s="116">
        <v>641.5</v>
      </c>
      <c r="E853" s="116">
        <v>651.9</v>
      </c>
      <c r="F853" s="116">
        <v>645.35</v>
      </c>
      <c r="G853">
        <v>4558</v>
      </c>
      <c r="H853" s="116"/>
      <c r="I853" s="116"/>
      <c r="L853" s="170">
        <v>45961</v>
      </c>
      <c r="M853" s="116">
        <v>644.65</v>
      </c>
      <c r="N853" s="116">
        <v>653.1</v>
      </c>
      <c r="O853" s="116">
        <v>642.15</v>
      </c>
      <c r="P853" s="116">
        <v>650.1</v>
      </c>
      <c r="Q853" s="116">
        <v>644.65</v>
      </c>
      <c r="R853">
        <v>33961</v>
      </c>
    </row>
    <row r="854" spans="1:18" x14ac:dyDescent="0.25">
      <c r="A854" s="170">
        <v>45964</v>
      </c>
      <c r="B854" s="116">
        <v>653.35</v>
      </c>
      <c r="C854" s="116">
        <v>640.65</v>
      </c>
      <c r="D854" s="116">
        <v>632.45000000000005</v>
      </c>
      <c r="E854" s="116">
        <v>653.35</v>
      </c>
      <c r="F854" s="116">
        <v>640.65</v>
      </c>
      <c r="G854">
        <v>10321</v>
      </c>
      <c r="H854" s="116"/>
      <c r="I854" s="116"/>
      <c r="L854" s="170">
        <v>45964</v>
      </c>
      <c r="M854" s="116">
        <v>640.20000000000005</v>
      </c>
      <c r="N854" s="116">
        <v>649.70000000000005</v>
      </c>
      <c r="O854" s="116">
        <v>633</v>
      </c>
      <c r="P854" s="116">
        <v>645</v>
      </c>
      <c r="Q854" s="116">
        <v>640.20000000000005</v>
      </c>
      <c r="R854">
        <v>107946</v>
      </c>
    </row>
    <row r="855" spans="1:18" x14ac:dyDescent="0.25">
      <c r="A855" s="170">
        <v>45965</v>
      </c>
      <c r="B855" s="116">
        <v>648.45000000000005</v>
      </c>
      <c r="C855" s="116">
        <v>639.25</v>
      </c>
      <c r="D855" s="116">
        <v>637.25</v>
      </c>
      <c r="E855" s="116">
        <v>646.1</v>
      </c>
      <c r="F855" s="116">
        <v>639.25</v>
      </c>
      <c r="G855">
        <v>5512</v>
      </c>
      <c r="H855" s="116"/>
      <c r="I855" s="116"/>
      <c r="L855" s="170">
        <v>45965</v>
      </c>
      <c r="M855" s="116">
        <v>638.79999999999995</v>
      </c>
      <c r="N855" s="116">
        <v>648</v>
      </c>
      <c r="O855" s="116">
        <v>636.6</v>
      </c>
      <c r="P855" s="116">
        <v>641.95000000000005</v>
      </c>
      <c r="Q855" s="116">
        <v>638.79999999999995</v>
      </c>
      <c r="R855">
        <v>165863</v>
      </c>
    </row>
    <row r="856" spans="1:18" x14ac:dyDescent="0.25">
      <c r="A856" s="170">
        <v>45967</v>
      </c>
      <c r="B856" s="116">
        <v>664.35</v>
      </c>
      <c r="C856" s="116">
        <v>634</v>
      </c>
      <c r="D856" s="116">
        <v>626.25</v>
      </c>
      <c r="E856" s="116">
        <v>645.04999999999995</v>
      </c>
      <c r="F856" s="116">
        <v>634</v>
      </c>
      <c r="G856">
        <v>21403</v>
      </c>
      <c r="H856" s="116"/>
      <c r="I856" s="116"/>
      <c r="L856" s="170">
        <v>45967</v>
      </c>
      <c r="M856" s="116">
        <v>635.6</v>
      </c>
      <c r="N856" s="116">
        <v>656.35</v>
      </c>
      <c r="O856" s="116">
        <v>631.15</v>
      </c>
      <c r="P856" s="116">
        <v>656.35</v>
      </c>
      <c r="Q856" s="116">
        <v>635.6</v>
      </c>
      <c r="R856">
        <v>140677</v>
      </c>
    </row>
    <row r="857" spans="1:18" x14ac:dyDescent="0.25">
      <c r="A857" s="170">
        <v>45968</v>
      </c>
      <c r="B857" s="116">
        <v>639.20000000000005</v>
      </c>
      <c r="C857" s="116">
        <v>631.79999999999995</v>
      </c>
      <c r="D857" s="116">
        <v>631</v>
      </c>
      <c r="E857" s="116">
        <v>631</v>
      </c>
      <c r="F857" s="116">
        <v>631.79999999999995</v>
      </c>
      <c r="G857">
        <v>3274</v>
      </c>
      <c r="H857" s="116"/>
      <c r="I857" s="116"/>
      <c r="L857" s="170">
        <v>45968</v>
      </c>
      <c r="M857" s="116">
        <v>632.35</v>
      </c>
      <c r="N857" s="116">
        <v>641.20000000000005</v>
      </c>
      <c r="O857" s="116">
        <v>629.79999999999995</v>
      </c>
      <c r="P857" s="116">
        <v>629.79999999999995</v>
      </c>
      <c r="Q857" s="116">
        <v>632.35</v>
      </c>
      <c r="R857">
        <v>183104</v>
      </c>
    </row>
    <row r="858" spans="1:18" x14ac:dyDescent="0.25">
      <c r="A858" s="170">
        <v>45971</v>
      </c>
      <c r="B858" s="116">
        <v>639.15</v>
      </c>
      <c r="C858" s="116">
        <v>621.20000000000005</v>
      </c>
      <c r="D858" s="116">
        <v>620</v>
      </c>
      <c r="E858" s="116">
        <v>639.15</v>
      </c>
      <c r="F858" s="116">
        <v>621.20000000000005</v>
      </c>
      <c r="G858">
        <v>6396</v>
      </c>
      <c r="H858" s="116"/>
      <c r="I858" s="116"/>
      <c r="L858" s="170">
        <v>45971</v>
      </c>
      <c r="M858" s="116">
        <v>621.85</v>
      </c>
      <c r="N858" s="116">
        <v>633.4</v>
      </c>
      <c r="O858" s="116">
        <v>619</v>
      </c>
      <c r="P858" s="116">
        <v>632</v>
      </c>
      <c r="Q858" s="116">
        <v>621.85</v>
      </c>
      <c r="R858">
        <v>75716</v>
      </c>
    </row>
    <row r="859" spans="1:18" x14ac:dyDescent="0.25">
      <c r="A859" s="170">
        <v>45972</v>
      </c>
      <c r="B859" s="116">
        <v>628</v>
      </c>
      <c r="C859" s="116">
        <v>615.04999999999995</v>
      </c>
      <c r="D859" s="116">
        <v>611.85</v>
      </c>
      <c r="E859" s="116">
        <v>620.1</v>
      </c>
      <c r="F859" s="116">
        <v>615.04999999999995</v>
      </c>
      <c r="G859">
        <v>4512</v>
      </c>
      <c r="H859" s="116"/>
      <c r="I859" s="116"/>
      <c r="L859" s="170">
        <v>45972</v>
      </c>
      <c r="M859" s="116">
        <v>614.95000000000005</v>
      </c>
      <c r="N859" s="116">
        <v>628.6</v>
      </c>
      <c r="O859" s="116">
        <v>612.5</v>
      </c>
      <c r="P859" s="116">
        <v>619</v>
      </c>
      <c r="Q859" s="116">
        <v>614.95000000000005</v>
      </c>
      <c r="R859">
        <v>71743</v>
      </c>
    </row>
    <row r="860" spans="1:18" x14ac:dyDescent="0.25">
      <c r="A860" s="170">
        <v>45973</v>
      </c>
      <c r="B860" s="116">
        <v>627.6</v>
      </c>
      <c r="C860" s="116">
        <v>624.70000000000005</v>
      </c>
      <c r="D860" s="116">
        <v>612.15</v>
      </c>
      <c r="E860" s="116">
        <v>612.15</v>
      </c>
      <c r="F860" s="116">
        <v>624.70000000000005</v>
      </c>
      <c r="G860">
        <v>7895</v>
      </c>
      <c r="H860" s="116"/>
      <c r="I860" s="116"/>
      <c r="L860" s="170">
        <v>45973</v>
      </c>
      <c r="M860" s="116">
        <v>624.04999999999995</v>
      </c>
      <c r="N860" s="116">
        <v>627.5</v>
      </c>
      <c r="O860" s="116">
        <v>613.45000000000005</v>
      </c>
      <c r="P860" s="116">
        <v>613.9</v>
      </c>
      <c r="Q860" s="116">
        <v>624.04999999999995</v>
      </c>
      <c r="R860">
        <v>51391</v>
      </c>
    </row>
    <row r="861" spans="1:18" x14ac:dyDescent="0.25">
      <c r="A861" s="170">
        <v>45974</v>
      </c>
      <c r="B861" s="116">
        <v>625.4</v>
      </c>
      <c r="C861" s="116">
        <v>615.5</v>
      </c>
      <c r="D861" s="116">
        <v>614.25</v>
      </c>
      <c r="E861" s="116">
        <v>620.95000000000005</v>
      </c>
      <c r="F861" s="116">
        <v>615.5</v>
      </c>
      <c r="G861">
        <v>7037</v>
      </c>
      <c r="H861" s="116"/>
      <c r="I861" s="116"/>
      <c r="L861" s="170">
        <v>45974</v>
      </c>
      <c r="M861" s="116">
        <v>617.35</v>
      </c>
      <c r="N861" s="116">
        <v>626.5</v>
      </c>
      <c r="O861" s="116">
        <v>614.20000000000005</v>
      </c>
      <c r="P861" s="116">
        <v>626.5</v>
      </c>
      <c r="Q861" s="116">
        <v>617.35</v>
      </c>
      <c r="R861">
        <v>43237</v>
      </c>
    </row>
    <row r="862" spans="1:18" x14ac:dyDescent="0.25">
      <c r="A862" s="170">
        <v>45975</v>
      </c>
      <c r="B862" s="116">
        <v>619.9</v>
      </c>
      <c r="C862" s="116">
        <v>616.29999999999995</v>
      </c>
      <c r="D862" s="116">
        <v>613.70000000000005</v>
      </c>
      <c r="E862" s="116">
        <v>619.9</v>
      </c>
      <c r="F862" s="116">
        <v>616.29999999999995</v>
      </c>
      <c r="G862">
        <v>1606</v>
      </c>
      <c r="H862" s="116"/>
      <c r="I862" s="116"/>
      <c r="L862" s="170">
        <v>45975</v>
      </c>
      <c r="M862" s="116">
        <v>616.25</v>
      </c>
      <c r="N862" s="116">
        <v>620.6</v>
      </c>
      <c r="O862" s="116">
        <v>613.85</v>
      </c>
      <c r="P862" s="116">
        <v>618.15</v>
      </c>
      <c r="Q862" s="116">
        <v>616.25</v>
      </c>
      <c r="R862">
        <v>25644</v>
      </c>
    </row>
    <row r="863" spans="1:18" x14ac:dyDescent="0.25">
      <c r="A863" s="170">
        <v>45978</v>
      </c>
      <c r="B863" s="116">
        <v>620.1</v>
      </c>
      <c r="C863" s="116">
        <v>608.1</v>
      </c>
      <c r="D863" s="116">
        <v>604.25</v>
      </c>
      <c r="E863" s="116">
        <v>615.54999999999995</v>
      </c>
      <c r="F863" s="116">
        <v>608.1</v>
      </c>
      <c r="G863">
        <v>11283</v>
      </c>
      <c r="H863" s="116"/>
      <c r="I863" s="116"/>
      <c r="L863" s="170">
        <v>45978</v>
      </c>
      <c r="M863" s="116">
        <v>608.45000000000005</v>
      </c>
      <c r="N863" s="116">
        <v>619.5</v>
      </c>
      <c r="O863" s="116">
        <v>603.9</v>
      </c>
      <c r="P863" s="116">
        <v>616.20000000000005</v>
      </c>
      <c r="Q863" s="116">
        <v>608.45000000000005</v>
      </c>
      <c r="R863">
        <v>122723</v>
      </c>
    </row>
    <row r="864" spans="1:18" x14ac:dyDescent="0.25">
      <c r="A864" s="170">
        <v>45979</v>
      </c>
      <c r="B864" s="116">
        <v>619.95000000000005</v>
      </c>
      <c r="C864" s="116">
        <v>606.1</v>
      </c>
      <c r="D864" s="116">
        <v>604.75</v>
      </c>
      <c r="E864" s="116">
        <v>619.95000000000005</v>
      </c>
      <c r="F864" s="116">
        <v>606.1</v>
      </c>
      <c r="G864">
        <v>3211</v>
      </c>
      <c r="H864" s="116"/>
      <c r="I864" s="116"/>
      <c r="L864" s="170">
        <v>45979</v>
      </c>
      <c r="M864" s="116">
        <v>606.9</v>
      </c>
      <c r="N864" s="116">
        <v>611.75</v>
      </c>
      <c r="O864" s="116">
        <v>605</v>
      </c>
      <c r="P864" s="116">
        <v>611.70000000000005</v>
      </c>
      <c r="Q864" s="116">
        <v>606.9</v>
      </c>
      <c r="R864">
        <v>46121</v>
      </c>
    </row>
    <row r="865" spans="1:18" x14ac:dyDescent="0.25">
      <c r="A865" s="170">
        <v>45980</v>
      </c>
      <c r="B865" s="116">
        <v>622.70000000000005</v>
      </c>
      <c r="C865" s="116">
        <v>616.6</v>
      </c>
      <c r="D865" s="116">
        <v>607.15</v>
      </c>
      <c r="E865" s="116">
        <v>607.75</v>
      </c>
      <c r="F865" s="116">
        <v>616.6</v>
      </c>
      <c r="G865">
        <v>3721</v>
      </c>
      <c r="H865" s="116"/>
      <c r="I865" s="116"/>
      <c r="L865" s="170">
        <v>45980</v>
      </c>
      <c r="M865" s="116">
        <v>615.70000000000005</v>
      </c>
      <c r="N865" s="116">
        <v>625</v>
      </c>
      <c r="O865" s="116">
        <v>604.4</v>
      </c>
      <c r="P865" s="116">
        <v>608.5</v>
      </c>
      <c r="Q865" s="116">
        <v>615.70000000000005</v>
      </c>
      <c r="R865">
        <v>123067</v>
      </c>
    </row>
    <row r="866" spans="1:18" x14ac:dyDescent="0.25">
      <c r="A866" s="170">
        <v>45981</v>
      </c>
      <c r="B866" s="116">
        <v>624</v>
      </c>
      <c r="C866" s="116">
        <v>621.4</v>
      </c>
      <c r="D866" s="116">
        <v>613.15</v>
      </c>
      <c r="E866" s="116">
        <v>616.6</v>
      </c>
      <c r="F866" s="116">
        <v>621.4</v>
      </c>
      <c r="G866">
        <v>4027</v>
      </c>
      <c r="H866" s="116"/>
      <c r="I866" s="116"/>
      <c r="L866" s="170">
        <v>45981</v>
      </c>
      <c r="M866" s="116">
        <v>620.29999999999995</v>
      </c>
      <c r="N866" s="116">
        <v>624.9</v>
      </c>
      <c r="O866" s="116">
        <v>612.95000000000005</v>
      </c>
      <c r="P866" s="116">
        <v>617.5</v>
      </c>
      <c r="Q866" s="116">
        <v>620.29999999999995</v>
      </c>
      <c r="R866">
        <v>49082</v>
      </c>
    </row>
    <row r="867" spans="1:18" x14ac:dyDescent="0.25">
      <c r="A867" s="170">
        <v>45982</v>
      </c>
      <c r="B867" s="116">
        <v>624.45000000000005</v>
      </c>
      <c r="C867" s="116">
        <v>609.65</v>
      </c>
      <c r="D867" s="116">
        <v>606.5</v>
      </c>
      <c r="E867" s="116">
        <v>616</v>
      </c>
      <c r="F867" s="116">
        <v>609.65</v>
      </c>
      <c r="G867">
        <v>6755</v>
      </c>
      <c r="H867" s="116"/>
      <c r="I867" s="116"/>
      <c r="L867" s="170">
        <v>45982</v>
      </c>
      <c r="M867" s="116">
        <v>609.1</v>
      </c>
      <c r="N867" s="116">
        <v>624.45000000000005</v>
      </c>
      <c r="O867" s="116">
        <v>605</v>
      </c>
      <c r="P867" s="116">
        <v>616.20000000000005</v>
      </c>
      <c r="Q867" s="116">
        <v>609.1</v>
      </c>
      <c r="R867">
        <v>35599</v>
      </c>
    </row>
    <row r="868" spans="1:18" x14ac:dyDescent="0.25">
      <c r="A868" s="170">
        <v>45985</v>
      </c>
      <c r="B868" s="116">
        <v>626.35</v>
      </c>
      <c r="C868" s="116">
        <v>624.35</v>
      </c>
      <c r="D868" s="116">
        <v>607.54999999999995</v>
      </c>
      <c r="E868" s="116">
        <v>609.70000000000005</v>
      </c>
      <c r="F868" s="116">
        <v>624.35</v>
      </c>
      <c r="G868">
        <v>10398</v>
      </c>
      <c r="H868" s="116"/>
      <c r="I868" s="116"/>
      <c r="L868" s="170">
        <v>45985</v>
      </c>
      <c r="M868" s="116">
        <v>624.25</v>
      </c>
      <c r="N868" s="116">
        <v>626</v>
      </c>
      <c r="O868" s="116">
        <v>606</v>
      </c>
      <c r="P868" s="116">
        <v>609</v>
      </c>
      <c r="Q868" s="116">
        <v>624.25</v>
      </c>
      <c r="R868">
        <v>73050</v>
      </c>
    </row>
    <row r="869" spans="1:18" x14ac:dyDescent="0.25">
      <c r="A869" s="170">
        <v>45986</v>
      </c>
      <c r="B869" s="116">
        <v>624.4</v>
      </c>
      <c r="C869" s="116">
        <v>612.6</v>
      </c>
      <c r="D869" s="116">
        <v>610.15</v>
      </c>
      <c r="E869" s="116">
        <v>624.4</v>
      </c>
      <c r="F869" s="116">
        <v>612.6</v>
      </c>
      <c r="G869">
        <v>3075</v>
      </c>
      <c r="H869" s="116"/>
      <c r="I869" s="116"/>
      <c r="L869" s="170">
        <v>45986</v>
      </c>
      <c r="M869" s="116">
        <v>612.29999999999995</v>
      </c>
      <c r="N869" s="116">
        <v>624.25</v>
      </c>
      <c r="O869" s="116">
        <v>608.5</v>
      </c>
      <c r="P869" s="116">
        <v>624.25</v>
      </c>
      <c r="Q869" s="116">
        <v>612.29999999999995</v>
      </c>
      <c r="R869">
        <v>29286</v>
      </c>
    </row>
    <row r="870" spans="1:18" x14ac:dyDescent="0.25">
      <c r="A870" s="170">
        <v>45987</v>
      </c>
      <c r="B870" s="116">
        <v>620.79999999999995</v>
      </c>
      <c r="C870" s="116">
        <v>616.9</v>
      </c>
      <c r="D870" s="116">
        <v>612.9</v>
      </c>
      <c r="E870" s="116">
        <v>616.85</v>
      </c>
      <c r="F870" s="116">
        <v>616.9</v>
      </c>
      <c r="G870">
        <v>3007</v>
      </c>
      <c r="H870" s="116"/>
      <c r="I870" s="116"/>
      <c r="L870" s="170">
        <v>45987</v>
      </c>
      <c r="M870" s="116">
        <v>616.29999999999995</v>
      </c>
      <c r="N870" s="116">
        <v>620.65</v>
      </c>
      <c r="O870" s="116">
        <v>612.75</v>
      </c>
      <c r="P870" s="116">
        <v>615.5</v>
      </c>
      <c r="Q870" s="116">
        <v>616.29999999999995</v>
      </c>
      <c r="R870">
        <v>18279</v>
      </c>
    </row>
    <row r="871" spans="1:18" x14ac:dyDescent="0.25">
      <c r="A871" s="170">
        <v>45988</v>
      </c>
      <c r="B871" s="116">
        <v>623.20000000000005</v>
      </c>
      <c r="C871" s="116">
        <v>618.75</v>
      </c>
      <c r="D871" s="116">
        <v>612.85</v>
      </c>
      <c r="E871" s="116">
        <v>616.9</v>
      </c>
      <c r="F871" s="116">
        <v>618.75</v>
      </c>
      <c r="G871">
        <v>2861</v>
      </c>
      <c r="H871" s="116"/>
      <c r="I871" s="116"/>
      <c r="L871" s="170">
        <v>45988</v>
      </c>
      <c r="M871" s="116">
        <v>617.70000000000005</v>
      </c>
      <c r="N871" s="116">
        <v>624.5</v>
      </c>
      <c r="O871" s="116">
        <v>613.75</v>
      </c>
      <c r="P871" s="116">
        <v>618.85</v>
      </c>
      <c r="Q871" s="116">
        <v>617.70000000000005</v>
      </c>
      <c r="R871">
        <v>34037</v>
      </c>
    </row>
    <row r="872" spans="1:18" x14ac:dyDescent="0.25">
      <c r="A872" s="170">
        <v>45989</v>
      </c>
      <c r="B872" s="116">
        <v>634.04999999999995</v>
      </c>
      <c r="C872" s="116">
        <v>618.20000000000005</v>
      </c>
      <c r="D872" s="116">
        <v>602.5</v>
      </c>
      <c r="E872" s="116">
        <v>618.75</v>
      </c>
      <c r="F872" s="116">
        <v>618.20000000000005</v>
      </c>
      <c r="G872">
        <v>19356</v>
      </c>
      <c r="H872" s="116"/>
      <c r="I872" s="116"/>
      <c r="L872" s="170">
        <v>45989</v>
      </c>
      <c r="M872" s="116">
        <v>617.45000000000005</v>
      </c>
      <c r="N872" s="116">
        <v>635</v>
      </c>
      <c r="O872" s="116">
        <v>606</v>
      </c>
      <c r="P872" s="116">
        <v>617.5</v>
      </c>
      <c r="Q872" s="116">
        <v>617.45000000000005</v>
      </c>
      <c r="R872">
        <v>984917</v>
      </c>
    </row>
    <row r="873" spans="1:18" x14ac:dyDescent="0.25">
      <c r="A873" s="170">
        <v>45992</v>
      </c>
      <c r="B873" s="116">
        <v>625.9</v>
      </c>
      <c r="C873" s="116">
        <v>614</v>
      </c>
      <c r="D873" s="116">
        <v>611</v>
      </c>
      <c r="E873" s="116">
        <v>618.20000000000005</v>
      </c>
      <c r="F873" s="116">
        <v>614</v>
      </c>
      <c r="G873">
        <v>6992</v>
      </c>
      <c r="H873" s="116"/>
      <c r="I873" s="116"/>
      <c r="L873" s="170">
        <v>45992</v>
      </c>
      <c r="M873" s="116">
        <v>613.20000000000005</v>
      </c>
      <c r="N873" s="116">
        <v>624.9</v>
      </c>
      <c r="O873" s="116">
        <v>610.54999999999995</v>
      </c>
      <c r="P873" s="116">
        <v>620.70000000000005</v>
      </c>
      <c r="Q873" s="116">
        <v>613.20000000000005</v>
      </c>
      <c r="R873">
        <v>373561</v>
      </c>
    </row>
    <row r="874" spans="1:18" x14ac:dyDescent="0.25">
      <c r="A874" s="170">
        <v>45993</v>
      </c>
      <c r="B874" s="116">
        <v>620.70000000000005</v>
      </c>
      <c r="C874" s="116">
        <v>605.65</v>
      </c>
      <c r="D874" s="116">
        <v>604.04999999999995</v>
      </c>
      <c r="E874" s="116">
        <v>614</v>
      </c>
      <c r="F874" s="116">
        <v>605.65</v>
      </c>
      <c r="G874">
        <v>7624</v>
      </c>
      <c r="H874" s="116"/>
      <c r="I874" s="116"/>
      <c r="L874" s="170">
        <v>45993</v>
      </c>
      <c r="M874" s="116">
        <v>605.25</v>
      </c>
      <c r="N874" s="116">
        <v>619.29999999999995</v>
      </c>
      <c r="O874" s="116">
        <v>604</v>
      </c>
      <c r="P874" s="116">
        <v>612</v>
      </c>
      <c r="Q874" s="116">
        <v>605.25</v>
      </c>
      <c r="R874">
        <v>37140</v>
      </c>
    </row>
    <row r="875" spans="1:18" x14ac:dyDescent="0.25">
      <c r="A875" s="170">
        <v>45994</v>
      </c>
      <c r="B875" s="116">
        <v>640</v>
      </c>
      <c r="C875" s="116">
        <v>621.35</v>
      </c>
      <c r="D875" s="116">
        <v>612</v>
      </c>
      <c r="E875" s="116">
        <v>621</v>
      </c>
      <c r="F875" s="116">
        <v>621.35</v>
      </c>
      <c r="G875">
        <v>28656</v>
      </c>
      <c r="H875" s="116"/>
      <c r="I875" s="116"/>
      <c r="L875" s="170">
        <v>45994</v>
      </c>
      <c r="M875" s="116">
        <v>620.04999999999995</v>
      </c>
      <c r="N875" s="116">
        <v>640.6</v>
      </c>
      <c r="O875" s="116">
        <v>612.79999999999995</v>
      </c>
      <c r="P875" s="116">
        <v>621.9</v>
      </c>
      <c r="Q875" s="116">
        <v>620.04999999999995</v>
      </c>
      <c r="R875">
        <v>368010</v>
      </c>
    </row>
    <row r="876" spans="1:18" x14ac:dyDescent="0.25">
      <c r="A876" s="170">
        <v>45995</v>
      </c>
      <c r="B876" s="116">
        <v>629</v>
      </c>
      <c r="C876" s="116">
        <v>623.6</v>
      </c>
      <c r="D876" s="116">
        <v>616.85</v>
      </c>
      <c r="E876" s="116">
        <v>618.04999999999995</v>
      </c>
      <c r="F876" s="116">
        <v>623.6</v>
      </c>
      <c r="G876">
        <v>9284</v>
      </c>
      <c r="H876" s="116"/>
      <c r="I876" s="116"/>
      <c r="L876" s="170">
        <v>45995</v>
      </c>
      <c r="M876" s="116">
        <v>622.65</v>
      </c>
      <c r="N876" s="116">
        <v>628.85</v>
      </c>
      <c r="O876" s="116">
        <v>617.25</v>
      </c>
      <c r="P876" s="116">
        <v>620.04999999999995</v>
      </c>
      <c r="Q876" s="116">
        <v>622.65</v>
      </c>
      <c r="R876">
        <v>77061</v>
      </c>
    </row>
    <row r="877" spans="1:18" x14ac:dyDescent="0.25">
      <c r="A877" s="170">
        <v>45996</v>
      </c>
      <c r="B877" s="116">
        <v>623.6</v>
      </c>
      <c r="C877" s="116">
        <v>618</v>
      </c>
      <c r="D877" s="116">
        <v>615.6</v>
      </c>
      <c r="E877" s="116">
        <v>623.6</v>
      </c>
      <c r="F877" s="116">
        <v>618</v>
      </c>
      <c r="G877">
        <v>5702</v>
      </c>
      <c r="H877" s="116"/>
      <c r="I877" s="116"/>
      <c r="L877" s="170">
        <v>45996</v>
      </c>
      <c r="M877" s="116">
        <v>617.79999999999995</v>
      </c>
      <c r="N877" s="116">
        <v>625.5</v>
      </c>
      <c r="O877" s="116">
        <v>615.04999999999995</v>
      </c>
      <c r="P877" s="116">
        <v>625.5</v>
      </c>
      <c r="Q877" s="116">
        <v>617.79999999999995</v>
      </c>
      <c r="R877">
        <v>33232</v>
      </c>
    </row>
    <row r="878" spans="1:18" x14ac:dyDescent="0.25">
      <c r="A878" s="170">
        <v>45999</v>
      </c>
      <c r="B878" s="116">
        <v>623.5</v>
      </c>
      <c r="C878" s="116">
        <v>609.35</v>
      </c>
      <c r="D878" s="116">
        <v>607.04999999999995</v>
      </c>
      <c r="E878" s="116">
        <v>616</v>
      </c>
      <c r="F878" s="116">
        <v>609.35</v>
      </c>
      <c r="G878">
        <v>5156</v>
      </c>
      <c r="H878" s="116"/>
      <c r="I878" s="116"/>
      <c r="L878" s="170">
        <v>45999</v>
      </c>
      <c r="M878" s="116">
        <v>608.9</v>
      </c>
      <c r="N878" s="116">
        <v>623</v>
      </c>
      <c r="O878" s="116">
        <v>606.15</v>
      </c>
      <c r="P878" s="116">
        <v>616.45000000000005</v>
      </c>
      <c r="Q878" s="116">
        <v>608.9</v>
      </c>
      <c r="R878">
        <v>31702</v>
      </c>
    </row>
    <row r="879" spans="1:18" x14ac:dyDescent="0.25">
      <c r="A879" s="170">
        <v>46000</v>
      </c>
      <c r="B879" s="116">
        <v>615</v>
      </c>
      <c r="C879" s="116">
        <v>608.45000000000005</v>
      </c>
      <c r="D879" s="116">
        <v>599.79999999999995</v>
      </c>
      <c r="E879" s="116">
        <v>609.4</v>
      </c>
      <c r="F879" s="116">
        <v>608.45000000000005</v>
      </c>
      <c r="G879">
        <v>9103</v>
      </c>
      <c r="H879" s="116"/>
      <c r="I879" s="116"/>
      <c r="L879" s="170">
        <v>46000</v>
      </c>
      <c r="M879" s="116">
        <v>606.75</v>
      </c>
      <c r="N879" s="116">
        <v>615.20000000000005</v>
      </c>
      <c r="O879" s="116">
        <v>599.04999999999995</v>
      </c>
      <c r="P879" s="116">
        <v>611.95000000000005</v>
      </c>
      <c r="Q879" s="116">
        <v>606.75</v>
      </c>
      <c r="R879">
        <v>59767</v>
      </c>
    </row>
    <row r="880" spans="1:18" x14ac:dyDescent="0.25">
      <c r="A880" s="170">
        <v>46001</v>
      </c>
      <c r="B880" s="116">
        <v>628.79999999999995</v>
      </c>
      <c r="C880" s="116">
        <v>610.5</v>
      </c>
      <c r="D880" s="116">
        <v>608.54999999999995</v>
      </c>
      <c r="E880" s="116">
        <v>619.75</v>
      </c>
      <c r="F880" s="116">
        <v>610.5</v>
      </c>
      <c r="G880">
        <v>8950</v>
      </c>
      <c r="H880" s="116"/>
      <c r="I880" s="116"/>
      <c r="L880" s="170">
        <v>46001</v>
      </c>
      <c r="M880" s="116">
        <v>612.75</v>
      </c>
      <c r="N880" s="116">
        <v>628.95000000000005</v>
      </c>
      <c r="O880" s="116">
        <v>609.75</v>
      </c>
      <c r="P880" s="116">
        <v>609.9</v>
      </c>
      <c r="Q880" s="116">
        <v>612.75</v>
      </c>
      <c r="R880">
        <v>92104</v>
      </c>
    </row>
    <row r="881" spans="1:18" x14ac:dyDescent="0.25">
      <c r="A881" s="170">
        <v>46002</v>
      </c>
      <c r="B881" s="116">
        <v>616.70000000000005</v>
      </c>
      <c r="C881" s="116">
        <v>614.70000000000005</v>
      </c>
      <c r="D881" s="116">
        <v>607.5</v>
      </c>
      <c r="E881" s="116">
        <v>613</v>
      </c>
      <c r="F881" s="116">
        <v>614.70000000000005</v>
      </c>
      <c r="G881">
        <v>2735</v>
      </c>
      <c r="H881" s="116"/>
      <c r="I881" s="116"/>
      <c r="L881" s="170">
        <v>46002</v>
      </c>
      <c r="M881" s="116">
        <v>614.5</v>
      </c>
      <c r="N881" s="116">
        <v>617.95000000000005</v>
      </c>
      <c r="O881" s="116">
        <v>607.25</v>
      </c>
      <c r="P881" s="116">
        <v>616</v>
      </c>
      <c r="Q881" s="116">
        <v>614.5</v>
      </c>
      <c r="R881">
        <v>49653</v>
      </c>
    </row>
    <row r="882" spans="1:18" x14ac:dyDescent="0.25">
      <c r="A882" s="170">
        <v>46003</v>
      </c>
      <c r="B882" s="116">
        <v>623.6</v>
      </c>
      <c r="C882" s="116">
        <v>620.35</v>
      </c>
      <c r="D882" s="116">
        <v>614.04999999999995</v>
      </c>
      <c r="E882" s="116">
        <v>616.79999999999995</v>
      </c>
      <c r="F882" s="116">
        <v>620.35</v>
      </c>
      <c r="G882">
        <v>4564</v>
      </c>
      <c r="H882" s="116"/>
      <c r="I882" s="116"/>
      <c r="L882" s="170">
        <v>46003</v>
      </c>
      <c r="M882" s="116">
        <v>620.5</v>
      </c>
      <c r="N882" s="116">
        <v>623.5</v>
      </c>
      <c r="O882" s="116">
        <v>614.54999999999995</v>
      </c>
      <c r="P882" s="116">
        <v>617.54999999999995</v>
      </c>
      <c r="Q882" s="116">
        <v>620.5</v>
      </c>
      <c r="R882">
        <v>37957</v>
      </c>
    </row>
    <row r="883" spans="1:18" x14ac:dyDescent="0.25">
      <c r="A883" s="170">
        <v>46006</v>
      </c>
      <c r="B883" s="116">
        <v>619.75</v>
      </c>
      <c r="C883" s="116">
        <v>612.29999999999995</v>
      </c>
      <c r="D883" s="116">
        <v>610</v>
      </c>
      <c r="E883" s="116">
        <v>616.6</v>
      </c>
      <c r="F883" s="116">
        <v>612.29999999999995</v>
      </c>
      <c r="G883">
        <v>3235</v>
      </c>
      <c r="H883" s="116"/>
      <c r="I883" s="116"/>
      <c r="L883" s="170">
        <v>46006</v>
      </c>
      <c r="M883" s="116">
        <v>611.75</v>
      </c>
      <c r="N883" s="116">
        <v>620.35</v>
      </c>
      <c r="O883" s="116">
        <v>609.95000000000005</v>
      </c>
      <c r="P883" s="116">
        <v>614.9</v>
      </c>
      <c r="Q883" s="116">
        <v>611.75</v>
      </c>
      <c r="R883">
        <v>33798</v>
      </c>
    </row>
    <row r="884" spans="1:18" x14ac:dyDescent="0.25">
      <c r="A884" s="170">
        <v>46007</v>
      </c>
      <c r="B884" s="116">
        <v>611</v>
      </c>
      <c r="C884" s="116">
        <v>604.45000000000005</v>
      </c>
      <c r="D884" s="116">
        <v>604</v>
      </c>
      <c r="E884" s="116">
        <v>610.04999999999995</v>
      </c>
      <c r="F884" s="116">
        <v>604.45000000000005</v>
      </c>
      <c r="G884">
        <v>1932</v>
      </c>
      <c r="H884" s="116"/>
      <c r="I884" s="116"/>
      <c r="L884" s="170">
        <v>46007</v>
      </c>
      <c r="M884" s="116">
        <v>604.5</v>
      </c>
      <c r="N884" s="116">
        <v>612</v>
      </c>
      <c r="O884" s="116">
        <v>604</v>
      </c>
      <c r="P884" s="116">
        <v>611</v>
      </c>
      <c r="Q884" s="116">
        <v>604.5</v>
      </c>
      <c r="R884">
        <v>45756</v>
      </c>
    </row>
    <row r="885" spans="1:18" x14ac:dyDescent="0.25">
      <c r="A885" s="170">
        <v>46008</v>
      </c>
      <c r="B885" s="116">
        <v>606</v>
      </c>
      <c r="C885" s="116">
        <v>599.54999999999995</v>
      </c>
      <c r="D885" s="116">
        <v>599</v>
      </c>
      <c r="E885" s="116">
        <v>604.5</v>
      </c>
      <c r="F885" s="116">
        <v>599.54999999999995</v>
      </c>
      <c r="G885">
        <v>1776</v>
      </c>
      <c r="H885" s="116"/>
      <c r="I885" s="116"/>
      <c r="L885" s="170">
        <v>46008</v>
      </c>
      <c r="M885" s="116">
        <v>599.54999999999995</v>
      </c>
      <c r="N885" s="116">
        <v>606.79999999999995</v>
      </c>
      <c r="O885" s="116">
        <v>596.25</v>
      </c>
      <c r="P885" s="116">
        <v>605</v>
      </c>
      <c r="Q885" s="116">
        <v>599.54999999999995</v>
      </c>
      <c r="R885">
        <v>28547</v>
      </c>
    </row>
    <row r="886" spans="1:18" x14ac:dyDescent="0.25">
      <c r="A886" s="170">
        <v>46009</v>
      </c>
      <c r="B886" s="116">
        <v>599.5</v>
      </c>
      <c r="C886" s="116">
        <v>586.9</v>
      </c>
      <c r="D886" s="116">
        <v>584</v>
      </c>
      <c r="E886" s="116">
        <v>599.45000000000005</v>
      </c>
      <c r="F886" s="116">
        <v>586.9</v>
      </c>
      <c r="G886">
        <v>5621</v>
      </c>
      <c r="H886" s="116"/>
      <c r="I886" s="116"/>
      <c r="L886" s="170">
        <v>46009</v>
      </c>
      <c r="M886" s="116">
        <v>586.25</v>
      </c>
      <c r="N886" s="116">
        <v>602.70000000000005</v>
      </c>
      <c r="O886" s="116">
        <v>581.79999999999995</v>
      </c>
      <c r="P886" s="116">
        <v>602.70000000000005</v>
      </c>
      <c r="Q886" s="116">
        <v>586.25</v>
      </c>
      <c r="R886">
        <v>53078</v>
      </c>
    </row>
    <row r="887" spans="1:18" x14ac:dyDescent="0.25">
      <c r="A887" s="170">
        <v>46010</v>
      </c>
      <c r="B887" s="116">
        <v>594.15</v>
      </c>
      <c r="C887" s="116">
        <v>592.1</v>
      </c>
      <c r="D887" s="116">
        <v>581</v>
      </c>
      <c r="E887" s="116">
        <v>585.75</v>
      </c>
      <c r="F887" s="116">
        <v>592.1</v>
      </c>
      <c r="G887">
        <v>1622</v>
      </c>
      <c r="H887" s="116"/>
      <c r="I887" s="116"/>
      <c r="L887" s="170">
        <v>46010</v>
      </c>
      <c r="M887" s="116">
        <v>592.9</v>
      </c>
      <c r="N887" s="116">
        <v>594.35</v>
      </c>
      <c r="O887" s="116">
        <v>580.54999999999995</v>
      </c>
      <c r="P887" s="116">
        <v>580.9</v>
      </c>
      <c r="Q887" s="116">
        <v>592.9</v>
      </c>
      <c r="R887">
        <v>27659</v>
      </c>
    </row>
    <row r="888" spans="1:18" x14ac:dyDescent="0.25">
      <c r="A888" s="170">
        <v>46013</v>
      </c>
      <c r="B888" s="116">
        <v>603.15</v>
      </c>
      <c r="C888" s="116">
        <v>599.1</v>
      </c>
      <c r="D888" s="116">
        <v>591.15</v>
      </c>
      <c r="E888" s="116">
        <v>592.1</v>
      </c>
      <c r="F888" s="116">
        <v>599.1</v>
      </c>
      <c r="G888">
        <v>1997</v>
      </c>
      <c r="H888" s="116"/>
      <c r="I888" s="116"/>
      <c r="L888" s="170">
        <v>46013</v>
      </c>
      <c r="M888" s="116">
        <v>599.04999999999995</v>
      </c>
      <c r="N888" s="116">
        <v>603.9</v>
      </c>
      <c r="O888" s="116">
        <v>590.04999999999995</v>
      </c>
      <c r="P888" s="116">
        <v>592.9</v>
      </c>
      <c r="Q888" s="116">
        <v>599.04999999999995</v>
      </c>
      <c r="R888">
        <v>28493</v>
      </c>
    </row>
    <row r="889" spans="1:18" x14ac:dyDescent="0.25">
      <c r="A889" s="170">
        <v>46014</v>
      </c>
      <c r="B889" s="116">
        <v>600</v>
      </c>
      <c r="C889" s="116">
        <v>591.85</v>
      </c>
      <c r="D889" s="116">
        <v>591.20000000000005</v>
      </c>
      <c r="E889" s="116">
        <v>599.1</v>
      </c>
      <c r="F889" s="116">
        <v>591.85</v>
      </c>
      <c r="G889">
        <v>1370</v>
      </c>
      <c r="H889" s="116"/>
      <c r="I889" s="116"/>
      <c r="L889" s="170">
        <v>46014</v>
      </c>
      <c r="M889" s="116">
        <v>592.6</v>
      </c>
      <c r="N889" s="116">
        <v>600</v>
      </c>
      <c r="O889" s="116">
        <v>591.70000000000005</v>
      </c>
      <c r="P889" s="116">
        <v>600</v>
      </c>
      <c r="Q889" s="116">
        <v>592.6</v>
      </c>
      <c r="R889">
        <v>27588</v>
      </c>
    </row>
    <row r="890" spans="1:18" x14ac:dyDescent="0.25">
      <c r="A890" s="170">
        <v>46015</v>
      </c>
      <c r="B890" s="116">
        <v>595.15</v>
      </c>
      <c r="C890" s="116">
        <v>591.4</v>
      </c>
      <c r="D890" s="116">
        <v>588.29999999999995</v>
      </c>
      <c r="E890" s="116">
        <v>591.9</v>
      </c>
      <c r="F890" s="116">
        <v>591.4</v>
      </c>
      <c r="G890">
        <v>1181</v>
      </c>
      <c r="H890" s="116"/>
      <c r="I890" s="116"/>
      <c r="L890" s="170">
        <v>46015</v>
      </c>
      <c r="M890" s="116">
        <v>590.45000000000005</v>
      </c>
      <c r="N890" s="116">
        <v>596.4</v>
      </c>
      <c r="O890" s="116">
        <v>588</v>
      </c>
      <c r="P890" s="116">
        <v>594.95000000000005</v>
      </c>
      <c r="Q890" s="116">
        <v>590.45000000000005</v>
      </c>
      <c r="R890">
        <v>29937</v>
      </c>
    </row>
    <row r="891" spans="1:18" x14ac:dyDescent="0.25">
      <c r="A891" s="170">
        <v>46017</v>
      </c>
      <c r="B891" s="116">
        <v>605</v>
      </c>
      <c r="C891" s="116">
        <v>602.15</v>
      </c>
      <c r="D891" s="116">
        <v>580.04999999999995</v>
      </c>
      <c r="E891" s="116">
        <v>580.04999999999995</v>
      </c>
      <c r="F891" s="116">
        <v>602.15</v>
      </c>
      <c r="G891">
        <v>1861</v>
      </c>
      <c r="H891" s="116"/>
      <c r="I891" s="116"/>
      <c r="L891" s="170">
        <v>46017</v>
      </c>
      <c r="M891" s="116">
        <v>601.35</v>
      </c>
      <c r="N891" s="116">
        <v>604.9</v>
      </c>
      <c r="O891" s="116">
        <v>590</v>
      </c>
      <c r="P891" s="116">
        <v>592</v>
      </c>
      <c r="Q891" s="116">
        <v>601.35</v>
      </c>
      <c r="R891">
        <v>47732</v>
      </c>
    </row>
    <row r="892" spans="1:18" x14ac:dyDescent="0.25">
      <c r="A892" s="170">
        <v>46020</v>
      </c>
      <c r="B892" s="116">
        <v>601.70000000000005</v>
      </c>
      <c r="C892" s="116">
        <v>594.70000000000005</v>
      </c>
      <c r="D892" s="116">
        <v>587.1</v>
      </c>
      <c r="E892" s="116">
        <v>587.1</v>
      </c>
      <c r="F892" s="116">
        <v>594.70000000000005</v>
      </c>
      <c r="G892">
        <v>2647</v>
      </c>
      <c r="H892" s="116"/>
      <c r="I892" s="116"/>
      <c r="L892" s="170">
        <v>46020</v>
      </c>
      <c r="M892" s="116">
        <v>593.5</v>
      </c>
      <c r="N892" s="116">
        <v>602.9</v>
      </c>
      <c r="O892" s="116">
        <v>590</v>
      </c>
      <c r="P892" s="116">
        <v>597</v>
      </c>
      <c r="Q892" s="116">
        <v>593.5</v>
      </c>
      <c r="R892">
        <v>41795</v>
      </c>
    </row>
    <row r="893" spans="1:18" x14ac:dyDescent="0.25">
      <c r="A893" s="170">
        <v>46021</v>
      </c>
      <c r="B893" s="116">
        <v>589.75</v>
      </c>
      <c r="C893" s="116">
        <v>581.79999999999995</v>
      </c>
      <c r="D893" s="116">
        <v>580</v>
      </c>
      <c r="E893" s="116">
        <v>585</v>
      </c>
      <c r="F893" s="116">
        <v>581.79999999999995</v>
      </c>
      <c r="G893">
        <v>2658</v>
      </c>
      <c r="H893" s="116"/>
      <c r="I893" s="116"/>
      <c r="L893" s="170">
        <v>46021</v>
      </c>
      <c r="M893" s="116">
        <v>582.15</v>
      </c>
      <c r="N893" s="116">
        <v>590.85</v>
      </c>
      <c r="O893" s="116">
        <v>579.20000000000005</v>
      </c>
      <c r="P893" s="116">
        <v>590.04999999999995</v>
      </c>
      <c r="Q893" s="116">
        <v>582.15</v>
      </c>
      <c r="R893">
        <v>41491</v>
      </c>
    </row>
    <row r="894" spans="1:18" x14ac:dyDescent="0.25">
      <c r="A894" s="170">
        <v>46022</v>
      </c>
      <c r="B894" s="116">
        <v>582.9</v>
      </c>
      <c r="C894" s="116">
        <v>567.5</v>
      </c>
      <c r="D894" s="116">
        <v>563.54999999999995</v>
      </c>
      <c r="E894" s="116">
        <v>581.85</v>
      </c>
      <c r="F894" s="116">
        <v>567.5</v>
      </c>
      <c r="G894">
        <v>6407</v>
      </c>
      <c r="H894" s="116"/>
      <c r="I894" s="116"/>
      <c r="L894" s="170">
        <v>46022</v>
      </c>
      <c r="M894" s="116">
        <v>566.54999999999995</v>
      </c>
      <c r="N894" s="116">
        <v>585.20000000000005</v>
      </c>
      <c r="O894" s="116">
        <v>556.29999999999995</v>
      </c>
      <c r="P894" s="116">
        <v>584.20000000000005</v>
      </c>
      <c r="Q894" s="116">
        <v>566.54999999999995</v>
      </c>
      <c r="R894">
        <v>122172</v>
      </c>
    </row>
    <row r="895" spans="1:18" x14ac:dyDescent="0.25">
      <c r="A895" s="170">
        <v>46023</v>
      </c>
      <c r="B895" s="116">
        <v>571.25</v>
      </c>
      <c r="C895" s="116">
        <v>560.1</v>
      </c>
      <c r="D895" s="116">
        <v>559</v>
      </c>
      <c r="E895" s="116">
        <v>567.6</v>
      </c>
      <c r="F895" s="116">
        <v>560.1</v>
      </c>
      <c r="G895">
        <v>3771</v>
      </c>
      <c r="H895" s="116"/>
      <c r="I895" s="116"/>
      <c r="L895" s="170">
        <v>46023</v>
      </c>
      <c r="M895" s="116">
        <v>559.85</v>
      </c>
      <c r="N895" s="116">
        <v>575</v>
      </c>
      <c r="O895" s="116">
        <v>558</v>
      </c>
      <c r="P895" s="116">
        <v>570</v>
      </c>
      <c r="Q895" s="116">
        <v>559.85</v>
      </c>
      <c r="R895">
        <v>46436</v>
      </c>
    </row>
    <row r="896" spans="1:18" x14ac:dyDescent="0.25">
      <c r="A896" s="170">
        <v>46024</v>
      </c>
      <c r="B896" s="116">
        <v>579.25</v>
      </c>
      <c r="C896" s="116">
        <v>576.20000000000005</v>
      </c>
      <c r="D896" s="116">
        <v>556.25</v>
      </c>
      <c r="E896" s="116">
        <v>558</v>
      </c>
      <c r="F896" s="116">
        <v>576.20000000000005</v>
      </c>
      <c r="G896">
        <v>4326</v>
      </c>
      <c r="H896" s="116"/>
      <c r="I896" s="116"/>
      <c r="L896" s="170">
        <v>46024</v>
      </c>
      <c r="M896" s="116">
        <v>576.35</v>
      </c>
      <c r="N896" s="116">
        <v>580.04999999999995</v>
      </c>
      <c r="O896" s="116">
        <v>556.25</v>
      </c>
      <c r="P896" s="116">
        <v>562.79999999999995</v>
      </c>
      <c r="Q896" s="116">
        <v>576.35</v>
      </c>
      <c r="R896">
        <v>74983</v>
      </c>
    </row>
    <row r="897" spans="1:18" x14ac:dyDescent="0.25">
      <c r="A897" s="170">
        <v>46027</v>
      </c>
      <c r="B897" s="116">
        <v>616.35</v>
      </c>
      <c r="C897" s="116">
        <v>572.79999999999995</v>
      </c>
      <c r="D897" s="116">
        <v>566.85</v>
      </c>
      <c r="E897" s="116">
        <v>616.35</v>
      </c>
      <c r="F897" s="116">
        <v>572.79999999999995</v>
      </c>
      <c r="G897">
        <v>2199</v>
      </c>
      <c r="H897" s="116"/>
      <c r="I897" s="116"/>
      <c r="L897" s="170">
        <v>46027</v>
      </c>
      <c r="M897" s="116">
        <v>572.04999999999995</v>
      </c>
      <c r="N897" s="116">
        <v>581.20000000000005</v>
      </c>
      <c r="O897" s="116">
        <v>566.45000000000005</v>
      </c>
      <c r="P897" s="116">
        <v>581</v>
      </c>
      <c r="Q897" s="116">
        <v>572.04999999999995</v>
      </c>
      <c r="R897">
        <v>48521</v>
      </c>
    </row>
    <row r="898" spans="1:18" x14ac:dyDescent="0.25">
      <c r="A898" s="170">
        <v>46028</v>
      </c>
      <c r="B898" s="116">
        <v>572.54999999999995</v>
      </c>
      <c r="C898" s="116">
        <v>568.45000000000005</v>
      </c>
      <c r="D898" s="116">
        <v>558.9</v>
      </c>
      <c r="E898" s="116">
        <v>568.25</v>
      </c>
      <c r="F898" s="116">
        <v>568.45000000000005</v>
      </c>
      <c r="G898">
        <v>2911</v>
      </c>
      <c r="H898" s="116"/>
      <c r="I898" s="116"/>
      <c r="L898" s="170">
        <v>46028</v>
      </c>
      <c r="M898" s="116">
        <v>567.20000000000005</v>
      </c>
      <c r="N898" s="116">
        <v>572.35</v>
      </c>
      <c r="O898" s="116">
        <v>558.45000000000005</v>
      </c>
      <c r="P898" s="116">
        <v>572.04999999999995</v>
      </c>
      <c r="Q898" s="116">
        <v>567.20000000000005</v>
      </c>
      <c r="R898">
        <v>59000</v>
      </c>
    </row>
    <row r="899" spans="1:18" x14ac:dyDescent="0.25">
      <c r="A899" s="170">
        <v>46029</v>
      </c>
      <c r="B899" s="116">
        <v>567.1</v>
      </c>
      <c r="C899" s="116">
        <v>564.70000000000005</v>
      </c>
      <c r="D899" s="116">
        <v>558.15</v>
      </c>
      <c r="E899" s="116">
        <v>558.15</v>
      </c>
      <c r="F899" s="116">
        <v>564.70000000000005</v>
      </c>
      <c r="G899">
        <v>2495</v>
      </c>
      <c r="H899" s="116"/>
      <c r="I899" s="116"/>
      <c r="L899" s="170">
        <v>46029</v>
      </c>
      <c r="M899" s="116">
        <v>565.04999999999995</v>
      </c>
      <c r="N899" s="116">
        <v>569</v>
      </c>
      <c r="O899" s="116">
        <v>560</v>
      </c>
      <c r="P899" s="116">
        <v>562</v>
      </c>
      <c r="Q899" s="116">
        <v>565.04999999999995</v>
      </c>
      <c r="R899">
        <v>29540</v>
      </c>
    </row>
    <row r="900" spans="1:18" x14ac:dyDescent="0.25">
      <c r="A900" s="170">
        <v>46030</v>
      </c>
      <c r="B900" s="116">
        <v>570</v>
      </c>
      <c r="C900" s="116">
        <v>562.4</v>
      </c>
      <c r="D900" s="116">
        <v>558.20000000000005</v>
      </c>
      <c r="E900" s="116">
        <v>565.29999999999995</v>
      </c>
      <c r="F900" s="116">
        <v>562.4</v>
      </c>
      <c r="G900">
        <v>2472</v>
      </c>
      <c r="H900" s="116"/>
      <c r="I900" s="116"/>
      <c r="L900" s="170">
        <v>46030</v>
      </c>
      <c r="M900" s="116">
        <v>561.85</v>
      </c>
      <c r="N900" s="116">
        <v>570.6</v>
      </c>
      <c r="O900" s="116">
        <v>558.04999999999995</v>
      </c>
      <c r="P900" s="116">
        <v>565.04999999999995</v>
      </c>
      <c r="Q900" s="116">
        <v>561.85</v>
      </c>
      <c r="R900">
        <v>30230</v>
      </c>
    </row>
    <row r="901" spans="1:18" x14ac:dyDescent="0.25">
      <c r="A901" s="170">
        <v>46031</v>
      </c>
      <c r="B901" s="116">
        <v>559.54999999999995</v>
      </c>
      <c r="C901" s="116">
        <v>549.15</v>
      </c>
      <c r="D901" s="116">
        <v>545.04999999999995</v>
      </c>
      <c r="E901" s="116">
        <v>558.70000000000005</v>
      </c>
      <c r="F901" s="116">
        <v>549.15</v>
      </c>
      <c r="G901">
        <v>4116</v>
      </c>
      <c r="H901" s="116"/>
      <c r="I901" s="116"/>
      <c r="L901" s="170">
        <v>46031</v>
      </c>
      <c r="M901" s="116">
        <v>549.85</v>
      </c>
      <c r="N901" s="116">
        <v>561.79999999999995</v>
      </c>
      <c r="O901" s="116">
        <v>545</v>
      </c>
      <c r="P901" s="116">
        <v>560</v>
      </c>
      <c r="Q901" s="116">
        <v>549.85</v>
      </c>
      <c r="R901">
        <v>51954</v>
      </c>
    </row>
    <row r="902" spans="1:18" x14ac:dyDescent="0.25">
      <c r="A902" s="170">
        <v>46034</v>
      </c>
      <c r="B902" s="116">
        <v>552.20000000000005</v>
      </c>
      <c r="C902" s="116">
        <v>546.15</v>
      </c>
      <c r="D902" s="116">
        <v>536.1</v>
      </c>
      <c r="E902" s="116">
        <v>540.04999999999995</v>
      </c>
      <c r="F902" s="116">
        <v>546.15</v>
      </c>
      <c r="G902">
        <v>3961</v>
      </c>
      <c r="H902" s="116"/>
      <c r="I902" s="116"/>
      <c r="L902" s="170">
        <v>46034</v>
      </c>
      <c r="M902" s="116">
        <v>545</v>
      </c>
      <c r="N902" s="116">
        <v>555</v>
      </c>
      <c r="O902" s="116">
        <v>534.85</v>
      </c>
      <c r="P902" s="116">
        <v>541.20000000000005</v>
      </c>
      <c r="Q902" s="116">
        <v>545</v>
      </c>
      <c r="R902">
        <v>114934</v>
      </c>
    </row>
    <row r="903" spans="1:18" x14ac:dyDescent="0.25">
      <c r="A903" s="170">
        <v>46035</v>
      </c>
      <c r="B903" s="116">
        <v>564.54999999999995</v>
      </c>
      <c r="C903" s="116">
        <v>560.25</v>
      </c>
      <c r="D903" s="116">
        <v>540.15</v>
      </c>
      <c r="E903" s="116">
        <v>540.15</v>
      </c>
      <c r="F903" s="116">
        <v>560.25</v>
      </c>
      <c r="G903">
        <v>3044</v>
      </c>
      <c r="H903" s="116"/>
      <c r="I903" s="116"/>
      <c r="L903" s="170">
        <v>46035</v>
      </c>
      <c r="M903" s="116">
        <v>560.6</v>
      </c>
      <c r="N903" s="116">
        <v>565</v>
      </c>
      <c r="O903" s="116">
        <v>545</v>
      </c>
      <c r="P903" s="116">
        <v>553.1</v>
      </c>
      <c r="Q903" s="116">
        <v>560.6</v>
      </c>
      <c r="R903">
        <v>114560</v>
      </c>
    </row>
    <row r="904" spans="1:18" x14ac:dyDescent="0.25">
      <c r="A904" s="170">
        <v>46036</v>
      </c>
      <c r="B904" s="116">
        <v>560.5</v>
      </c>
      <c r="C904" s="116">
        <v>554.54999999999995</v>
      </c>
      <c r="D904" s="116">
        <v>551.1</v>
      </c>
      <c r="E904" s="116">
        <v>560.25</v>
      </c>
      <c r="F904" s="116">
        <v>554.54999999999995</v>
      </c>
      <c r="G904">
        <v>3266</v>
      </c>
      <c r="H904" s="116"/>
      <c r="I904" s="116"/>
      <c r="L904" s="170">
        <v>46036</v>
      </c>
      <c r="M904" s="116">
        <v>557.04999999999995</v>
      </c>
      <c r="N904" s="116">
        <v>561.4</v>
      </c>
      <c r="O904" s="116">
        <v>550</v>
      </c>
      <c r="P904" s="116">
        <v>558.75</v>
      </c>
      <c r="Q904" s="116">
        <v>557.04999999999995</v>
      </c>
      <c r="R904">
        <v>32189</v>
      </c>
    </row>
    <row r="905" spans="1:18" x14ac:dyDescent="0.25">
      <c r="A905" s="170">
        <v>46038</v>
      </c>
      <c r="B905" s="116">
        <v>558.54999999999995</v>
      </c>
      <c r="C905" s="116">
        <v>548.15</v>
      </c>
      <c r="D905" s="116">
        <v>545</v>
      </c>
      <c r="E905" s="116">
        <v>554</v>
      </c>
      <c r="F905" s="116">
        <v>548.15</v>
      </c>
      <c r="G905">
        <v>1726</v>
      </c>
      <c r="H905" s="116"/>
      <c r="I905" s="116"/>
      <c r="L905" s="170">
        <v>46038</v>
      </c>
      <c r="M905" s="116">
        <v>548.6</v>
      </c>
      <c r="N905" s="116">
        <v>560</v>
      </c>
      <c r="O905" s="116">
        <v>544.95000000000005</v>
      </c>
      <c r="P905" s="116">
        <v>550.04999999999995</v>
      </c>
      <c r="Q905" s="116">
        <v>548.6</v>
      </c>
      <c r="R905">
        <v>33710</v>
      </c>
    </row>
    <row r="906" spans="1:18" x14ac:dyDescent="0.25">
      <c r="A906" s="170">
        <v>46041</v>
      </c>
      <c r="B906" s="116">
        <v>556.70000000000005</v>
      </c>
      <c r="C906" s="116">
        <v>550.15</v>
      </c>
      <c r="D906" s="116">
        <v>540</v>
      </c>
      <c r="E906" s="116">
        <v>540</v>
      </c>
      <c r="F906" s="116">
        <v>550.15</v>
      </c>
      <c r="G906">
        <v>3465</v>
      </c>
      <c r="H906" s="116"/>
      <c r="I906" s="116"/>
      <c r="L906" s="170">
        <v>46041</v>
      </c>
      <c r="M906" s="116">
        <v>549.85</v>
      </c>
      <c r="N906" s="116">
        <v>558.95000000000005</v>
      </c>
      <c r="O906" s="116">
        <v>541.4</v>
      </c>
      <c r="P906" s="116">
        <v>544</v>
      </c>
      <c r="Q906" s="116">
        <v>549.85</v>
      </c>
      <c r="R906">
        <v>121848</v>
      </c>
    </row>
    <row r="907" spans="1:18" x14ac:dyDescent="0.25">
      <c r="A907" s="170">
        <v>46042</v>
      </c>
      <c r="B907" s="116">
        <v>550</v>
      </c>
      <c r="C907" s="116">
        <v>538.9</v>
      </c>
      <c r="D907" s="116">
        <v>530.95000000000005</v>
      </c>
      <c r="E907" s="116">
        <v>535.54999999999995</v>
      </c>
      <c r="F907" s="116">
        <v>538.9</v>
      </c>
      <c r="G907">
        <v>2533</v>
      </c>
      <c r="H907" s="116"/>
      <c r="I907" s="116"/>
      <c r="L907" s="170">
        <v>46042</v>
      </c>
      <c r="M907" s="116">
        <v>537.20000000000005</v>
      </c>
      <c r="N907" s="116">
        <v>552.6</v>
      </c>
      <c r="O907" s="116">
        <v>526.6</v>
      </c>
      <c r="P907" s="116">
        <v>552.6</v>
      </c>
      <c r="Q907" s="116">
        <v>537.20000000000005</v>
      </c>
      <c r="R907">
        <v>56363</v>
      </c>
    </row>
    <row r="908" spans="1:18" x14ac:dyDescent="0.25">
      <c r="A908" s="170">
        <v>46043</v>
      </c>
      <c r="B908" s="116">
        <v>537</v>
      </c>
      <c r="C908" s="116">
        <v>520.15</v>
      </c>
      <c r="D908" s="116">
        <v>514</v>
      </c>
      <c r="E908" s="116">
        <v>525.45000000000005</v>
      </c>
      <c r="F908" s="116">
        <v>520.15</v>
      </c>
      <c r="G908">
        <v>6653</v>
      </c>
      <c r="H908" s="116"/>
      <c r="I908" s="116"/>
      <c r="L908" s="170">
        <v>46043</v>
      </c>
      <c r="M908" s="116">
        <v>520.45000000000005</v>
      </c>
      <c r="N908" s="116">
        <v>537.54999999999995</v>
      </c>
      <c r="O908" s="116">
        <v>513.54999999999995</v>
      </c>
      <c r="P908" s="116">
        <v>530</v>
      </c>
      <c r="Q908" s="116">
        <v>520.45000000000005</v>
      </c>
      <c r="R908">
        <v>136774</v>
      </c>
    </row>
    <row r="909" spans="1:18" x14ac:dyDescent="0.25">
      <c r="A909" s="170">
        <v>46044</v>
      </c>
      <c r="B909" s="116">
        <v>533.54999999999995</v>
      </c>
      <c r="C909" s="116">
        <v>528.25</v>
      </c>
      <c r="D909" s="116">
        <v>520.20000000000005</v>
      </c>
      <c r="E909" s="116">
        <v>520.20000000000005</v>
      </c>
      <c r="F909" s="116">
        <v>528.25</v>
      </c>
      <c r="G909">
        <v>2261</v>
      </c>
      <c r="H909" s="116"/>
      <c r="I909" s="116"/>
      <c r="L909" s="170">
        <v>46044</v>
      </c>
      <c r="M909" s="116">
        <v>529.75</v>
      </c>
      <c r="N909" s="116">
        <v>533.29999999999995</v>
      </c>
      <c r="O909" s="116">
        <v>519.65</v>
      </c>
      <c r="P909" s="116">
        <v>519.65</v>
      </c>
      <c r="Q909" s="116">
        <v>529.75</v>
      </c>
      <c r="R909">
        <v>28968</v>
      </c>
    </row>
    <row r="910" spans="1:18" x14ac:dyDescent="0.25">
      <c r="A910" s="170">
        <v>46045</v>
      </c>
      <c r="B910" s="116">
        <v>529.25</v>
      </c>
      <c r="C910" s="116">
        <v>510.35</v>
      </c>
      <c r="D910" s="116">
        <v>509.05</v>
      </c>
      <c r="E910" s="116">
        <v>525</v>
      </c>
      <c r="F910" s="116">
        <v>510.35</v>
      </c>
      <c r="G910">
        <v>1975</v>
      </c>
      <c r="H910" s="116"/>
      <c r="I910" s="116"/>
      <c r="L910" s="170">
        <v>46045</v>
      </c>
      <c r="M910" s="116">
        <v>512.75</v>
      </c>
      <c r="N910" s="116">
        <v>533</v>
      </c>
      <c r="O910" s="116">
        <v>508.5</v>
      </c>
      <c r="P910" s="116">
        <v>525</v>
      </c>
      <c r="Q910" s="116">
        <v>512.75</v>
      </c>
      <c r="R910">
        <v>40005</v>
      </c>
    </row>
    <row r="911" spans="1:18" x14ac:dyDescent="0.25">
      <c r="A911" s="170">
        <v>46049</v>
      </c>
      <c r="B911" s="116">
        <v>514.29999999999995</v>
      </c>
      <c r="C911" s="116">
        <v>509.2</v>
      </c>
      <c r="D911" s="116">
        <v>504.95</v>
      </c>
      <c r="E911" s="116">
        <v>510.4</v>
      </c>
      <c r="F911" s="116">
        <v>509.2</v>
      </c>
      <c r="G911">
        <v>3583</v>
      </c>
      <c r="H911" s="116"/>
      <c r="I911" s="116"/>
      <c r="L911" s="170">
        <v>46049</v>
      </c>
      <c r="M911" s="116">
        <v>509.25</v>
      </c>
      <c r="N911" s="116">
        <v>524.5</v>
      </c>
      <c r="O911" s="116">
        <v>503.1</v>
      </c>
      <c r="P911" s="116">
        <v>512.75</v>
      </c>
      <c r="Q911" s="116">
        <v>509.25</v>
      </c>
      <c r="R911">
        <v>370951</v>
      </c>
    </row>
    <row r="912" spans="1:18" x14ac:dyDescent="0.25">
      <c r="A912" s="170">
        <v>46050</v>
      </c>
      <c r="B912" s="116">
        <v>531.79999999999995</v>
      </c>
      <c r="C912" s="116">
        <v>526.35</v>
      </c>
      <c r="D912" s="116">
        <v>509.55</v>
      </c>
      <c r="E912" s="116">
        <v>512.79999999999995</v>
      </c>
      <c r="F912" s="116">
        <v>526.35</v>
      </c>
      <c r="G912">
        <v>4137</v>
      </c>
      <c r="H912" s="116"/>
      <c r="I912" s="116"/>
      <c r="L912" s="170">
        <v>46050</v>
      </c>
      <c r="M912" s="116">
        <v>524</v>
      </c>
      <c r="N912" s="116">
        <v>530</v>
      </c>
      <c r="O912" s="116">
        <v>509.25</v>
      </c>
      <c r="P912" s="116">
        <v>514</v>
      </c>
      <c r="Q912" s="116">
        <v>524</v>
      </c>
      <c r="R912">
        <v>40462</v>
      </c>
    </row>
    <row r="913" spans="1:18" x14ac:dyDescent="0.25">
      <c r="A913" s="170">
        <v>46051</v>
      </c>
      <c r="B913" s="116">
        <v>526.4</v>
      </c>
      <c r="C913" s="116">
        <v>505.35</v>
      </c>
      <c r="D913" s="116">
        <v>494.45</v>
      </c>
      <c r="E913" s="116">
        <v>526.4</v>
      </c>
      <c r="F913" s="116">
        <v>505.35</v>
      </c>
      <c r="G913">
        <v>4398</v>
      </c>
      <c r="H913" s="116"/>
      <c r="I913" s="116"/>
      <c r="L913" s="170">
        <v>46051</v>
      </c>
      <c r="M913" s="116">
        <v>505.75</v>
      </c>
      <c r="N913" s="116">
        <v>530</v>
      </c>
      <c r="O913" s="116">
        <v>494</v>
      </c>
      <c r="P913" s="116">
        <v>530</v>
      </c>
      <c r="Q913" s="116">
        <v>505.75</v>
      </c>
      <c r="R913">
        <v>141408</v>
      </c>
    </row>
    <row r="914" spans="1:18" x14ac:dyDescent="0.25">
      <c r="A914" s="170">
        <v>46052</v>
      </c>
      <c r="B914" s="116">
        <v>537.85</v>
      </c>
      <c r="C914" s="116">
        <v>533.70000000000005</v>
      </c>
      <c r="D914" s="116">
        <v>500</v>
      </c>
      <c r="E914" s="116">
        <v>505.35</v>
      </c>
      <c r="F914" s="116">
        <v>533.70000000000005</v>
      </c>
      <c r="G914">
        <v>2416</v>
      </c>
      <c r="H914" s="116"/>
      <c r="I914" s="116"/>
      <c r="L914" s="170">
        <v>46052</v>
      </c>
      <c r="M914" s="116">
        <v>534.6</v>
      </c>
      <c r="N914" s="116">
        <v>540</v>
      </c>
      <c r="O914" s="116">
        <v>500</v>
      </c>
      <c r="P914" s="116">
        <v>500</v>
      </c>
      <c r="Q914" s="116">
        <v>534.6</v>
      </c>
      <c r="R914">
        <v>70182</v>
      </c>
    </row>
    <row r="915" spans="1:18" x14ac:dyDescent="0.25">
      <c r="A915" s="170">
        <v>46054</v>
      </c>
      <c r="B915" s="116">
        <v>533.79999999999995</v>
      </c>
      <c r="C915" s="116">
        <v>520.4</v>
      </c>
      <c r="D915" s="116">
        <v>516.5</v>
      </c>
      <c r="E915" s="116">
        <v>533.79999999999995</v>
      </c>
      <c r="F915" s="116">
        <v>520.4</v>
      </c>
      <c r="G915">
        <v>1005</v>
      </c>
      <c r="H915" s="116"/>
      <c r="I915" s="116"/>
      <c r="L915" s="170">
        <v>46054</v>
      </c>
      <c r="M915" s="116">
        <v>519.70000000000005</v>
      </c>
      <c r="N915" s="116">
        <v>537.4</v>
      </c>
      <c r="O915" s="116">
        <v>513.25</v>
      </c>
      <c r="P915" s="116">
        <v>537.4</v>
      </c>
      <c r="Q915" s="116">
        <v>519.70000000000005</v>
      </c>
      <c r="R915">
        <v>34327</v>
      </c>
    </row>
    <row r="916" spans="1:18" x14ac:dyDescent="0.25">
      <c r="A916" s="170">
        <v>46055</v>
      </c>
      <c r="B916" s="116">
        <v>527.54999999999995</v>
      </c>
      <c r="C916" s="116">
        <v>524</v>
      </c>
      <c r="D916" s="116">
        <v>515.20000000000005</v>
      </c>
      <c r="E916" s="116">
        <v>521</v>
      </c>
      <c r="F916" s="116">
        <v>524</v>
      </c>
      <c r="G916">
        <v>2336</v>
      </c>
      <c r="H916" s="116"/>
      <c r="I916" s="116"/>
      <c r="L916" s="170">
        <v>46055</v>
      </c>
      <c r="M916" s="116">
        <v>525.20000000000005</v>
      </c>
      <c r="N916" s="116">
        <v>543.6</v>
      </c>
      <c r="O916" s="116">
        <v>514.45000000000005</v>
      </c>
      <c r="P916" s="116">
        <v>524.29999999999995</v>
      </c>
      <c r="Q916" s="116">
        <v>525.20000000000005</v>
      </c>
      <c r="R916">
        <v>49926</v>
      </c>
    </row>
    <row r="917" spans="1:18" x14ac:dyDescent="0.25">
      <c r="A917" s="170">
        <v>46056</v>
      </c>
      <c r="B917" s="116">
        <v>583.29999999999995</v>
      </c>
      <c r="C917" s="116">
        <v>565.9</v>
      </c>
      <c r="D917" s="116">
        <v>544.95000000000005</v>
      </c>
      <c r="E917" s="116">
        <v>544.95000000000005</v>
      </c>
      <c r="F917" s="116">
        <v>565.9</v>
      </c>
      <c r="G917">
        <v>9987</v>
      </c>
      <c r="H917" s="116"/>
      <c r="I917" s="116"/>
      <c r="L917" s="170">
        <v>46056</v>
      </c>
      <c r="M917" s="116">
        <v>565.04999999999995</v>
      </c>
      <c r="N917" s="116">
        <v>590.75</v>
      </c>
      <c r="O917" s="116">
        <v>542</v>
      </c>
      <c r="P917" s="116">
        <v>552.20000000000005</v>
      </c>
      <c r="Q917" s="116">
        <v>565.04999999999995</v>
      </c>
      <c r="R917">
        <v>202324</v>
      </c>
    </row>
    <row r="918" spans="1:18" x14ac:dyDescent="0.25">
      <c r="A918" s="170">
        <v>46057</v>
      </c>
      <c r="B918" s="116">
        <v>558.04999999999995</v>
      </c>
      <c r="C918" s="116">
        <v>524.95000000000005</v>
      </c>
      <c r="D918" s="116">
        <v>523</v>
      </c>
      <c r="E918" s="116">
        <v>558.04999999999995</v>
      </c>
      <c r="F918" s="116">
        <v>524.95000000000005</v>
      </c>
      <c r="G918">
        <v>7878</v>
      </c>
      <c r="H918" s="116"/>
      <c r="I918" s="116"/>
      <c r="L918" s="170">
        <v>46057</v>
      </c>
      <c r="M918" s="116">
        <v>526</v>
      </c>
      <c r="N918" s="116">
        <v>565.04999999999995</v>
      </c>
      <c r="O918" s="116">
        <v>521.1</v>
      </c>
      <c r="P918" s="116">
        <v>565.04999999999995</v>
      </c>
      <c r="Q918" s="116">
        <v>526</v>
      </c>
      <c r="R918">
        <v>239567</v>
      </c>
    </row>
    <row r="919" spans="1:18" x14ac:dyDescent="0.25">
      <c r="A919" s="170">
        <v>46058</v>
      </c>
      <c r="B919" s="116">
        <v>522</v>
      </c>
      <c r="C919" s="116">
        <v>512.04999999999995</v>
      </c>
      <c r="D919" s="116">
        <v>500.9</v>
      </c>
      <c r="E919" s="116">
        <v>520.25</v>
      </c>
      <c r="F919" s="116">
        <v>512.04999999999995</v>
      </c>
      <c r="G919">
        <v>351502</v>
      </c>
      <c r="H919" s="116"/>
      <c r="I919" s="116"/>
      <c r="L919" s="170">
        <v>46058</v>
      </c>
      <c r="M919" s="116">
        <v>511.75</v>
      </c>
      <c r="N919" s="116">
        <v>527.20000000000005</v>
      </c>
      <c r="O919" s="116">
        <v>501</v>
      </c>
      <c r="P919" s="116">
        <v>526</v>
      </c>
      <c r="Q919" s="116">
        <v>511.75</v>
      </c>
      <c r="R919">
        <v>876296</v>
      </c>
    </row>
    <row r="920" spans="1:18" x14ac:dyDescent="0.25">
      <c r="A920" s="170">
        <v>46059</v>
      </c>
      <c r="B920" s="116">
        <v>512.04999999999995</v>
      </c>
      <c r="C920" s="116">
        <v>507.95</v>
      </c>
      <c r="D920" s="116">
        <v>504.65</v>
      </c>
      <c r="E920" s="116">
        <v>512.04999999999995</v>
      </c>
      <c r="F920" s="116">
        <v>507.95</v>
      </c>
      <c r="G920">
        <v>2659</v>
      </c>
      <c r="H920" s="116"/>
      <c r="I920" s="116"/>
      <c r="L920" s="170">
        <v>46059</v>
      </c>
      <c r="M920" s="116">
        <v>508.4</v>
      </c>
      <c r="N920" s="116">
        <v>513.9</v>
      </c>
      <c r="O920" s="116">
        <v>504.2</v>
      </c>
      <c r="P920" s="116">
        <v>507.2</v>
      </c>
      <c r="Q920" s="116">
        <v>508.4</v>
      </c>
      <c r="R920">
        <v>34608</v>
      </c>
    </row>
    <row r="921" spans="1:18" x14ac:dyDescent="0.25">
      <c r="A921" s="170">
        <v>46062</v>
      </c>
      <c r="B921" s="116">
        <v>514.54999999999995</v>
      </c>
      <c r="C921" s="116">
        <v>508.55</v>
      </c>
      <c r="D921" s="116">
        <v>504.95</v>
      </c>
      <c r="E921" s="116">
        <v>504.95</v>
      </c>
      <c r="F921" s="116">
        <v>508.55</v>
      </c>
      <c r="G921">
        <v>9351</v>
      </c>
      <c r="H921" s="116"/>
      <c r="I921" s="116"/>
      <c r="L921" s="170">
        <v>46062</v>
      </c>
      <c r="M921" s="116">
        <v>508.15</v>
      </c>
      <c r="N921" s="116">
        <v>514.45000000000005</v>
      </c>
      <c r="O921" s="116">
        <v>505.35</v>
      </c>
      <c r="P921" s="116">
        <v>508.9</v>
      </c>
      <c r="Q921" s="116">
        <v>508.15</v>
      </c>
      <c r="R921">
        <v>84596</v>
      </c>
    </row>
    <row r="922" spans="1:18" x14ac:dyDescent="0.25">
      <c r="A922" s="170">
        <v>46063</v>
      </c>
      <c r="B922" s="116">
        <v>519.29999999999995</v>
      </c>
      <c r="C922" s="116">
        <v>515.20000000000005</v>
      </c>
      <c r="D922" s="116">
        <v>505.05</v>
      </c>
      <c r="E922" s="116">
        <v>508.6</v>
      </c>
      <c r="F922" s="116">
        <v>515.20000000000005</v>
      </c>
      <c r="G922">
        <v>12002</v>
      </c>
      <c r="H922" s="116"/>
      <c r="I922" s="116"/>
      <c r="L922" s="170">
        <v>46063</v>
      </c>
      <c r="M922" s="116">
        <v>516.6</v>
      </c>
      <c r="N922" s="116">
        <v>519.79999999999995</v>
      </c>
      <c r="O922" s="116">
        <v>503.4</v>
      </c>
      <c r="P922" s="116">
        <v>510.8</v>
      </c>
      <c r="Q922" s="116">
        <v>516.6</v>
      </c>
      <c r="R922">
        <v>100000</v>
      </c>
    </row>
    <row r="923" spans="1:18" x14ac:dyDescent="0.25">
      <c r="A923" s="170">
        <v>46064</v>
      </c>
      <c r="B923" s="116">
        <v>520.1</v>
      </c>
      <c r="C923" s="116">
        <v>513.15</v>
      </c>
      <c r="D923" s="116">
        <v>508.5</v>
      </c>
      <c r="E923" s="116">
        <v>515.29999999999995</v>
      </c>
      <c r="F923" s="116">
        <v>513.15</v>
      </c>
      <c r="G923">
        <v>70048</v>
      </c>
      <c r="H923" s="116"/>
      <c r="I923" s="116"/>
      <c r="L923" s="170">
        <v>46064</v>
      </c>
      <c r="M923" s="116">
        <v>513</v>
      </c>
      <c r="N923" s="116">
        <v>519.70000000000005</v>
      </c>
      <c r="O923" s="116">
        <v>507.55</v>
      </c>
      <c r="P923" s="116">
        <v>519.70000000000005</v>
      </c>
      <c r="Q923" s="116">
        <v>513</v>
      </c>
      <c r="R923">
        <v>45664</v>
      </c>
    </row>
    <row r="924" spans="1:18" x14ac:dyDescent="0.25">
      <c r="A924" s="170">
        <v>46065</v>
      </c>
      <c r="B924" s="116">
        <v>510</v>
      </c>
      <c r="C924" s="116">
        <v>497.4</v>
      </c>
      <c r="D924" s="116">
        <v>495</v>
      </c>
      <c r="E924" s="116">
        <v>510</v>
      </c>
      <c r="F924" s="116">
        <v>497.4</v>
      </c>
      <c r="G924">
        <v>3374</v>
      </c>
      <c r="H924" s="116"/>
      <c r="I924" s="116"/>
      <c r="L924" s="170">
        <v>46065</v>
      </c>
      <c r="M924" s="116">
        <v>499.65</v>
      </c>
      <c r="N924" s="116">
        <v>513</v>
      </c>
      <c r="O924" s="116">
        <v>494.95</v>
      </c>
      <c r="P924" s="116">
        <v>513</v>
      </c>
      <c r="Q924" s="116">
        <v>499.65</v>
      </c>
      <c r="R924">
        <v>211944</v>
      </c>
    </row>
    <row r="925" spans="1:18" x14ac:dyDescent="0.25">
      <c r="A925" s="170">
        <v>46066</v>
      </c>
      <c r="B925" s="116">
        <v>494</v>
      </c>
      <c r="C925" s="116">
        <v>486.85</v>
      </c>
      <c r="D925" s="116">
        <v>481</v>
      </c>
      <c r="E925" s="116">
        <v>494</v>
      </c>
      <c r="F925" s="116">
        <v>486.85</v>
      </c>
      <c r="G925">
        <v>4167</v>
      </c>
      <c r="H925" s="116"/>
      <c r="I925" s="116"/>
      <c r="L925" s="170">
        <v>46066</v>
      </c>
      <c r="M925" s="116">
        <v>485.8</v>
      </c>
      <c r="N925" s="116">
        <v>496</v>
      </c>
      <c r="O925" s="116">
        <v>480.15</v>
      </c>
      <c r="P925" s="116">
        <v>496</v>
      </c>
      <c r="Q925" s="116">
        <v>485.8</v>
      </c>
      <c r="R925">
        <v>194638</v>
      </c>
    </row>
    <row r="926" spans="1:18" x14ac:dyDescent="0.25">
      <c r="A926" s="170">
        <v>46069</v>
      </c>
      <c r="B926" s="116">
        <v>486.9</v>
      </c>
      <c r="C926" s="116">
        <v>462.9</v>
      </c>
      <c r="D926" s="116">
        <v>459.8</v>
      </c>
      <c r="E926" s="116">
        <v>486.9</v>
      </c>
      <c r="F926" s="116">
        <v>462.9</v>
      </c>
      <c r="G926">
        <v>7519</v>
      </c>
      <c r="H926" s="116"/>
      <c r="I926" s="116"/>
      <c r="L926" s="170">
        <v>46069</v>
      </c>
      <c r="M926" s="116">
        <v>463.7</v>
      </c>
      <c r="N926" s="116">
        <v>491</v>
      </c>
      <c r="O926" s="116">
        <v>459.3</v>
      </c>
      <c r="P926" s="116">
        <v>485.8</v>
      </c>
      <c r="Q926" s="116">
        <v>463.7</v>
      </c>
      <c r="R926">
        <v>197159</v>
      </c>
    </row>
    <row r="927" spans="1:18" x14ac:dyDescent="0.25">
      <c r="A927" s="170">
        <v>46070</v>
      </c>
      <c r="B927" s="116">
        <v>473.25</v>
      </c>
      <c r="C927" s="116">
        <v>467.6</v>
      </c>
      <c r="D927" s="116">
        <v>459.3</v>
      </c>
      <c r="E927" s="116">
        <v>460.05</v>
      </c>
      <c r="F927" s="116">
        <v>467.6</v>
      </c>
      <c r="G927">
        <v>4866</v>
      </c>
      <c r="H927" s="116"/>
      <c r="I927" s="116"/>
      <c r="L927" s="170">
        <v>46070</v>
      </c>
      <c r="M927" s="116">
        <v>467.35</v>
      </c>
      <c r="N927" s="116">
        <v>474.7</v>
      </c>
      <c r="O927" s="116">
        <v>459.2</v>
      </c>
      <c r="P927" s="116">
        <v>463.55</v>
      </c>
      <c r="Q927" s="116">
        <v>467.35</v>
      </c>
      <c r="R927">
        <v>120009</v>
      </c>
    </row>
    <row r="928" spans="1:18" x14ac:dyDescent="0.25">
      <c r="A928" s="170">
        <v>46071</v>
      </c>
      <c r="B928" s="116">
        <v>485.6</v>
      </c>
      <c r="C928" s="116">
        <v>484.65</v>
      </c>
      <c r="D928" s="116">
        <v>466.5</v>
      </c>
      <c r="E928" s="116">
        <v>467.2</v>
      </c>
      <c r="F928" s="116">
        <v>484.65</v>
      </c>
      <c r="G928">
        <v>6357</v>
      </c>
      <c r="H928" s="116"/>
      <c r="I928" s="116"/>
      <c r="L928" s="170">
        <v>46071</v>
      </c>
      <c r="M928" s="116">
        <v>482.8</v>
      </c>
      <c r="N928" s="116">
        <v>486.45</v>
      </c>
      <c r="O928" s="116">
        <v>467.05</v>
      </c>
      <c r="P928" s="116">
        <v>468</v>
      </c>
      <c r="Q928" s="116">
        <v>482.8</v>
      </c>
      <c r="R928">
        <v>95531</v>
      </c>
    </row>
    <row r="929" spans="1:18" x14ac:dyDescent="0.25">
      <c r="A929" s="170">
        <v>46072</v>
      </c>
      <c r="B929" s="116">
        <v>484.6</v>
      </c>
      <c r="C929" s="116">
        <v>466.15</v>
      </c>
      <c r="D929" s="116">
        <v>462</v>
      </c>
      <c r="E929" s="116">
        <v>484.6</v>
      </c>
      <c r="F929" s="116">
        <v>466.15</v>
      </c>
      <c r="G929">
        <v>6725</v>
      </c>
      <c r="H929" s="116"/>
      <c r="I929" s="116"/>
      <c r="L929" s="170">
        <v>46072</v>
      </c>
      <c r="M929" s="116">
        <v>464.95</v>
      </c>
      <c r="N929" s="116">
        <v>484.9</v>
      </c>
      <c r="O929" s="116">
        <v>461.1</v>
      </c>
      <c r="P929" s="116">
        <v>482.8</v>
      </c>
      <c r="Q929" s="116">
        <v>464.95</v>
      </c>
      <c r="R929">
        <v>89336</v>
      </c>
    </row>
    <row r="930" spans="1:18" x14ac:dyDescent="0.25">
      <c r="A930" s="170">
        <v>46073</v>
      </c>
      <c r="B930" s="116">
        <v>468.45</v>
      </c>
      <c r="C930" s="116">
        <v>465.4</v>
      </c>
      <c r="D930" s="116">
        <v>458.1</v>
      </c>
      <c r="E930" s="116">
        <v>466.2</v>
      </c>
      <c r="F930" s="116">
        <v>465.4</v>
      </c>
      <c r="G930">
        <v>4799</v>
      </c>
      <c r="H930" s="116"/>
      <c r="I930" s="116"/>
      <c r="L930" s="170">
        <v>46073</v>
      </c>
      <c r="M930" s="116">
        <v>466.2</v>
      </c>
      <c r="N930" s="116">
        <v>468.65</v>
      </c>
      <c r="O930" s="116">
        <v>457.3</v>
      </c>
      <c r="P930" s="116">
        <v>466.5</v>
      </c>
      <c r="Q930" s="116">
        <v>466.2</v>
      </c>
      <c r="R930">
        <v>92221</v>
      </c>
    </row>
    <row r="931" spans="1:18" x14ac:dyDescent="0.25">
      <c r="A931" s="170">
        <v>46076</v>
      </c>
      <c r="B931" s="116">
        <v>470.3</v>
      </c>
      <c r="C931" s="116">
        <v>464.35</v>
      </c>
      <c r="D931" s="116">
        <v>459.95</v>
      </c>
      <c r="E931" s="116">
        <v>466</v>
      </c>
      <c r="F931" s="116">
        <v>464.35</v>
      </c>
      <c r="G931">
        <v>4434</v>
      </c>
      <c r="H931" s="116"/>
      <c r="I931" s="116"/>
      <c r="L931" s="170">
        <v>46076</v>
      </c>
      <c r="M931" s="116">
        <v>463.6</v>
      </c>
      <c r="N931" s="116">
        <v>473.95</v>
      </c>
      <c r="O931" s="116">
        <v>459.95</v>
      </c>
      <c r="P931" s="116">
        <v>467</v>
      </c>
      <c r="Q931" s="116">
        <v>463.6</v>
      </c>
      <c r="R931">
        <v>181440</v>
      </c>
    </row>
    <row r="932" spans="1:18" x14ac:dyDescent="0.25">
      <c r="A932" s="170">
        <v>46077</v>
      </c>
      <c r="B932" s="116">
        <v>474.2</v>
      </c>
      <c r="C932" s="116">
        <v>443.6</v>
      </c>
      <c r="D932" s="116">
        <v>435.15</v>
      </c>
      <c r="E932" s="116">
        <v>464.35</v>
      </c>
      <c r="F932" s="116">
        <v>443.6</v>
      </c>
      <c r="G932">
        <v>10222</v>
      </c>
      <c r="H932" s="116"/>
      <c r="I932" s="116"/>
      <c r="L932" s="170">
        <v>46077</v>
      </c>
      <c r="M932" s="116">
        <v>443.55</v>
      </c>
      <c r="N932" s="116">
        <v>481.05</v>
      </c>
      <c r="O932" s="116">
        <v>435.15</v>
      </c>
      <c r="P932" s="116">
        <v>481.05</v>
      </c>
      <c r="Q932" s="116">
        <v>443.55</v>
      </c>
      <c r="R932">
        <v>248502</v>
      </c>
    </row>
    <row r="933" spans="1:18" x14ac:dyDescent="0.25">
      <c r="A933" s="170">
        <v>46078</v>
      </c>
      <c r="B933" s="116">
        <v>445.85</v>
      </c>
      <c r="C933" s="116">
        <v>438.35</v>
      </c>
      <c r="D933" s="116">
        <v>432.55</v>
      </c>
      <c r="E933" s="116">
        <v>443.7</v>
      </c>
      <c r="F933" s="116">
        <v>438.35</v>
      </c>
      <c r="G933">
        <v>44138</v>
      </c>
      <c r="H933" s="116"/>
      <c r="I933" s="116"/>
      <c r="L933" s="170">
        <v>46078</v>
      </c>
      <c r="M933" s="116">
        <v>439</v>
      </c>
      <c r="N933" s="116">
        <v>446.9</v>
      </c>
      <c r="O933" s="116">
        <v>432.35</v>
      </c>
      <c r="P933" s="116">
        <v>443.55</v>
      </c>
      <c r="Q933" s="116">
        <v>439</v>
      </c>
      <c r="R933">
        <v>134673</v>
      </c>
    </row>
    <row r="934" spans="1:18" x14ac:dyDescent="0.25">
      <c r="A934" s="170">
        <v>46079</v>
      </c>
      <c r="B934" s="116">
        <v>445</v>
      </c>
      <c r="C934" s="116">
        <v>439</v>
      </c>
      <c r="D934" s="116">
        <v>433.5</v>
      </c>
      <c r="E934" s="116">
        <v>436</v>
      </c>
      <c r="F934" s="116">
        <v>439</v>
      </c>
      <c r="G934">
        <v>50709</v>
      </c>
      <c r="H934" s="116"/>
      <c r="I934" s="116"/>
      <c r="L934" s="170">
        <v>46079</v>
      </c>
      <c r="M934" s="116">
        <v>437.9</v>
      </c>
      <c r="N934" s="116">
        <v>446.15</v>
      </c>
      <c r="O934" s="116">
        <v>433.05</v>
      </c>
      <c r="P934" s="116">
        <v>439.1</v>
      </c>
      <c r="Q934" s="116">
        <v>437.9</v>
      </c>
      <c r="R934">
        <v>110395</v>
      </c>
    </row>
    <row r="935" spans="1:18" x14ac:dyDescent="0.25">
      <c r="A935" s="170">
        <v>46080</v>
      </c>
      <c r="B935" s="116">
        <v>441.25</v>
      </c>
      <c r="C935" s="116">
        <v>428.9</v>
      </c>
      <c r="D935" s="116">
        <v>420.25</v>
      </c>
      <c r="E935" s="116">
        <v>439.1</v>
      </c>
      <c r="F935" s="116">
        <v>428.9</v>
      </c>
      <c r="G935">
        <v>17159</v>
      </c>
      <c r="H935" s="116"/>
      <c r="I935" s="116"/>
      <c r="L935" s="170">
        <v>46080</v>
      </c>
      <c r="M935" s="116">
        <v>428.1</v>
      </c>
      <c r="N935" s="116">
        <v>444.95</v>
      </c>
      <c r="O935" s="116">
        <v>420.05</v>
      </c>
      <c r="P935" s="116">
        <v>444.95</v>
      </c>
      <c r="Q935" s="116">
        <v>428.1</v>
      </c>
      <c r="R935">
        <v>792334</v>
      </c>
    </row>
    <row r="936" spans="1:18" x14ac:dyDescent="0.25">
      <c r="A936" s="170">
        <v>46083</v>
      </c>
      <c r="B936" s="116">
        <v>437</v>
      </c>
      <c r="C936" s="116">
        <v>430.85</v>
      </c>
      <c r="D936" s="116">
        <v>395.5</v>
      </c>
      <c r="E936" s="116">
        <v>395.5</v>
      </c>
      <c r="F936" s="116">
        <v>430.85</v>
      </c>
      <c r="G936">
        <v>15729</v>
      </c>
      <c r="H936" s="116"/>
      <c r="I936" s="116"/>
      <c r="L936" s="170">
        <v>46083</v>
      </c>
      <c r="M936" s="116">
        <v>430.9</v>
      </c>
      <c r="N936" s="116">
        <v>436.35</v>
      </c>
      <c r="O936" s="116">
        <v>400</v>
      </c>
      <c r="P936" s="116">
        <v>401</v>
      </c>
      <c r="Q936" s="116">
        <v>430.9</v>
      </c>
      <c r="R936">
        <v>389236</v>
      </c>
    </row>
    <row r="937" spans="1:18" x14ac:dyDescent="0.25">
      <c r="A937" s="170">
        <v>46085</v>
      </c>
      <c r="B937" s="116">
        <v>432.2</v>
      </c>
      <c r="C937" s="116">
        <v>428.65</v>
      </c>
      <c r="D937" s="116">
        <v>423.35</v>
      </c>
      <c r="E937" s="116">
        <v>429.95</v>
      </c>
      <c r="F937" s="116">
        <v>428.65</v>
      </c>
      <c r="G937">
        <v>4157</v>
      </c>
      <c r="H937" s="116"/>
      <c r="I937" s="116"/>
      <c r="L937" s="170">
        <v>46085</v>
      </c>
      <c r="M937" s="116">
        <v>429.55</v>
      </c>
      <c r="N937" s="116">
        <v>433.4</v>
      </c>
      <c r="O937" s="116">
        <v>421.3</v>
      </c>
      <c r="P937" s="116">
        <v>428</v>
      </c>
      <c r="Q937" s="116">
        <v>429.55</v>
      </c>
      <c r="R937">
        <v>148465</v>
      </c>
    </row>
    <row r="938" spans="1:18" x14ac:dyDescent="0.25">
      <c r="A938" s="170">
        <v>46086</v>
      </c>
      <c r="B938" s="116">
        <v>441</v>
      </c>
      <c r="C938" s="116">
        <v>406.75</v>
      </c>
      <c r="D938" s="116">
        <v>403.15</v>
      </c>
      <c r="E938" s="116">
        <v>440.95</v>
      </c>
      <c r="F938" s="116">
        <v>406.75</v>
      </c>
      <c r="G938">
        <v>121273</v>
      </c>
      <c r="H938" s="116"/>
      <c r="I938" s="116"/>
      <c r="L938" s="170">
        <v>46086</v>
      </c>
      <c r="M938" s="116">
        <v>405.6</v>
      </c>
      <c r="N938" s="116">
        <v>447</v>
      </c>
      <c r="O938" s="116">
        <v>403</v>
      </c>
      <c r="P938" s="116">
        <v>435.05</v>
      </c>
      <c r="Q938" s="116">
        <v>405.6</v>
      </c>
      <c r="R938">
        <v>631710</v>
      </c>
    </row>
    <row r="939" spans="1:18" x14ac:dyDescent="0.25">
      <c r="A939" s="170">
        <v>46087</v>
      </c>
      <c r="B939" s="116">
        <v>426.55</v>
      </c>
      <c r="C939" s="116">
        <v>413.1</v>
      </c>
      <c r="D939" s="116">
        <v>406.8</v>
      </c>
      <c r="E939" s="116">
        <v>406.8</v>
      </c>
      <c r="F939" s="116">
        <v>413.1</v>
      </c>
      <c r="G939">
        <v>9934</v>
      </c>
      <c r="H939" s="116"/>
      <c r="I939" s="116"/>
      <c r="L939" s="170">
        <v>46087</v>
      </c>
      <c r="M939" s="116">
        <v>413.6</v>
      </c>
      <c r="N939" s="116">
        <v>426.2</v>
      </c>
      <c r="O939" s="116">
        <v>406.55</v>
      </c>
      <c r="P939" s="116">
        <v>407.7</v>
      </c>
      <c r="Q939" s="116">
        <v>413.6</v>
      </c>
      <c r="R939">
        <v>122411</v>
      </c>
    </row>
    <row r="940" spans="1:18" x14ac:dyDescent="0.25">
      <c r="A940" s="170">
        <v>46090</v>
      </c>
      <c r="B940" s="116">
        <v>424</v>
      </c>
      <c r="C940" s="116">
        <v>414.95</v>
      </c>
      <c r="D940" s="116">
        <v>401.95</v>
      </c>
      <c r="E940" s="116">
        <v>424</v>
      </c>
      <c r="F940" s="116">
        <v>414.95</v>
      </c>
      <c r="G940">
        <v>12656</v>
      </c>
      <c r="H940" s="116"/>
      <c r="I940" s="116"/>
      <c r="L940" s="170">
        <v>46090</v>
      </c>
      <c r="M940" s="116">
        <v>415.1</v>
      </c>
      <c r="N940" s="116">
        <v>423.7</v>
      </c>
      <c r="O940" s="116">
        <v>401.55</v>
      </c>
      <c r="P940" s="116">
        <v>423.7</v>
      </c>
      <c r="Q940" s="116">
        <v>415.1</v>
      </c>
      <c r="R940">
        <v>488839</v>
      </c>
    </row>
    <row r="941" spans="1:18" x14ac:dyDescent="0.25">
      <c r="A941" s="170">
        <v>46091</v>
      </c>
      <c r="B941" s="116">
        <v>418.15</v>
      </c>
      <c r="C941" s="116">
        <v>417</v>
      </c>
      <c r="D941" s="116">
        <v>412.1</v>
      </c>
      <c r="E941" s="116">
        <v>414.9</v>
      </c>
      <c r="F941" s="116">
        <v>417</v>
      </c>
      <c r="G941">
        <v>4986</v>
      </c>
      <c r="H941" s="116"/>
      <c r="I941" s="116"/>
      <c r="L941" s="170">
        <v>46091</v>
      </c>
      <c r="M941" s="116">
        <v>417.1</v>
      </c>
      <c r="N941" s="116">
        <v>421.3</v>
      </c>
      <c r="O941" s="116">
        <v>412</v>
      </c>
      <c r="P941" s="116">
        <v>416.25</v>
      </c>
      <c r="Q941" s="116">
        <v>417.1</v>
      </c>
      <c r="R941">
        <v>39068</v>
      </c>
    </row>
    <row r="942" spans="1:18" x14ac:dyDescent="0.25">
      <c r="A942" s="170">
        <v>46092</v>
      </c>
      <c r="B942" s="116">
        <v>420.55</v>
      </c>
      <c r="C942" s="116">
        <v>418.1</v>
      </c>
      <c r="D942" s="116">
        <v>411.1</v>
      </c>
      <c r="E942" s="116">
        <v>418.35</v>
      </c>
      <c r="F942" s="116">
        <v>418.1</v>
      </c>
      <c r="G942">
        <v>4269</v>
      </c>
      <c r="H942" s="116"/>
      <c r="I942" s="116"/>
      <c r="L942" s="170">
        <v>46092</v>
      </c>
      <c r="M942" s="116">
        <v>418.5</v>
      </c>
      <c r="N942" s="116">
        <v>420.25</v>
      </c>
      <c r="O942" s="116">
        <v>411.55</v>
      </c>
      <c r="P942" s="116">
        <v>417.2</v>
      </c>
      <c r="Q942" s="116">
        <v>418.5</v>
      </c>
      <c r="R942">
        <v>126541</v>
      </c>
    </row>
    <row r="943" spans="1:18" x14ac:dyDescent="0.25">
      <c r="A943" s="170">
        <v>46093</v>
      </c>
      <c r="B943" s="116">
        <v>434.5</v>
      </c>
      <c r="C943" s="116">
        <v>434.05</v>
      </c>
      <c r="D943" s="116">
        <v>410.85</v>
      </c>
      <c r="E943" s="116">
        <v>418.55</v>
      </c>
      <c r="F943" s="116">
        <v>434.05</v>
      </c>
      <c r="G943">
        <v>9886</v>
      </c>
      <c r="H943" s="116"/>
      <c r="I943" s="116"/>
      <c r="L943" s="170">
        <v>46093</v>
      </c>
      <c r="M943" s="116">
        <v>432.75</v>
      </c>
      <c r="N943" s="116">
        <v>435.8</v>
      </c>
      <c r="O943" s="116">
        <v>411</v>
      </c>
      <c r="P943" s="116">
        <v>421.5</v>
      </c>
      <c r="Q943" s="116">
        <v>432.75</v>
      </c>
      <c r="R943">
        <v>132674</v>
      </c>
    </row>
    <row r="944" spans="1:18" x14ac:dyDescent="0.25">
      <c r="A944" s="170">
        <v>46094</v>
      </c>
      <c r="B944" s="116">
        <v>426.75</v>
      </c>
      <c r="C944" s="116">
        <v>414.25</v>
      </c>
      <c r="D944" s="116">
        <v>412.85</v>
      </c>
      <c r="E944" s="116">
        <v>425.3</v>
      </c>
      <c r="F944" s="116">
        <v>414.25</v>
      </c>
      <c r="G944">
        <v>5840</v>
      </c>
      <c r="H944" s="116"/>
      <c r="I944" s="116"/>
      <c r="L944" s="170">
        <v>46094</v>
      </c>
      <c r="M944" s="116">
        <v>415.65</v>
      </c>
      <c r="N944" s="116">
        <v>430</v>
      </c>
      <c r="O944" s="116">
        <v>412.8</v>
      </c>
      <c r="P944" s="116">
        <v>430</v>
      </c>
      <c r="Q944" s="116">
        <v>415.65</v>
      </c>
      <c r="R944">
        <v>106541</v>
      </c>
    </row>
    <row r="945" spans="1:18" x14ac:dyDescent="0.25">
      <c r="A945" s="170">
        <v>46097</v>
      </c>
      <c r="B945" s="116">
        <v>420.1</v>
      </c>
      <c r="C945" s="116">
        <v>412.05</v>
      </c>
      <c r="D945" s="116">
        <v>406.4</v>
      </c>
      <c r="E945" s="116">
        <v>411.85</v>
      </c>
      <c r="F945" s="116">
        <v>412.05</v>
      </c>
      <c r="G945">
        <v>12101</v>
      </c>
      <c r="H945" s="116"/>
      <c r="I945" s="116"/>
      <c r="L945" s="170">
        <v>46097</v>
      </c>
      <c r="M945" s="116">
        <v>412.3</v>
      </c>
      <c r="N945" s="116">
        <v>420.25</v>
      </c>
      <c r="O945" s="116">
        <v>406</v>
      </c>
      <c r="P945" s="116">
        <v>415.65</v>
      </c>
      <c r="Q945" s="116">
        <v>412.3</v>
      </c>
      <c r="R945">
        <v>168209</v>
      </c>
    </row>
    <row r="946" spans="1:18" x14ac:dyDescent="0.25">
      <c r="A946" s="170">
        <v>46098</v>
      </c>
      <c r="B946" s="116">
        <v>413.2</v>
      </c>
      <c r="C946" s="116">
        <v>408.25</v>
      </c>
      <c r="D946" s="116">
        <v>402.05</v>
      </c>
      <c r="E946" s="116">
        <v>402.05</v>
      </c>
      <c r="F946" s="116">
        <v>408.25</v>
      </c>
      <c r="G946">
        <v>2949</v>
      </c>
      <c r="H946" s="116"/>
      <c r="I946" s="116"/>
      <c r="L946" s="170">
        <v>46098</v>
      </c>
      <c r="M946" s="116">
        <v>407.6</v>
      </c>
      <c r="N946" s="116">
        <v>413.4</v>
      </c>
      <c r="O946" s="116">
        <v>405</v>
      </c>
      <c r="P946" s="116">
        <v>412</v>
      </c>
      <c r="Q946" s="116">
        <v>407.6</v>
      </c>
      <c r="R946">
        <v>84152</v>
      </c>
    </row>
    <row r="947" spans="1:18" x14ac:dyDescent="0.25">
      <c r="A947" s="170">
        <v>46099</v>
      </c>
      <c r="B947" s="116">
        <v>417.25</v>
      </c>
      <c r="C947" s="116">
        <v>412.45</v>
      </c>
      <c r="D947" s="116">
        <v>408.05</v>
      </c>
      <c r="E947" s="116">
        <v>412.2</v>
      </c>
      <c r="F947" s="116">
        <v>412.45</v>
      </c>
      <c r="G947">
        <v>3802</v>
      </c>
      <c r="H947" s="116"/>
      <c r="I947" s="116"/>
      <c r="L947" s="170">
        <v>46099</v>
      </c>
      <c r="M947" s="116">
        <v>412.05</v>
      </c>
      <c r="N947" s="116">
        <v>417</v>
      </c>
      <c r="O947" s="116">
        <v>406.85</v>
      </c>
      <c r="P947" s="116">
        <v>407.4</v>
      </c>
      <c r="Q947" s="116">
        <v>412.05</v>
      </c>
      <c r="R947">
        <v>119577</v>
      </c>
    </row>
    <row r="948" spans="1:18" x14ac:dyDescent="0.25">
      <c r="A948" s="170">
        <v>46100</v>
      </c>
      <c r="B948" s="116">
        <v>413.75</v>
      </c>
      <c r="C948" s="116">
        <v>405.65</v>
      </c>
      <c r="D948" s="116">
        <v>402.05</v>
      </c>
      <c r="E948" s="116">
        <v>402.05</v>
      </c>
      <c r="F948" s="116">
        <v>405.65</v>
      </c>
      <c r="G948">
        <v>4913</v>
      </c>
      <c r="H948" s="116"/>
      <c r="I948" s="116"/>
      <c r="L948" s="170">
        <v>46100</v>
      </c>
      <c r="M948" s="116">
        <v>405.45</v>
      </c>
      <c r="N948" s="116">
        <v>413.4</v>
      </c>
      <c r="O948" s="116">
        <v>404.85</v>
      </c>
      <c r="P948" s="116">
        <v>405</v>
      </c>
      <c r="Q948" s="116">
        <v>405.45</v>
      </c>
      <c r="R948">
        <v>99417</v>
      </c>
    </row>
    <row r="949" spans="1:18" x14ac:dyDescent="0.25">
      <c r="A949" s="170">
        <v>46101</v>
      </c>
      <c r="B949" s="116">
        <v>408.45</v>
      </c>
      <c r="C949" s="116">
        <v>395.75</v>
      </c>
      <c r="D949" s="116">
        <v>392.5</v>
      </c>
      <c r="E949" s="116">
        <v>405.05</v>
      </c>
      <c r="F949" s="116">
        <v>395.75</v>
      </c>
      <c r="G949">
        <v>7224</v>
      </c>
      <c r="H949" s="116"/>
      <c r="I949" s="116"/>
      <c r="L949" s="170">
        <v>46101</v>
      </c>
      <c r="M949" s="116">
        <v>395.45</v>
      </c>
      <c r="N949" s="116">
        <v>408.5</v>
      </c>
      <c r="O949" s="116">
        <v>392.55</v>
      </c>
      <c r="P949" s="116">
        <v>407.45</v>
      </c>
      <c r="Q949" s="116">
        <v>395.45</v>
      </c>
      <c r="R949">
        <v>109350</v>
      </c>
    </row>
    <row r="950" spans="1:18" x14ac:dyDescent="0.25">
      <c r="A950" s="170">
        <v>46104</v>
      </c>
      <c r="B950" s="116">
        <v>395.75</v>
      </c>
      <c r="C950" s="116">
        <v>382.05</v>
      </c>
      <c r="D950" s="116">
        <v>375.5</v>
      </c>
      <c r="E950" s="116">
        <v>395.75</v>
      </c>
      <c r="F950" s="116">
        <v>382.05</v>
      </c>
      <c r="G950">
        <v>17777</v>
      </c>
      <c r="H950" s="116"/>
      <c r="I950" s="116"/>
      <c r="L950" s="170">
        <v>46104</v>
      </c>
      <c r="M950" s="116">
        <v>383.2</v>
      </c>
      <c r="N950" s="116">
        <v>393.55</v>
      </c>
      <c r="O950" s="116">
        <v>375.65</v>
      </c>
      <c r="P950" s="116">
        <v>393.55</v>
      </c>
      <c r="Q950" s="116">
        <v>383.2</v>
      </c>
      <c r="R950">
        <v>157958</v>
      </c>
    </row>
    <row r="951" spans="1:18" x14ac:dyDescent="0.25">
      <c r="A951" s="170">
        <v>46105</v>
      </c>
      <c r="B951" s="116">
        <v>405.45</v>
      </c>
      <c r="C951" s="116">
        <v>396.85</v>
      </c>
      <c r="D951" s="116">
        <v>385.5</v>
      </c>
      <c r="E951" s="116">
        <v>399.8</v>
      </c>
      <c r="F951" s="116">
        <v>396.85</v>
      </c>
      <c r="G951">
        <v>9316</v>
      </c>
      <c r="H951" s="116"/>
      <c r="I951" s="116"/>
      <c r="L951" s="170">
        <v>46105</v>
      </c>
      <c r="M951" s="116">
        <v>396.3</v>
      </c>
      <c r="N951" s="116">
        <v>406.25</v>
      </c>
      <c r="O951" s="116">
        <v>385.1</v>
      </c>
      <c r="P951" s="116">
        <v>393.55</v>
      </c>
      <c r="Q951" s="116">
        <v>396.3</v>
      </c>
      <c r="R951">
        <v>173951</v>
      </c>
    </row>
    <row r="952" spans="1:18" x14ac:dyDescent="0.25">
      <c r="A952" s="170">
        <v>46106</v>
      </c>
      <c r="B952" s="116">
        <v>409.75</v>
      </c>
      <c r="C952" s="116">
        <v>391</v>
      </c>
      <c r="D952" s="116">
        <v>388.7</v>
      </c>
      <c r="E952" s="116">
        <v>395.55</v>
      </c>
      <c r="F952" s="116">
        <v>391</v>
      </c>
      <c r="G952">
        <v>823013</v>
      </c>
      <c r="H952" s="116"/>
      <c r="I952" s="116"/>
      <c r="L952" s="170">
        <v>46106</v>
      </c>
      <c r="M952" s="116">
        <v>391</v>
      </c>
      <c r="N952" s="116">
        <v>409.4</v>
      </c>
      <c r="O952" s="116">
        <v>388.05</v>
      </c>
      <c r="P952" s="116">
        <v>397.45</v>
      </c>
      <c r="Q952" s="116">
        <v>391</v>
      </c>
      <c r="R952">
        <v>815160</v>
      </c>
    </row>
    <row r="953" spans="1:18" x14ac:dyDescent="0.25">
      <c r="A953" s="170">
        <v>46108</v>
      </c>
      <c r="B953" s="116">
        <v>398.3</v>
      </c>
      <c r="C953" s="116">
        <v>384.95</v>
      </c>
      <c r="D953" s="116">
        <v>378.95</v>
      </c>
      <c r="E953" s="116">
        <v>390.85</v>
      </c>
      <c r="F953" s="116">
        <v>384.95</v>
      </c>
      <c r="G953">
        <v>258816</v>
      </c>
      <c r="H953" s="116"/>
      <c r="I953" s="116"/>
      <c r="L953" s="170">
        <v>46108</v>
      </c>
      <c r="M953" s="116">
        <v>384.25</v>
      </c>
      <c r="N953" s="116">
        <v>398.4</v>
      </c>
      <c r="O953" s="116">
        <v>378.95</v>
      </c>
      <c r="P953" s="116">
        <v>388</v>
      </c>
      <c r="Q953" s="116">
        <v>384.25</v>
      </c>
      <c r="R953">
        <v>550240</v>
      </c>
    </row>
    <row r="954" spans="1:18" x14ac:dyDescent="0.25">
      <c r="A954" s="170">
        <v>46111</v>
      </c>
      <c r="B954" s="116">
        <v>382</v>
      </c>
      <c r="C954" s="116">
        <v>370.05</v>
      </c>
      <c r="D954" s="116">
        <v>365.75</v>
      </c>
      <c r="E954" s="116">
        <v>382</v>
      </c>
      <c r="F954" s="116">
        <v>370.05</v>
      </c>
      <c r="G954">
        <v>547666</v>
      </c>
      <c r="H954" s="116"/>
      <c r="I954" s="116"/>
      <c r="L954" s="170">
        <v>46111</v>
      </c>
      <c r="M954" s="116">
        <v>374.1</v>
      </c>
      <c r="N954" s="116">
        <v>384</v>
      </c>
      <c r="O954" s="116">
        <v>364.55</v>
      </c>
      <c r="P954" s="116">
        <v>384</v>
      </c>
      <c r="Q954" s="116">
        <v>374.1</v>
      </c>
      <c r="R954">
        <v>266297</v>
      </c>
    </row>
    <row r="955" spans="1:18" x14ac:dyDescent="0.25">
      <c r="A955" s="170">
        <v>46113</v>
      </c>
      <c r="B955" s="116">
        <v>401.8</v>
      </c>
      <c r="C955" s="116">
        <v>392.35</v>
      </c>
      <c r="D955" s="116">
        <v>380</v>
      </c>
      <c r="E955" s="116">
        <v>390</v>
      </c>
      <c r="F955" s="116">
        <v>392.35</v>
      </c>
      <c r="G955">
        <v>13973</v>
      </c>
      <c r="H955" s="116"/>
      <c r="I955" s="116"/>
      <c r="L955" s="170">
        <v>46113</v>
      </c>
      <c r="M955" s="116">
        <v>393.25</v>
      </c>
      <c r="N955" s="116">
        <v>402</v>
      </c>
      <c r="O955" s="116">
        <v>377.85</v>
      </c>
      <c r="P955" s="116">
        <v>379.9</v>
      </c>
      <c r="Q955" s="116">
        <v>393.25</v>
      </c>
      <c r="R955">
        <v>155866</v>
      </c>
    </row>
    <row r="956" spans="1:18" x14ac:dyDescent="0.25">
      <c r="A956" s="170">
        <v>46114</v>
      </c>
      <c r="B956" s="116">
        <v>414.9</v>
      </c>
      <c r="C956" s="116">
        <v>411</v>
      </c>
      <c r="D956" s="116">
        <v>377.9</v>
      </c>
      <c r="E956" s="116">
        <v>383</v>
      </c>
      <c r="F956" s="116">
        <v>411</v>
      </c>
      <c r="G956">
        <v>33823</v>
      </c>
      <c r="H956" s="116"/>
      <c r="I956" s="116"/>
      <c r="L956" s="170">
        <v>46114</v>
      </c>
      <c r="M956" s="116">
        <v>411.45</v>
      </c>
      <c r="N956" s="116">
        <v>415</v>
      </c>
      <c r="O956" s="116">
        <v>376.2</v>
      </c>
      <c r="P956" s="116">
        <v>385</v>
      </c>
      <c r="Q956" s="116">
        <v>411.45</v>
      </c>
      <c r="R956">
        <v>1782167</v>
      </c>
    </row>
    <row r="957" spans="1:18" x14ac:dyDescent="0.25">
      <c r="A957" s="170">
        <v>46118</v>
      </c>
      <c r="B957" s="116">
        <v>429.95</v>
      </c>
      <c r="C957" s="116">
        <v>421.85</v>
      </c>
      <c r="D957" s="116">
        <v>405.75</v>
      </c>
      <c r="E957" s="116">
        <v>429.95</v>
      </c>
      <c r="F957" s="116">
        <v>421.85</v>
      </c>
      <c r="G957">
        <v>11294</v>
      </c>
      <c r="H957" s="116"/>
      <c r="I957" s="116"/>
      <c r="L957" s="170">
        <v>46118</v>
      </c>
      <c r="M957" s="116">
        <v>422.1</v>
      </c>
      <c r="N957" s="116">
        <v>428</v>
      </c>
      <c r="O957" s="116">
        <v>405.2</v>
      </c>
      <c r="P957" s="116">
        <v>410</v>
      </c>
      <c r="Q957" s="116">
        <v>422.1</v>
      </c>
      <c r="R957">
        <v>198589</v>
      </c>
    </row>
    <row r="958" spans="1:18" x14ac:dyDescent="0.25">
      <c r="A958" s="170">
        <v>46119</v>
      </c>
      <c r="B958" s="116">
        <v>456.9</v>
      </c>
      <c r="C958" s="116">
        <v>451.75</v>
      </c>
      <c r="D958" s="116">
        <v>415</v>
      </c>
      <c r="E958" s="116">
        <v>426.55</v>
      </c>
      <c r="F958" s="116">
        <v>451.75</v>
      </c>
      <c r="G958">
        <v>11333</v>
      </c>
      <c r="H958" s="116"/>
      <c r="I958" s="116"/>
      <c r="L958" s="170">
        <v>46119</v>
      </c>
      <c r="M958" s="116">
        <v>450.1</v>
      </c>
      <c r="N958" s="116">
        <v>456.25</v>
      </c>
      <c r="O958" s="116">
        <v>415</v>
      </c>
      <c r="P958" s="116">
        <v>422.1</v>
      </c>
      <c r="Q958" s="116">
        <v>450.1</v>
      </c>
      <c r="R958">
        <v>304190</v>
      </c>
    </row>
    <row r="959" spans="1:18" x14ac:dyDescent="0.25">
      <c r="A959" s="170">
        <v>46120</v>
      </c>
      <c r="B959" s="116">
        <v>492.25</v>
      </c>
      <c r="C959" s="116">
        <v>484.65</v>
      </c>
      <c r="D959" s="116">
        <v>455.95</v>
      </c>
      <c r="E959" s="116">
        <v>475</v>
      </c>
      <c r="F959" s="116">
        <v>484.65</v>
      </c>
      <c r="G959">
        <v>20603</v>
      </c>
      <c r="H959" s="116"/>
      <c r="I959" s="116"/>
      <c r="L959" s="170">
        <v>46120</v>
      </c>
      <c r="M959" s="116">
        <v>484.45</v>
      </c>
      <c r="N959" s="116">
        <v>492</v>
      </c>
      <c r="O959" s="116">
        <v>455</v>
      </c>
      <c r="P959" s="116">
        <v>474</v>
      </c>
      <c r="Q959" s="116">
        <v>484.45</v>
      </c>
      <c r="R959">
        <v>243916</v>
      </c>
    </row>
    <row r="960" spans="1:18" x14ac:dyDescent="0.25">
      <c r="A960" s="170">
        <v>46121</v>
      </c>
      <c r="B960" s="116">
        <v>489.75</v>
      </c>
      <c r="C960" s="116">
        <v>475.35</v>
      </c>
      <c r="D960" s="116">
        <v>469.2</v>
      </c>
      <c r="E960" s="116">
        <v>484.7</v>
      </c>
      <c r="F960" s="116">
        <v>475.35</v>
      </c>
      <c r="G960">
        <v>5414</v>
      </c>
      <c r="H960" s="116"/>
      <c r="I960" s="116"/>
      <c r="L960" s="170">
        <v>46121</v>
      </c>
      <c r="M960" s="116">
        <v>476.15</v>
      </c>
      <c r="N960" s="116">
        <v>489.6</v>
      </c>
      <c r="O960" s="116">
        <v>468.7</v>
      </c>
      <c r="P960" s="116">
        <v>485</v>
      </c>
      <c r="Q960" s="116">
        <v>476.15</v>
      </c>
      <c r="R960">
        <v>119755</v>
      </c>
    </row>
    <row r="961" spans="1:18" x14ac:dyDescent="0.25">
      <c r="A961" s="170">
        <v>46122</v>
      </c>
      <c r="B961" s="116">
        <v>486.7</v>
      </c>
      <c r="C961" s="116">
        <v>481.05</v>
      </c>
      <c r="D961" s="116">
        <v>477</v>
      </c>
      <c r="E961" s="116">
        <v>486.7</v>
      </c>
      <c r="F961" s="116">
        <v>481.05</v>
      </c>
      <c r="G961">
        <v>5818</v>
      </c>
      <c r="H961" s="116"/>
      <c r="I961" s="116"/>
      <c r="L961" s="170">
        <v>46122</v>
      </c>
      <c r="M961" s="116">
        <v>480.15</v>
      </c>
      <c r="N961" s="116">
        <v>484.65</v>
      </c>
      <c r="O961" s="116">
        <v>475.25</v>
      </c>
      <c r="P961" s="116">
        <v>476.15</v>
      </c>
      <c r="Q961" s="116">
        <v>480.15</v>
      </c>
      <c r="R961">
        <v>61873</v>
      </c>
    </row>
    <row r="962" spans="1:18" x14ac:dyDescent="0.25">
      <c r="A962" s="170">
        <v>46125</v>
      </c>
      <c r="B962" s="116">
        <v>492</v>
      </c>
      <c r="C962" s="116">
        <v>487.4</v>
      </c>
      <c r="D962" s="116">
        <v>461.7</v>
      </c>
      <c r="E962" s="116">
        <v>471.3</v>
      </c>
      <c r="F962" s="116">
        <v>487.4</v>
      </c>
      <c r="G962">
        <v>9267</v>
      </c>
      <c r="H962" s="116"/>
      <c r="I962" s="116"/>
      <c r="L962" s="170">
        <v>46125</v>
      </c>
      <c r="M962" s="116">
        <v>485.7</v>
      </c>
      <c r="N962" s="116">
        <v>491.55</v>
      </c>
      <c r="O962" s="116">
        <v>461.65</v>
      </c>
      <c r="P962" s="116">
        <v>474.95</v>
      </c>
      <c r="Q962" s="116">
        <v>485.7</v>
      </c>
      <c r="R962">
        <v>103805</v>
      </c>
    </row>
    <row r="963" spans="1:18" x14ac:dyDescent="0.25">
      <c r="A963" s="170">
        <v>46127</v>
      </c>
      <c r="B963" s="116">
        <v>509.15</v>
      </c>
      <c r="C963" s="116">
        <v>500.7</v>
      </c>
      <c r="D963" s="116">
        <v>491.55</v>
      </c>
      <c r="E963" s="116">
        <v>494.95</v>
      </c>
      <c r="F963" s="116">
        <v>500.7</v>
      </c>
      <c r="G963">
        <v>6531</v>
      </c>
      <c r="H963" s="116"/>
      <c r="I963" s="116"/>
      <c r="L963" s="170">
        <v>46127</v>
      </c>
      <c r="M963" s="116">
        <v>501.65</v>
      </c>
      <c r="N963" s="116">
        <v>509</v>
      </c>
      <c r="O963" s="116">
        <v>491.15</v>
      </c>
      <c r="P963" s="116">
        <v>491.15</v>
      </c>
      <c r="Q963" s="116">
        <v>501.65</v>
      </c>
      <c r="R963">
        <v>110124</v>
      </c>
    </row>
    <row r="964" spans="1:18" x14ac:dyDescent="0.25">
      <c r="A964" s="170">
        <v>46128</v>
      </c>
      <c r="B964" s="116">
        <v>511.75</v>
      </c>
      <c r="C964" s="116">
        <v>501.25</v>
      </c>
      <c r="D964" s="116">
        <v>495.95</v>
      </c>
      <c r="E964" s="116">
        <v>503.85</v>
      </c>
      <c r="F964" s="116">
        <v>501.25</v>
      </c>
      <c r="G964">
        <v>3674</v>
      </c>
      <c r="H964" s="116"/>
      <c r="I964" s="116"/>
      <c r="L964" s="170">
        <v>46128</v>
      </c>
      <c r="M964" s="116">
        <v>499.2</v>
      </c>
      <c r="N964" s="116">
        <v>514.45000000000005</v>
      </c>
      <c r="O964" s="116">
        <v>495.1</v>
      </c>
      <c r="P964" s="116">
        <v>501.7</v>
      </c>
      <c r="Q964" s="116">
        <v>499.2</v>
      </c>
      <c r="R964">
        <v>51680</v>
      </c>
    </row>
    <row r="965" spans="1:18" x14ac:dyDescent="0.25">
      <c r="A965" s="170">
        <v>46129</v>
      </c>
      <c r="B965" s="116">
        <v>508</v>
      </c>
      <c r="C965" s="116">
        <v>500</v>
      </c>
      <c r="D965" s="116">
        <v>497</v>
      </c>
      <c r="E965" s="116">
        <v>503.85</v>
      </c>
      <c r="F965" s="116">
        <v>500</v>
      </c>
      <c r="G965">
        <v>2646</v>
      </c>
      <c r="H965" s="116"/>
      <c r="I965" s="116"/>
      <c r="L965" s="170">
        <v>46129</v>
      </c>
      <c r="M965" s="116">
        <v>500.25</v>
      </c>
      <c r="N965" s="116">
        <v>509</v>
      </c>
      <c r="O965" s="116">
        <v>499</v>
      </c>
      <c r="P965" s="116">
        <v>506</v>
      </c>
      <c r="Q965" s="116">
        <v>500.25</v>
      </c>
      <c r="R965">
        <v>30797</v>
      </c>
    </row>
    <row r="966" spans="1:18" x14ac:dyDescent="0.25">
      <c r="A966" s="170">
        <v>46132</v>
      </c>
      <c r="B966" s="116">
        <v>539.79999999999995</v>
      </c>
      <c r="C966" s="116">
        <v>499.95</v>
      </c>
      <c r="D966" s="116">
        <v>492.55</v>
      </c>
      <c r="E966" s="116">
        <v>519.75</v>
      </c>
      <c r="F966" s="116">
        <v>499.95</v>
      </c>
      <c r="G966">
        <v>14835</v>
      </c>
      <c r="H966" s="116"/>
      <c r="I966" s="116"/>
      <c r="L966" s="170">
        <v>46132</v>
      </c>
      <c r="M966" s="116">
        <v>501.1</v>
      </c>
      <c r="N966" s="116">
        <v>540</v>
      </c>
      <c r="O966" s="116">
        <v>492</v>
      </c>
      <c r="P966" s="116">
        <v>517</v>
      </c>
      <c r="Q966" s="116">
        <v>501.1</v>
      </c>
      <c r="R966">
        <v>589091</v>
      </c>
    </row>
    <row r="967" spans="1:18" x14ac:dyDescent="0.25">
      <c r="A967" s="170">
        <v>46133</v>
      </c>
      <c r="B967" s="116">
        <v>511.8</v>
      </c>
      <c r="C967" s="116">
        <v>500.3</v>
      </c>
      <c r="D967" s="116">
        <v>499.55</v>
      </c>
      <c r="E967" s="116">
        <v>511.4</v>
      </c>
      <c r="F967" s="116">
        <v>500.3</v>
      </c>
      <c r="G967">
        <v>3935</v>
      </c>
      <c r="H967" s="116"/>
      <c r="I967" s="116"/>
      <c r="L967" s="170">
        <v>46133</v>
      </c>
      <c r="M967" s="116">
        <v>500.6</v>
      </c>
      <c r="N967" s="116">
        <v>513.70000000000005</v>
      </c>
      <c r="O967" s="116">
        <v>500</v>
      </c>
      <c r="P967" s="116">
        <v>508.95</v>
      </c>
      <c r="Q967" s="116">
        <v>500.6</v>
      </c>
      <c r="R967">
        <v>70145</v>
      </c>
    </row>
    <row r="968" spans="1:18" x14ac:dyDescent="0.25">
      <c r="A968" s="170">
        <v>46134</v>
      </c>
      <c r="B968" s="116">
        <v>508</v>
      </c>
      <c r="C968" s="116">
        <v>504.4</v>
      </c>
      <c r="D968" s="116">
        <v>499.95</v>
      </c>
      <c r="E968" s="116">
        <v>507.75</v>
      </c>
      <c r="F968" s="116">
        <v>504.4</v>
      </c>
      <c r="G968">
        <v>4197</v>
      </c>
      <c r="H968" s="116"/>
      <c r="I968" s="116"/>
      <c r="L968" s="170">
        <v>46134</v>
      </c>
      <c r="M968" s="116">
        <v>504.45</v>
      </c>
      <c r="N968" s="116">
        <v>508.3</v>
      </c>
      <c r="O968" s="116">
        <v>499.75</v>
      </c>
      <c r="P968" s="116">
        <v>500.6</v>
      </c>
      <c r="Q968" s="116">
        <v>504.45</v>
      </c>
      <c r="R968">
        <v>64163</v>
      </c>
    </row>
    <row r="969" spans="1:18" x14ac:dyDescent="0.25">
      <c r="A969" s="170">
        <v>46135</v>
      </c>
      <c r="B969" s="116">
        <v>514.35</v>
      </c>
      <c r="C969" s="116">
        <v>501.65</v>
      </c>
      <c r="D969" s="116">
        <v>495.05</v>
      </c>
      <c r="E969" s="116">
        <v>508.55</v>
      </c>
      <c r="F969" s="116">
        <v>501.65</v>
      </c>
      <c r="G969">
        <v>4425</v>
      </c>
      <c r="H969" s="116"/>
      <c r="I969" s="116"/>
      <c r="L969" s="170">
        <v>46135</v>
      </c>
      <c r="M969" s="116">
        <v>501.55</v>
      </c>
      <c r="N969" s="116">
        <v>515.70000000000005</v>
      </c>
      <c r="O969" s="116">
        <v>499.85</v>
      </c>
      <c r="P969" s="116">
        <v>502.45</v>
      </c>
      <c r="Q969" s="116">
        <v>501.55</v>
      </c>
      <c r="R969">
        <v>87911</v>
      </c>
    </row>
    <row r="970" spans="1:18" x14ac:dyDescent="0.25">
      <c r="A970" s="170">
        <v>46136</v>
      </c>
      <c r="B970" s="116">
        <v>506.75</v>
      </c>
      <c r="C970" s="116">
        <v>500.55</v>
      </c>
      <c r="D970" s="116">
        <v>496.85</v>
      </c>
      <c r="E970" s="116">
        <v>506.75</v>
      </c>
      <c r="F970" s="116">
        <v>500.55</v>
      </c>
      <c r="G970">
        <v>3193</v>
      </c>
      <c r="H970" s="116"/>
      <c r="I970" s="116"/>
      <c r="L970" s="170">
        <v>46136</v>
      </c>
      <c r="M970" s="116">
        <v>500.85</v>
      </c>
      <c r="N970" s="116">
        <v>505</v>
      </c>
      <c r="O970" s="116">
        <v>496.85</v>
      </c>
      <c r="P970" s="116">
        <v>502.45</v>
      </c>
      <c r="Q970" s="116">
        <v>500.85</v>
      </c>
      <c r="R970">
        <v>72307</v>
      </c>
    </row>
    <row r="971" spans="1:18" x14ac:dyDescent="0.25">
      <c r="A971" s="170">
        <v>46139</v>
      </c>
      <c r="B971" s="116">
        <v>515</v>
      </c>
      <c r="C971" s="116">
        <v>492.75</v>
      </c>
      <c r="D971" s="116">
        <v>488.95</v>
      </c>
      <c r="E971" s="116">
        <v>515</v>
      </c>
      <c r="F971" s="116">
        <v>492.75</v>
      </c>
      <c r="G971">
        <v>4471</v>
      </c>
      <c r="H971" s="116"/>
      <c r="I971" s="116"/>
      <c r="L971" s="170">
        <v>46139</v>
      </c>
      <c r="M971" s="116">
        <v>491.55</v>
      </c>
      <c r="N971" s="116">
        <v>509.55</v>
      </c>
      <c r="O971" s="116">
        <v>487.35</v>
      </c>
      <c r="P971" s="116">
        <v>500.85</v>
      </c>
      <c r="Q971" s="116">
        <v>491.55</v>
      </c>
      <c r="R971">
        <v>89876</v>
      </c>
    </row>
    <row r="972" spans="1:18" x14ac:dyDescent="0.25">
      <c r="A972" s="170">
        <v>46140</v>
      </c>
      <c r="B972" s="116">
        <v>499.7</v>
      </c>
      <c r="C972" s="116">
        <v>493.65</v>
      </c>
      <c r="D972" s="116">
        <v>490</v>
      </c>
      <c r="E972" s="116">
        <v>497.1</v>
      </c>
      <c r="F972" s="116">
        <v>493.65</v>
      </c>
      <c r="G972">
        <v>5072</v>
      </c>
      <c r="H972" s="116"/>
      <c r="I972" s="116"/>
      <c r="L972" s="170">
        <v>46140</v>
      </c>
      <c r="M972" s="116">
        <v>493.05</v>
      </c>
      <c r="N972" s="116">
        <v>500.95</v>
      </c>
      <c r="O972" s="116">
        <v>489.95</v>
      </c>
      <c r="P972" s="116">
        <v>493.15</v>
      </c>
      <c r="Q972" s="116">
        <v>493.05</v>
      </c>
      <c r="R972">
        <v>60497</v>
      </c>
    </row>
    <row r="973" spans="1:18" x14ac:dyDescent="0.25">
      <c r="A973" s="170">
        <v>46141</v>
      </c>
      <c r="B973" s="116">
        <v>502.15</v>
      </c>
      <c r="C973" s="116">
        <v>489.5</v>
      </c>
      <c r="D973" s="116">
        <v>488.25</v>
      </c>
      <c r="E973" s="116">
        <v>491.35</v>
      </c>
      <c r="F973" s="116">
        <v>489.5</v>
      </c>
      <c r="G973">
        <v>5598</v>
      </c>
      <c r="H973" s="116"/>
      <c r="I973" s="116"/>
      <c r="L973" s="170">
        <v>46141</v>
      </c>
      <c r="M973" s="116">
        <v>489.6</v>
      </c>
      <c r="N973" s="116">
        <v>503.2</v>
      </c>
      <c r="O973" s="116">
        <v>488.1</v>
      </c>
      <c r="P973" s="116">
        <v>491</v>
      </c>
      <c r="Q973" s="116">
        <v>489.6</v>
      </c>
      <c r="R973">
        <v>63034</v>
      </c>
    </row>
    <row r="974" spans="1:18" x14ac:dyDescent="0.25">
      <c r="A974" s="170">
        <v>46142</v>
      </c>
      <c r="B974" s="116">
        <v>491.95</v>
      </c>
      <c r="C974" s="116">
        <v>489.65</v>
      </c>
      <c r="D974" s="116">
        <v>476.35</v>
      </c>
      <c r="E974" s="116">
        <v>489</v>
      </c>
      <c r="F974" s="116">
        <v>489.65</v>
      </c>
      <c r="G974">
        <v>7214</v>
      </c>
      <c r="H974" s="116"/>
      <c r="I974" s="116"/>
      <c r="L974" s="170">
        <v>46142</v>
      </c>
      <c r="M974" s="116">
        <v>489.4</v>
      </c>
      <c r="N974" s="116">
        <v>492</v>
      </c>
      <c r="O974" s="116">
        <v>476.3</v>
      </c>
      <c r="P974" s="116">
        <v>491</v>
      </c>
      <c r="Q974" s="116">
        <v>489.4</v>
      </c>
      <c r="R974">
        <v>66093</v>
      </c>
    </row>
    <row r="975" spans="1:18" x14ac:dyDescent="0.25">
      <c r="A975" s="170">
        <v>46146</v>
      </c>
      <c r="B975" s="116">
        <v>502.5</v>
      </c>
      <c r="C975" s="116">
        <v>496.25</v>
      </c>
      <c r="D975" s="116">
        <v>487</v>
      </c>
      <c r="E975" s="116">
        <v>487</v>
      </c>
      <c r="F975" s="116">
        <v>496.25</v>
      </c>
      <c r="G975">
        <v>3151</v>
      </c>
      <c r="H975" s="116"/>
      <c r="I975" s="116"/>
      <c r="L975" s="170">
        <v>46146</v>
      </c>
      <c r="M975" s="116">
        <v>497.7</v>
      </c>
      <c r="N975" s="116">
        <v>504.7</v>
      </c>
      <c r="O975" s="116">
        <v>488</v>
      </c>
      <c r="P975" s="116">
        <v>491</v>
      </c>
      <c r="Q975" s="116">
        <v>497.7</v>
      </c>
      <c r="R975">
        <v>52748</v>
      </c>
    </row>
    <row r="976" spans="1:18" x14ac:dyDescent="0.25">
      <c r="A976" s="170">
        <v>46147</v>
      </c>
      <c r="B976" s="116">
        <v>501.4</v>
      </c>
      <c r="C976" s="116">
        <v>496.4</v>
      </c>
      <c r="D976" s="116">
        <v>492.45</v>
      </c>
      <c r="E976" s="116">
        <v>501</v>
      </c>
      <c r="F976" s="116">
        <v>496.4</v>
      </c>
      <c r="G976">
        <v>5268</v>
      </c>
      <c r="H976" s="116"/>
      <c r="I976" s="116"/>
      <c r="L976" s="170">
        <v>46147</v>
      </c>
      <c r="M976" s="116">
        <v>497</v>
      </c>
      <c r="N976" s="116">
        <v>501.5</v>
      </c>
      <c r="O976" s="116">
        <v>492.1</v>
      </c>
      <c r="P976" s="116">
        <v>497</v>
      </c>
      <c r="Q976" s="116">
        <v>497</v>
      </c>
      <c r="R976">
        <v>64896</v>
      </c>
    </row>
    <row r="977" spans="1:18" x14ac:dyDescent="0.25">
      <c r="A977" s="170">
        <v>46148</v>
      </c>
      <c r="B977" s="116">
        <v>507</v>
      </c>
      <c r="C977" s="116">
        <v>502.25</v>
      </c>
      <c r="D977" s="116">
        <v>494.1</v>
      </c>
      <c r="E977" s="116">
        <v>499.95</v>
      </c>
      <c r="F977" s="116">
        <v>502.25</v>
      </c>
      <c r="G977">
        <v>5815</v>
      </c>
      <c r="H977" s="116"/>
      <c r="I977" s="116"/>
      <c r="L977" s="170">
        <v>46148</v>
      </c>
      <c r="M977" s="116">
        <v>502.65</v>
      </c>
      <c r="N977" s="116">
        <v>509.8</v>
      </c>
      <c r="O977" s="116">
        <v>494</v>
      </c>
      <c r="P977" s="116">
        <v>498</v>
      </c>
      <c r="Q977" s="116">
        <v>502.65</v>
      </c>
      <c r="R977">
        <v>91043</v>
      </c>
    </row>
    <row r="978" spans="1:18" x14ac:dyDescent="0.25">
      <c r="A978" s="170">
        <v>46149</v>
      </c>
      <c r="B978" s="116">
        <v>546.79999999999995</v>
      </c>
      <c r="C978" s="116">
        <v>536.5</v>
      </c>
      <c r="D978" s="116">
        <v>501.9</v>
      </c>
      <c r="E978" s="116">
        <v>510.05</v>
      </c>
      <c r="F978" s="116">
        <v>536.5</v>
      </c>
      <c r="G978">
        <v>112497</v>
      </c>
      <c r="H978" s="116"/>
      <c r="I978" s="116"/>
      <c r="L978" s="170">
        <v>46149</v>
      </c>
      <c r="M978" s="116">
        <v>536.5</v>
      </c>
      <c r="N978" s="116">
        <v>547.45000000000005</v>
      </c>
      <c r="O978" s="116">
        <v>500.6</v>
      </c>
      <c r="P978" s="116">
        <v>512</v>
      </c>
      <c r="Q978" s="116">
        <v>536.5</v>
      </c>
      <c r="R978">
        <v>866819</v>
      </c>
    </row>
    <row r="979" spans="1:18" x14ac:dyDescent="0.25">
      <c r="A979" s="170">
        <v>46150</v>
      </c>
      <c r="B979" s="116">
        <v>539.4</v>
      </c>
      <c r="C979" s="116">
        <v>519.45000000000005</v>
      </c>
      <c r="D979" s="116">
        <v>518.54999999999995</v>
      </c>
      <c r="E979" s="116">
        <v>536</v>
      </c>
      <c r="F979" s="116">
        <v>519.45000000000005</v>
      </c>
      <c r="G979">
        <v>76379</v>
      </c>
      <c r="H979" s="116"/>
      <c r="I979" s="116"/>
      <c r="L979" s="170">
        <v>46150</v>
      </c>
      <c r="M979" s="116">
        <v>519.45000000000005</v>
      </c>
      <c r="N979" s="116">
        <v>537.95000000000005</v>
      </c>
      <c r="O979" s="116">
        <v>518.20000000000005</v>
      </c>
      <c r="P979" s="116">
        <v>536.5</v>
      </c>
      <c r="Q979" s="116">
        <v>519.45000000000005</v>
      </c>
      <c r="R979">
        <v>158756</v>
      </c>
    </row>
    <row r="980" spans="1:18" x14ac:dyDescent="0.25">
      <c r="A980" s="170">
        <v>46153</v>
      </c>
      <c r="B980" s="116">
        <v>515.5</v>
      </c>
      <c r="C980" s="116">
        <v>500.9</v>
      </c>
      <c r="D980" s="116">
        <v>499.35</v>
      </c>
      <c r="E980" s="116">
        <v>514.04999999999995</v>
      </c>
      <c r="F980" s="116">
        <v>500.9</v>
      </c>
      <c r="G980">
        <v>20963</v>
      </c>
      <c r="H980" s="116"/>
      <c r="I980" s="116"/>
      <c r="L980" s="170">
        <v>46153</v>
      </c>
      <c r="M980" s="116">
        <v>501.25</v>
      </c>
      <c r="N980" s="116">
        <v>518</v>
      </c>
      <c r="O980" s="116">
        <v>500</v>
      </c>
      <c r="P980" s="116">
        <v>518</v>
      </c>
      <c r="Q980" s="116">
        <v>501.25</v>
      </c>
      <c r="R980">
        <v>107282</v>
      </c>
    </row>
    <row r="981" spans="1:18" x14ac:dyDescent="0.25">
      <c r="A981" s="170">
        <v>46154</v>
      </c>
      <c r="B981" s="116">
        <v>501.7</v>
      </c>
      <c r="C981" s="116">
        <v>470.6</v>
      </c>
      <c r="D981" s="116">
        <v>465.15</v>
      </c>
      <c r="E981" s="116">
        <v>498.9</v>
      </c>
      <c r="F981" s="116">
        <v>470.6</v>
      </c>
      <c r="G981">
        <v>7016</v>
      </c>
      <c r="H981" s="116"/>
      <c r="I981" s="116"/>
      <c r="L981" s="170">
        <v>46154</v>
      </c>
      <c r="M981" s="116">
        <v>471.2</v>
      </c>
      <c r="N981" s="116">
        <v>503.3</v>
      </c>
      <c r="O981" s="116">
        <v>461.7</v>
      </c>
      <c r="P981" s="116">
        <v>503</v>
      </c>
      <c r="Q981" s="116">
        <v>471.2</v>
      </c>
      <c r="R981">
        <v>163066</v>
      </c>
    </row>
    <row r="982" spans="1:18" x14ac:dyDescent="0.25">
      <c r="A982" s="170">
        <v>46155</v>
      </c>
      <c r="B982" s="116">
        <v>481.25</v>
      </c>
      <c r="C982" s="116">
        <v>474.5</v>
      </c>
      <c r="D982" s="116">
        <v>468.35</v>
      </c>
      <c r="E982" s="116">
        <v>479.25</v>
      </c>
      <c r="F982" s="116">
        <v>474.5</v>
      </c>
      <c r="G982">
        <v>8276</v>
      </c>
      <c r="H982" s="116"/>
      <c r="I982" s="116"/>
      <c r="L982" s="170">
        <v>46155</v>
      </c>
      <c r="M982" s="116">
        <v>472</v>
      </c>
      <c r="N982" s="116">
        <v>481.85</v>
      </c>
      <c r="O982" s="116">
        <v>466.35</v>
      </c>
      <c r="P982" s="116">
        <v>472</v>
      </c>
      <c r="Q982" s="116">
        <v>472</v>
      </c>
      <c r="R982">
        <v>111789</v>
      </c>
    </row>
    <row r="983" spans="1:18" x14ac:dyDescent="0.25">
      <c r="A983" s="170">
        <v>46156</v>
      </c>
      <c r="B983" s="116">
        <v>475.75</v>
      </c>
      <c r="C983" s="116">
        <v>467.5</v>
      </c>
      <c r="D983" s="116">
        <v>456.05</v>
      </c>
      <c r="E983" s="116">
        <v>471.45</v>
      </c>
      <c r="F983" s="116">
        <v>467.5</v>
      </c>
      <c r="G983">
        <v>18787</v>
      </c>
      <c r="H983" s="116"/>
      <c r="I983" s="116"/>
      <c r="L983" s="170">
        <v>46156</v>
      </c>
      <c r="M983" s="116">
        <v>466.85</v>
      </c>
      <c r="N983" s="116">
        <v>476.6</v>
      </c>
      <c r="O983" s="116">
        <v>456.2</v>
      </c>
      <c r="P983" s="116">
        <v>471.5</v>
      </c>
      <c r="Q983" s="116">
        <v>466.85</v>
      </c>
      <c r="R983">
        <v>84523</v>
      </c>
    </row>
    <row r="984" spans="1:18" x14ac:dyDescent="0.25">
      <c r="A984" s="170">
        <v>46157</v>
      </c>
      <c r="B984" s="116">
        <v>475.1</v>
      </c>
      <c r="C984" s="116">
        <v>470.1</v>
      </c>
      <c r="D984" s="116">
        <v>461.65</v>
      </c>
      <c r="E984" s="116">
        <v>468</v>
      </c>
      <c r="F984" s="116">
        <v>470.1</v>
      </c>
      <c r="G984">
        <v>3989</v>
      </c>
      <c r="H984" s="116"/>
      <c r="I984" s="116"/>
      <c r="L984" s="170">
        <v>46157</v>
      </c>
      <c r="M984" s="116">
        <v>470.55</v>
      </c>
      <c r="N984" s="116">
        <v>482.95</v>
      </c>
      <c r="O984" s="116">
        <v>461.4</v>
      </c>
      <c r="P984" s="116">
        <v>466.9</v>
      </c>
      <c r="Q984" s="116">
        <v>470.55</v>
      </c>
      <c r="R984">
        <v>49539</v>
      </c>
    </row>
    <row r="985" spans="1:18" x14ac:dyDescent="0.25">
      <c r="A985" s="170">
        <v>46160</v>
      </c>
      <c r="B985" s="116">
        <v>472.8</v>
      </c>
      <c r="C985" s="116">
        <v>461</v>
      </c>
      <c r="D985" s="116">
        <v>454.4</v>
      </c>
      <c r="E985" s="116">
        <v>472.8</v>
      </c>
      <c r="F985" s="116">
        <v>461</v>
      </c>
      <c r="G985">
        <v>3530</v>
      </c>
      <c r="H985" s="116"/>
      <c r="I985" s="116"/>
      <c r="L985" s="170">
        <v>46160</v>
      </c>
      <c r="M985" s="116">
        <v>460.85</v>
      </c>
      <c r="N985" s="116">
        <v>469</v>
      </c>
      <c r="O985" s="116">
        <v>452.55</v>
      </c>
      <c r="P985" s="116">
        <v>469</v>
      </c>
      <c r="Q985" s="116">
        <v>460.85</v>
      </c>
      <c r="R985">
        <v>73397</v>
      </c>
    </row>
    <row r="986" spans="1:18" x14ac:dyDescent="0.25">
      <c r="A986" s="170">
        <v>46161</v>
      </c>
      <c r="B986" s="116">
        <v>473.7</v>
      </c>
      <c r="C986" s="116">
        <v>465.05</v>
      </c>
      <c r="D986" s="116">
        <v>459.85</v>
      </c>
      <c r="E986" s="116">
        <v>459.95</v>
      </c>
      <c r="F986" s="116">
        <v>465.05</v>
      </c>
      <c r="G986">
        <v>2612</v>
      </c>
      <c r="H986" s="116"/>
      <c r="I986" s="116"/>
      <c r="L986" s="170">
        <v>46161</v>
      </c>
      <c r="M986" s="116">
        <v>465.05</v>
      </c>
      <c r="N986" s="116">
        <v>473.7</v>
      </c>
      <c r="O986" s="116">
        <v>460.85</v>
      </c>
      <c r="P986" s="116">
        <v>460.85</v>
      </c>
      <c r="Q986" s="116">
        <v>465.05</v>
      </c>
      <c r="R986">
        <v>47537</v>
      </c>
    </row>
    <row r="987" spans="1:18" x14ac:dyDescent="0.25">
      <c r="A987" s="170">
        <v>46162</v>
      </c>
      <c r="B987" s="116">
        <v>471.05</v>
      </c>
      <c r="C987" s="116">
        <v>461.5</v>
      </c>
      <c r="D987" s="116">
        <v>458</v>
      </c>
      <c r="E987" s="116">
        <v>458</v>
      </c>
      <c r="F987" s="116">
        <v>461.5</v>
      </c>
      <c r="G987">
        <v>4735</v>
      </c>
      <c r="H987" s="116"/>
      <c r="I987" s="116"/>
      <c r="L987" s="170">
        <v>46162</v>
      </c>
      <c r="M987" s="116">
        <v>463.3</v>
      </c>
      <c r="N987" s="116">
        <v>471.8</v>
      </c>
      <c r="O987" s="116">
        <v>458</v>
      </c>
      <c r="P987" s="116">
        <v>462.5</v>
      </c>
      <c r="Q987" s="116">
        <v>463.3</v>
      </c>
      <c r="R987">
        <v>48799</v>
      </c>
    </row>
    <row r="988" spans="1:18" x14ac:dyDescent="0.25">
      <c r="A988" s="170">
        <v>46163</v>
      </c>
      <c r="B988" s="116">
        <v>475.1</v>
      </c>
      <c r="C988" s="116">
        <v>471.3</v>
      </c>
      <c r="D988" s="116">
        <v>464.8</v>
      </c>
      <c r="E988" s="116">
        <v>467.85</v>
      </c>
      <c r="F988" s="116">
        <v>471.3</v>
      </c>
      <c r="G988">
        <v>2727</v>
      </c>
      <c r="H988" s="116"/>
      <c r="I988" s="116"/>
      <c r="L988" s="170">
        <v>46163</v>
      </c>
      <c r="M988" s="116">
        <v>471.2</v>
      </c>
      <c r="N988" s="116">
        <v>476</v>
      </c>
      <c r="O988" s="116">
        <v>464.3</v>
      </c>
      <c r="P988" s="116">
        <v>469.95</v>
      </c>
      <c r="Q988" s="116">
        <v>471.2</v>
      </c>
      <c r="R988">
        <v>46126</v>
      </c>
    </row>
    <row r="989" spans="1:18" x14ac:dyDescent="0.25">
      <c r="A989" s="170">
        <v>46164</v>
      </c>
      <c r="B989" s="116">
        <v>472.6</v>
      </c>
      <c r="C989" s="116">
        <v>470</v>
      </c>
      <c r="D989" s="116">
        <v>467.75</v>
      </c>
      <c r="E989" s="116">
        <v>472.6</v>
      </c>
      <c r="F989" s="116">
        <v>470</v>
      </c>
      <c r="G989">
        <v>1691</v>
      </c>
      <c r="H989" s="116"/>
      <c r="I989" s="116"/>
      <c r="L989" s="170">
        <v>46164</v>
      </c>
      <c r="M989" s="116">
        <v>471</v>
      </c>
      <c r="N989" s="116">
        <v>479</v>
      </c>
      <c r="O989" s="116">
        <v>467</v>
      </c>
      <c r="P989" s="116">
        <v>477.65</v>
      </c>
      <c r="Q989" s="116">
        <v>471</v>
      </c>
      <c r="R989">
        <v>26387</v>
      </c>
    </row>
    <row r="990" spans="1:18" x14ac:dyDescent="0.25">
      <c r="A990" s="170">
        <v>46167</v>
      </c>
      <c r="B990" s="116">
        <v>486.7</v>
      </c>
      <c r="C990" s="116">
        <v>484.2</v>
      </c>
      <c r="D990" s="116">
        <v>471.35</v>
      </c>
      <c r="E990" s="116">
        <v>472.95</v>
      </c>
      <c r="F990" s="116">
        <v>484.2</v>
      </c>
      <c r="G990">
        <v>1933</v>
      </c>
      <c r="H990" s="116"/>
      <c r="I990" s="116"/>
      <c r="L990" s="170">
        <v>46167</v>
      </c>
      <c r="M990" s="116">
        <v>484.9</v>
      </c>
      <c r="N990" s="116">
        <v>488.2</v>
      </c>
      <c r="O990" s="116">
        <v>471.3</v>
      </c>
      <c r="P990" s="116">
        <v>475</v>
      </c>
      <c r="Q990" s="116">
        <v>484.9</v>
      </c>
      <c r="R990">
        <v>61852</v>
      </c>
    </row>
    <row r="991" spans="1:18" x14ac:dyDescent="0.25">
      <c r="A991" s="170">
        <v>46168</v>
      </c>
      <c r="B991" s="116">
        <v>491.6</v>
      </c>
      <c r="C991" s="116">
        <v>476.8</v>
      </c>
      <c r="D991" s="116">
        <v>475</v>
      </c>
      <c r="E991" s="116">
        <v>491.6</v>
      </c>
      <c r="F991" s="116">
        <v>476.8</v>
      </c>
      <c r="G991">
        <v>3701</v>
      </c>
      <c r="H991" s="116"/>
      <c r="I991" s="116"/>
      <c r="L991" s="170">
        <v>46168</v>
      </c>
      <c r="M991" s="116">
        <v>476.55</v>
      </c>
      <c r="N991" s="116">
        <v>488.95</v>
      </c>
      <c r="O991" s="116">
        <v>474</v>
      </c>
      <c r="P991" s="116">
        <v>484.9</v>
      </c>
      <c r="Q991" s="116">
        <v>476.55</v>
      </c>
      <c r="R991">
        <v>57000</v>
      </c>
    </row>
    <row r="992" spans="1:18" x14ac:dyDescent="0.25">
      <c r="A992" s="170">
        <v>46169</v>
      </c>
      <c r="B992" s="116">
        <v>478.8</v>
      </c>
      <c r="C992" s="116">
        <v>475.8</v>
      </c>
      <c r="D992" s="116">
        <v>470.75</v>
      </c>
      <c r="E992" s="116">
        <v>472.85</v>
      </c>
      <c r="F992" s="116">
        <v>475.8</v>
      </c>
      <c r="G992">
        <v>6905</v>
      </c>
      <c r="H992" s="116"/>
      <c r="I992" s="116"/>
      <c r="L992" s="170">
        <v>46169</v>
      </c>
      <c r="M992" s="116">
        <v>474.95</v>
      </c>
      <c r="N992" s="116">
        <v>480</v>
      </c>
      <c r="O992" s="116">
        <v>470.55</v>
      </c>
      <c r="P992" s="116">
        <v>480</v>
      </c>
      <c r="Q992" s="116">
        <v>474.95</v>
      </c>
      <c r="R992">
        <v>57521</v>
      </c>
    </row>
    <row r="993" spans="1:18" x14ac:dyDescent="0.25">
      <c r="A993" s="170">
        <v>46171</v>
      </c>
      <c r="B993" s="116">
        <v>482.05</v>
      </c>
      <c r="C993" s="116">
        <v>466.6</v>
      </c>
      <c r="D993" s="116">
        <v>462.5</v>
      </c>
      <c r="E993" s="116">
        <v>480</v>
      </c>
      <c r="F993" s="116">
        <v>466.6</v>
      </c>
      <c r="G993">
        <v>5470</v>
      </c>
      <c r="H993" s="116"/>
      <c r="I993" s="116"/>
      <c r="L993" s="170">
        <v>46171</v>
      </c>
      <c r="M993" s="116">
        <v>469.05</v>
      </c>
      <c r="N993" s="116">
        <v>488.25</v>
      </c>
      <c r="O993" s="116">
        <v>461.5</v>
      </c>
      <c r="P993" s="116">
        <v>481</v>
      </c>
      <c r="Q993" s="116">
        <v>469.05</v>
      </c>
      <c r="R993">
        <v>51371</v>
      </c>
    </row>
    <row r="994" spans="1:18" x14ac:dyDescent="0.25">
      <c r="A994" s="170">
        <v>46174</v>
      </c>
      <c r="B994" s="116">
        <v>479.75</v>
      </c>
      <c r="C994" s="116">
        <v>470.55</v>
      </c>
      <c r="D994" s="116">
        <v>462.8</v>
      </c>
      <c r="E994" s="116">
        <v>479.75</v>
      </c>
      <c r="F994" s="116">
        <v>470.55</v>
      </c>
      <c r="G994">
        <v>2463</v>
      </c>
      <c r="H994" s="116"/>
      <c r="I994" s="116"/>
      <c r="L994" s="170">
        <v>46174</v>
      </c>
      <c r="M994" s="116">
        <v>470.2</v>
      </c>
      <c r="N994" s="116">
        <v>474.95</v>
      </c>
      <c r="O994" s="116">
        <v>462.5</v>
      </c>
      <c r="P994" s="116">
        <v>465</v>
      </c>
      <c r="Q994" s="116">
        <v>470.2</v>
      </c>
      <c r="R994">
        <v>44952</v>
      </c>
    </row>
    <row r="995" spans="1:18" x14ac:dyDescent="0.25">
      <c r="A995" s="170">
        <v>46175</v>
      </c>
      <c r="B995" s="116">
        <v>478.85</v>
      </c>
      <c r="C995" s="116">
        <v>467.65</v>
      </c>
      <c r="D995" s="116">
        <v>456.75</v>
      </c>
      <c r="E995" s="116">
        <v>470.55</v>
      </c>
      <c r="F995" s="116">
        <v>467.65</v>
      </c>
      <c r="G995">
        <v>4538</v>
      </c>
      <c r="H995" s="116"/>
      <c r="I995" s="116"/>
      <c r="L995" s="170">
        <v>46175</v>
      </c>
      <c r="M995" s="116">
        <v>466.7</v>
      </c>
      <c r="N995" s="116">
        <v>480</v>
      </c>
      <c r="O995" s="116">
        <v>452</v>
      </c>
      <c r="P995" s="116">
        <v>466.8</v>
      </c>
      <c r="Q995" s="116">
        <v>466.7</v>
      </c>
      <c r="R995">
        <v>107763</v>
      </c>
    </row>
    <row r="996" spans="1:18" x14ac:dyDescent="0.25">
      <c r="A996" s="170">
        <v>46176</v>
      </c>
      <c r="B996" s="116">
        <v>468.65</v>
      </c>
      <c r="C996" s="116">
        <v>466.6</v>
      </c>
      <c r="D996" s="116">
        <v>460.05</v>
      </c>
      <c r="E996" s="116">
        <v>467</v>
      </c>
      <c r="F996" s="116">
        <v>466.6</v>
      </c>
      <c r="G996">
        <v>4937</v>
      </c>
      <c r="H996" s="116"/>
      <c r="I996" s="116"/>
      <c r="L996" s="170">
        <v>46176</v>
      </c>
      <c r="M996" s="116">
        <v>466.9</v>
      </c>
      <c r="N996" s="116">
        <v>471.95</v>
      </c>
      <c r="O996" s="116">
        <v>460.05</v>
      </c>
      <c r="P996" s="116">
        <v>469.2</v>
      </c>
      <c r="Q996" s="116">
        <v>466.9</v>
      </c>
      <c r="R996">
        <v>51572</v>
      </c>
    </row>
    <row r="997" spans="1:18" x14ac:dyDescent="0.25">
      <c r="A997" s="170">
        <v>46177</v>
      </c>
      <c r="B997" s="116">
        <v>470.2</v>
      </c>
      <c r="C997" s="116">
        <v>468.25</v>
      </c>
      <c r="D997" s="116">
        <v>462</v>
      </c>
      <c r="E997" s="116">
        <v>466.6</v>
      </c>
      <c r="F997" s="116">
        <v>468.25</v>
      </c>
      <c r="G997">
        <v>14521</v>
      </c>
      <c r="H997" s="116"/>
      <c r="I997" s="116"/>
      <c r="L997" s="170">
        <v>46177</v>
      </c>
      <c r="M997" s="116">
        <v>468.05</v>
      </c>
      <c r="N997" s="116">
        <v>474.6</v>
      </c>
      <c r="O997" s="116">
        <v>461.2</v>
      </c>
      <c r="P997" s="116">
        <v>468.1</v>
      </c>
      <c r="Q997" s="116">
        <v>468.05</v>
      </c>
      <c r="R997">
        <v>45188</v>
      </c>
    </row>
    <row r="998" spans="1:18" x14ac:dyDescent="0.25">
      <c r="A998" s="170">
        <v>46178</v>
      </c>
      <c r="B998" s="116">
        <v>475</v>
      </c>
      <c r="C998" s="116">
        <v>465.6</v>
      </c>
      <c r="D998" s="116">
        <v>465</v>
      </c>
      <c r="E998" s="116">
        <v>468.25</v>
      </c>
      <c r="F998" s="116">
        <v>465.6</v>
      </c>
      <c r="G998">
        <v>5046</v>
      </c>
      <c r="H998" s="116"/>
      <c r="I998" s="116"/>
      <c r="L998" s="170">
        <v>46178</v>
      </c>
      <c r="M998" s="116">
        <v>465.95</v>
      </c>
      <c r="N998" s="116">
        <v>475.55</v>
      </c>
      <c r="O998" s="116">
        <v>465.05</v>
      </c>
      <c r="P998" s="116">
        <v>468.05</v>
      </c>
      <c r="Q998" s="116">
        <v>465.95</v>
      </c>
      <c r="R998">
        <v>41938</v>
      </c>
    </row>
    <row r="999" spans="1:18" x14ac:dyDescent="0.25">
      <c r="A999" s="170">
        <v>46181</v>
      </c>
      <c r="B999" s="116">
        <v>470.45</v>
      </c>
      <c r="C999" s="116">
        <v>465.45</v>
      </c>
      <c r="D999" s="116">
        <v>454</v>
      </c>
      <c r="E999" s="116">
        <v>454</v>
      </c>
      <c r="F999" s="116">
        <v>465.45</v>
      </c>
      <c r="G999">
        <v>2737</v>
      </c>
      <c r="H999" s="116"/>
      <c r="I999" s="116"/>
      <c r="L999" s="170">
        <v>46181</v>
      </c>
      <c r="M999" s="116">
        <v>465.35</v>
      </c>
      <c r="N999" s="116">
        <v>469.2</v>
      </c>
      <c r="O999" s="116">
        <v>454.9</v>
      </c>
      <c r="P999" s="116">
        <v>456.8</v>
      </c>
      <c r="Q999" s="116">
        <v>465.35</v>
      </c>
      <c r="R999">
        <v>49645</v>
      </c>
    </row>
    <row r="1000" spans="1:18" x14ac:dyDescent="0.25">
      <c r="A1000" s="170">
        <v>46182</v>
      </c>
      <c r="B1000" s="116">
        <v>485.5</v>
      </c>
      <c r="C1000" s="116">
        <v>481.6</v>
      </c>
      <c r="D1000" s="116">
        <v>464.75</v>
      </c>
      <c r="E1000" s="116">
        <v>464.95</v>
      </c>
      <c r="F1000" s="116">
        <v>481.6</v>
      </c>
      <c r="G1000">
        <v>6404</v>
      </c>
      <c r="H1000" s="116"/>
      <c r="I1000" s="116"/>
      <c r="L1000" s="170">
        <v>46182</v>
      </c>
      <c r="M1000" s="116">
        <v>483.35</v>
      </c>
      <c r="N1000" s="116">
        <v>487</v>
      </c>
      <c r="O1000" s="116">
        <v>464.65</v>
      </c>
      <c r="P1000" s="116">
        <v>467.8</v>
      </c>
      <c r="Q1000" s="116">
        <v>483.35</v>
      </c>
      <c r="R1000">
        <v>47941</v>
      </c>
    </row>
    <row r="1001" spans="1:18" x14ac:dyDescent="0.25">
      <c r="A1001" s="170">
        <v>46183</v>
      </c>
      <c r="B1001" s="116">
        <v>485.8</v>
      </c>
      <c r="C1001" s="116">
        <v>468.55</v>
      </c>
      <c r="D1001" s="116">
        <v>466.55</v>
      </c>
      <c r="E1001" s="116">
        <v>484.35</v>
      </c>
      <c r="F1001" s="116">
        <v>468.55</v>
      </c>
      <c r="G1001">
        <v>2316</v>
      </c>
      <c r="H1001" s="116"/>
      <c r="I1001" s="116"/>
      <c r="L1001" s="170">
        <v>46183</v>
      </c>
      <c r="M1001" s="116">
        <v>469.4</v>
      </c>
      <c r="N1001" s="116">
        <v>487</v>
      </c>
      <c r="O1001" s="116">
        <v>467.2</v>
      </c>
      <c r="P1001" s="116">
        <v>485</v>
      </c>
      <c r="Q1001" s="116">
        <v>469.4</v>
      </c>
      <c r="R1001">
        <v>35520</v>
      </c>
    </row>
    <row r="1002" spans="1:18" x14ac:dyDescent="0.25">
      <c r="A1002" s="170">
        <v>46184</v>
      </c>
      <c r="B1002" s="116">
        <v>472.55</v>
      </c>
      <c r="C1002" s="116">
        <v>469.2</v>
      </c>
      <c r="D1002" s="116">
        <v>464.85</v>
      </c>
      <c r="E1002" s="116">
        <v>470.85</v>
      </c>
      <c r="F1002" s="116">
        <v>469.2</v>
      </c>
      <c r="G1002">
        <v>2688</v>
      </c>
      <c r="H1002" s="116"/>
      <c r="I1002" s="116"/>
      <c r="L1002" s="170">
        <v>46184</v>
      </c>
      <c r="M1002" s="116">
        <v>469.4</v>
      </c>
      <c r="N1002" s="116">
        <v>475.75</v>
      </c>
      <c r="O1002" s="116">
        <v>463.3</v>
      </c>
      <c r="P1002" s="116">
        <v>468</v>
      </c>
      <c r="Q1002" s="116">
        <v>469.4</v>
      </c>
      <c r="R1002">
        <v>73111</v>
      </c>
    </row>
    <row r="1003" spans="1:18" x14ac:dyDescent="0.25">
      <c r="A1003" s="170">
        <v>46185</v>
      </c>
      <c r="B1003" s="116">
        <v>477.95</v>
      </c>
      <c r="C1003" s="116">
        <v>468.45</v>
      </c>
      <c r="D1003" s="116">
        <v>465.35</v>
      </c>
      <c r="E1003" s="116">
        <v>473.1</v>
      </c>
      <c r="F1003" s="116">
        <v>468.45</v>
      </c>
      <c r="G1003">
        <v>5388</v>
      </c>
      <c r="H1003" s="116"/>
      <c r="I1003" s="116"/>
      <c r="L1003" s="170">
        <v>46185</v>
      </c>
      <c r="M1003" s="116">
        <v>468.4</v>
      </c>
      <c r="N1003" s="116">
        <v>478.5</v>
      </c>
      <c r="O1003" s="116">
        <v>465.55</v>
      </c>
      <c r="P1003" s="116">
        <v>470.6</v>
      </c>
      <c r="Q1003" s="116">
        <v>468.4</v>
      </c>
      <c r="R1003">
        <v>87567</v>
      </c>
    </row>
    <row r="1004" spans="1:18" x14ac:dyDescent="0.25">
      <c r="A1004" s="170"/>
      <c r="B1004" s="116"/>
      <c r="C1004" s="116"/>
      <c r="D1004" s="116"/>
      <c r="E1004" s="116"/>
      <c r="F1004" s="116"/>
      <c r="H1004" s="116"/>
      <c r="I1004" s="116"/>
      <c r="L1004" s="170"/>
    </row>
    <row r="1005" spans="1:18" x14ac:dyDescent="0.25">
      <c r="A1005" s="170"/>
      <c r="B1005" s="116"/>
      <c r="C1005" s="116"/>
      <c r="D1005" s="116"/>
      <c r="E1005" s="116"/>
      <c r="F1005" s="116"/>
      <c r="H1005" s="116"/>
      <c r="I1005" s="116"/>
      <c r="L1005" s="170"/>
    </row>
    <row r="1006" spans="1:18" x14ac:dyDescent="0.25">
      <c r="A1006" s="170"/>
      <c r="B1006" s="116"/>
      <c r="C1006" s="116"/>
      <c r="D1006" s="116"/>
      <c r="E1006" s="116"/>
      <c r="F1006" s="116"/>
      <c r="H1006" s="116"/>
      <c r="I1006" s="116"/>
      <c r="L1006" s="170"/>
    </row>
    <row r="1007" spans="1:18" x14ac:dyDescent="0.25">
      <c r="A1007" s="170"/>
      <c r="B1007" s="116"/>
      <c r="C1007" s="116"/>
      <c r="D1007" s="116"/>
      <c r="E1007" s="116"/>
      <c r="F1007" s="116"/>
      <c r="H1007" s="116"/>
      <c r="I1007" s="116"/>
      <c r="L1007" s="170"/>
    </row>
    <row r="1008" spans="1:18" x14ac:dyDescent="0.25">
      <c r="A1008" s="170"/>
      <c r="B1008" s="116"/>
      <c r="C1008" s="116"/>
      <c r="D1008" s="116"/>
      <c r="E1008" s="116"/>
      <c r="F1008" s="116"/>
      <c r="H1008" s="116"/>
      <c r="I1008" s="116"/>
      <c r="L1008" s="170"/>
    </row>
    <row r="1009" spans="1:12" x14ac:dyDescent="0.25">
      <c r="A1009" s="170"/>
      <c r="B1009" s="116"/>
      <c r="C1009" s="116"/>
      <c r="D1009" s="116"/>
      <c r="E1009" s="116"/>
      <c r="F1009" s="116"/>
      <c r="H1009" s="116"/>
      <c r="I1009" s="116"/>
      <c r="L1009" s="170"/>
    </row>
    <row r="1010" spans="1:12" x14ac:dyDescent="0.25">
      <c r="A1010" s="170"/>
      <c r="B1010" s="116"/>
      <c r="C1010" s="116"/>
      <c r="D1010" s="116"/>
      <c r="E1010" s="116"/>
      <c r="F1010" s="116"/>
      <c r="H1010" s="116"/>
      <c r="I1010" s="116"/>
      <c r="L1010" s="170"/>
    </row>
    <row r="1011" spans="1:12" x14ac:dyDescent="0.25">
      <c r="A1011" s="170"/>
      <c r="B1011" s="116"/>
      <c r="C1011" s="116"/>
      <c r="D1011" s="116"/>
      <c r="E1011" s="116"/>
      <c r="F1011" s="116"/>
      <c r="H1011" s="116"/>
      <c r="I1011" s="116"/>
      <c r="L1011" s="170"/>
    </row>
    <row r="1012" spans="1:12" x14ac:dyDescent="0.25">
      <c r="A1012" s="170"/>
      <c r="B1012" s="116"/>
      <c r="C1012" s="116"/>
      <c r="D1012" s="116"/>
      <c r="E1012" s="116"/>
      <c r="F1012" s="116"/>
      <c r="H1012" s="116"/>
      <c r="I1012" s="116"/>
      <c r="L1012" s="170"/>
    </row>
    <row r="1013" spans="1:12" x14ac:dyDescent="0.25">
      <c r="A1013" s="170"/>
      <c r="B1013" s="116"/>
      <c r="C1013" s="116"/>
      <c r="D1013" s="116"/>
      <c r="E1013" s="116"/>
      <c r="F1013" s="116"/>
      <c r="H1013" s="116"/>
      <c r="I1013" s="116"/>
      <c r="L1013" s="170"/>
    </row>
    <row r="1014" spans="1:12" x14ac:dyDescent="0.25">
      <c r="A1014" s="170"/>
      <c r="B1014" s="116"/>
      <c r="C1014" s="116"/>
      <c r="D1014" s="116"/>
      <c r="E1014" s="116"/>
      <c r="F1014" s="116"/>
      <c r="H1014" s="116"/>
      <c r="I1014" s="116"/>
      <c r="L1014" s="170"/>
    </row>
    <row r="1015" spans="1:12" x14ac:dyDescent="0.25">
      <c r="A1015" s="170"/>
      <c r="B1015" s="116"/>
      <c r="C1015" s="116"/>
      <c r="D1015" s="116"/>
      <c r="E1015" s="116"/>
      <c r="F1015" s="116"/>
      <c r="H1015" s="116"/>
      <c r="I1015" s="116"/>
      <c r="L1015" s="170"/>
    </row>
    <row r="1016" spans="1:12" x14ac:dyDescent="0.25">
      <c r="A1016" s="170"/>
      <c r="B1016" s="116"/>
      <c r="C1016" s="116"/>
      <c r="D1016" s="116"/>
      <c r="E1016" s="116"/>
      <c r="F1016" s="116"/>
      <c r="H1016" s="116"/>
      <c r="I1016" s="116"/>
      <c r="L1016" s="170"/>
    </row>
    <row r="1017" spans="1:12" x14ac:dyDescent="0.25">
      <c r="A1017" s="170"/>
      <c r="B1017" s="116"/>
      <c r="C1017" s="116"/>
      <c r="D1017" s="116"/>
      <c r="E1017" s="116"/>
      <c r="F1017" s="116"/>
      <c r="H1017" s="116"/>
      <c r="I1017" s="116"/>
      <c r="L1017" s="170"/>
    </row>
    <row r="1018" spans="1:12" x14ac:dyDescent="0.25">
      <c r="A1018" s="170"/>
      <c r="B1018" s="116"/>
      <c r="C1018" s="116"/>
      <c r="D1018" s="116"/>
      <c r="E1018" s="116"/>
      <c r="F1018" s="116"/>
      <c r="H1018" s="116"/>
      <c r="I1018" s="116"/>
      <c r="L1018" s="170"/>
    </row>
    <row r="1019" spans="1:12" x14ac:dyDescent="0.25">
      <c r="A1019" s="170"/>
      <c r="B1019" s="116"/>
      <c r="C1019" s="116"/>
      <c r="D1019" s="116"/>
      <c r="E1019" s="116"/>
      <c r="F1019" s="116"/>
      <c r="H1019" s="116"/>
      <c r="I1019" s="116"/>
      <c r="L1019" s="170"/>
    </row>
    <row r="1020" spans="1:12" x14ac:dyDescent="0.25">
      <c r="A1020" s="170"/>
      <c r="B1020" s="116"/>
      <c r="C1020" s="116"/>
      <c r="D1020" s="116"/>
      <c r="E1020" s="116"/>
      <c r="F1020" s="116"/>
      <c r="H1020" s="116"/>
      <c r="I1020" s="116"/>
      <c r="L1020" s="170"/>
    </row>
    <row r="1021" spans="1:12" x14ac:dyDescent="0.25">
      <c r="A1021" s="170"/>
      <c r="B1021" s="116"/>
      <c r="C1021" s="116"/>
      <c r="D1021" s="116"/>
      <c r="E1021" s="116"/>
      <c r="F1021" s="116"/>
      <c r="H1021" s="116"/>
      <c r="I1021" s="116"/>
      <c r="L1021" s="170"/>
    </row>
    <row r="1022" spans="1:12" x14ac:dyDescent="0.25">
      <c r="A1022" s="170"/>
      <c r="B1022" s="116"/>
      <c r="C1022" s="116"/>
      <c r="D1022" s="116"/>
      <c r="E1022" s="116"/>
      <c r="F1022" s="116"/>
      <c r="H1022" s="116"/>
      <c r="I1022" s="116"/>
      <c r="L1022" s="170"/>
    </row>
    <row r="1023" spans="1:12" x14ac:dyDescent="0.25">
      <c r="A1023" s="170"/>
      <c r="B1023" s="116"/>
      <c r="C1023" s="116"/>
      <c r="D1023" s="116"/>
      <c r="E1023" s="116"/>
      <c r="F1023" s="116"/>
      <c r="H1023" s="116"/>
      <c r="I1023" s="116"/>
      <c r="L1023" s="170"/>
    </row>
    <row r="1024" spans="1:12" x14ac:dyDescent="0.25">
      <c r="A1024" s="170"/>
      <c r="B1024" s="116"/>
      <c r="C1024" s="116"/>
      <c r="D1024" s="116"/>
      <c r="E1024" s="116"/>
      <c r="F1024" s="116"/>
      <c r="H1024" s="116"/>
      <c r="I1024" s="116"/>
      <c r="L1024" s="170"/>
    </row>
    <row r="1025" spans="1:12" x14ac:dyDescent="0.25">
      <c r="A1025" s="170"/>
      <c r="B1025" s="116"/>
      <c r="C1025" s="116"/>
      <c r="D1025" s="116"/>
      <c r="E1025" s="116"/>
      <c r="F1025" s="116"/>
      <c r="H1025" s="116"/>
      <c r="I1025" s="116"/>
      <c r="L1025" s="170"/>
    </row>
    <row r="1026" spans="1:12" x14ac:dyDescent="0.25">
      <c r="A1026" s="170"/>
      <c r="B1026" s="116"/>
      <c r="C1026" s="116"/>
      <c r="D1026" s="116"/>
      <c r="E1026" s="116"/>
      <c r="F1026" s="116"/>
      <c r="H1026" s="116"/>
      <c r="I1026" s="116"/>
      <c r="L1026" s="170"/>
    </row>
    <row r="1027" spans="1:12" x14ac:dyDescent="0.25">
      <c r="A1027" s="170"/>
      <c r="B1027" s="116"/>
      <c r="C1027" s="116"/>
      <c r="D1027" s="116"/>
      <c r="E1027" s="116"/>
      <c r="F1027" s="116"/>
      <c r="H1027" s="116"/>
      <c r="I1027" s="116"/>
      <c r="L1027" s="170"/>
    </row>
    <row r="1028" spans="1:12" x14ac:dyDescent="0.25">
      <c r="A1028" s="170"/>
      <c r="B1028" s="116"/>
      <c r="C1028" s="116"/>
      <c r="D1028" s="116"/>
      <c r="E1028" s="116"/>
      <c r="F1028" s="116"/>
      <c r="H1028" s="116"/>
      <c r="I1028" s="116"/>
      <c r="L1028" s="170"/>
    </row>
    <row r="1029" spans="1:12" x14ac:dyDescent="0.25">
      <c r="A1029" s="170"/>
      <c r="B1029" s="116"/>
      <c r="C1029" s="116"/>
      <c r="D1029" s="116"/>
      <c r="E1029" s="116"/>
      <c r="F1029" s="116"/>
      <c r="H1029" s="116"/>
      <c r="I1029" s="116"/>
      <c r="L1029" s="170"/>
    </row>
    <row r="1030" spans="1:12" x14ac:dyDescent="0.25">
      <c r="A1030" s="170"/>
      <c r="B1030" s="116"/>
      <c r="C1030" s="116"/>
      <c r="D1030" s="116"/>
      <c r="E1030" s="116"/>
      <c r="F1030" s="116"/>
      <c r="H1030" s="116"/>
      <c r="I1030" s="116"/>
      <c r="L1030" s="170"/>
    </row>
    <row r="1031" spans="1:12" x14ac:dyDescent="0.25">
      <c r="A1031" s="170"/>
      <c r="B1031" s="116"/>
      <c r="C1031" s="116"/>
      <c r="D1031" s="116"/>
      <c r="E1031" s="116"/>
      <c r="F1031" s="116"/>
      <c r="H1031" s="116"/>
      <c r="I1031" s="116"/>
      <c r="L1031" s="170"/>
    </row>
    <row r="1032" spans="1:12" x14ac:dyDescent="0.25">
      <c r="A1032" s="170"/>
      <c r="B1032" s="116"/>
      <c r="C1032" s="116"/>
      <c r="D1032" s="116"/>
      <c r="E1032" s="116"/>
      <c r="F1032" s="116"/>
      <c r="H1032" s="116"/>
      <c r="I1032" s="116"/>
      <c r="L1032" s="170"/>
    </row>
    <row r="1033" spans="1:12" x14ac:dyDescent="0.25">
      <c r="A1033" s="170"/>
      <c r="B1033" s="116"/>
      <c r="C1033" s="116"/>
      <c r="D1033" s="116"/>
      <c r="E1033" s="116"/>
      <c r="F1033" s="116"/>
      <c r="H1033" s="116"/>
      <c r="I1033" s="116"/>
      <c r="L1033" s="170"/>
    </row>
    <row r="1034" spans="1:12" x14ac:dyDescent="0.25">
      <c r="A1034" s="170"/>
      <c r="B1034" s="116"/>
      <c r="C1034" s="116"/>
      <c r="D1034" s="116"/>
      <c r="E1034" s="116"/>
      <c r="F1034" s="116"/>
      <c r="H1034" s="116"/>
      <c r="I1034" s="116"/>
      <c r="L1034" s="170"/>
    </row>
    <row r="1035" spans="1:12" x14ac:dyDescent="0.25">
      <c r="A1035" s="170"/>
      <c r="B1035" s="116"/>
      <c r="C1035" s="116"/>
      <c r="D1035" s="116"/>
      <c r="E1035" s="116"/>
      <c r="F1035" s="116"/>
      <c r="H1035" s="116"/>
      <c r="I1035" s="116"/>
      <c r="L1035" s="170"/>
    </row>
    <row r="1036" spans="1:12" x14ac:dyDescent="0.25">
      <c r="A1036" s="170"/>
      <c r="B1036" s="116"/>
      <c r="C1036" s="116"/>
      <c r="D1036" s="116"/>
      <c r="E1036" s="116"/>
      <c r="F1036" s="116"/>
      <c r="H1036" s="116"/>
      <c r="I1036" s="116"/>
      <c r="L1036" s="170"/>
    </row>
    <row r="1037" spans="1:12" x14ac:dyDescent="0.25">
      <c r="A1037" s="170"/>
      <c r="B1037" s="116"/>
      <c r="C1037" s="116"/>
      <c r="D1037" s="116"/>
      <c r="E1037" s="116"/>
      <c r="F1037" s="116"/>
      <c r="H1037" s="116"/>
      <c r="I1037" s="116"/>
      <c r="L1037" s="170"/>
    </row>
    <row r="1038" spans="1:12" x14ac:dyDescent="0.25">
      <c r="A1038" s="170"/>
      <c r="B1038" s="116"/>
      <c r="C1038" s="116"/>
      <c r="D1038" s="116"/>
      <c r="E1038" s="116"/>
      <c r="F1038" s="116"/>
      <c r="H1038" s="116"/>
      <c r="I1038" s="116"/>
      <c r="L1038" s="170"/>
    </row>
    <row r="1039" spans="1:12" x14ac:dyDescent="0.25">
      <c r="A1039" s="170"/>
      <c r="B1039" s="116"/>
      <c r="C1039" s="116"/>
      <c r="D1039" s="116"/>
      <c r="E1039" s="116"/>
      <c r="F1039" s="116"/>
      <c r="H1039" s="116"/>
      <c r="I1039" s="116"/>
      <c r="L1039" s="170"/>
    </row>
    <row r="1040" spans="1:12" x14ac:dyDescent="0.25">
      <c r="A1040" s="170"/>
      <c r="B1040" s="116"/>
      <c r="C1040" s="116"/>
      <c r="D1040" s="116"/>
      <c r="E1040" s="116"/>
      <c r="F1040" s="116"/>
      <c r="H1040" s="116"/>
      <c r="I1040" s="116"/>
      <c r="L1040" s="170"/>
    </row>
    <row r="1041" spans="1:12" x14ac:dyDescent="0.25">
      <c r="A1041" s="170"/>
      <c r="B1041" s="116"/>
      <c r="C1041" s="116"/>
      <c r="D1041" s="116"/>
      <c r="E1041" s="116"/>
      <c r="F1041" s="116"/>
      <c r="H1041" s="116"/>
      <c r="I1041" s="116"/>
      <c r="L1041" s="170"/>
    </row>
    <row r="1042" spans="1:12" x14ac:dyDescent="0.25">
      <c r="A1042" s="170"/>
      <c r="B1042" s="116"/>
      <c r="C1042" s="116"/>
      <c r="D1042" s="116"/>
      <c r="E1042" s="116"/>
      <c r="F1042" s="116"/>
      <c r="H1042" s="116"/>
      <c r="I1042" s="116"/>
      <c r="L1042" s="170"/>
    </row>
    <row r="1043" spans="1:12" x14ac:dyDescent="0.25">
      <c r="A1043" s="170"/>
      <c r="B1043" s="116"/>
      <c r="C1043" s="116"/>
      <c r="D1043" s="116"/>
      <c r="E1043" s="116"/>
      <c r="F1043" s="116"/>
      <c r="H1043" s="116"/>
      <c r="I1043" s="116"/>
      <c r="L1043" s="170"/>
    </row>
    <row r="1044" spans="1:12" x14ac:dyDescent="0.25">
      <c r="A1044" s="170"/>
      <c r="B1044" s="116"/>
      <c r="C1044" s="116"/>
      <c r="D1044" s="116"/>
      <c r="E1044" s="116"/>
      <c r="F1044" s="116"/>
      <c r="H1044" s="116"/>
      <c r="I1044" s="116"/>
      <c r="L1044" s="170"/>
    </row>
    <row r="1045" spans="1:12" x14ac:dyDescent="0.25">
      <c r="A1045" s="170"/>
      <c r="B1045" s="116"/>
      <c r="C1045" s="116"/>
      <c r="D1045" s="116"/>
      <c r="E1045" s="116"/>
      <c r="F1045" s="116"/>
      <c r="H1045" s="116"/>
      <c r="I1045" s="116"/>
      <c r="L1045" s="170"/>
    </row>
    <row r="1046" spans="1:12" x14ac:dyDescent="0.25">
      <c r="A1046" s="170"/>
      <c r="B1046" s="116"/>
      <c r="C1046" s="116"/>
      <c r="D1046" s="116"/>
      <c r="E1046" s="116"/>
      <c r="F1046" s="116"/>
      <c r="H1046" s="116"/>
      <c r="I1046" s="116"/>
      <c r="L1046" s="170"/>
    </row>
    <row r="1047" spans="1:12" x14ac:dyDescent="0.25">
      <c r="A1047" s="170"/>
      <c r="B1047" s="116"/>
      <c r="C1047" s="116"/>
      <c r="D1047" s="116"/>
      <c r="E1047" s="116"/>
      <c r="F1047" s="116"/>
      <c r="H1047" s="116"/>
      <c r="I1047" s="116"/>
      <c r="L1047" s="170"/>
    </row>
    <row r="1048" spans="1:12" x14ac:dyDescent="0.25">
      <c r="A1048" s="170"/>
      <c r="B1048" s="116"/>
      <c r="C1048" s="116"/>
      <c r="D1048" s="116"/>
      <c r="E1048" s="116"/>
      <c r="F1048" s="116"/>
      <c r="H1048" s="116"/>
      <c r="I1048" s="116"/>
      <c r="L1048" s="170"/>
    </row>
    <row r="1049" spans="1:12" x14ac:dyDescent="0.25">
      <c r="A1049" s="170"/>
      <c r="B1049" s="116"/>
      <c r="C1049" s="116"/>
      <c r="D1049" s="116"/>
      <c r="E1049" s="116"/>
      <c r="F1049" s="116"/>
      <c r="H1049" s="116"/>
      <c r="I1049" s="116"/>
      <c r="L1049" s="170"/>
    </row>
    <row r="1050" spans="1:12" x14ac:dyDescent="0.25">
      <c r="A1050" s="170"/>
      <c r="B1050" s="116"/>
      <c r="C1050" s="116"/>
      <c r="D1050" s="116"/>
      <c r="E1050" s="116"/>
      <c r="F1050" s="116"/>
      <c r="H1050" s="116"/>
      <c r="I1050" s="116"/>
      <c r="L1050" s="170"/>
    </row>
    <row r="1051" spans="1:12" x14ac:dyDescent="0.25">
      <c r="A1051" s="170"/>
      <c r="B1051" s="116"/>
      <c r="C1051" s="116"/>
      <c r="D1051" s="116"/>
      <c r="E1051" s="116"/>
      <c r="F1051" s="116"/>
      <c r="H1051" s="116"/>
      <c r="I1051" s="116"/>
      <c r="L1051" s="170"/>
    </row>
    <row r="1052" spans="1:12" x14ac:dyDescent="0.25">
      <c r="A1052" s="170"/>
      <c r="B1052" s="116"/>
      <c r="C1052" s="116"/>
      <c r="D1052" s="116"/>
      <c r="E1052" s="116"/>
      <c r="F1052" s="116"/>
      <c r="H1052" s="116"/>
      <c r="I1052" s="116"/>
      <c r="L1052" s="170"/>
    </row>
    <row r="1053" spans="1:12" x14ac:dyDescent="0.25">
      <c r="A1053" s="170"/>
      <c r="B1053" s="116"/>
      <c r="C1053" s="116"/>
      <c r="D1053" s="116"/>
      <c r="E1053" s="116"/>
      <c r="F1053" s="116"/>
      <c r="H1053" s="116"/>
      <c r="I1053" s="116"/>
      <c r="L1053" s="170"/>
    </row>
    <row r="1054" spans="1:12" x14ac:dyDescent="0.25">
      <c r="A1054" s="170"/>
      <c r="B1054" s="116"/>
      <c r="C1054" s="116"/>
      <c r="D1054" s="116"/>
      <c r="E1054" s="116"/>
      <c r="F1054" s="116"/>
      <c r="H1054" s="116"/>
      <c r="I1054" s="116"/>
      <c r="L1054" s="170"/>
    </row>
    <row r="1055" spans="1:12" x14ac:dyDescent="0.25">
      <c r="A1055" s="170"/>
      <c r="B1055" s="116"/>
      <c r="C1055" s="116"/>
      <c r="D1055" s="116"/>
      <c r="E1055" s="116"/>
      <c r="F1055" s="116"/>
      <c r="H1055" s="116"/>
      <c r="I1055" s="116"/>
      <c r="L1055" s="170"/>
    </row>
    <row r="1056" spans="1:12" x14ac:dyDescent="0.25">
      <c r="A1056" s="170"/>
      <c r="B1056" s="116"/>
      <c r="C1056" s="116"/>
      <c r="D1056" s="116"/>
      <c r="E1056" s="116"/>
      <c r="F1056" s="116"/>
      <c r="H1056" s="116"/>
      <c r="I1056" s="116"/>
      <c r="L1056" s="170"/>
    </row>
    <row r="1057" spans="1:12" x14ac:dyDescent="0.25">
      <c r="A1057" s="170"/>
      <c r="B1057" s="116"/>
      <c r="C1057" s="116"/>
      <c r="D1057" s="116"/>
      <c r="E1057" s="116"/>
      <c r="F1057" s="116"/>
      <c r="H1057" s="116"/>
      <c r="I1057" s="116"/>
      <c r="L1057" s="170"/>
    </row>
    <row r="1058" spans="1:12" x14ac:dyDescent="0.25">
      <c r="A1058" s="170"/>
      <c r="B1058" s="116"/>
      <c r="C1058" s="116"/>
      <c r="D1058" s="116"/>
      <c r="E1058" s="116"/>
      <c r="F1058" s="116"/>
      <c r="H1058" s="116"/>
      <c r="I1058" s="116"/>
      <c r="L1058" s="170"/>
    </row>
    <row r="1059" spans="1:12" x14ac:dyDescent="0.25">
      <c r="A1059" s="170"/>
      <c r="B1059" s="116"/>
      <c r="C1059" s="116"/>
      <c r="D1059" s="116"/>
      <c r="E1059" s="116"/>
      <c r="F1059" s="116"/>
      <c r="H1059" s="116"/>
      <c r="I1059" s="116"/>
      <c r="L1059" s="170"/>
    </row>
    <row r="1060" spans="1:12" x14ac:dyDescent="0.25">
      <c r="A1060" s="170"/>
      <c r="B1060" s="116"/>
      <c r="C1060" s="116"/>
      <c r="D1060" s="116"/>
      <c r="E1060" s="116"/>
      <c r="F1060" s="116"/>
      <c r="H1060" s="116"/>
      <c r="I1060" s="116"/>
      <c r="L1060" s="170"/>
    </row>
    <row r="1061" spans="1:12" x14ac:dyDescent="0.25">
      <c r="A1061" s="170"/>
      <c r="B1061" s="116"/>
      <c r="C1061" s="116"/>
      <c r="D1061" s="116"/>
      <c r="E1061" s="116"/>
      <c r="F1061" s="116"/>
      <c r="H1061" s="116"/>
      <c r="I1061" s="116"/>
      <c r="L1061" s="170"/>
    </row>
    <row r="1062" spans="1:12" x14ac:dyDescent="0.25">
      <c r="A1062" s="170"/>
      <c r="B1062" s="116"/>
      <c r="C1062" s="116"/>
      <c r="D1062" s="116"/>
      <c r="E1062" s="116"/>
      <c r="F1062" s="116"/>
      <c r="H1062" s="116"/>
      <c r="I1062" s="116"/>
      <c r="L1062" s="170"/>
    </row>
    <row r="1063" spans="1:12" x14ac:dyDescent="0.25">
      <c r="A1063" s="170"/>
      <c r="B1063" s="116"/>
      <c r="C1063" s="116"/>
      <c r="D1063" s="116"/>
      <c r="E1063" s="116"/>
      <c r="F1063" s="116"/>
      <c r="H1063" s="116"/>
      <c r="I1063" s="116"/>
      <c r="L1063" s="170"/>
    </row>
    <row r="1064" spans="1:12" x14ac:dyDescent="0.25">
      <c r="A1064" s="170"/>
      <c r="B1064" s="116"/>
      <c r="C1064" s="116"/>
      <c r="D1064" s="116"/>
      <c r="E1064" s="116"/>
      <c r="F1064" s="116"/>
      <c r="H1064" s="116"/>
      <c r="I1064" s="116"/>
      <c r="L1064" s="170"/>
    </row>
    <row r="1065" spans="1:12" x14ac:dyDescent="0.25">
      <c r="A1065" s="170"/>
      <c r="B1065" s="116"/>
      <c r="C1065" s="116"/>
      <c r="D1065" s="116"/>
      <c r="E1065" s="116"/>
      <c r="F1065" s="116"/>
      <c r="H1065" s="116"/>
      <c r="I1065" s="116"/>
      <c r="L1065" s="170"/>
    </row>
    <row r="1066" spans="1:12" x14ac:dyDescent="0.25">
      <c r="A1066" s="170"/>
      <c r="B1066" s="116"/>
      <c r="C1066" s="116"/>
      <c r="D1066" s="116"/>
      <c r="E1066" s="116"/>
      <c r="F1066" s="116"/>
      <c r="H1066" s="116"/>
      <c r="I1066" s="116"/>
      <c r="L1066" s="170"/>
    </row>
    <row r="1067" spans="1:12" x14ac:dyDescent="0.25">
      <c r="A1067" s="170"/>
      <c r="B1067" s="116"/>
      <c r="C1067" s="116"/>
      <c r="D1067" s="116"/>
      <c r="E1067" s="116"/>
      <c r="F1067" s="116"/>
      <c r="H1067" s="116"/>
      <c r="I1067" s="116"/>
      <c r="L1067" s="170"/>
    </row>
    <row r="1068" spans="1:12" x14ac:dyDescent="0.25">
      <c r="A1068" s="170"/>
      <c r="B1068" s="116"/>
      <c r="C1068" s="116"/>
      <c r="D1068" s="116"/>
      <c r="E1068" s="116"/>
      <c r="F1068" s="116"/>
      <c r="H1068" s="116"/>
      <c r="I1068" s="116"/>
      <c r="L1068" s="170"/>
    </row>
    <row r="1069" spans="1:12" x14ac:dyDescent="0.25">
      <c r="A1069" s="170"/>
      <c r="B1069" s="116"/>
      <c r="C1069" s="116"/>
      <c r="D1069" s="116"/>
      <c r="E1069" s="116"/>
      <c r="F1069" s="116"/>
      <c r="H1069" s="116"/>
      <c r="I1069" s="116"/>
      <c r="L1069" s="170"/>
    </row>
    <row r="1070" spans="1:12" x14ac:dyDescent="0.25">
      <c r="A1070" s="170"/>
      <c r="B1070" s="116"/>
      <c r="C1070" s="116"/>
      <c r="D1070" s="116"/>
      <c r="E1070" s="116"/>
      <c r="F1070" s="116"/>
      <c r="H1070" s="116"/>
      <c r="I1070" s="116"/>
      <c r="L1070" s="170"/>
    </row>
    <row r="1071" spans="1:12" x14ac:dyDescent="0.25">
      <c r="A1071" s="170"/>
      <c r="B1071" s="116"/>
      <c r="C1071" s="116"/>
      <c r="D1071" s="116"/>
      <c r="E1071" s="116"/>
      <c r="F1071" s="116"/>
      <c r="H1071" s="116"/>
      <c r="I1071" s="116"/>
      <c r="L1071" s="170"/>
    </row>
    <row r="1072" spans="1:12" x14ac:dyDescent="0.25">
      <c r="A1072" s="170"/>
      <c r="B1072" s="116"/>
      <c r="C1072" s="116"/>
      <c r="D1072" s="116"/>
      <c r="E1072" s="116"/>
      <c r="F1072" s="116"/>
      <c r="H1072" s="116"/>
      <c r="I1072" s="116"/>
      <c r="L1072" s="170"/>
    </row>
    <row r="1073" spans="1:12" x14ac:dyDescent="0.25">
      <c r="A1073" s="170"/>
      <c r="B1073" s="116"/>
      <c r="C1073" s="116"/>
      <c r="D1073" s="116"/>
      <c r="E1073" s="116"/>
      <c r="F1073" s="116"/>
      <c r="H1073" s="116"/>
      <c r="I1073" s="116"/>
      <c r="L1073" s="170"/>
    </row>
    <row r="1074" spans="1:12" x14ac:dyDescent="0.25">
      <c r="A1074" s="170"/>
      <c r="B1074" s="116"/>
      <c r="C1074" s="116"/>
      <c r="D1074" s="116"/>
      <c r="E1074" s="116"/>
      <c r="F1074" s="116"/>
      <c r="H1074" s="116"/>
      <c r="I1074" s="116"/>
      <c r="L1074" s="170"/>
    </row>
    <row r="1075" spans="1:12" x14ac:dyDescent="0.25">
      <c r="A1075" s="170"/>
      <c r="B1075" s="116"/>
      <c r="C1075" s="116"/>
      <c r="D1075" s="116"/>
      <c r="E1075" s="116"/>
      <c r="F1075" s="116"/>
      <c r="H1075" s="116"/>
      <c r="I1075" s="116"/>
      <c r="L1075" s="170"/>
    </row>
    <row r="1076" spans="1:12" x14ac:dyDescent="0.25">
      <c r="A1076" s="170"/>
      <c r="B1076" s="116"/>
      <c r="C1076" s="116"/>
      <c r="D1076" s="116"/>
      <c r="E1076" s="116"/>
      <c r="F1076" s="116"/>
      <c r="H1076" s="116"/>
      <c r="I1076" s="116"/>
      <c r="L1076" s="170"/>
    </row>
    <row r="1077" spans="1:12" x14ac:dyDescent="0.25">
      <c r="A1077" s="170"/>
      <c r="B1077" s="116"/>
      <c r="C1077" s="116"/>
      <c r="D1077" s="116"/>
      <c r="E1077" s="116"/>
      <c r="F1077" s="116"/>
      <c r="H1077" s="116"/>
      <c r="I1077" s="116"/>
      <c r="L1077" s="170"/>
    </row>
    <row r="1078" spans="1:12" x14ac:dyDescent="0.25">
      <c r="A1078" s="170"/>
      <c r="B1078" s="116"/>
      <c r="C1078" s="116"/>
      <c r="D1078" s="116"/>
      <c r="E1078" s="116"/>
      <c r="F1078" s="116"/>
      <c r="H1078" s="116"/>
      <c r="I1078" s="116"/>
      <c r="L1078" s="170"/>
    </row>
    <row r="1079" spans="1:12" x14ac:dyDescent="0.25">
      <c r="A1079" s="170"/>
      <c r="B1079" s="116"/>
      <c r="C1079" s="116"/>
      <c r="D1079" s="116"/>
      <c r="E1079" s="116"/>
      <c r="F1079" s="116"/>
      <c r="H1079" s="116"/>
      <c r="I1079" s="116"/>
      <c r="L1079" s="170"/>
    </row>
    <row r="1080" spans="1:12" x14ac:dyDescent="0.25">
      <c r="A1080" s="170"/>
      <c r="B1080" s="116"/>
      <c r="C1080" s="116"/>
      <c r="D1080" s="116"/>
      <c r="E1080" s="116"/>
      <c r="F1080" s="116"/>
      <c r="H1080" s="116"/>
      <c r="I1080" s="116"/>
      <c r="L1080" s="170"/>
    </row>
    <row r="1081" spans="1:12" x14ac:dyDescent="0.25">
      <c r="A1081" s="170"/>
      <c r="B1081" s="116"/>
      <c r="C1081" s="116"/>
      <c r="D1081" s="116"/>
      <c r="E1081" s="116"/>
      <c r="F1081" s="116"/>
      <c r="H1081" s="116"/>
      <c r="I1081" s="116"/>
      <c r="L1081" s="170"/>
    </row>
    <row r="1082" spans="1:12" x14ac:dyDescent="0.25">
      <c r="A1082" s="170"/>
      <c r="B1082" s="116"/>
      <c r="C1082" s="116"/>
      <c r="D1082" s="116"/>
      <c r="E1082" s="116"/>
      <c r="F1082" s="116"/>
      <c r="H1082" s="116"/>
      <c r="I1082" s="116"/>
      <c r="L1082" s="170"/>
    </row>
    <row r="1083" spans="1:12" x14ac:dyDescent="0.25">
      <c r="A1083" s="170"/>
      <c r="B1083" s="116"/>
      <c r="C1083" s="116"/>
      <c r="D1083" s="116"/>
      <c r="E1083" s="116"/>
      <c r="F1083" s="116"/>
      <c r="H1083" s="116"/>
      <c r="I1083" s="116"/>
      <c r="L1083" s="170"/>
    </row>
    <row r="1084" spans="1:12" x14ac:dyDescent="0.25">
      <c r="A1084" s="170"/>
      <c r="B1084" s="116"/>
      <c r="C1084" s="116"/>
      <c r="D1084" s="116"/>
      <c r="E1084" s="116"/>
      <c r="F1084" s="116"/>
      <c r="H1084" s="116"/>
      <c r="I1084" s="116"/>
      <c r="L1084" s="170"/>
    </row>
    <row r="1085" spans="1:12" x14ac:dyDescent="0.25">
      <c r="A1085" s="170"/>
      <c r="B1085" s="116"/>
      <c r="C1085" s="116"/>
      <c r="D1085" s="116"/>
      <c r="E1085" s="116"/>
      <c r="F1085" s="116"/>
      <c r="H1085" s="116"/>
      <c r="I1085" s="116"/>
      <c r="L1085" s="170"/>
    </row>
    <row r="1086" spans="1:12" x14ac:dyDescent="0.25">
      <c r="A1086" s="170"/>
      <c r="B1086" s="116"/>
      <c r="C1086" s="116"/>
      <c r="D1086" s="116"/>
      <c r="E1086" s="116"/>
      <c r="F1086" s="116"/>
      <c r="H1086" s="116"/>
      <c r="I1086" s="116"/>
      <c r="L1086" s="170"/>
    </row>
    <row r="1087" spans="1:12" x14ac:dyDescent="0.25">
      <c r="A1087" s="170"/>
      <c r="B1087" s="116"/>
      <c r="C1087" s="116"/>
      <c r="D1087" s="116"/>
      <c r="E1087" s="116"/>
      <c r="F1087" s="116"/>
      <c r="H1087" s="116"/>
      <c r="I1087" s="116"/>
      <c r="L1087" s="170"/>
    </row>
    <row r="1088" spans="1:12" x14ac:dyDescent="0.25">
      <c r="A1088" s="170"/>
      <c r="B1088" s="116"/>
      <c r="C1088" s="116"/>
      <c r="D1088" s="116"/>
      <c r="E1088" s="116"/>
      <c r="F1088" s="116"/>
      <c r="H1088" s="116"/>
      <c r="I1088" s="116"/>
      <c r="L1088" s="170"/>
    </row>
    <row r="1089" spans="1:12" x14ac:dyDescent="0.25">
      <c r="A1089" s="170"/>
      <c r="B1089" s="116"/>
      <c r="C1089" s="116"/>
      <c r="D1089" s="116"/>
      <c r="E1089" s="116"/>
      <c r="F1089" s="116"/>
      <c r="H1089" s="116"/>
      <c r="I1089" s="116"/>
      <c r="L1089" s="170"/>
    </row>
    <row r="1090" spans="1:12" x14ac:dyDescent="0.25">
      <c r="A1090" s="170"/>
      <c r="B1090" s="116"/>
      <c r="C1090" s="116"/>
      <c r="D1090" s="116"/>
      <c r="E1090" s="116"/>
      <c r="F1090" s="116"/>
      <c r="H1090" s="116"/>
      <c r="I1090" s="116"/>
      <c r="L1090" s="170"/>
    </row>
    <row r="1091" spans="1:12" x14ac:dyDescent="0.25">
      <c r="A1091" s="170"/>
      <c r="B1091" s="116"/>
      <c r="C1091" s="116"/>
      <c r="D1091" s="116"/>
      <c r="E1091" s="116"/>
      <c r="F1091" s="116"/>
      <c r="H1091" s="116"/>
      <c r="I1091" s="116"/>
      <c r="L1091" s="170"/>
    </row>
    <row r="1092" spans="1:12" x14ac:dyDescent="0.25">
      <c r="A1092" s="170"/>
      <c r="B1092" s="116"/>
      <c r="C1092" s="116"/>
      <c r="D1092" s="116"/>
      <c r="E1092" s="116"/>
      <c r="F1092" s="116"/>
      <c r="H1092" s="116"/>
      <c r="I1092" s="116"/>
      <c r="L1092" s="170"/>
    </row>
    <row r="1093" spans="1:12" x14ac:dyDescent="0.25">
      <c r="A1093" s="170"/>
      <c r="B1093" s="116"/>
      <c r="C1093" s="116"/>
      <c r="D1093" s="116"/>
      <c r="E1093" s="116"/>
      <c r="F1093" s="116"/>
      <c r="H1093" s="116"/>
      <c r="I1093" s="116"/>
      <c r="L1093" s="170"/>
    </row>
    <row r="1094" spans="1:12" x14ac:dyDescent="0.25">
      <c r="A1094" s="170"/>
      <c r="B1094" s="116"/>
      <c r="C1094" s="116"/>
      <c r="D1094" s="116"/>
      <c r="E1094" s="116"/>
      <c r="F1094" s="116"/>
      <c r="H1094" s="116"/>
      <c r="I1094" s="116"/>
      <c r="L1094" s="170"/>
    </row>
    <row r="1095" spans="1:12" x14ac:dyDescent="0.25">
      <c r="A1095" s="170"/>
      <c r="B1095" s="116"/>
      <c r="C1095" s="116"/>
      <c r="D1095" s="116"/>
      <c r="E1095" s="116"/>
      <c r="F1095" s="116"/>
      <c r="H1095" s="116"/>
      <c r="I1095" s="116"/>
      <c r="L1095" s="170"/>
    </row>
    <row r="1096" spans="1:12" x14ac:dyDescent="0.25">
      <c r="A1096" s="170"/>
      <c r="B1096" s="116"/>
      <c r="C1096" s="116"/>
      <c r="D1096" s="116"/>
      <c r="E1096" s="116"/>
      <c r="F1096" s="116"/>
      <c r="H1096" s="116"/>
      <c r="I1096" s="116"/>
      <c r="L1096" s="170"/>
    </row>
    <row r="1097" spans="1:12" x14ac:dyDescent="0.25">
      <c r="A1097" s="170"/>
      <c r="B1097" s="116"/>
      <c r="C1097" s="116"/>
      <c r="D1097" s="116"/>
      <c r="E1097" s="116"/>
      <c r="F1097" s="116"/>
      <c r="H1097" s="116"/>
      <c r="I1097" s="116"/>
      <c r="L1097" s="170"/>
    </row>
    <row r="1098" spans="1:12" x14ac:dyDescent="0.25">
      <c r="A1098" s="170"/>
      <c r="B1098" s="116"/>
      <c r="C1098" s="116"/>
      <c r="D1098" s="116"/>
      <c r="E1098" s="116"/>
      <c r="F1098" s="116"/>
      <c r="H1098" s="116"/>
      <c r="I1098" s="116"/>
      <c r="L1098" s="170"/>
    </row>
    <row r="1099" spans="1:12" x14ac:dyDescent="0.25">
      <c r="A1099" s="170"/>
      <c r="B1099" s="116"/>
      <c r="C1099" s="116"/>
      <c r="D1099" s="116"/>
      <c r="E1099" s="116"/>
      <c r="F1099" s="116"/>
      <c r="H1099" s="116"/>
      <c r="I1099" s="116"/>
      <c r="L1099" s="170"/>
    </row>
    <row r="1100" spans="1:12" x14ac:dyDescent="0.25">
      <c r="A1100" s="170"/>
      <c r="B1100" s="116"/>
      <c r="C1100" s="116"/>
      <c r="D1100" s="116"/>
      <c r="E1100" s="116"/>
      <c r="F1100" s="116"/>
      <c r="H1100" s="116"/>
      <c r="I1100" s="116"/>
      <c r="L1100" s="170"/>
    </row>
    <row r="1101" spans="1:12" x14ac:dyDescent="0.25">
      <c r="A1101" s="170"/>
      <c r="B1101" s="116"/>
      <c r="C1101" s="116"/>
      <c r="D1101" s="116"/>
      <c r="E1101" s="116"/>
      <c r="F1101" s="116"/>
      <c r="H1101" s="116"/>
      <c r="I1101" s="116"/>
      <c r="L1101" s="170"/>
    </row>
    <row r="1102" spans="1:12" x14ac:dyDescent="0.25">
      <c r="A1102" s="170"/>
      <c r="B1102" s="116"/>
      <c r="C1102" s="116"/>
      <c r="D1102" s="116"/>
      <c r="E1102" s="116"/>
      <c r="F1102" s="116"/>
      <c r="H1102" s="116"/>
      <c r="I1102" s="116"/>
      <c r="L1102" s="170"/>
    </row>
    <row r="1103" spans="1:12" x14ac:dyDescent="0.25">
      <c r="A1103" s="170"/>
      <c r="B1103" s="116"/>
      <c r="C1103" s="116"/>
      <c r="D1103" s="116"/>
      <c r="E1103" s="116"/>
      <c r="F1103" s="116"/>
      <c r="H1103" s="116"/>
      <c r="I1103" s="116"/>
      <c r="L1103" s="170"/>
    </row>
    <row r="1104" spans="1:12" x14ac:dyDescent="0.25">
      <c r="A1104" s="170"/>
      <c r="B1104" s="116"/>
      <c r="C1104" s="116"/>
      <c r="D1104" s="116"/>
      <c r="E1104" s="116"/>
      <c r="F1104" s="116"/>
      <c r="H1104" s="116"/>
      <c r="I1104" s="116"/>
      <c r="L1104" s="170"/>
    </row>
    <row r="1105" spans="1:12" x14ac:dyDescent="0.25">
      <c r="A1105" s="170"/>
      <c r="B1105" s="116"/>
      <c r="C1105" s="116"/>
      <c r="D1105" s="116"/>
      <c r="E1105" s="116"/>
      <c r="F1105" s="116"/>
      <c r="H1105" s="116"/>
      <c r="I1105" s="116"/>
      <c r="L1105" s="170"/>
    </row>
    <row r="1106" spans="1:12" x14ac:dyDescent="0.25">
      <c r="A1106" s="170"/>
      <c r="B1106" s="116"/>
      <c r="C1106" s="116"/>
      <c r="D1106" s="116"/>
      <c r="E1106" s="116"/>
      <c r="F1106" s="116"/>
      <c r="H1106" s="116"/>
      <c r="I1106" s="116"/>
      <c r="L1106" s="170"/>
    </row>
    <row r="1107" spans="1:12" x14ac:dyDescent="0.25">
      <c r="A1107" s="170"/>
      <c r="B1107" s="116"/>
      <c r="C1107" s="116"/>
      <c r="D1107" s="116"/>
      <c r="E1107" s="116"/>
      <c r="F1107" s="116"/>
      <c r="H1107" s="116"/>
      <c r="I1107" s="116"/>
      <c r="L1107" s="170"/>
    </row>
    <row r="1108" spans="1:12" x14ac:dyDescent="0.25">
      <c r="A1108" s="170"/>
      <c r="B1108" s="116"/>
      <c r="C1108" s="116"/>
      <c r="D1108" s="116"/>
      <c r="E1108" s="116"/>
      <c r="F1108" s="116"/>
      <c r="H1108" s="116"/>
      <c r="I1108" s="116"/>
      <c r="L1108" s="170"/>
    </row>
    <row r="1109" spans="1:12" x14ac:dyDescent="0.25">
      <c r="A1109" s="170"/>
      <c r="B1109" s="116"/>
      <c r="C1109" s="116"/>
      <c r="D1109" s="116"/>
      <c r="E1109" s="116"/>
      <c r="F1109" s="116"/>
      <c r="H1109" s="116"/>
      <c r="I1109" s="116"/>
      <c r="L1109" s="170"/>
    </row>
    <row r="1110" spans="1:12" x14ac:dyDescent="0.25">
      <c r="A1110" s="170"/>
      <c r="B1110" s="116"/>
      <c r="C1110" s="116"/>
      <c r="D1110" s="116"/>
      <c r="E1110" s="116"/>
      <c r="F1110" s="116"/>
      <c r="H1110" s="116"/>
      <c r="I1110" s="116"/>
      <c r="L1110" s="170"/>
    </row>
    <row r="1111" spans="1:12" x14ac:dyDescent="0.25">
      <c r="A1111" s="170"/>
      <c r="B1111" s="116"/>
      <c r="C1111" s="116"/>
      <c r="D1111" s="116"/>
      <c r="E1111" s="116"/>
      <c r="F1111" s="116"/>
      <c r="H1111" s="116"/>
      <c r="I1111" s="116"/>
      <c r="L1111" s="170"/>
    </row>
    <row r="1112" spans="1:12" x14ac:dyDescent="0.25">
      <c r="A1112" s="170"/>
      <c r="B1112" s="116"/>
      <c r="C1112" s="116"/>
      <c r="D1112" s="116"/>
      <c r="E1112" s="116"/>
      <c r="F1112" s="116"/>
      <c r="H1112" s="116"/>
      <c r="I1112" s="116"/>
      <c r="L1112" s="170"/>
    </row>
    <row r="1113" spans="1:12" x14ac:dyDescent="0.25">
      <c r="A1113" s="170"/>
      <c r="B1113" s="116"/>
      <c r="C1113" s="116"/>
      <c r="D1113" s="116"/>
      <c r="E1113" s="116"/>
      <c r="F1113" s="116"/>
      <c r="H1113" s="116"/>
      <c r="I1113" s="116"/>
      <c r="L1113" s="170"/>
    </row>
    <row r="1114" spans="1:12" x14ac:dyDescent="0.25">
      <c r="A1114" s="170"/>
      <c r="B1114" s="116"/>
      <c r="C1114" s="116"/>
      <c r="D1114" s="116"/>
      <c r="E1114" s="116"/>
      <c r="F1114" s="116"/>
      <c r="H1114" s="116"/>
      <c r="I1114" s="116"/>
      <c r="L1114" s="170"/>
    </row>
    <row r="1115" spans="1:12" x14ac:dyDescent="0.25">
      <c r="A1115" s="170"/>
      <c r="B1115" s="116"/>
      <c r="C1115" s="116"/>
      <c r="D1115" s="116"/>
      <c r="E1115" s="116"/>
      <c r="F1115" s="116"/>
      <c r="H1115" s="116"/>
      <c r="I1115" s="116"/>
      <c r="L1115" s="170"/>
    </row>
    <row r="1116" spans="1:12" x14ac:dyDescent="0.25">
      <c r="A1116" s="170"/>
      <c r="B1116" s="116"/>
      <c r="C1116" s="116"/>
      <c r="D1116" s="116"/>
      <c r="E1116" s="116"/>
      <c r="F1116" s="116"/>
      <c r="H1116" s="116"/>
      <c r="I1116" s="116"/>
      <c r="L1116" s="170"/>
    </row>
    <row r="1117" spans="1:12" x14ac:dyDescent="0.25">
      <c r="A1117" s="170"/>
      <c r="B1117" s="116"/>
      <c r="C1117" s="116"/>
      <c r="D1117" s="116"/>
      <c r="E1117" s="116"/>
      <c r="F1117" s="116"/>
      <c r="H1117" s="116"/>
      <c r="I1117" s="116"/>
      <c r="L1117" s="170"/>
    </row>
    <row r="1118" spans="1:12" x14ac:dyDescent="0.25">
      <c r="A1118" s="170"/>
      <c r="B1118" s="116"/>
      <c r="C1118" s="116"/>
      <c r="D1118" s="116"/>
      <c r="E1118" s="116"/>
      <c r="F1118" s="116"/>
      <c r="H1118" s="116"/>
      <c r="I1118" s="116"/>
      <c r="L1118" s="170"/>
    </row>
    <row r="1119" spans="1:12" x14ac:dyDescent="0.25">
      <c r="A1119" s="170"/>
      <c r="B1119" s="116"/>
      <c r="C1119" s="116"/>
      <c r="D1119" s="116"/>
      <c r="E1119" s="116"/>
      <c r="F1119" s="116"/>
      <c r="H1119" s="116"/>
      <c r="I1119" s="116"/>
      <c r="L1119" s="170"/>
    </row>
    <row r="1120" spans="1:12" x14ac:dyDescent="0.25">
      <c r="A1120" s="170"/>
      <c r="B1120" s="116"/>
      <c r="C1120" s="116"/>
      <c r="D1120" s="116"/>
      <c r="E1120" s="116"/>
      <c r="F1120" s="116"/>
      <c r="H1120" s="116"/>
      <c r="I1120" s="116"/>
      <c r="L1120" s="170"/>
    </row>
    <row r="1121" spans="1:12" x14ac:dyDescent="0.25">
      <c r="A1121" s="170"/>
      <c r="B1121" s="116"/>
      <c r="C1121" s="116"/>
      <c r="D1121" s="116"/>
      <c r="E1121" s="116"/>
      <c r="F1121" s="116"/>
      <c r="H1121" s="116"/>
      <c r="I1121" s="116"/>
      <c r="L1121" s="170"/>
    </row>
    <row r="1122" spans="1:12" x14ac:dyDescent="0.25">
      <c r="A1122" s="170"/>
      <c r="B1122" s="116"/>
      <c r="C1122" s="116"/>
      <c r="D1122" s="116"/>
      <c r="E1122" s="116"/>
      <c r="F1122" s="116"/>
      <c r="H1122" s="116"/>
      <c r="I1122" s="116"/>
      <c r="L1122" s="170"/>
    </row>
    <row r="1123" spans="1:12" x14ac:dyDescent="0.25">
      <c r="A1123" s="170"/>
      <c r="B1123" s="116"/>
      <c r="C1123" s="116"/>
      <c r="D1123" s="116"/>
      <c r="E1123" s="116"/>
      <c r="F1123" s="116"/>
      <c r="H1123" s="116"/>
      <c r="I1123" s="116"/>
      <c r="L1123" s="170"/>
    </row>
    <row r="1124" spans="1:12" x14ac:dyDescent="0.25">
      <c r="A1124" s="170"/>
      <c r="B1124" s="116"/>
      <c r="C1124" s="116"/>
      <c r="D1124" s="116"/>
      <c r="E1124" s="116"/>
      <c r="F1124" s="116"/>
      <c r="H1124" s="116"/>
      <c r="I1124" s="116"/>
      <c r="L1124" s="170"/>
    </row>
    <row r="1125" spans="1:12" x14ac:dyDescent="0.25">
      <c r="A1125" s="170"/>
      <c r="B1125" s="116"/>
      <c r="C1125" s="116"/>
      <c r="D1125" s="116"/>
      <c r="E1125" s="116"/>
      <c r="F1125" s="116"/>
      <c r="H1125" s="116"/>
      <c r="I1125" s="116"/>
      <c r="L1125" s="170"/>
    </row>
    <row r="1126" spans="1:12" x14ac:dyDescent="0.25">
      <c r="A1126" s="170"/>
      <c r="B1126" s="116"/>
      <c r="C1126" s="116"/>
      <c r="D1126" s="116"/>
      <c r="E1126" s="116"/>
      <c r="F1126" s="116"/>
      <c r="H1126" s="116"/>
      <c r="I1126" s="116"/>
      <c r="L1126" s="170"/>
    </row>
    <row r="1127" spans="1:12" x14ac:dyDescent="0.25">
      <c r="A1127" s="170"/>
      <c r="B1127" s="116"/>
      <c r="C1127" s="116"/>
      <c r="D1127" s="116"/>
      <c r="E1127" s="116"/>
      <c r="F1127" s="116"/>
      <c r="H1127" s="116"/>
      <c r="I1127" s="116"/>
      <c r="L1127" s="170"/>
    </row>
    <row r="1128" spans="1:12" x14ac:dyDescent="0.25">
      <c r="A1128" s="170"/>
      <c r="B1128" s="116"/>
      <c r="C1128" s="116"/>
      <c r="D1128" s="116"/>
      <c r="E1128" s="116"/>
      <c r="F1128" s="116"/>
      <c r="H1128" s="116"/>
      <c r="I1128" s="116"/>
      <c r="L1128" s="170"/>
    </row>
    <row r="1129" spans="1:12" x14ac:dyDescent="0.25">
      <c r="A1129" s="170"/>
      <c r="B1129" s="116"/>
      <c r="C1129" s="116"/>
      <c r="D1129" s="116"/>
      <c r="E1129" s="116"/>
      <c r="F1129" s="116"/>
      <c r="H1129" s="116"/>
      <c r="I1129" s="116"/>
      <c r="L1129" s="170"/>
    </row>
    <row r="1130" spans="1:12" x14ac:dyDescent="0.25">
      <c r="A1130" s="170"/>
      <c r="B1130" s="116"/>
      <c r="C1130" s="116"/>
      <c r="D1130" s="116"/>
      <c r="E1130" s="116"/>
      <c r="F1130" s="116"/>
      <c r="H1130" s="116"/>
      <c r="I1130" s="116"/>
      <c r="L1130" s="170"/>
    </row>
    <row r="1131" spans="1:12" x14ac:dyDescent="0.25">
      <c r="A1131" s="170"/>
      <c r="B1131" s="116"/>
      <c r="C1131" s="116"/>
      <c r="D1131" s="116"/>
      <c r="E1131" s="116"/>
      <c r="F1131" s="116"/>
      <c r="H1131" s="116"/>
      <c r="I1131" s="116"/>
      <c r="L1131" s="170"/>
    </row>
    <row r="1132" spans="1:12" x14ac:dyDescent="0.25">
      <c r="A1132" s="170"/>
      <c r="B1132" s="116"/>
      <c r="C1132" s="116"/>
      <c r="D1132" s="116"/>
      <c r="E1132" s="116"/>
      <c r="F1132" s="116"/>
      <c r="H1132" s="116"/>
      <c r="I1132" s="116"/>
      <c r="L1132" s="170"/>
    </row>
    <row r="1133" spans="1:12" x14ac:dyDescent="0.25">
      <c r="A1133" s="170"/>
      <c r="B1133" s="116"/>
      <c r="C1133" s="116"/>
      <c r="D1133" s="116"/>
      <c r="E1133" s="116"/>
      <c r="F1133" s="116"/>
      <c r="H1133" s="116"/>
      <c r="I1133" s="116"/>
      <c r="L1133" s="170"/>
    </row>
    <row r="1134" spans="1:12" x14ac:dyDescent="0.25">
      <c r="A1134" s="170"/>
      <c r="B1134" s="116"/>
      <c r="C1134" s="116"/>
      <c r="D1134" s="116"/>
      <c r="E1134" s="116"/>
      <c r="F1134" s="116"/>
      <c r="H1134" s="116"/>
      <c r="I1134" s="116"/>
      <c r="L1134" s="170"/>
    </row>
    <row r="1135" spans="1:12" x14ac:dyDescent="0.25">
      <c r="A1135" s="170"/>
      <c r="B1135" s="116"/>
      <c r="C1135" s="116"/>
      <c r="D1135" s="116"/>
      <c r="E1135" s="116"/>
      <c r="F1135" s="116"/>
      <c r="H1135" s="116"/>
      <c r="I1135" s="116"/>
      <c r="L1135" s="170"/>
    </row>
    <row r="1136" spans="1:12" x14ac:dyDescent="0.25">
      <c r="A1136" s="170"/>
      <c r="B1136" s="116"/>
      <c r="C1136" s="116"/>
      <c r="D1136" s="116"/>
      <c r="E1136" s="116"/>
      <c r="F1136" s="116"/>
      <c r="H1136" s="116"/>
      <c r="I1136" s="116"/>
      <c r="L1136" s="170"/>
    </row>
    <row r="1137" spans="1:12" x14ac:dyDescent="0.25">
      <c r="A1137" s="170"/>
      <c r="B1137" s="116"/>
      <c r="C1137" s="116"/>
      <c r="D1137" s="116"/>
      <c r="E1137" s="116"/>
      <c r="F1137" s="116"/>
      <c r="H1137" s="116"/>
      <c r="I1137" s="116"/>
      <c r="L1137" s="170"/>
    </row>
    <row r="1138" spans="1:12" x14ac:dyDescent="0.25">
      <c r="A1138" s="170"/>
      <c r="B1138" s="116"/>
      <c r="C1138" s="116"/>
      <c r="D1138" s="116"/>
      <c r="E1138" s="116"/>
      <c r="F1138" s="116"/>
      <c r="H1138" s="116"/>
      <c r="I1138" s="116"/>
      <c r="L1138" s="170"/>
    </row>
    <row r="1139" spans="1:12" x14ac:dyDescent="0.25">
      <c r="A1139" s="170"/>
      <c r="B1139" s="116"/>
      <c r="C1139" s="116"/>
      <c r="D1139" s="116"/>
      <c r="E1139" s="116"/>
      <c r="F1139" s="116"/>
      <c r="H1139" s="116"/>
      <c r="I1139" s="116"/>
      <c r="L1139" s="170"/>
    </row>
    <row r="1140" spans="1:12" x14ac:dyDescent="0.25">
      <c r="A1140" s="170"/>
      <c r="B1140" s="116"/>
      <c r="C1140" s="116"/>
      <c r="D1140" s="116"/>
      <c r="E1140" s="116"/>
      <c r="F1140" s="116"/>
      <c r="H1140" s="116"/>
      <c r="I1140" s="116"/>
      <c r="L1140" s="170"/>
    </row>
    <row r="1141" spans="1:12" x14ac:dyDescent="0.25">
      <c r="A1141" s="170"/>
      <c r="B1141" s="116"/>
      <c r="C1141" s="116"/>
      <c r="D1141" s="116"/>
      <c r="E1141" s="116"/>
      <c r="F1141" s="116"/>
      <c r="H1141" s="116"/>
      <c r="I1141" s="116"/>
      <c r="L1141" s="170"/>
    </row>
    <row r="1142" spans="1:12" x14ac:dyDescent="0.25">
      <c r="A1142" s="170"/>
      <c r="B1142" s="116"/>
      <c r="C1142" s="116"/>
      <c r="D1142" s="116"/>
      <c r="E1142" s="116"/>
      <c r="F1142" s="116"/>
      <c r="H1142" s="116"/>
      <c r="I1142" s="116"/>
      <c r="L1142" s="170"/>
    </row>
    <row r="1143" spans="1:12" x14ac:dyDescent="0.25">
      <c r="A1143" s="170"/>
      <c r="B1143" s="116"/>
      <c r="C1143" s="116"/>
      <c r="D1143" s="116"/>
      <c r="E1143" s="116"/>
      <c r="F1143" s="116"/>
      <c r="H1143" s="116"/>
      <c r="I1143" s="116"/>
      <c r="L1143" s="170"/>
    </row>
    <row r="1144" spans="1:12" x14ac:dyDescent="0.25">
      <c r="A1144" s="170"/>
      <c r="B1144" s="116"/>
      <c r="C1144" s="116"/>
      <c r="D1144" s="116"/>
      <c r="E1144" s="116"/>
      <c r="F1144" s="116"/>
      <c r="H1144" s="116"/>
      <c r="I1144" s="116"/>
      <c r="L1144" s="170"/>
    </row>
    <row r="1145" spans="1:12" x14ac:dyDescent="0.25">
      <c r="A1145" s="170"/>
      <c r="B1145" s="116"/>
      <c r="C1145" s="116"/>
      <c r="D1145" s="116"/>
      <c r="E1145" s="116"/>
      <c r="F1145" s="116"/>
      <c r="H1145" s="116"/>
      <c r="I1145" s="116"/>
      <c r="L1145" s="170"/>
    </row>
    <row r="1146" spans="1:12" x14ac:dyDescent="0.25">
      <c r="A1146" s="170"/>
      <c r="B1146" s="116"/>
      <c r="C1146" s="116"/>
      <c r="D1146" s="116"/>
      <c r="E1146" s="116"/>
      <c r="F1146" s="116"/>
      <c r="H1146" s="116"/>
      <c r="I1146" s="116"/>
      <c r="L1146" s="170"/>
    </row>
    <row r="1147" spans="1:12" x14ac:dyDescent="0.25">
      <c r="A1147" s="170"/>
      <c r="B1147" s="116"/>
      <c r="C1147" s="116"/>
      <c r="D1147" s="116"/>
      <c r="E1147" s="116"/>
      <c r="F1147" s="116"/>
      <c r="H1147" s="116"/>
      <c r="I1147" s="116"/>
      <c r="L1147" s="170"/>
    </row>
    <row r="1148" spans="1:12" x14ac:dyDescent="0.25">
      <c r="A1148" s="170"/>
      <c r="B1148" s="116"/>
      <c r="C1148" s="116"/>
      <c r="D1148" s="116"/>
      <c r="E1148" s="116"/>
      <c r="F1148" s="116"/>
      <c r="H1148" s="116"/>
      <c r="I1148" s="116"/>
      <c r="L1148" s="170"/>
    </row>
    <row r="1149" spans="1:12" x14ac:dyDescent="0.25">
      <c r="A1149" s="170"/>
      <c r="B1149" s="116"/>
      <c r="C1149" s="116"/>
      <c r="D1149" s="116"/>
      <c r="E1149" s="116"/>
      <c r="F1149" s="116"/>
      <c r="H1149" s="116"/>
      <c r="I1149" s="116"/>
      <c r="L1149" s="170"/>
    </row>
    <row r="1150" spans="1:12" x14ac:dyDescent="0.25">
      <c r="A1150" s="170"/>
      <c r="B1150" s="116"/>
      <c r="C1150" s="116"/>
      <c r="D1150" s="116"/>
      <c r="E1150" s="116"/>
      <c r="F1150" s="116"/>
      <c r="H1150" s="116"/>
      <c r="I1150" s="116"/>
      <c r="L1150" s="170"/>
    </row>
    <row r="1151" spans="1:12" x14ac:dyDescent="0.25">
      <c r="A1151" s="170"/>
      <c r="B1151" s="116"/>
      <c r="C1151" s="116"/>
      <c r="D1151" s="116"/>
      <c r="E1151" s="116"/>
      <c r="F1151" s="116"/>
      <c r="H1151" s="116"/>
      <c r="I1151" s="116"/>
      <c r="L1151" s="170"/>
    </row>
    <row r="1152" spans="1:12" x14ac:dyDescent="0.25">
      <c r="A1152" s="170"/>
      <c r="B1152" s="116"/>
      <c r="C1152" s="116"/>
      <c r="D1152" s="116"/>
      <c r="E1152" s="116"/>
      <c r="F1152" s="116"/>
      <c r="H1152" s="116"/>
      <c r="I1152" s="116"/>
      <c r="L1152" s="170"/>
    </row>
    <row r="1153" spans="1:18" x14ac:dyDescent="0.25">
      <c r="A1153" s="170"/>
      <c r="B1153" s="116"/>
      <c r="C1153" s="116"/>
      <c r="D1153" s="116"/>
      <c r="E1153" s="116"/>
      <c r="F1153" s="116"/>
      <c r="H1153" s="116"/>
      <c r="I1153" s="116"/>
      <c r="L1153" s="170"/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2026-06-15T09:41:07Z</dcterms:modified>
  <cp:category/>
  <cp:contentStatus/>
</cp:coreProperties>
</file>