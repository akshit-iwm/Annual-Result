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ACA9D6B-5864-47AD-AC79-159FD1697EC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36" i="2"/>
  <c r="AC50" i="2"/>
  <c r="AF75" i="2"/>
  <c r="AC6" i="2"/>
  <c r="AB24" i="2"/>
  <c r="AB40" i="2"/>
  <c r="AE51" i="2"/>
  <c r="AD76" i="2"/>
  <c r="AB47" i="2"/>
  <c r="AE98" i="2"/>
  <c r="AC51" i="2"/>
  <c r="AE65" i="2"/>
  <c r="AF48" i="2"/>
  <c r="AF12" i="2"/>
  <c r="AB85" i="2"/>
  <c r="AC34" i="2"/>
  <c r="AB62" i="2"/>
  <c r="AE23" i="2"/>
  <c r="AE43" i="2"/>
  <c r="AD71" i="2"/>
  <c r="AF104" i="2"/>
  <c r="AD41" i="2"/>
  <c r="AE53" i="2"/>
  <c r="AF77" i="2"/>
  <c r="AF53" i="2"/>
  <c r="AE106" i="2"/>
  <c r="AE61" i="2"/>
  <c r="AE69" i="2"/>
  <c r="AC42" i="2"/>
  <c r="AE86" i="2"/>
  <c r="AF15" i="2"/>
  <c r="AB79" i="2"/>
  <c r="AC33" i="2"/>
  <c r="AE80" i="2"/>
  <c r="AB7" i="2"/>
  <c r="AB49" i="2"/>
  <c r="AB55" i="2"/>
  <c r="AD65" i="2"/>
  <c r="AC70" i="2"/>
  <c r="AE28" i="2"/>
  <c r="AD58" i="2"/>
  <c r="AD87" i="2"/>
  <c r="AC53" i="2"/>
  <c r="AD16" i="2"/>
  <c r="AC17" i="2"/>
  <c r="AD52" i="2"/>
  <c r="AF107" i="2"/>
  <c r="AE64" i="2"/>
  <c r="AB72" i="2"/>
  <c r="AB78" i="2"/>
  <c r="AE21" i="2"/>
  <c r="AF90" i="2"/>
  <c r="AE77" i="2"/>
  <c r="AF36" i="2"/>
  <c r="AD47" i="2"/>
  <c r="AD9" i="2"/>
  <c r="AF83" i="2"/>
  <c r="AC30" i="2"/>
  <c r="AF60" i="2"/>
  <c r="AB48" i="2"/>
  <c r="AB10" i="2"/>
  <c r="AD84" i="2"/>
  <c r="AE9" i="2"/>
  <c r="AD27" i="2"/>
  <c r="AC84" i="2"/>
  <c r="AE89" i="2"/>
  <c r="AF56" i="2"/>
  <c r="AF28" i="2"/>
  <c r="AB93" i="2"/>
  <c r="AE60" i="2"/>
  <c r="AD67" i="2"/>
  <c r="AD73" i="2"/>
  <c r="AB87" i="2"/>
  <c r="AD107" i="2"/>
  <c r="AF5" i="2"/>
  <c r="AD49" i="2"/>
  <c r="AD13" i="2"/>
  <c r="AF85" i="2"/>
  <c r="AE13" i="2"/>
  <c r="AB32" i="2"/>
  <c r="AC88" i="2"/>
  <c r="AE93" i="2"/>
  <c r="AC54" i="2"/>
  <c r="AD35" i="2"/>
  <c r="AF31" i="2"/>
  <c r="AC55" i="2"/>
  <c r="AB57" i="2"/>
  <c r="AD54" i="2"/>
  <c r="AD55" i="2"/>
  <c r="AD25" i="2"/>
  <c r="AF91" i="2"/>
  <c r="AC57" i="2"/>
  <c r="AB5" i="2"/>
  <c r="AB56" i="2"/>
  <c r="AB26" i="2"/>
  <c r="AD92" i="2"/>
  <c r="AE33" i="2"/>
  <c r="AD61" i="2"/>
  <c r="AC20" i="2"/>
  <c r="AF13" i="2"/>
  <c r="AC13" i="2"/>
  <c r="AF47" i="2"/>
  <c r="AB105" i="2"/>
  <c r="AE72" i="2"/>
  <c r="AD83" i="2"/>
  <c r="AD89" i="2"/>
  <c r="AB107" i="2"/>
  <c r="AC92" i="2"/>
  <c r="AD6" i="2"/>
  <c r="AD57" i="2"/>
  <c r="AD29" i="2"/>
  <c r="AF93" i="2"/>
  <c r="AE40" i="2"/>
  <c r="AF64" i="2"/>
  <c r="AC36" i="2"/>
  <c r="AB15" i="2"/>
  <c r="AB14" i="2"/>
  <c r="AF70" i="2"/>
  <c r="AF42" i="2"/>
  <c r="AD93" i="2"/>
  <c r="AD74" i="2"/>
  <c r="AF94" i="2"/>
  <c r="AB31" i="2"/>
  <c r="AD78" i="2"/>
  <c r="AC41" i="2"/>
  <c r="AE91" i="2"/>
  <c r="AF23" i="2"/>
  <c r="AF32" i="2"/>
  <c r="AC63" i="2"/>
  <c r="AE97" i="2"/>
  <c r="AE79" i="2"/>
  <c r="AD32" i="2"/>
  <c r="AC44" i="2"/>
  <c r="AF71" i="2"/>
  <c r="AF26" i="2"/>
  <c r="AE88" i="2"/>
  <c r="AB108" i="2"/>
  <c r="AC8" i="2"/>
  <c r="AD11" i="2"/>
  <c r="AC96" i="2"/>
  <c r="AF44" i="2"/>
  <c r="AB73" i="2"/>
  <c r="AD75" i="2"/>
  <c r="AC78" i="2"/>
  <c r="AF73" i="2"/>
  <c r="AC91" i="2"/>
  <c r="AB82" i="2"/>
  <c r="AD66" i="2"/>
  <c r="AB17" i="2"/>
  <c r="AE18" i="2"/>
  <c r="AB53" i="2"/>
  <c r="AC105" i="2"/>
  <c r="AF110" i="2"/>
  <c r="AC31" i="2"/>
  <c r="AB97" i="2"/>
  <c r="AF49" i="2"/>
  <c r="AD26" i="2"/>
  <c r="AD21" i="2"/>
  <c r="AD63" i="2"/>
  <c r="AB66" i="2"/>
  <c r="AD82" i="2"/>
  <c r="AF9" i="2"/>
  <c r="AF46" i="2"/>
  <c r="AF8" i="2"/>
  <c r="AB83" i="2"/>
  <c r="AE5" i="2"/>
  <c r="AF22" i="2"/>
  <c r="AC80" i="2"/>
  <c r="AE85" i="2"/>
  <c r="AE7" i="2"/>
  <c r="AC87" i="2"/>
  <c r="AB29" i="2"/>
  <c r="AD12" i="2"/>
  <c r="AC11" i="2"/>
  <c r="AD44" i="2"/>
  <c r="AF99" i="2"/>
  <c r="AE70" i="2"/>
  <c r="AB13" i="2"/>
  <c r="AE12" i="2"/>
  <c r="AB45" i="2"/>
  <c r="AD104" i="2"/>
  <c r="AC59" i="2"/>
  <c r="AF66" i="2"/>
  <c r="AF72" i="2"/>
  <c r="AF21" i="2"/>
  <c r="AC25" i="2"/>
  <c r="AB61" i="2"/>
  <c r="AD15" i="2"/>
  <c r="AE84" i="2"/>
  <c r="AD99" i="2"/>
  <c r="AD109" i="2"/>
  <c r="AD23" i="2"/>
  <c r="AD77" i="2"/>
  <c r="AD14" i="2"/>
  <c r="AE14" i="2"/>
  <c r="AD48" i="2"/>
  <c r="AF105" i="2"/>
  <c r="AC61" i="2"/>
  <c r="AB68" i="2"/>
  <c r="AB74" i="2"/>
  <c r="AB50" i="2"/>
  <c r="AD62" i="2"/>
  <c r="AF86" i="2"/>
  <c r="AF16" i="2"/>
  <c r="AE73" i="2"/>
  <c r="AD90" i="2"/>
  <c r="AE107" i="2"/>
  <c r="AB42" i="2"/>
  <c r="AD94" i="2"/>
  <c r="AE62" i="2"/>
  <c r="AE42" i="2"/>
  <c r="AF50" i="2"/>
  <c r="AB71" i="2"/>
  <c r="AC75" i="2"/>
  <c r="AB46" i="2"/>
  <c r="AC82" i="2"/>
  <c r="AD43" i="2"/>
  <c r="AC56" i="2"/>
  <c r="AF79" i="2"/>
  <c r="AD59" i="2"/>
  <c r="AB8" i="2"/>
  <c r="AE71" i="2"/>
  <c r="AC74" i="2"/>
  <c r="AD46" i="2"/>
  <c r="AC60" i="2"/>
  <c r="AC7" i="2"/>
  <c r="AB109" i="2"/>
  <c r="AD91" i="2"/>
  <c r="AD18" i="2"/>
  <c r="AF89" i="2"/>
  <c r="AB16" i="2"/>
  <c r="AB98" i="2"/>
  <c r="AC26" i="2"/>
  <c r="AB25" i="2"/>
  <c r="AE30" i="2"/>
  <c r="AD64" i="2"/>
  <c r="AB28" i="2"/>
  <c r="AF80" i="2"/>
  <c r="AC58" i="2"/>
  <c r="AE108" i="2"/>
  <c r="AE31" i="2"/>
  <c r="AD34" i="2"/>
  <c r="AD56" i="2"/>
  <c r="AE52" i="2"/>
  <c r="AE109" i="2"/>
  <c r="AF6" i="2"/>
  <c r="AD10" i="2"/>
  <c r="AF54" i="2"/>
  <c r="AF24" i="2"/>
  <c r="AB91" i="2"/>
  <c r="AE29" i="2"/>
  <c r="AF57" i="2"/>
  <c r="AC108" i="2"/>
  <c r="AC64" i="2"/>
  <c r="AB70" i="2"/>
  <c r="AB27" i="2"/>
  <c r="AB95" i="2"/>
  <c r="AF7" i="2"/>
  <c r="AD17" i="2"/>
  <c r="AC18" i="2"/>
  <c r="AE95" i="2"/>
  <c r="AC28" i="2"/>
  <c r="AF96" i="2"/>
  <c r="AD31" i="2"/>
  <c r="AF109" i="2"/>
  <c r="AE19" i="2"/>
  <c r="AB33" i="2"/>
  <c r="AE45" i="2"/>
  <c r="AD80" i="2"/>
  <c r="AF20" i="2"/>
  <c r="AE75" i="2"/>
  <c r="AB35" i="2"/>
  <c r="AF11" i="2"/>
  <c r="AB99" i="2"/>
  <c r="AD69" i="2"/>
  <c r="AC35" i="2"/>
  <c r="AF45" i="2"/>
  <c r="AD20" i="2"/>
  <c r="AC23" i="2"/>
  <c r="AF59" i="2"/>
  <c r="AF10" i="2"/>
  <c r="AE82" i="2"/>
  <c r="AB21" i="2"/>
  <c r="AE24" i="2"/>
  <c r="AD60" i="2"/>
  <c r="AB113" i="2"/>
  <c r="AC71" i="2"/>
  <c r="AF82" i="2"/>
  <c r="AF88" i="2"/>
  <c r="AF29" i="2"/>
  <c r="AC40" i="2"/>
  <c r="AB69" i="2"/>
  <c r="AD50" i="2"/>
  <c r="AC99" i="2"/>
  <c r="AE54" i="2"/>
  <c r="AC66" i="2"/>
  <c r="AE44" i="2"/>
  <c r="AC21" i="2"/>
  <c r="AD22" i="2"/>
  <c r="AE26" i="2"/>
  <c r="AF61" i="2"/>
  <c r="AC93" i="2"/>
  <c r="AC73" i="2"/>
  <c r="AB84" i="2"/>
  <c r="AB90" i="2"/>
  <c r="AB58" i="2"/>
  <c r="AD86" i="2"/>
  <c r="AF106" i="2"/>
  <c r="AF51" i="2"/>
  <c r="AB19" i="2"/>
  <c r="AD110" i="2"/>
  <c r="AF84" i="2"/>
  <c r="AC15" i="2"/>
  <c r="AE96" i="2"/>
  <c r="AE74" i="2"/>
  <c r="AF76" i="2"/>
  <c r="AF58" i="2"/>
  <c r="AF41" i="2"/>
  <c r="AB41" i="2"/>
  <c r="AD51" i="2"/>
  <c r="AF87" i="2"/>
  <c r="AB43" i="2"/>
  <c r="AC98" i="2"/>
  <c r="AC19" i="2"/>
  <c r="AB112" i="2"/>
  <c r="AD45" i="2"/>
  <c r="AB51" i="2"/>
  <c r="AE27" i="2"/>
  <c r="AB60" i="2"/>
  <c r="AE105" i="2"/>
  <c r="AF62" i="2"/>
  <c r="AD53" i="2"/>
  <c r="AF65" i="2"/>
  <c r="AC67" i="2"/>
  <c r="AB36" i="2"/>
  <c r="AE10" i="2"/>
  <c r="AF43" i="2"/>
  <c r="AE56" i="2"/>
  <c r="AE59" i="2"/>
  <c r="AB80" i="2"/>
  <c r="AB86" i="2"/>
  <c r="AD28" i="2"/>
  <c r="AF67" i="2"/>
  <c r="AC95" i="2"/>
  <c r="AE36" i="2"/>
  <c r="AD68" i="2"/>
  <c r="AB12" i="2"/>
  <c r="AF98" i="2"/>
  <c r="AF40" i="2"/>
  <c r="AC90" i="2"/>
  <c r="AF18" i="2"/>
  <c r="AF92" i="2"/>
  <c r="AB30" i="2"/>
  <c r="AC12" i="2"/>
  <c r="AC5" i="2"/>
  <c r="AC45" i="2"/>
  <c r="AD72" i="2"/>
  <c r="AC46" i="2"/>
  <c r="AE25" i="2"/>
  <c r="AD96" i="2"/>
  <c r="AE66" i="2"/>
  <c r="AD19" i="2"/>
  <c r="AD7" i="2"/>
  <c r="AE35" i="2"/>
  <c r="AC52" i="2"/>
  <c r="AE110" i="2"/>
  <c r="AC85" i="2"/>
  <c r="AB63" i="2"/>
  <c r="AD70" i="2"/>
  <c r="AC94" i="2"/>
  <c r="AC68" i="2"/>
  <c r="AC29" i="2"/>
  <c r="AE76" i="2"/>
  <c r="AC77" i="2"/>
  <c r="AB65" i="2"/>
  <c r="AD97" i="2"/>
  <c r="AC79" i="2"/>
  <c r="AB6" i="2"/>
  <c r="AE6" i="2"/>
  <c r="AD108" i="2"/>
  <c r="AF52" i="2"/>
  <c r="AD5" i="2"/>
  <c r="AF78" i="2"/>
  <c r="AD42" i="2"/>
  <c r="AB77" i="2"/>
  <c r="AE92" i="2"/>
  <c r="AB104" i="2"/>
  <c r="AC9" i="2"/>
  <c r="AB20" i="2"/>
  <c r="AE16" i="2"/>
  <c r="AD98" i="2"/>
  <c r="AD33" i="2"/>
  <c r="AE15" i="2"/>
  <c r="AF74" i="2"/>
  <c r="AC22" i="2"/>
  <c r="AE8" i="2"/>
  <c r="AB76" i="2"/>
  <c r="AF68" i="2"/>
  <c r="AE57" i="2"/>
  <c r="AE48" i="2"/>
  <c r="AF55" i="2"/>
  <c r="AE63" i="2"/>
  <c r="AF81" i="2"/>
  <c r="AB54" i="2"/>
  <c r="AF19" i="2"/>
  <c r="AB59" i="2"/>
  <c r="AC69" i="2"/>
  <c r="AD85" i="2"/>
  <c r="AB106" i="2"/>
  <c r="AC10" i="2"/>
  <c r="AD30" i="2"/>
  <c r="AB110" i="2"/>
  <c r="AB64" i="2"/>
  <c r="AC14" i="2"/>
  <c r="AE55" i="2"/>
  <c r="AE50" i="2"/>
  <c r="AF63" i="2"/>
  <c r="AB88" i="2"/>
  <c r="AC72" i="2"/>
  <c r="AE78" i="2"/>
  <c r="AE47" i="2"/>
  <c r="AC76" i="2"/>
  <c r="AC110" i="2"/>
  <c r="AB18" i="2"/>
  <c r="AC65" i="2"/>
  <c r="AB81" i="2"/>
  <c r="AC24" i="2"/>
  <c r="AF97" i="2"/>
  <c r="AC48" i="2"/>
  <c r="AF27" i="2"/>
  <c r="AB67" i="2"/>
  <c r="AC81" i="2"/>
  <c r="AD105" i="2"/>
  <c r="AC62" i="2"/>
  <c r="AC83" i="2"/>
  <c r="AF30" i="2"/>
  <c r="AE41" i="2"/>
  <c r="AC27" i="2"/>
  <c r="AC43" i="2"/>
  <c r="AC107" i="2"/>
  <c r="AC97" i="2"/>
  <c r="AD8" i="2"/>
  <c r="AF95" i="2"/>
  <c r="AE58" i="2"/>
  <c r="AE11" i="2"/>
  <c r="AF14" i="2"/>
  <c r="AD40" i="2"/>
  <c r="AC104" i="2"/>
  <c r="AB9" i="2"/>
  <c r="AB34" i="2"/>
  <c r="AC89" i="2"/>
  <c r="AB89" i="2"/>
  <c r="AC106" i="2"/>
  <c r="AC109" i="2"/>
  <c r="AB22" i="2"/>
  <c r="AF35" i="2"/>
  <c r="AB75" i="2"/>
  <c r="AE94" i="2"/>
  <c r="AE46" i="2"/>
  <c r="AC86" i="2"/>
  <c r="AF108" i="2"/>
  <c r="AE87" i="2"/>
  <c r="AF69" i="2"/>
  <c r="AD106" i="2"/>
  <c r="AB23" i="2"/>
  <c r="AE67" i="2"/>
  <c r="AE17" i="2"/>
  <c r="AD24" i="2"/>
  <c r="AE104" i="2"/>
  <c r="AB94" i="2"/>
  <c r="AF17" i="2"/>
  <c r="AE99" i="2"/>
  <c r="AF34" i="2"/>
  <c r="AE81" i="2"/>
  <c r="AB44" i="2"/>
  <c r="AD88" i="2"/>
  <c r="AF25" i="2"/>
  <c r="AC49" i="2"/>
  <c r="AE20" i="2"/>
  <c r="AC47" i="2"/>
  <c r="AE68" i="2"/>
  <c r="AE22" i="2"/>
  <c r="AD79" i="2"/>
  <c r="AB96" i="2"/>
  <c r="AD81" i="2"/>
  <c r="AB11" i="2"/>
  <c r="AB52" i="2"/>
  <c r="AF33" i="2"/>
  <c r="AE32" i="2"/>
  <c r="AB92" i="2"/>
  <c r="AE34" i="2"/>
  <c r="AD95" i="2"/>
  <c r="AE90" i="2"/>
  <c r="AC16" i="2"/>
  <c r="AE49" i="2"/>
  <c r="AE83" i="2"/>
  <c r="AC32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252" i="1"/>
  <c r="AA194" i="1"/>
  <c r="AA183" i="1"/>
  <c r="AA180" i="1"/>
  <c r="AA161" i="1"/>
  <c r="AA154" i="1"/>
  <c r="AA156" i="1" s="1"/>
  <c r="AA120" i="1"/>
  <c r="AA10" i="1"/>
  <c r="AA231" i="1"/>
  <c r="AA182" i="1"/>
  <c r="AA179" i="1"/>
  <c r="AA173" i="1"/>
  <c r="AA134" i="1"/>
  <c r="AA138" i="1" s="1"/>
  <c r="AB111" i="2"/>
  <c r="AF113" i="2"/>
  <c r="AF112" i="2"/>
  <c r="AF111" i="2"/>
  <c r="B1" i="9"/>
  <c r="AE113" i="2"/>
  <c r="AE112" i="2"/>
  <c r="AD112" i="2"/>
  <c r="AD113" i="2"/>
  <c r="AE111" i="2"/>
  <c r="AD111" i="2"/>
  <c r="L1" i="9"/>
  <c r="AC113" i="2"/>
  <c r="AC111" i="2"/>
  <c r="AC112" i="2"/>
  <c r="A1" i="9"/>
  <c r="AA27" i="1" l="1"/>
  <c r="AA128" i="1"/>
  <c r="AA248" i="1"/>
  <c r="AA246" i="1"/>
  <c r="AA185" i="1"/>
  <c r="AA184" i="1" s="1"/>
  <c r="AA16" i="1"/>
  <c r="AA244" i="1"/>
  <c r="AA98" i="1"/>
  <c r="AA186" i="1"/>
  <c r="AA181" i="1"/>
  <c r="AA157" i="1"/>
  <c r="AA165" i="1" s="1"/>
  <c r="AA33" i="1"/>
  <c r="AA129" i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7" i="1" l="1"/>
  <c r="AA168" i="1"/>
  <c r="AA109" i="1" s="1"/>
  <c r="AA17" i="1"/>
  <c r="AA28" i="1"/>
  <c r="AA16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AA52" i="1" l="1"/>
  <c r="AA54" i="1"/>
  <c r="AA193" i="1"/>
  <c r="AA195" i="1" s="1"/>
  <c r="AB35" i="1"/>
  <c r="AC35" i="1" l="1"/>
  <c r="BQ5" i="3"/>
  <c r="BQ41" i="3"/>
  <c r="BH12" i="3"/>
  <c r="BV23" i="3"/>
  <c r="BS19" i="3"/>
  <c r="BF11" i="3"/>
  <c r="BP15" i="3"/>
  <c r="BK40" i="3"/>
  <c r="BH17" i="3"/>
  <c r="BI33" i="3"/>
  <c r="BJ40" i="3"/>
  <c r="AA105" i="2"/>
  <c r="Z107" i="2"/>
  <c r="BC28" i="3"/>
  <c r="AA98" i="2"/>
  <c r="Z65" i="2"/>
  <c r="BC40" i="3"/>
  <c r="EX13" i="4" a="1"/>
  <c r="FC13" i="4" a="1"/>
  <c r="BU35" i="3"/>
  <c r="BM33" i="3"/>
  <c r="BR18" i="3"/>
  <c r="BO14" i="3"/>
  <c r="BI31" i="3"/>
  <c r="BT32" i="3"/>
  <c r="BG24" i="3"/>
  <c r="BJ42" i="3"/>
  <c r="BP20" i="3"/>
  <c r="BG37" i="3"/>
  <c r="Z108" i="2"/>
  <c r="BB37" i="3"/>
  <c r="Y61" i="2"/>
  <c r="Y47" i="2"/>
  <c r="BC36" i="3"/>
  <c r="Z8" i="2"/>
  <c r="EZ8" i="4" a="1"/>
  <c r="FB15" i="4" a="1"/>
  <c r="BJ22" i="3"/>
  <c r="BD35" i="3"/>
  <c r="BQ18" i="3"/>
  <c r="BR13" i="3"/>
  <c r="BG17" i="3"/>
  <c r="BV36" i="3"/>
  <c r="BS32" i="3"/>
  <c r="BK17" i="3"/>
  <c r="BG10" i="3"/>
  <c r="BL42" i="3"/>
  <c r="BL9" i="3"/>
  <c r="BI6" i="3"/>
  <c r="Y104" i="2"/>
  <c r="BD21" i="3"/>
  <c r="AA81" i="2"/>
  <c r="Z6" i="2"/>
  <c r="X6" i="2"/>
  <c r="BD31" i="3"/>
  <c r="Y97" i="2"/>
  <c r="FF7" i="4" a="1"/>
  <c r="BJ29" i="3"/>
  <c r="Y12" i="2"/>
  <c r="BU12" i="3"/>
  <c r="BV7" i="3"/>
  <c r="BF37" i="3"/>
  <c r="BR31" i="3"/>
  <c r="BO27" i="3"/>
  <c r="BH40" i="3"/>
  <c r="BK10" i="3"/>
  <c r="BH46" i="3"/>
  <c r="BF8" i="3"/>
  <c r="BL30" i="3"/>
  <c r="Y22" i="2"/>
  <c r="BA17" i="3"/>
  <c r="Y33" i="2"/>
  <c r="BA5" i="3"/>
  <c r="AA92" i="2"/>
  <c r="BA23" i="3"/>
  <c r="BQ11" i="3"/>
  <c r="BR6" i="3"/>
  <c r="BN31" i="3"/>
  <c r="BV29" i="3"/>
  <c r="BS25" i="3"/>
  <c r="BL34" i="3"/>
  <c r="BP23" i="3"/>
  <c r="BH20" i="3"/>
  <c r="BJ36" i="3"/>
  <c r="BN9" i="3"/>
  <c r="AB39" i="3"/>
  <c r="Z64" i="2"/>
  <c r="AA9" i="2"/>
  <c r="BC7" i="3"/>
  <c r="AA46" i="2"/>
  <c r="BD16" i="3"/>
  <c r="Y105" i="2"/>
  <c r="FC16" i="4" a="1"/>
  <c r="BU5" i="3"/>
  <c r="BU41" i="3"/>
  <c r="BL14" i="3"/>
  <c r="BR24" i="3"/>
  <c r="BO20" i="3"/>
  <c r="BL12" i="3"/>
  <c r="BP31" i="3"/>
  <c r="BI45" i="3"/>
  <c r="BN18" i="3"/>
  <c r="BK34" i="3"/>
  <c r="BH45" i="3"/>
  <c r="AA78" i="2"/>
  <c r="Z20" i="2"/>
  <c r="BC13" i="3"/>
  <c r="Z94" i="2"/>
  <c r="Z83" i="2"/>
  <c r="BD5" i="3"/>
  <c r="EX5" i="4" a="1"/>
  <c r="FB6" i="4" a="1"/>
  <c r="BG25" i="3"/>
  <c r="Y57" i="2"/>
  <c r="BQ24" i="3"/>
  <c r="BT5" i="3"/>
  <c r="BE38" i="3"/>
  <c r="BV42" i="3"/>
  <c r="BO42" i="3"/>
  <c r="BK37" i="3"/>
  <c r="BE15" i="3"/>
  <c r="BG23" i="3"/>
  <c r="BT19" i="3"/>
  <c r="BE22" i="3"/>
  <c r="Y64" i="2"/>
  <c r="BA16" i="3"/>
  <c r="AA26" i="2"/>
  <c r="AA42" i="2"/>
  <c r="BD9" i="3"/>
  <c r="Z52" i="2"/>
  <c r="FA8" i="4" a="1"/>
  <c r="BS15" i="3"/>
  <c r="BJ14" i="3"/>
  <c r="BC38" i="3"/>
  <c r="BU18" i="3"/>
  <c r="BV13" i="3"/>
  <c r="BG19" i="3"/>
  <c r="BR37" i="3"/>
  <c r="BO33" i="3"/>
  <c r="BM18" i="3"/>
  <c r="BI15" i="3"/>
  <c r="BM24" i="3"/>
  <c r="BF16" i="3"/>
  <c r="BK7" i="3"/>
  <c r="Y51" i="2"/>
  <c r="BC41" i="3"/>
  <c r="AA35" i="2"/>
  <c r="AA28" i="2"/>
  <c r="AA33" i="2"/>
  <c r="BD17" i="3"/>
  <c r="AA45" i="2"/>
  <c r="EX6" i="4" a="1"/>
  <c r="BI20" i="3"/>
  <c r="BJ15" i="3"/>
  <c r="AA12" i="2"/>
  <c r="BQ19" i="3"/>
  <c r="BS35" i="3"/>
  <c r="BM20" i="3"/>
  <c r="BV37" i="3"/>
  <c r="BK41" i="3"/>
  <c r="BT31" i="3"/>
  <c r="Z95" i="2"/>
  <c r="BU8" i="3"/>
  <c r="BU46" i="3"/>
  <c r="BH24" i="3"/>
  <c r="BR27" i="3"/>
  <c r="BO23" i="3"/>
  <c r="BF23" i="3"/>
  <c r="BI7" i="3"/>
  <c r="BJ31" i="3"/>
  <c r="BL33" i="3"/>
  <c r="BH36" i="3"/>
  <c r="AA110" i="2"/>
  <c r="BB9" i="3"/>
  <c r="Z53" i="2"/>
  <c r="BD19" i="3"/>
  <c r="BQ15" i="3"/>
  <c r="BQ17" i="3"/>
  <c r="BR12" i="3"/>
  <c r="BK13" i="3"/>
  <c r="BV35" i="3"/>
  <c r="BS31" i="3"/>
  <c r="BE14" i="3"/>
  <c r="BI9" i="3"/>
  <c r="BJ39" i="3"/>
  <c r="BF32" i="3"/>
  <c r="BH26" i="3"/>
  <c r="AA61" i="2"/>
  <c r="BC18" i="3"/>
  <c r="AA79" i="2"/>
  <c r="BC29" i="3"/>
  <c r="Y90" i="2"/>
  <c r="BD38" i="3"/>
  <c r="Y63" i="2"/>
  <c r="EX9" i="4" a="1"/>
  <c r="BU11" i="3"/>
  <c r="BV6" i="3"/>
  <c r="BJ33" i="3"/>
  <c r="BR30" i="3"/>
  <c r="BO26" i="3"/>
  <c r="BL36" i="3"/>
  <c r="BE5" i="3"/>
  <c r="BN21" i="3"/>
  <c r="BF38" i="3"/>
  <c r="BJ11" i="3"/>
  <c r="AA40" i="2"/>
  <c r="AA47" i="2"/>
  <c r="Y19" i="2"/>
  <c r="BA36" i="3"/>
  <c r="AA13" i="2"/>
  <c r="BC33" i="3"/>
  <c r="Z93" i="2"/>
  <c r="FD6" i="4" a="1"/>
  <c r="BS21" i="3"/>
  <c r="Z36" i="2"/>
  <c r="Y74" i="2"/>
  <c r="BQ30" i="3"/>
  <c r="BP12" i="3"/>
  <c r="BN24" i="3"/>
  <c r="BS8" i="3"/>
  <c r="BT38" i="3"/>
  <c r="BJ18" i="3"/>
  <c r="BM19" i="3"/>
  <c r="BN6" i="3"/>
  <c r="BP26" i="3"/>
  <c r="BI38" i="3"/>
  <c r="AA51" i="2"/>
  <c r="BD29" i="3"/>
  <c r="Z12" i="2"/>
  <c r="Z92" i="2"/>
  <c r="BB7" i="3"/>
  <c r="BA25" i="3"/>
  <c r="EZ11" i="4" a="1"/>
  <c r="BJ17" i="3"/>
  <c r="BK38" i="3"/>
  <c r="BD37" i="3"/>
  <c r="BU24" i="3"/>
  <c r="BT7" i="3"/>
  <c r="BK39" i="3"/>
  <c r="BR45" i="3"/>
  <c r="BS45" i="3"/>
  <c r="BG39" i="3"/>
  <c r="BG20" i="3"/>
  <c r="BN14" i="3"/>
  <c r="BT25" i="3"/>
  <c r="BK23" i="3"/>
  <c r="AA80" i="2"/>
  <c r="BA29" i="3"/>
  <c r="AA76" i="2"/>
  <c r="Z59" i="2"/>
  <c r="BD46" i="3"/>
  <c r="AA49" i="2"/>
  <c r="EY11" i="4" a="1"/>
  <c r="FE11" i="4" a="1"/>
  <c r="BH31" i="3"/>
  <c r="Y85" i="2"/>
  <c r="Y34" i="2"/>
  <c r="BQ25" i="3"/>
  <c r="BT15" i="3"/>
  <c r="BG41" i="3"/>
  <c r="BS9" i="3"/>
  <c r="BT46" i="3"/>
  <c r="BH32" i="3"/>
  <c r="Z29" i="2"/>
  <c r="BU14" i="3"/>
  <c r="BV9" i="3"/>
  <c r="BJ45" i="3"/>
  <c r="BR33" i="3"/>
  <c r="BO29" i="3"/>
  <c r="BG5" i="3"/>
  <c r="BG12" i="3"/>
  <c r="BK11" i="3"/>
  <c r="BL41" i="3"/>
  <c r="BM12" i="3"/>
  <c r="Z89" i="2"/>
  <c r="BB22" i="3"/>
  <c r="AA6" i="2"/>
  <c r="AA16" i="2"/>
  <c r="BQ21" i="3"/>
  <c r="BQ8" i="3"/>
  <c r="BM8" i="3"/>
  <c r="BO30" i="3"/>
  <c r="BG8" i="3"/>
  <c r="BN12" i="3"/>
  <c r="AA55" i="2"/>
  <c r="AA36" i="2"/>
  <c r="AA22" i="2"/>
  <c r="BB39" i="3"/>
  <c r="FD11" i="4" a="1"/>
  <c r="BQ23" i="3"/>
  <c r="BO45" i="3"/>
  <c r="BE34" i="3"/>
  <c r="BV41" i="3"/>
  <c r="BO40" i="3"/>
  <c r="BM34" i="3"/>
  <c r="BG14" i="3"/>
  <c r="BE20" i="3"/>
  <c r="BF24" i="3"/>
  <c r="BF45" i="3"/>
  <c r="AA17" i="2"/>
  <c r="BD22" i="3"/>
  <c r="AA86" i="2"/>
  <c r="BB46" i="3"/>
  <c r="Z105" i="2"/>
  <c r="Z27" i="2"/>
  <c r="Y53" i="2"/>
  <c r="EY15" i="4" a="1"/>
  <c r="BU17" i="3"/>
  <c r="BV12" i="3"/>
  <c r="BG15" i="3"/>
  <c r="BR36" i="3"/>
  <c r="BO32" i="3"/>
  <c r="BE16" i="3"/>
  <c r="BM9" i="3"/>
  <c r="BF41" i="3"/>
  <c r="BJ38" i="3"/>
  <c r="BJ27" i="3"/>
  <c r="Y94" i="2"/>
  <c r="BC37" i="3"/>
  <c r="Z5" i="2"/>
  <c r="BC42" i="3"/>
  <c r="AA32" i="2"/>
  <c r="BA10" i="3"/>
  <c r="Z17" i="2"/>
  <c r="FE14" i="4" a="1"/>
  <c r="BE11" i="3"/>
  <c r="BA20" i="3"/>
  <c r="BA7" i="3"/>
  <c r="BQ36" i="3"/>
  <c r="BI35" i="3"/>
  <c r="BV18" i="3"/>
  <c r="BS14" i="3"/>
  <c r="BE33" i="3"/>
  <c r="BT36" i="3"/>
  <c r="BK24" i="3"/>
  <c r="BJ20" i="3"/>
  <c r="BM35" i="3"/>
  <c r="BH7" i="3"/>
  <c r="Y99" i="2"/>
  <c r="Y43" i="2"/>
  <c r="BB16" i="3"/>
  <c r="Y5" i="2"/>
  <c r="Y67" i="2"/>
  <c r="BB28" i="3"/>
  <c r="FA15" i="4" a="1"/>
  <c r="BM15" i="3"/>
  <c r="BG9" i="3"/>
  <c r="BC15" i="3"/>
  <c r="BU30" i="3"/>
  <c r="BP18" i="3"/>
  <c r="BN32" i="3"/>
  <c r="BO9" i="3"/>
  <c r="BP10" i="3"/>
  <c r="BJ26" i="3"/>
  <c r="BE25" i="3"/>
  <c r="BE85" i="3"/>
  <c r="BP28" i="3"/>
  <c r="BE40" i="3"/>
  <c r="AA7" i="2"/>
  <c r="BB38" i="3"/>
  <c r="Z21" i="2"/>
  <c r="AA85" i="2"/>
  <c r="BA24" i="3"/>
  <c r="BB23" i="3"/>
  <c r="FF15" i="4" a="1"/>
  <c r="FD5" i="4" a="1"/>
  <c r="BG6" i="3"/>
  <c r="Y58" i="2"/>
  <c r="BC23" i="3"/>
  <c r="BQ31" i="3"/>
  <c r="BP24" i="3"/>
  <c r="BH39" i="3"/>
  <c r="BS27" i="3"/>
  <c r="BP11" i="3"/>
  <c r="BM40" i="3"/>
  <c r="BC39" i="3"/>
  <c r="BU20" i="3"/>
  <c r="BO38" i="3"/>
  <c r="BE26" i="3"/>
  <c r="BR39" i="3"/>
  <c r="BO35" i="3"/>
  <c r="BK25" i="3"/>
  <c r="BE17" i="3"/>
  <c r="BE32" i="3"/>
  <c r="BT8" i="3"/>
  <c r="BM28" i="3"/>
  <c r="Y26" i="2"/>
  <c r="BA19" i="3"/>
  <c r="Y50" i="2"/>
  <c r="AA5" i="2"/>
  <c r="BQ27" i="3"/>
  <c r="BQ22" i="3"/>
  <c r="BJ32" i="3"/>
  <c r="BT27" i="3"/>
  <c r="BM17" i="3"/>
  <c r="BJ30" i="3"/>
  <c r="AA72" i="2"/>
  <c r="Y98" i="2"/>
  <c r="BD41" i="3"/>
  <c r="BQ29" i="3"/>
  <c r="BT26" i="3"/>
  <c r="BJ10" i="3"/>
  <c r="BS7" i="3"/>
  <c r="BT10" i="3"/>
  <c r="BL5" i="3"/>
  <c r="BE19" i="3"/>
  <c r="BI40" i="3"/>
  <c r="BT9" i="3"/>
  <c r="BK19" i="3"/>
  <c r="Y46" i="2"/>
  <c r="BC27" i="3"/>
  <c r="AA63" i="2"/>
  <c r="Y96" i="2"/>
  <c r="BA8" i="3"/>
  <c r="Y27" i="2"/>
  <c r="FC14" i="4" a="1"/>
  <c r="FC15" i="4" a="1"/>
  <c r="BU23" i="3"/>
  <c r="BO46" i="3"/>
  <c r="BI36" i="3"/>
  <c r="BR42" i="3"/>
  <c r="BO41" i="3"/>
  <c r="BE36" i="3"/>
  <c r="BK14" i="3"/>
  <c r="BK21" i="3"/>
  <c r="BN36" i="3"/>
  <c r="BK5" i="3"/>
  <c r="Z48" i="2"/>
  <c r="BB32" i="3"/>
  <c r="AA50" i="2"/>
  <c r="AA88" i="2"/>
  <c r="AA82" i="2"/>
  <c r="BC5" i="3"/>
  <c r="AA15" i="2"/>
  <c r="FF8" i="4" a="1"/>
  <c r="BN25" i="3"/>
  <c r="Y20" i="2"/>
  <c r="BQ6" i="3"/>
  <c r="BQ42" i="3"/>
  <c r="BH16" i="3"/>
  <c r="BV24" i="3"/>
  <c r="BS20" i="3"/>
  <c r="BH14" i="3"/>
  <c r="BP39" i="3"/>
  <c r="BK46" i="3"/>
  <c r="BL39" i="3"/>
  <c r="BF13" i="3"/>
  <c r="Z66" i="2"/>
  <c r="Y35" i="2"/>
  <c r="W6" i="2"/>
  <c r="BD8" i="3"/>
  <c r="AA99" i="2"/>
  <c r="BC34" i="3"/>
  <c r="Z43" i="2"/>
  <c r="FE8" i="4" a="1"/>
  <c r="BL6" i="3"/>
  <c r="BN16" i="3"/>
  <c r="Z77" i="2"/>
  <c r="BQ35" i="3"/>
  <c r="BK32" i="3"/>
  <c r="BV17" i="3"/>
  <c r="BS13" i="3"/>
  <c r="BI29" i="3"/>
  <c r="BT28" i="3"/>
  <c r="BM23" i="3"/>
  <c r="BF36" i="3"/>
  <c r="BP14" i="3"/>
  <c r="BK35" i="3"/>
  <c r="Y23" i="2"/>
  <c r="BB15" i="3"/>
  <c r="Y71" i="2"/>
  <c r="Y8" i="2"/>
  <c r="BA33" i="3"/>
  <c r="Y79" i="2"/>
  <c r="FA7" i="4" a="1"/>
  <c r="FF5" i="4" a="1"/>
  <c r="BU29" i="3"/>
  <c r="BT34" i="3"/>
  <c r="BF20" i="3"/>
  <c r="BO8" i="3"/>
  <c r="BT22" i="3"/>
  <c r="BF12" i="3"/>
  <c r="BI19" i="3"/>
  <c r="BE42" i="3"/>
  <c r="BT13" i="3"/>
  <c r="BG21" i="3"/>
  <c r="AA14" i="2"/>
  <c r="BD39" i="3"/>
  <c r="Z70" i="2"/>
  <c r="AA20" i="2"/>
  <c r="AV10" i="3"/>
  <c r="Y52" i="2"/>
  <c r="FC12" i="4" a="1"/>
  <c r="EX14" i="4" a="1"/>
  <c r="BH21" i="3"/>
  <c r="Z49" i="2"/>
  <c r="BQ12" i="3"/>
  <c r="BR7" i="3"/>
  <c r="BJ35" i="3"/>
  <c r="BV30" i="3"/>
  <c r="BS26" i="3"/>
  <c r="BL38" i="3"/>
  <c r="BI5" i="3"/>
  <c r="BJ23" i="3"/>
  <c r="BE46" i="3"/>
  <c r="BL28" i="3"/>
  <c r="Z76" i="2"/>
  <c r="BB45" i="3"/>
  <c r="Y80" i="2"/>
  <c r="BA28" i="3"/>
  <c r="AA89" i="2"/>
  <c r="BC6" i="3"/>
  <c r="Y29" i="2"/>
  <c r="FB12" i="4" a="1"/>
  <c r="BE6" i="3"/>
  <c r="Y36" i="2"/>
  <c r="BU6" i="3"/>
  <c r="BU42" i="3"/>
  <c r="BN17" i="3"/>
  <c r="BR25" i="3"/>
  <c r="BO21" i="3"/>
  <c r="BN15" i="3"/>
  <c r="BM5" i="3"/>
  <c r="BL24" i="3"/>
  <c r="BH41" i="3"/>
  <c r="BN13" i="3"/>
  <c r="AA109" i="2"/>
  <c r="Z72" i="2"/>
  <c r="Y108" i="2"/>
  <c r="BB19" i="3"/>
  <c r="AA65" i="2"/>
  <c r="BD25" i="3"/>
  <c r="Z82" i="2"/>
  <c r="FB13" i="4" a="1"/>
  <c r="BP16" i="3"/>
  <c r="BN42" i="3"/>
  <c r="Y109" i="2"/>
  <c r="BQ7" i="3"/>
  <c r="BQ45" i="3"/>
  <c r="BF19" i="3"/>
  <c r="BV25" i="3"/>
  <c r="BS46" i="3"/>
  <c r="BM26" i="3"/>
  <c r="Z22" i="2"/>
  <c r="BA11" i="3"/>
  <c r="BU32" i="3"/>
  <c r="BP46" i="3"/>
  <c r="BR15" i="3"/>
  <c r="BO11" i="3"/>
  <c r="BP36" i="3"/>
  <c r="BP25" i="3"/>
  <c r="BK30" i="3"/>
  <c r="BH9" i="3"/>
  <c r="BG42" i="3"/>
  <c r="BJ34" i="3"/>
  <c r="Z9" i="2"/>
  <c r="Z110" i="2"/>
  <c r="BD11" i="3"/>
  <c r="AA71" i="2"/>
  <c r="BQ39" i="3"/>
  <c r="BV10" i="3"/>
  <c r="BR34" i="3"/>
  <c r="BI8" i="3"/>
  <c r="BH34" i="3"/>
  <c r="BH22" i="3"/>
  <c r="BD32" i="3"/>
  <c r="BA40" i="3"/>
  <c r="Z87" i="2"/>
  <c r="FD14" i="4" a="1"/>
  <c r="BC35" i="3"/>
  <c r="FA13" i="4" a="1"/>
  <c r="EY14" i="4" a="1"/>
  <c r="BO36" i="3"/>
  <c r="BD27" i="3"/>
  <c r="BL31" i="3"/>
  <c r="EZ13" i="4" a="1"/>
  <c r="BA32" i="3"/>
  <c r="BK6" i="3"/>
  <c r="BM25" i="3"/>
  <c r="AA69" i="2"/>
  <c r="BU9" i="3"/>
  <c r="BI10" i="3"/>
  <c r="BS30" i="3"/>
  <c r="BK8" i="3"/>
  <c r="BH19" i="3"/>
  <c r="BT40" i="3"/>
  <c r="Y17" i="2"/>
  <c r="EY13" i="4" a="1"/>
  <c r="BA6" i="3"/>
  <c r="BE39" i="3"/>
  <c r="BI25" i="3"/>
  <c r="BU26" i="3"/>
  <c r="BO5" i="3"/>
  <c r="BM21" i="3"/>
  <c r="BH13" i="3"/>
  <c r="AA41" i="2"/>
  <c r="BR10" i="3"/>
  <c r="BO18" i="3"/>
  <c r="BJ12" i="3"/>
  <c r="Z47" i="2"/>
  <c r="Y69" i="2"/>
  <c r="EZ6" i="4" a="1"/>
  <c r="FD9" i="4" a="1"/>
  <c r="EX8" i="4" a="1"/>
  <c r="BJ13" i="3"/>
  <c r="BQ46" i="3"/>
  <c r="EZ5" i="4" a="1"/>
  <c r="BB10" i="3"/>
  <c r="BD7" i="3"/>
  <c r="Z81" i="2"/>
  <c r="Z28" i="2"/>
  <c r="BF9" i="3"/>
  <c r="BT33" i="3"/>
  <c r="BG38" i="3"/>
  <c r="BN23" i="3"/>
  <c r="BD33" i="3"/>
  <c r="BA42" i="3"/>
  <c r="Y86" i="2"/>
  <c r="BO12" i="3"/>
  <c r="Y7" i="2"/>
  <c r="BS39" i="3"/>
  <c r="Z13" i="2"/>
  <c r="BH5" i="3"/>
  <c r="BT29" i="3"/>
  <c r="V6" i="2"/>
  <c r="BK33" i="3"/>
  <c r="BB13" i="3"/>
  <c r="BU39" i="3"/>
  <c r="BR23" i="3"/>
  <c r="BJ9" i="3"/>
  <c r="BM39" i="3"/>
  <c r="BG32" i="3"/>
  <c r="AA29" i="2"/>
  <c r="BA15" i="3"/>
  <c r="Y56" i="2"/>
  <c r="BD34" i="3"/>
  <c r="BB31" i="3"/>
  <c r="BT18" i="3"/>
  <c r="BO24" i="3"/>
  <c r="AA84" i="2"/>
  <c r="BQ32" i="3"/>
  <c r="BC12" i="3"/>
  <c r="FE6" i="4" a="1"/>
  <c r="BG16" i="3"/>
  <c r="Y91" i="2"/>
  <c r="BQ34" i="3"/>
  <c r="BH35" i="3"/>
  <c r="BV33" i="3"/>
  <c r="BQ26" i="3"/>
  <c r="BR14" i="3"/>
  <c r="BP22" i="3"/>
  <c r="BE21" i="3"/>
  <c r="BT37" i="3"/>
  <c r="Z104" i="2"/>
  <c r="Z80" i="2"/>
  <c r="BC31" i="3"/>
  <c r="BK12" i="3"/>
  <c r="Z40" i="2"/>
  <c r="AA57" i="2"/>
  <c r="BM14" i="3"/>
  <c r="FF16" i="4" a="1"/>
  <c r="BI23" i="3"/>
  <c r="Z16" i="2"/>
  <c r="BM42" i="3"/>
  <c r="Z45" i="2"/>
  <c r="BL11" i="3"/>
  <c r="AA70" i="2"/>
  <c r="BV21" i="3"/>
  <c r="FF13" i="4" a="1"/>
  <c r="BP38" i="3"/>
  <c r="BS10" i="3"/>
  <c r="BI46" i="3"/>
  <c r="BF34" i="3"/>
  <c r="BE28" i="3"/>
  <c r="BC10" i="3"/>
  <c r="AA74" i="2"/>
  <c r="BU36" i="3"/>
  <c r="BF5" i="3"/>
  <c r="BC17" i="3"/>
  <c r="EY12" i="4" a="1"/>
  <c r="Z85" i="2"/>
  <c r="BH38" i="3"/>
  <c r="BL23" i="3"/>
  <c r="BU38" i="3"/>
  <c r="BO17" i="3"/>
  <c r="BN11" i="3"/>
  <c r="Y60" i="2"/>
  <c r="BA37" i="3"/>
  <c r="BU37" i="3"/>
  <c r="BH6" i="3"/>
  <c r="BG30" i="3"/>
  <c r="Z68" i="2"/>
  <c r="BD40" i="3"/>
  <c r="BD20" i="3"/>
  <c r="FE13" i="4" a="1"/>
  <c r="EY6" i="4" a="1"/>
  <c r="BN8" i="3"/>
  <c r="BT16" i="3"/>
  <c r="BR5" i="3"/>
  <c r="FC5" i="4" a="1"/>
  <c r="BK42" i="3"/>
  <c r="Z106" i="2"/>
  <c r="FD8" i="4" a="1"/>
  <c r="BN38" i="3"/>
  <c r="BN7" i="3"/>
  <c r="BN35" i="3"/>
  <c r="BM16" i="3"/>
  <c r="BB25" i="3"/>
  <c r="Z57" i="2"/>
  <c r="Y59" i="2"/>
  <c r="BF15" i="3"/>
  <c r="AA95" i="2"/>
  <c r="BM27" i="3"/>
  <c r="AA66" i="2"/>
  <c r="BI42" i="3"/>
  <c r="BV20" i="3"/>
  <c r="BN5" i="3"/>
  <c r="BE29" i="3"/>
  <c r="Z84" i="2"/>
  <c r="BV11" i="3"/>
  <c r="BR35" i="3"/>
  <c r="BI12" i="3"/>
  <c r="BN37" i="3"/>
  <c r="BF25" i="3"/>
  <c r="BA45" i="3"/>
  <c r="BA41" i="3"/>
  <c r="Y66" i="2"/>
  <c r="FD7" i="4" a="1"/>
  <c r="BB36" i="3"/>
  <c r="AA68" i="2"/>
  <c r="BE13" i="3"/>
  <c r="BB27" i="3"/>
  <c r="BR41" i="3"/>
  <c r="Z35" i="2"/>
  <c r="BV5" i="3"/>
  <c r="BI28" i="3"/>
  <c r="Y92" i="2"/>
  <c r="BV46" i="3"/>
  <c r="BD30" i="3"/>
  <c r="BS17" i="3"/>
  <c r="BQ40" i="3"/>
  <c r="BR26" i="3"/>
  <c r="BN19" i="3"/>
  <c r="BH8" i="3"/>
  <c r="BG40" i="3"/>
  <c r="AA94" i="2"/>
  <c r="BD10" i="3"/>
  <c r="Z24" i="2"/>
  <c r="BG13" i="3"/>
  <c r="Z91" i="2"/>
  <c r="FC8" i="4" a="1"/>
  <c r="BF39" i="3"/>
  <c r="BI37" i="3"/>
  <c r="BF22" i="3"/>
  <c r="Y31" i="2"/>
  <c r="BV45" i="3"/>
  <c r="Z58" i="2"/>
  <c r="BV19" i="3"/>
  <c r="Z67" i="2"/>
  <c r="BT35" i="3"/>
  <c r="BT17" i="3"/>
  <c r="BF42" i="3"/>
  <c r="AA90" i="2"/>
  <c r="Z10" i="2"/>
  <c r="BU66" i="3"/>
  <c r="BN30" i="3"/>
  <c r="BK15" i="3"/>
  <c r="AA108" i="2"/>
  <c r="Y110" i="2"/>
  <c r="FE5" i="4" a="1"/>
  <c r="AA27" i="2"/>
  <c r="BO39" i="3"/>
  <c r="Y82" i="2"/>
  <c r="BK31" i="3"/>
  <c r="BM32" i="3"/>
  <c r="BT23" i="3"/>
  <c r="BI39" i="3"/>
  <c r="AA23" i="2"/>
  <c r="BU22" i="3"/>
  <c r="BV22" i="3"/>
  <c r="BK9" i="3"/>
  <c r="BM36" i="3"/>
  <c r="BH29" i="3"/>
  <c r="Z25" i="2"/>
  <c r="Z46" i="2"/>
  <c r="Z26" i="2"/>
  <c r="BT30" i="3"/>
  <c r="FB14" i="4" a="1"/>
  <c r="BT24" i="3"/>
  <c r="AA58" i="2"/>
  <c r="BD13" i="3"/>
  <c r="BS16" i="3"/>
  <c r="BS5" i="3"/>
  <c r="AA44" i="2"/>
  <c r="BA30" i="3"/>
  <c r="BT14" i="3"/>
  <c r="BO7" i="3"/>
  <c r="BR19" i="3"/>
  <c r="BE37" i="3"/>
  <c r="Z88" i="2"/>
  <c r="BG36" i="3"/>
  <c r="BQ13" i="3"/>
  <c r="BV31" i="3"/>
  <c r="BC16" i="3"/>
  <c r="BG46" i="3"/>
  <c r="BE41" i="3"/>
  <c r="BJ28" i="3"/>
  <c r="BB20" i="3"/>
  <c r="BQ9" i="3"/>
  <c r="BJ7" i="3"/>
  <c r="BP41" i="3"/>
  <c r="BN22" i="3"/>
  <c r="Y11" i="2"/>
  <c r="FE12" i="4" a="1"/>
  <c r="EZ14" i="4" a="1"/>
  <c r="Y95" i="2"/>
  <c r="BS11" i="3"/>
  <c r="FB9" i="4" a="1"/>
  <c r="BA31" i="3"/>
  <c r="BO25" i="3"/>
  <c r="BN39" i="3"/>
  <c r="BN29" i="3"/>
  <c r="Z69" i="2"/>
  <c r="BQ38" i="3"/>
  <c r="BV34" i="3"/>
  <c r="BH37" i="3"/>
  <c r="BF14" i="3"/>
  <c r="Y13" i="2"/>
  <c r="AA8" i="2"/>
  <c r="Y77" i="2"/>
  <c r="BA46" i="3"/>
  <c r="AA24" i="2"/>
  <c r="BM31" i="3"/>
  <c r="BM13" i="3"/>
  <c r="BB11" i="3"/>
  <c r="BB5" i="3"/>
  <c r="BK28" i="3"/>
  <c r="BS29" i="3"/>
  <c r="Z14" i="2"/>
  <c r="FC7" i="4" a="1"/>
  <c r="BL10" i="3"/>
  <c r="BO19" i="3"/>
  <c r="BP37" i="3"/>
  <c r="BL15" i="3"/>
  <c r="BL35" i="3"/>
  <c r="AA87" i="2"/>
  <c r="Z90" i="2"/>
  <c r="Z33" i="2"/>
  <c r="FF9" i="4" a="1"/>
  <c r="EY16" i="4" a="1"/>
  <c r="AA64" i="2"/>
  <c r="BK45" i="3"/>
  <c r="AA75" i="2"/>
  <c r="BI18" i="3"/>
  <c r="BC21" i="3"/>
  <c r="BO28" i="3"/>
  <c r="BF17" i="3"/>
  <c r="BB34" i="3"/>
  <c r="BP17" i="3"/>
  <c r="Y40" i="2"/>
  <c r="BF26" i="3"/>
  <c r="BP30" i="3"/>
  <c r="BO10" i="3"/>
  <c r="BL37" i="3"/>
  <c r="BL27" i="3"/>
  <c r="BI26" i="3"/>
  <c r="BB41" i="3"/>
  <c r="Z31" i="2"/>
  <c r="FA16" i="4" a="1"/>
  <c r="BJ37" i="3"/>
  <c r="BB33" i="3"/>
  <c r="BR28" i="3"/>
  <c r="Y42" i="2"/>
  <c r="BS42" i="3"/>
  <c r="Y62" i="2"/>
  <c r="EX11" i="4" a="1"/>
  <c r="BC32" i="3"/>
  <c r="Y41" i="2"/>
  <c r="BC8" i="3"/>
  <c r="FA12" i="4" a="1"/>
  <c r="BD42" i="3"/>
  <c r="BU27" i="3"/>
  <c r="BV14" i="3"/>
  <c r="BP32" i="3"/>
  <c r="BI21" i="3"/>
  <c r="BT45" i="3"/>
  <c r="Y21" i="2"/>
  <c r="Y106" i="2"/>
  <c r="BA14" i="3"/>
  <c r="Z51" i="2"/>
  <c r="BG27" i="3"/>
  <c r="Z75" i="2"/>
  <c r="BG29" i="3"/>
  <c r="BB6" i="3"/>
  <c r="BI34" i="3"/>
  <c r="BN28" i="3"/>
  <c r="BL46" i="3"/>
  <c r="BE35" i="3"/>
  <c r="BQ14" i="3"/>
  <c r="BS23" i="3"/>
  <c r="FA9" i="4" a="1"/>
  <c r="BL18" i="3"/>
  <c r="BC25" i="3"/>
  <c r="BH28" i="3"/>
  <c r="BS24" i="3"/>
  <c r="BP29" i="3"/>
  <c r="BH33" i="3"/>
  <c r="AA19" i="2"/>
  <c r="Z44" i="2"/>
  <c r="AA60" i="2"/>
  <c r="Z78" i="2"/>
  <c r="BQ20" i="3"/>
  <c r="Y14" i="2"/>
  <c r="BP40" i="3"/>
  <c r="BL97" i="3"/>
  <c r="BE82" i="3"/>
  <c r="BG64" i="3"/>
  <c r="BI92" i="3"/>
  <c r="BA84" i="3"/>
  <c r="BO15" i="3"/>
  <c r="BL13" i="3"/>
  <c r="Y18" i="2"/>
  <c r="BK20" i="3"/>
  <c r="BQ37" i="3"/>
  <c r="BS33" i="3"/>
  <c r="Z73" i="2"/>
  <c r="BL19" i="3"/>
  <c r="BF18" i="3"/>
  <c r="BI27" i="3"/>
  <c r="Y6" i="2"/>
  <c r="BQ33" i="3"/>
  <c r="BR22" i="3"/>
  <c r="BK36" i="3"/>
  <c r="Z109" i="2"/>
  <c r="BB8" i="3"/>
  <c r="FB7" i="4" a="1"/>
  <c r="FA11" i="4" a="1"/>
  <c r="Z63" i="2"/>
  <c r="BK27" i="3"/>
  <c r="FC11" i="4" a="1"/>
  <c r="Y15" i="2"/>
  <c r="BP7" i="3"/>
  <c r="BR46" i="3"/>
  <c r="BJ8" i="3"/>
  <c r="FF12" i="4" a="1"/>
  <c r="BR11" i="3"/>
  <c r="BS6" i="3"/>
  <c r="BP21" i="3"/>
  <c r="BG45" i="3"/>
  <c r="AA77" i="2"/>
  <c r="Z79" i="2"/>
  <c r="BA12" i="3"/>
  <c r="BL26" i="3"/>
  <c r="Z96" i="2"/>
  <c r="BH30" i="3"/>
  <c r="BL29" i="3"/>
  <c r="EX12" i="4" a="1"/>
  <c r="BC22" i="3"/>
  <c r="BJ46" i="3"/>
  <c r="BP33" i="3"/>
  <c r="AA11" i="2"/>
  <c r="BQ10" i="3"/>
  <c r="BE12" i="3"/>
  <c r="BO31" i="3"/>
  <c r="BE9" i="3"/>
  <c r="BL25" i="3"/>
  <c r="Y83" i="2"/>
  <c r="AA30" i="2"/>
  <c r="Y84" i="2"/>
  <c r="BD14" i="3"/>
  <c r="EZ7" i="4" a="1"/>
  <c r="BG34" i="3"/>
  <c r="Z50" i="2"/>
  <c r="Z42" i="2"/>
  <c r="BP34" i="3"/>
  <c r="BR8" i="3"/>
  <c r="BJ41" i="3"/>
  <c r="BU7" i="3"/>
  <c r="BR21" i="3"/>
  <c r="BP35" i="3"/>
  <c r="BJ19" i="3"/>
  <c r="Y49" i="2"/>
  <c r="BQ56" i="3"/>
  <c r="BO6" i="3"/>
  <c r="BG35" i="3"/>
  <c r="BA9" i="3"/>
  <c r="BC30" i="3"/>
  <c r="FE7" i="4" a="1"/>
  <c r="EZ15" i="4" a="1"/>
  <c r="EX15" i="4" a="1"/>
  <c r="BP45" i="3"/>
  <c r="FE16" i="4" a="1"/>
  <c r="Z97" i="2"/>
  <c r="BN34" i="3"/>
  <c r="Y75" i="2"/>
  <c r="Z54" i="2"/>
  <c r="BJ24" i="3"/>
  <c r="BT6" i="3"/>
  <c r="BS18" i="3"/>
  <c r="BG18" i="3"/>
  <c r="BE31" i="3"/>
  <c r="Y72" i="2"/>
  <c r="Y78" i="2"/>
  <c r="Y48" i="2"/>
  <c r="BR16" i="3"/>
  <c r="Z99" i="2"/>
  <c r="BR29" i="3"/>
  <c r="BL8" i="3"/>
  <c r="BU33" i="3"/>
  <c r="Z60" i="2"/>
  <c r="BG11" i="3"/>
  <c r="BI17" i="3"/>
  <c r="BB14" i="3"/>
  <c r="BU25" i="3"/>
  <c r="BF46" i="3"/>
  <c r="BT39" i="3"/>
  <c r="BK18" i="3"/>
  <c r="BP6" i="3"/>
  <c r="Y28" i="2"/>
  <c r="Z61" i="2"/>
  <c r="BD28" i="3"/>
  <c r="Y54" i="2"/>
  <c r="FC6" i="4" a="1"/>
  <c r="BG22" i="3"/>
  <c r="BU15" i="3"/>
  <c r="BC14" i="3"/>
  <c r="EZ16" i="4" a="1"/>
  <c r="Y88" i="2"/>
  <c r="Y89" i="2"/>
  <c r="BN45" i="3"/>
  <c r="BB24" i="3"/>
  <c r="EZ9" i="4" a="1"/>
  <c r="BK16" i="3"/>
  <c r="BU34" i="3"/>
  <c r="BU10" i="3"/>
  <c r="BI22" i="3"/>
  <c r="BO34" i="3"/>
  <c r="BI11" i="3"/>
  <c r="BN20" i="3"/>
  <c r="Y76" i="2"/>
  <c r="Z11" i="2"/>
  <c r="Y81" i="2"/>
  <c r="BU45" i="3"/>
  <c r="AY29" i="3"/>
  <c r="AA83" i="2"/>
  <c r="BP13" i="3"/>
  <c r="FF14" i="4" a="1"/>
  <c r="BO13" i="3"/>
  <c r="Y45" i="2"/>
  <c r="BU19" i="3"/>
  <c r="AA56" i="2"/>
  <c r="BN41" i="3"/>
  <c r="Y25" i="2"/>
  <c r="BU21" i="3"/>
  <c r="Z15" i="2"/>
  <c r="BS37" i="3"/>
  <c r="BV38" i="3"/>
  <c r="BE24" i="3"/>
  <c r="BE10" i="3"/>
  <c r="BF35" i="3"/>
  <c r="BA26" i="3"/>
  <c r="BB18" i="3"/>
  <c r="BB42" i="3"/>
  <c r="FA6" i="4" a="1"/>
  <c r="BF40" i="3"/>
  <c r="Z71" i="2"/>
  <c r="BH15" i="3"/>
  <c r="BU16" i="3"/>
  <c r="BM41" i="3"/>
  <c r="FD13" i="4" a="1"/>
  <c r="AA54" i="2"/>
  <c r="BJ16" i="3"/>
  <c r="BK26" i="3"/>
  <c r="BF27" i="3"/>
  <c r="BF29" i="3"/>
  <c r="BT41" i="3"/>
  <c r="BU31" i="3"/>
  <c r="BV16" i="3"/>
  <c r="BG26" i="3"/>
  <c r="BE23" i="3"/>
  <c r="BT42" i="3"/>
  <c r="Y32" i="2"/>
  <c r="BD6" i="3"/>
  <c r="AA97" i="2"/>
  <c r="BN46" i="3"/>
  <c r="FA5" i="4" a="1"/>
  <c r="BA22" i="3"/>
  <c r="BA21" i="3"/>
  <c r="FE9" i="4" a="1"/>
  <c r="BM7" i="3"/>
  <c r="BP19" i="3"/>
  <c r="Y9" i="2"/>
  <c r="BN40" i="3"/>
  <c r="Z18" i="2"/>
  <c r="BC45" i="3"/>
  <c r="AA48" i="2"/>
  <c r="BD36" i="3"/>
  <c r="AA62" i="2"/>
  <c r="BV26" i="3"/>
  <c r="BH10" i="3"/>
  <c r="Z62" i="2"/>
  <c r="Y93" i="2"/>
  <c r="EY5" i="4" a="1"/>
  <c r="AA31" i="2"/>
  <c r="AA93" i="2"/>
  <c r="C4" i="2"/>
  <c r="BF10" i="3"/>
  <c r="BH11" i="3"/>
  <c r="BV27" i="3"/>
  <c r="BK29" i="3"/>
  <c r="BI14" i="3"/>
  <c r="BG31" i="3"/>
  <c r="BM30" i="3"/>
  <c r="BG79" i="3"/>
  <c r="BD23" i="3"/>
  <c r="BB26" i="3"/>
  <c r="Z86" i="2"/>
  <c r="BT21" i="3"/>
  <c r="BN27" i="3"/>
  <c r="BQ61" i="3"/>
  <c r="BG83" i="3"/>
  <c r="BI69" i="3"/>
  <c r="BE70" i="3"/>
  <c r="BU75" i="3"/>
  <c r="BU64" i="3"/>
  <c r="BT58" i="3"/>
  <c r="BE47" i="3"/>
  <c r="GH7" i="4" a="1"/>
  <c r="FL9" i="4" a="1"/>
  <c r="FO15" i="4" a="1"/>
  <c r="GU5" i="4" a="1"/>
  <c r="FG15" i="4" a="1"/>
  <c r="HA12" i="4" a="1"/>
  <c r="HH15" i="4" a="1"/>
  <c r="FY15" i="4" a="1"/>
  <c r="GZ11" i="4" a="1"/>
  <c r="BH70" i="3"/>
  <c r="BE56" i="3"/>
  <c r="BG77" i="3"/>
  <c r="BI97" i="3"/>
  <c r="BH82" i="3"/>
  <c r="BI57" i="3"/>
  <c r="BR54" i="3"/>
  <c r="BS73" i="3"/>
  <c r="BR59" i="3"/>
  <c r="BT55" i="3"/>
  <c r="BF69" i="3"/>
  <c r="BI63" i="3"/>
  <c r="FI6" i="4" a="1"/>
  <c r="FX9" i="4" a="1"/>
  <c r="GP7" i="4" a="1"/>
  <c r="GF11" i="4" a="1"/>
  <c r="BA49" i="3"/>
  <c r="BF63" i="3"/>
  <c r="BF90" i="3"/>
  <c r="BA79" i="3"/>
  <c r="BL92" i="3"/>
  <c r="BF85" i="3"/>
  <c r="BT91" i="3"/>
  <c r="BV54" i="3"/>
  <c r="BN95" i="3"/>
  <c r="BF58" i="3"/>
  <c r="BK86" i="3"/>
  <c r="BA60" i="3"/>
  <c r="BG50" i="3"/>
  <c r="BB63" i="3"/>
  <c r="BU61" i="3"/>
  <c r="BQ73" i="3"/>
  <c r="BE60" i="3"/>
  <c r="BQ69" i="3"/>
  <c r="BA75" i="3"/>
  <c r="BG87" i="3"/>
  <c r="BB73" i="3"/>
  <c r="BU68" i="3"/>
  <c r="BQ88" i="3"/>
  <c r="BE50" i="3"/>
  <c r="BQ75" i="3"/>
  <c r="BO58" i="3"/>
  <c r="BM38" i="3"/>
  <c r="BB29" i="3"/>
  <c r="BD24" i="3"/>
  <c r="BR32" i="3"/>
  <c r="BS28" i="3"/>
  <c r="BS36" i="3"/>
  <c r="BE8" i="3"/>
  <c r="BB21" i="3"/>
  <c r="BA27" i="3"/>
  <c r="FF11" i="4" a="1"/>
  <c r="Y107" i="2"/>
  <c r="Z32" i="2"/>
  <c r="BA34" i="3"/>
  <c r="EY9" i="4" a="1"/>
  <c r="BS22" i="3"/>
  <c r="BN26" i="3"/>
  <c r="AA106" i="2"/>
  <c r="AA43" i="2"/>
  <c r="EX7" i="4" a="1"/>
  <c r="FC9" i="4" a="1"/>
  <c r="BD45" i="3"/>
  <c r="BM37" i="3"/>
  <c r="BV32" i="3"/>
  <c r="C5" i="2"/>
  <c r="BV39" i="3"/>
  <c r="FD16" i="4" a="1"/>
  <c r="AA53" i="2"/>
  <c r="BV28" i="3"/>
  <c r="BT20" i="3"/>
  <c r="BF7" i="3"/>
  <c r="Y44" i="2"/>
  <c r="BB35" i="3"/>
  <c r="Z56" i="2"/>
  <c r="BJ6" i="3"/>
  <c r="Z30" i="2"/>
  <c r="BA59" i="3"/>
  <c r="BB88" i="3"/>
  <c r="BI88" i="3"/>
  <c r="BK68" i="3"/>
  <c r="BD82" i="3"/>
  <c r="BA81" i="3"/>
  <c r="BB79" i="3"/>
  <c r="BH59" i="3"/>
  <c r="BH96" i="3"/>
  <c r="BE62" i="3"/>
  <c r="BG94" i="3"/>
  <c r="BI74" i="3"/>
  <c r="BH80" i="3"/>
  <c r="BI47" i="3"/>
  <c r="BR63" i="3"/>
  <c r="BS85" i="3"/>
  <c r="BR72" i="3"/>
  <c r="BT56" i="3"/>
  <c r="BF73" i="3"/>
  <c r="BE81" i="3"/>
  <c r="GM5" i="4" a="1"/>
  <c r="GD7" i="4" a="1"/>
  <c r="FO7" i="4" a="1"/>
  <c r="FN11" i="4" a="1"/>
  <c r="GE11" i="4" a="1"/>
  <c r="GU13" i="4" a="1"/>
  <c r="GD16" i="4" a="1"/>
  <c r="FP13" i="4" a="1"/>
  <c r="BG63" i="3"/>
  <c r="BC71" i="3"/>
  <c r="BH68" i="3"/>
  <c r="BB57" i="3"/>
  <c r="BL93" i="3"/>
  <c r="BF47" i="3"/>
  <c r="BV60" i="3"/>
  <c r="BS77" i="3"/>
  <c r="BR96" i="3"/>
  <c r="BT62" i="3"/>
  <c r="BO54" i="3"/>
  <c r="BK83" i="3"/>
  <c r="GH9" i="4" a="1"/>
  <c r="GS9" i="4" a="1"/>
  <c r="FR6" i="4" a="1"/>
  <c r="GE6" i="4" a="1"/>
  <c r="BA82" i="3"/>
  <c r="BB92" i="3"/>
  <c r="BD62" i="3"/>
  <c r="BD92" i="3"/>
  <c r="BL69" i="3"/>
  <c r="BQ74" i="3"/>
  <c r="BO63" i="3"/>
  <c r="BU67" i="3"/>
  <c r="BV76" i="3"/>
  <c r="BN58" i="3"/>
  <c r="BS94" i="3"/>
  <c r="BK47" i="3"/>
  <c r="BG91" i="3"/>
  <c r="BB67" i="3"/>
  <c r="BI89" i="3"/>
  <c r="BH67" i="3"/>
  <c r="BE97" i="3"/>
  <c r="BR62" i="3"/>
  <c r="BG49" i="3"/>
  <c r="BB72" i="3"/>
  <c r="BI93" i="3"/>
  <c r="BH49" i="3"/>
  <c r="BE64" i="3"/>
  <c r="BR70" i="3"/>
  <c r="BO92" i="3"/>
  <c r="BE18" i="3"/>
  <c r="BJ25" i="3"/>
  <c r="EZ12" i="4" a="1"/>
  <c r="BP5" i="3"/>
  <c r="BE7" i="3"/>
  <c r="BF21" i="3"/>
  <c r="BH25" i="3"/>
  <c r="Y55" i="2"/>
  <c r="BA13" i="3"/>
  <c r="FB11" i="4" a="1"/>
  <c r="Z41" i="2"/>
  <c r="AA67" i="2"/>
  <c r="BC24" i="3"/>
  <c r="BU13" i="3"/>
  <c r="BS34" i="3"/>
  <c r="BH27" i="3"/>
  <c r="Y65" i="2"/>
  <c r="Z34" i="2"/>
  <c r="BT12" i="3"/>
  <c r="BG28" i="3"/>
  <c r="Y87" i="2"/>
  <c r="BP9" i="3"/>
  <c r="BL7" i="3"/>
  <c r="BD12" i="3"/>
  <c r="BP42" i="3"/>
  <c r="BU28" i="3"/>
  <c r="BQ16" i="3"/>
  <c r="BV40" i="3"/>
  <c r="BI13" i="3"/>
  <c r="BL40" i="3"/>
  <c r="Z19" i="2"/>
  <c r="BA18" i="3"/>
  <c r="EY7" i="4" a="1"/>
  <c r="Y16" i="2"/>
  <c r="BL20" i="3"/>
  <c r="BA85" i="3"/>
  <c r="BG67" i="3"/>
  <c r="BG58" i="3"/>
  <c r="BP80" i="3"/>
  <c r="BU63" i="3"/>
  <c r="BB50" i="3"/>
  <c r="BD93" i="3"/>
  <c r="BA69" i="3"/>
  <c r="BG70" i="3"/>
  <c r="BB56" i="3"/>
  <c r="BG86" i="3"/>
  <c r="BC49" i="3"/>
  <c r="BH64" i="3"/>
  <c r="BB82" i="3"/>
  <c r="BL64" i="3"/>
  <c r="BF65" i="3"/>
  <c r="BV81" i="3"/>
  <c r="BS47" i="3"/>
  <c r="BR69" i="3"/>
  <c r="BT60" i="3"/>
  <c r="BO69" i="3"/>
  <c r="BI50" i="3"/>
  <c r="BK88" i="3"/>
  <c r="FR9" i="4" a="1"/>
  <c r="GX8" i="4" a="1"/>
  <c r="FL6" i="4" a="1"/>
  <c r="FJ15" i="4" a="1"/>
  <c r="FZ12" i="4" a="1"/>
  <c r="GO14" i="4" a="1"/>
  <c r="HB16" i="4" a="1"/>
  <c r="FQ15" i="4" a="1"/>
  <c r="BA48" i="3"/>
  <c r="BR61" i="3"/>
  <c r="BF83" i="3"/>
  <c r="BF88" i="3"/>
  <c r="BA74" i="3"/>
  <c r="BL82" i="3"/>
  <c r="BF93" i="3"/>
  <c r="BT84" i="3"/>
  <c r="BS57" i="3"/>
  <c r="BV79" i="3"/>
  <c r="BN67" i="3"/>
  <c r="BO96" i="3"/>
  <c r="BF74" i="3"/>
  <c r="BK76" i="3"/>
  <c r="HE12" i="4" a="1"/>
  <c r="FK6" i="4" a="1"/>
  <c r="FP11" i="4" a="1"/>
  <c r="GM7" i="4" a="1"/>
  <c r="BA92" i="3"/>
  <c r="BG88" i="3"/>
  <c r="BB85" i="3"/>
  <c r="BU55" i="3"/>
  <c r="BQ60" i="3"/>
  <c r="BE93" i="3"/>
  <c r="BQ83" i="3"/>
  <c r="BO50" i="3"/>
  <c r="BU91" i="3"/>
  <c r="BV55" i="3"/>
  <c r="BN72" i="3"/>
  <c r="BH97" i="3"/>
  <c r="BK78" i="3"/>
  <c r="BH66" i="3"/>
  <c r="BG97" i="3"/>
  <c r="BI96" i="3"/>
  <c r="BH48" i="3"/>
  <c r="BI81" i="3"/>
  <c r="BK70" i="3"/>
  <c r="BL63" i="3"/>
  <c r="BG56" i="3"/>
  <c r="BI48" i="3"/>
  <c r="BH56" i="3"/>
  <c r="BI55" i="3"/>
  <c r="BV71" i="3"/>
  <c r="BS90" i="3"/>
  <c r="BR47" i="3"/>
  <c r="BT81" i="3"/>
  <c r="BF75" i="3"/>
  <c r="BI56" i="3"/>
  <c r="GQ7" i="4" a="1"/>
  <c r="GO12" i="4" a="1"/>
  <c r="GD6" i="4" a="1"/>
  <c r="GN9" i="4" a="1"/>
  <c r="GV11" i="4" a="1"/>
  <c r="FI14" i="4" a="1"/>
  <c r="GL16" i="4" a="1"/>
  <c r="FG14" i="4" a="1"/>
  <c r="BB30" i="3"/>
  <c r="BC19" i="3"/>
  <c r="BF33" i="3"/>
  <c r="BF6" i="3"/>
  <c r="AA21" i="2"/>
  <c r="BR38" i="3"/>
  <c r="BN33" i="3"/>
  <c r="FD15" i="4" a="1"/>
  <c r="BS40" i="3"/>
  <c r="BR17" i="3"/>
  <c r="FB5" i="4" a="1"/>
  <c r="FD12" i="4" a="1"/>
  <c r="EY8" i="4" a="1"/>
  <c r="BU40" i="3"/>
  <c r="BJ21" i="3"/>
  <c r="BI41" i="3"/>
  <c r="BA39" i="3"/>
  <c r="BA38" i="3"/>
  <c r="BI30" i="3"/>
  <c r="BR40" i="3"/>
  <c r="BI32" i="3"/>
  <c r="BE27" i="3"/>
  <c r="BB12" i="3"/>
  <c r="FF6" i="4" a="1"/>
  <c r="BM45" i="3"/>
  <c r="BT11" i="3"/>
  <c r="BQ62" i="3"/>
  <c r="BS12" i="3"/>
  <c r="BL16" i="3"/>
  <c r="BG33" i="3"/>
  <c r="BA35" i="3"/>
  <c r="AA25" i="2"/>
  <c r="AA10" i="2"/>
  <c r="BC9" i="3"/>
  <c r="Z98" i="2"/>
  <c r="BQ85" i="3"/>
  <c r="BG54" i="3"/>
  <c r="BB71" i="3"/>
  <c r="BP59" i="3"/>
  <c r="BQ58" i="3"/>
  <c r="BG89" i="3"/>
  <c r="BB90" i="3"/>
  <c r="BA67" i="3"/>
  <c r="BR56" i="3"/>
  <c r="BF84" i="3"/>
  <c r="BF86" i="3"/>
  <c r="BA78" i="3"/>
  <c r="BL80" i="3"/>
  <c r="BF82" i="3"/>
  <c r="BT80" i="3"/>
  <c r="BS61" i="3"/>
  <c r="BV50" i="3"/>
  <c r="BN89" i="3"/>
  <c r="BO93" i="3"/>
  <c r="BF68" i="3"/>
  <c r="BK62" i="3"/>
  <c r="GJ12" i="4" a="1"/>
  <c r="GO5" i="4" a="1"/>
  <c r="HF9" i="4" a="1"/>
  <c r="FR7" i="4" a="1"/>
  <c r="FT13" i="4" a="1"/>
  <c r="HC9" i="4" a="1"/>
  <c r="GP6" i="4" a="1"/>
  <c r="GY15" i="4" a="1"/>
  <c r="BA50" i="3"/>
  <c r="BN84" i="3"/>
  <c r="BB65" i="3"/>
  <c r="BD49" i="3"/>
  <c r="BC60" i="3"/>
  <c r="BL79" i="3"/>
  <c r="BQ63" i="3"/>
  <c r="BO59" i="3"/>
  <c r="BU71" i="3"/>
  <c r="BV80" i="3"/>
  <c r="BN48" i="3"/>
  <c r="BS54" i="3"/>
  <c r="BK97" i="3"/>
  <c r="GA5" i="4" a="1"/>
  <c r="FV7" i="4" a="1"/>
  <c r="GV14" i="4" a="1"/>
  <c r="GW6" i="4" a="1"/>
  <c r="BP88" i="3"/>
  <c r="BG85" i="3"/>
  <c r="BB89" i="3"/>
  <c r="BI83" i="3"/>
  <c r="BH69" i="3"/>
  <c r="BE92" i="3"/>
  <c r="BU87" i="3"/>
  <c r="BO87" i="3"/>
  <c r="BR81" i="3"/>
  <c r="BT67" i="3"/>
  <c r="BP95" i="3"/>
  <c r="BE54" i="3"/>
  <c r="BL84" i="3"/>
  <c r="BC72" i="3"/>
  <c r="BE55" i="3"/>
  <c r="BB54" i="3"/>
  <c r="BL68" i="3"/>
  <c r="BF94" i="3"/>
  <c r="BF87" i="3"/>
  <c r="BC94" i="3"/>
  <c r="BE75" i="3"/>
  <c r="BB86" i="3"/>
  <c r="BL57" i="3"/>
  <c r="BF76" i="3"/>
  <c r="BT74" i="3"/>
  <c r="BS93" i="3"/>
  <c r="BR97" i="3"/>
  <c r="BT95" i="3"/>
  <c r="BO73" i="3"/>
  <c r="BK67" i="3"/>
  <c r="FR11" i="4" a="1"/>
  <c r="GG5" i="4" a="1"/>
  <c r="FW9" i="4" a="1"/>
  <c r="FK5" i="4" a="1"/>
  <c r="GP12" i="4" a="1"/>
  <c r="HE14" i="4" a="1"/>
  <c r="HE7" i="4" a="1"/>
  <c r="BP67" i="3"/>
  <c r="BL72" i="3"/>
  <c r="BG60" i="3"/>
  <c r="BI78" i="3"/>
  <c r="BL77" i="3"/>
  <c r="BI59" i="3"/>
  <c r="BV59" i="3"/>
  <c r="BS75" i="3"/>
  <c r="BR95" i="3"/>
  <c r="BA95" i="3"/>
  <c r="BP72" i="3"/>
  <c r="BB62" i="3"/>
  <c r="BD76" i="3"/>
  <c r="BD85" i="3"/>
  <c r="BE63" i="3"/>
  <c r="BQ90" i="3"/>
  <c r="BO75" i="3"/>
  <c r="BU73" i="3"/>
  <c r="BV78" i="3"/>
  <c r="BN94" i="3"/>
  <c r="BP65" i="3"/>
  <c r="BK79" i="3"/>
  <c r="GC6" i="4" a="1"/>
  <c r="FP8" i="4" a="1"/>
  <c r="BP77" i="3"/>
  <c r="BL86" i="3"/>
  <c r="BG95" i="3"/>
  <c r="BB81" i="3"/>
  <c r="BL58" i="3"/>
  <c r="BI85" i="3"/>
  <c r="BV56" i="3"/>
  <c r="BS65" i="3"/>
  <c r="BR66" i="3"/>
  <c r="BT83" i="3"/>
  <c r="AA113" i="2"/>
  <c r="BI77" i="3"/>
  <c r="Z23" i="2"/>
  <c r="AA107" i="2"/>
  <c r="BH42" i="3"/>
  <c r="Y73" i="2"/>
  <c r="FE15" i="4" a="1"/>
  <c r="BO22" i="3"/>
  <c r="BH23" i="3"/>
  <c r="FB16" i="4" a="1"/>
  <c r="BO37" i="3"/>
  <c r="BP8" i="3"/>
  <c r="BO16" i="3"/>
  <c r="BE30" i="3"/>
  <c r="BM6" i="3"/>
  <c r="BL22" i="3"/>
  <c r="BP27" i="3"/>
  <c r="BF28" i="3"/>
  <c r="Z74" i="2"/>
  <c r="BB40" i="3"/>
  <c r="Z55" i="2"/>
  <c r="BK22" i="3"/>
  <c r="BH18" i="3"/>
  <c r="BM10" i="3"/>
  <c r="EX16" i="4" a="1"/>
  <c r="BQ28" i="3"/>
  <c r="Y24" i="2"/>
  <c r="AA73" i="2"/>
  <c r="BS41" i="3"/>
  <c r="BS38" i="3"/>
  <c r="BI16" i="3"/>
  <c r="Y10" i="2"/>
  <c r="AA104" i="2"/>
  <c r="Z7" i="2"/>
  <c r="BD15" i="3"/>
  <c r="BC26" i="3"/>
  <c r="FA14" i="4" a="1"/>
  <c r="BH81" i="3"/>
  <c r="BD75" i="3"/>
  <c r="BA96" i="3"/>
  <c r="BP89" i="3"/>
  <c r="BB94" i="3"/>
  <c r="BB77" i="3"/>
  <c r="BH72" i="3"/>
  <c r="BE74" i="3"/>
  <c r="BG72" i="3"/>
  <c r="BA70" i="3"/>
  <c r="BN49" i="3"/>
  <c r="BB55" i="3"/>
  <c r="BD70" i="3"/>
  <c r="BC57" i="3"/>
  <c r="BL87" i="3"/>
  <c r="BQ72" i="3"/>
  <c r="BO55" i="3"/>
  <c r="BU62" i="3"/>
  <c r="BV84" i="3"/>
  <c r="BN90" i="3"/>
  <c r="BS49" i="3"/>
  <c r="BK65" i="3"/>
  <c r="FO5" i="4" a="1"/>
  <c r="GB6" i="4" a="1"/>
  <c r="FX14" i="4" a="1"/>
  <c r="GN5" i="4" a="1"/>
  <c r="GT7" i="4" a="1"/>
  <c r="FO14" i="4" a="1"/>
  <c r="GT12" i="4" a="1"/>
  <c r="FU16" i="4" a="1"/>
  <c r="BA55" i="3"/>
  <c r="BG78" i="3"/>
  <c r="BB74" i="3"/>
  <c r="BU54" i="3"/>
  <c r="BQ57" i="3"/>
  <c r="BE80" i="3"/>
  <c r="BQ82" i="3"/>
  <c r="BO94" i="3"/>
  <c r="BU90" i="3"/>
  <c r="Y70" i="2"/>
  <c r="BM46" i="3"/>
  <c r="AA52" i="2"/>
  <c r="AA34" i="2"/>
  <c r="BE45" i="3"/>
  <c r="BM22" i="3"/>
  <c r="BD26" i="3"/>
  <c r="BF30" i="3"/>
  <c r="Y68" i="2"/>
  <c r="BD18" i="3"/>
  <c r="BL45" i="3"/>
  <c r="BC20" i="3"/>
  <c r="BL32" i="3"/>
  <c r="BI24" i="3"/>
  <c r="BM11" i="3"/>
  <c r="AA18" i="2"/>
  <c r="Y30" i="2"/>
  <c r="FB8" i="4" a="1"/>
  <c r="BC11" i="3"/>
  <c r="BJ5" i="3"/>
  <c r="BL17" i="3"/>
  <c r="BV8" i="3"/>
  <c r="BR9" i="3"/>
  <c r="BV15" i="3"/>
  <c r="AA91" i="2"/>
  <c r="BN10" i="3"/>
  <c r="BM29" i="3"/>
  <c r="BF31" i="3"/>
  <c r="BL21" i="3"/>
  <c r="BB17" i="3"/>
  <c r="AA96" i="2"/>
  <c r="BC46" i="3"/>
  <c r="BG7" i="3"/>
  <c r="BR20" i="3"/>
  <c r="AA59" i="2"/>
  <c r="BU50" i="3"/>
  <c r="BB96" i="3"/>
  <c r="BD54" i="3"/>
  <c r="BA71" i="3"/>
  <c r="BG96" i="3"/>
  <c r="BH55" i="3"/>
  <c r="BH61" i="3"/>
  <c r="BK50" i="3"/>
  <c r="BH54" i="3"/>
  <c r="BA63" i="3"/>
  <c r="BG55" i="3"/>
  <c r="BB69" i="3"/>
  <c r="BU48" i="3"/>
  <c r="BQ55" i="3"/>
  <c r="BE72" i="3"/>
  <c r="BQ81" i="3"/>
  <c r="BO89" i="3"/>
  <c r="BU89" i="3"/>
  <c r="BV96" i="3"/>
  <c r="BN68" i="3"/>
  <c r="BG84" i="3"/>
  <c r="BJ80" i="3"/>
  <c r="GE15" i="4" a="1"/>
  <c r="GQ6" i="4" a="1"/>
  <c r="FV11" i="4" a="1"/>
  <c r="FG7" i="4" a="1"/>
  <c r="FT11" i="4" a="1"/>
  <c r="HG11" i="4" a="1"/>
  <c r="GJ15" i="4" a="1"/>
  <c r="FI15" i="4" a="1"/>
  <c r="GS16" i="4" a="1"/>
  <c r="BP73" i="3"/>
  <c r="BG65" i="3"/>
  <c r="BB78" i="3"/>
  <c r="BI73" i="3"/>
  <c r="BH58" i="3"/>
  <c r="BE88" i="3"/>
  <c r="BU76" i="3"/>
  <c r="BO82" i="3"/>
  <c r="BU70" i="3"/>
  <c r="BT59" i="3"/>
  <c r="BP69" i="3"/>
  <c r="BE79" i="3"/>
  <c r="BJ92" i="3"/>
  <c r="HF7" i="4" a="1"/>
  <c r="GJ9" i="4" a="1"/>
  <c r="FI7" i="4" a="1"/>
  <c r="FT6" i="4" a="1"/>
  <c r="BL81" i="3"/>
  <c r="BC47" i="3"/>
  <c r="BH76" i="3"/>
  <c r="BB75" i="3"/>
  <c r="BL66" i="3"/>
  <c r="BF92" i="3"/>
  <c r="BV83" i="3"/>
  <c r="BS97" i="3"/>
  <c r="BR90" i="3"/>
  <c r="BT89" i="3"/>
  <c r="BO85" i="3"/>
  <c r="BK75" i="3"/>
  <c r="BA58" i="3"/>
  <c r="BP71" i="3"/>
  <c r="BB95" i="3"/>
  <c r="BD94" i="3"/>
  <c r="BD50" i="3"/>
  <c r="BL61" i="3"/>
  <c r="BQ97" i="3"/>
  <c r="BA62" i="3"/>
  <c r="BP66" i="3"/>
  <c r="BB49" i="3"/>
  <c r="BD78" i="3"/>
  <c r="BD86" i="3"/>
  <c r="BE66" i="3"/>
  <c r="BQ94" i="3"/>
  <c r="BO68" i="3"/>
  <c r="BU82" i="3"/>
  <c r="BV61" i="3"/>
  <c r="BN62" i="3"/>
  <c r="BP55" i="3"/>
  <c r="BJ58" i="3"/>
  <c r="BK63" i="3"/>
  <c r="GH5" i="4" a="1"/>
  <c r="GM6" i="4" a="1"/>
  <c r="FI9" i="4" a="1"/>
  <c r="GM9" i="4" a="1"/>
  <c r="GA9" i="4" a="1"/>
  <c r="GU14" i="4" a="1"/>
  <c r="HH13" i="4" a="1"/>
  <c r="BA87" i="3"/>
  <c r="BK72" i="3"/>
  <c r="BP93" i="3"/>
  <c r="BA97" i="3"/>
  <c r="BL89" i="3"/>
  <c r="BQ68" i="3"/>
  <c r="BN88" i="3"/>
  <c r="BF91" i="3"/>
  <c r="BV72" i="3"/>
  <c r="BH75" i="3"/>
  <c r="BG75" i="3"/>
  <c r="BB64" i="3"/>
  <c r="BI64" i="3"/>
  <c r="BH50" i="3"/>
  <c r="BI68" i="3"/>
  <c r="BR65" i="3"/>
  <c r="BS48" i="3"/>
  <c r="BR49" i="3"/>
  <c r="BT88" i="3"/>
  <c r="BP79" i="3"/>
  <c r="BE65" i="3"/>
  <c r="BJ63" i="3"/>
  <c r="FU7" i="4" a="1"/>
  <c r="FM9" i="4" a="1"/>
  <c r="GI5" i="4" a="1"/>
  <c r="BA72" i="3"/>
  <c r="Z111" i="2"/>
  <c r="BA61" i="3"/>
  <c r="BL91" i="3"/>
  <c r="BQ70" i="3"/>
  <c r="BN92" i="3"/>
  <c r="BU49" i="3"/>
  <c r="BV93" i="3"/>
  <c r="BN93" i="3"/>
  <c r="BS76" i="3"/>
  <c r="BF72" i="3"/>
  <c r="BA89" i="3"/>
  <c r="BP78" i="3"/>
  <c r="BD55" i="3"/>
  <c r="BQ47" i="3"/>
  <c r="BE86" i="3"/>
  <c r="BD88" i="3"/>
  <c r="BO97" i="3"/>
  <c r="BT68" i="3"/>
  <c r="BL50" i="3"/>
  <c r="FK15" i="4" a="1"/>
  <c r="GO7" i="4" a="1"/>
  <c r="FM6" i="4" a="1"/>
  <c r="FO11" i="4" a="1"/>
  <c r="GG14" i="4" a="1"/>
  <c r="GJ7" i="4" a="1"/>
  <c r="FW16" i="4" a="1"/>
  <c r="BD57" i="3"/>
  <c r="BU47" i="3"/>
  <c r="BO49" i="3"/>
  <c r="BT63" i="3"/>
  <c r="BE49" i="3"/>
  <c r="FS5" i="4" a="1"/>
  <c r="FG5" i="4" a="1"/>
  <c r="GK6" i="4" a="1"/>
  <c r="FS11" i="4" a="1"/>
  <c r="GJ14" i="4" a="1"/>
  <c r="FV8" i="4" a="1"/>
  <c r="FY16" i="4" a="1"/>
  <c r="BD58" i="3"/>
  <c r="BT48" i="3"/>
  <c r="BJ50" i="3"/>
  <c r="BI86" i="3"/>
  <c r="BU78" i="3"/>
  <c r="BR94" i="3"/>
  <c r="BO64" i="3"/>
  <c r="BK59" i="3"/>
  <c r="HC8" i="4" a="1"/>
  <c r="GW7" i="4" a="1"/>
  <c r="HG8" i="4" a="1"/>
  <c r="BA94" i="3"/>
  <c r="BT70" i="3"/>
  <c r="BE69" i="3"/>
  <c r="HG5" i="4" a="1"/>
  <c r="GF6" i="4" a="1"/>
  <c r="FM7" i="4" a="1"/>
  <c r="GN11" i="4" a="1"/>
  <c r="HH14" i="4" a="1"/>
  <c r="FU11" i="4" a="1"/>
  <c r="GS5" i="4" a="1"/>
  <c r="BI84" i="3"/>
  <c r="BT78" i="3"/>
  <c r="BF60" i="3"/>
  <c r="BT73" i="3"/>
  <c r="BT76" i="3"/>
  <c r="BE58" i="3"/>
  <c r="GL6" i="4" a="1"/>
  <c r="FI5" i="4" a="1"/>
  <c r="GW9" i="4" a="1"/>
  <c r="FN16" i="4" a="1"/>
  <c r="BQ77" i="3"/>
  <c r="BU79" i="3"/>
  <c r="BL76" i="3"/>
  <c r="BQ78" i="3"/>
  <c r="BS92" i="3"/>
  <c r="BJ90" i="3"/>
  <c r="BG69" i="3"/>
  <c r="BE96" i="3"/>
  <c r="BF59" i="3"/>
  <c r="BR79" i="3"/>
  <c r="BN81" i="3"/>
  <c r="GB5" i="4" a="1"/>
  <c r="GL5" i="4" a="1"/>
  <c r="BJ56" i="3"/>
  <c r="BG76" i="3"/>
  <c r="BH83" i="3"/>
  <c r="BF78" i="3"/>
  <c r="BR83" i="3"/>
  <c r="BQ49" i="3"/>
  <c r="BG92" i="3"/>
  <c r="BG57" i="3"/>
  <c r="BA80" i="3"/>
  <c r="BL75" i="3"/>
  <c r="BQ50" i="3"/>
  <c r="BS72" i="3"/>
  <c r="BN91" i="3"/>
  <c r="BK69" i="3"/>
  <c r="GP9" i="4" a="1"/>
  <c r="GL7" i="4" a="1"/>
  <c r="FY13" i="4" a="1"/>
  <c r="GV15" i="4" a="1"/>
  <c r="HC14" i="4" a="1"/>
  <c r="BD48" i="3"/>
  <c r="BQ54" i="3"/>
  <c r="BN97" i="3"/>
  <c r="BK82" i="3"/>
  <c r="HB9" i="4" a="1"/>
  <c r="FJ6" i="4" a="1"/>
  <c r="GB13" i="4" a="1"/>
  <c r="GX15" i="4" a="1"/>
  <c r="FN15" i="4" a="1"/>
  <c r="BD84" i="3"/>
  <c r="BL65" i="3"/>
  <c r="BU65" i="3"/>
  <c r="BE89" i="3"/>
  <c r="HA7" i="4" a="1"/>
  <c r="BF71" i="3"/>
  <c r="BV86" i="3"/>
  <c r="BE67" i="3"/>
  <c r="GU8" i="4" a="1"/>
  <c r="GW12" i="4" a="1"/>
  <c r="FP7" i="4" a="1"/>
  <c r="BH74" i="3"/>
  <c r="BU57" i="3"/>
  <c r="BF81" i="3"/>
  <c r="BK58" i="3"/>
  <c r="GU11" i="4" a="1"/>
  <c r="FU9" i="4" a="1"/>
  <c r="GW13" i="4" a="1"/>
  <c r="HF15" i="4" a="1"/>
  <c r="GI15" i="4" a="1"/>
  <c r="BC91" i="3"/>
  <c r="BU69" i="3"/>
  <c r="BF66" i="3"/>
  <c r="BR88" i="3"/>
  <c r="BJ69" i="3"/>
  <c r="FV5" i="4" a="1"/>
  <c r="HE5" i="4" a="1"/>
  <c r="FJ8" i="4" a="1"/>
  <c r="GY11" i="4" a="1"/>
  <c r="FH16" i="4" a="1"/>
  <c r="HD13" i="4" a="1"/>
  <c r="BC77" i="3"/>
  <c r="BQ84" i="3"/>
  <c r="BE78" i="3"/>
  <c r="BU60" i="3"/>
  <c r="BN66" i="3"/>
  <c r="GX11" i="4" a="1"/>
  <c r="FU14" i="4" a="1"/>
  <c r="FW5" i="4" a="1"/>
  <c r="HE6" i="4" a="1"/>
  <c r="GH15" i="4" a="1"/>
  <c r="GD8" i="4" a="1"/>
  <c r="BC95" i="3"/>
  <c r="BA88" i="3"/>
  <c r="BC56" i="3"/>
  <c r="BO72" i="3"/>
  <c r="BT82" i="3"/>
  <c r="BI75" i="3"/>
  <c r="GR5" i="4" a="1"/>
  <c r="GI6" i="4" a="1"/>
  <c r="GI8" i="4" a="1"/>
  <c r="FG12" i="4" a="1"/>
  <c r="GT8" i="4" a="1"/>
  <c r="GI12" i="4" a="1"/>
  <c r="GO16" i="4" a="1"/>
  <c r="BD80" i="3"/>
  <c r="BN65" i="3"/>
  <c r="BK87" i="3"/>
  <c r="GY5" i="4" a="1"/>
  <c r="FZ16" i="4" a="1"/>
  <c r="BC74" i="3"/>
  <c r="BN70" i="3"/>
  <c r="FZ7" i="4" a="1"/>
  <c r="BH84" i="3"/>
  <c r="BF55" i="3"/>
  <c r="BP86" i="3"/>
  <c r="BK74" i="3"/>
  <c r="BN80" i="3"/>
  <c r="FH14" i="4" a="1"/>
  <c r="GU6" i="4" a="1"/>
  <c r="GJ13" i="4" a="1"/>
  <c r="FV9" i="4" a="1"/>
  <c r="BH87" i="3"/>
  <c r="BI95" i="3"/>
  <c r="BE94" i="3"/>
  <c r="BR89" i="3"/>
  <c r="BU80" i="3"/>
  <c r="BA56" i="3"/>
  <c r="BP96" i="3"/>
  <c r="BL83" i="3"/>
  <c r="BQ89" i="3"/>
  <c r="BS59" i="3"/>
  <c r="BV67" i="3"/>
  <c r="AA111" i="2"/>
  <c r="BF96" i="3"/>
  <c r="GE9" i="4" a="1"/>
  <c r="FQ8" i="4" a="1"/>
  <c r="BA91" i="3"/>
  <c r="BG80" i="3"/>
  <c r="BD89" i="3"/>
  <c r="BH94" i="3"/>
  <c r="BQ67" i="3"/>
  <c r="BS71" i="3"/>
  <c r="BV82" i="3"/>
  <c r="BJ68" i="3"/>
  <c r="BH78" i="3"/>
  <c r="BA57" i="3"/>
  <c r="BE57" i="3"/>
  <c r="BL96" i="3"/>
  <c r="BU85" i="3"/>
  <c r="BO47" i="3"/>
  <c r="BK92" i="3"/>
  <c r="GC8" i="4" a="1"/>
  <c r="GZ12" i="4" a="1"/>
  <c r="FP9" i="4" a="1"/>
  <c r="FV16" i="4" a="1"/>
  <c r="GW15" i="4" a="1"/>
  <c r="BD81" i="3"/>
  <c r="BL74" i="3"/>
  <c r="BU92" i="3"/>
  <c r="BO48" i="3"/>
  <c r="BK56" i="3"/>
  <c r="GM8" i="4" a="1"/>
  <c r="FV13" i="4" a="1"/>
  <c r="GF9" i="4" a="1"/>
  <c r="FX16" i="4" a="1"/>
  <c r="HA15" i="4" a="1"/>
  <c r="BD95" i="3"/>
  <c r="BI67" i="3"/>
  <c r="BR80" i="3"/>
  <c r="FU5" i="4" a="1"/>
  <c r="BV85" i="3"/>
  <c r="BT64" i="3"/>
  <c r="FZ6" i="4" a="1"/>
  <c r="GV6" i="4" a="1"/>
  <c r="FM14" i="4" a="1"/>
  <c r="BE95" i="3"/>
  <c r="BU88" i="3"/>
  <c r="BO83" i="3"/>
  <c r="BK49" i="3"/>
  <c r="HF8" i="4" a="1"/>
  <c r="FZ8" i="4" a="1"/>
  <c r="GT11" i="4" a="1"/>
  <c r="GH16" i="4" a="1"/>
  <c r="FG16" i="4" a="1"/>
  <c r="BD87" i="3"/>
  <c r="BS66" i="3"/>
  <c r="BU74" i="3"/>
  <c r="BR68" i="3"/>
  <c r="BK85" i="3"/>
  <c r="FY6" i="4" a="1"/>
  <c r="HD8" i="4" a="1"/>
  <c r="GV9" i="4" a="1"/>
  <c r="HD12" i="4" a="1"/>
  <c r="GJ16" i="4" a="1"/>
  <c r="GK15" i="4" a="1"/>
  <c r="BC68" i="3"/>
  <c r="BN59" i="3"/>
  <c r="BR76" i="3"/>
  <c r="BF77" i="3"/>
  <c r="HB5" i="4" a="1"/>
  <c r="FH7" i="4" a="1"/>
  <c r="GA8" i="4" a="1"/>
  <c r="HB11" i="4" a="1"/>
  <c r="FJ16" i="4" a="1"/>
  <c r="FR14" i="4" a="1"/>
  <c r="BC61" i="3"/>
  <c r="BT75" i="3"/>
  <c r="BT79" i="3"/>
  <c r="BL47" i="3"/>
  <c r="BS78" i="3"/>
  <c r="BN50" i="3"/>
  <c r="BF57" i="3"/>
  <c r="FQ7" i="4" a="1"/>
  <c r="FJ9" i="4" a="1"/>
  <c r="GY7" i="4" a="1"/>
  <c r="FI13" i="4" a="1"/>
  <c r="FJ14" i="4" a="1"/>
  <c r="FT15" i="4" a="1"/>
  <c r="GC11" i="4" a="1"/>
  <c r="BC85" i="3"/>
  <c r="BG90" i="3"/>
  <c r="BK64" i="3"/>
  <c r="BI54" i="3"/>
  <c r="BI65" i="3"/>
  <c r="BA47" i="3"/>
  <c r="BU93" i="3"/>
  <c r="BN69" i="3"/>
  <c r="BJ93" i="3"/>
  <c r="FS8" i="4" a="1"/>
  <c r="FV6" i="4" a="1"/>
  <c r="FU12" i="4" a="1"/>
  <c r="GA15" i="4" a="1"/>
  <c r="BC58" i="3"/>
  <c r="BB47" i="3"/>
  <c r="BA64" i="3"/>
  <c r="BE76" i="3"/>
  <c r="BT69" i="3"/>
  <c r="BU94" i="3"/>
  <c r="BQ65" i="3"/>
  <c r="BP62" i="3"/>
  <c r="BL78" i="3"/>
  <c r="BQ87" i="3"/>
  <c r="BS91" i="3"/>
  <c r="BO61" i="3"/>
  <c r="FW6" i="4" a="1"/>
  <c r="GB12" i="4" a="1"/>
  <c r="BQ59" i="3"/>
  <c r="BL60" i="3"/>
  <c r="BQ96" i="3"/>
  <c r="BS86" i="3"/>
  <c r="BV87" i="3"/>
  <c r="BJ91" i="3"/>
  <c r="BL90" i="3"/>
  <c r="BH73" i="3"/>
  <c r="BI70" i="3"/>
  <c r="BI90" i="3"/>
  <c r="BR84" i="3"/>
  <c r="BS87" i="3"/>
  <c r="GS7" i="4" a="1"/>
  <c r="FJ11" i="4" a="1"/>
  <c r="FU6" i="4" a="1"/>
  <c r="GC12" i="4" a="1"/>
  <c r="GX16" i="4" a="1"/>
  <c r="GW16" i="4" a="1"/>
  <c r="BO56" i="3"/>
  <c r="BI94" i="3"/>
  <c r="BR82" i="3"/>
  <c r="BS89" i="3"/>
  <c r="FO8" i="4" a="1"/>
  <c r="GK5" i="4" a="1"/>
  <c r="GS6" i="4" a="1"/>
  <c r="GF12" i="4" a="1"/>
  <c r="GZ16" i="4" a="1"/>
  <c r="GY16" i="4" a="1"/>
  <c r="BQ80" i="3"/>
  <c r="BV58" i="3"/>
  <c r="BH60" i="3"/>
  <c r="BN86" i="3"/>
  <c r="BJ70" i="3"/>
  <c r="HA9" i="4" a="1"/>
  <c r="HB13" i="4" a="1"/>
  <c r="GK11" i="4" a="1"/>
  <c r="BG48" i="3"/>
  <c r="FG6" i="4" a="1"/>
  <c r="FS13" i="4" a="1"/>
  <c r="GN7" i="4" a="1"/>
  <c r="GV12" i="4" a="1"/>
  <c r="BR57" i="3"/>
  <c r="BL94" i="3"/>
  <c r="BA83" i="3"/>
  <c r="BR86" i="3"/>
  <c r="FT8" i="4" a="1"/>
  <c r="FO9" i="4" a="1"/>
  <c r="FO13" i="4" a="1"/>
  <c r="GU9" i="4" a="1"/>
  <c r="BD61" i="3"/>
  <c r="BI82" i="3"/>
  <c r="BO71" i="3"/>
  <c r="BR48" i="3"/>
  <c r="BL88" i="3"/>
  <c r="Z113" i="2"/>
  <c r="BB76" i="3"/>
  <c r="BL48" i="3"/>
  <c r="BV75" i="3"/>
  <c r="BT65" i="3"/>
  <c r="BS74" i="3"/>
  <c r="BK73" i="3"/>
  <c r="HA14" i="4" a="1"/>
  <c r="GK7" i="4" a="1"/>
  <c r="BI72" i="3"/>
  <c r="BE83" i="3"/>
  <c r="BU86" i="3"/>
  <c r="BT96" i="3"/>
  <c r="BG82" i="3"/>
  <c r="BC65" i="3"/>
  <c r="BH88" i="3"/>
  <c r="BI76" i="3"/>
  <c r="BQ66" i="3"/>
  <c r="BI91" i="3"/>
  <c r="GZ8" i="4" a="1"/>
  <c r="FT5" i="4" a="1"/>
  <c r="FT9" i="4" a="1"/>
  <c r="GE13" i="4" a="1"/>
  <c r="GS13" i="4" a="1"/>
  <c r="FS14" i="4" a="1"/>
  <c r="BK95" i="3"/>
  <c r="BQ71" i="3"/>
  <c r="BI61" i="3"/>
  <c r="GX9" i="4" a="1"/>
  <c r="GF5" i="4" a="1"/>
  <c r="FL7" i="4" a="1"/>
  <c r="GH13" i="4" a="1"/>
  <c r="FK14" i="4" a="1"/>
  <c r="BC55" i="3"/>
  <c r="HH9" i="4" a="1"/>
  <c r="BT72" i="3"/>
  <c r="BK77" i="3"/>
  <c r="GJ6" i="4" a="1"/>
  <c r="FM5" i="4" a="1"/>
  <c r="BA68" i="3"/>
  <c r="BQ93" i="3"/>
  <c r="BL67" i="3"/>
  <c r="BK57" i="3"/>
  <c r="FX7" i="4" a="1"/>
  <c r="GA6" i="4" a="1"/>
  <c r="FK12" i="4" a="1"/>
  <c r="BG61" i="3"/>
  <c r="BE90" i="3"/>
  <c r="BC50" i="3"/>
  <c r="BA54" i="3"/>
  <c r="BE68" i="3"/>
  <c r="BT61" i="3"/>
  <c r="BU95" i="3"/>
  <c r="BT66" i="3"/>
  <c r="BL54" i="3"/>
  <c r="BK48" i="3"/>
  <c r="GQ8" i="4" a="1"/>
  <c r="HC6" i="4" a="1"/>
  <c r="BC82" i="3"/>
  <c r="BA76" i="3"/>
  <c r="BE87" i="3"/>
  <c r="BT50" i="3"/>
  <c r="BU97" i="3"/>
  <c r="BL95" i="3"/>
  <c r="BI80" i="3"/>
  <c r="BL55" i="3"/>
  <c r="BT87" i="3"/>
  <c r="FR15" i="4" a="1"/>
  <c r="GP5" i="4" a="1"/>
  <c r="FL12" i="4" a="1"/>
  <c r="FQ11" i="4" a="1"/>
  <c r="FM11" i="4" a="1"/>
  <c r="BC64" i="3"/>
  <c r="FY8" i="4" a="1"/>
  <c r="BT54" i="3"/>
  <c r="FT7" i="4" a="1"/>
  <c r="FK7" i="4" a="1"/>
  <c r="GR12" i="4" a="1"/>
  <c r="GG11" i="4" a="1"/>
  <c r="GD12" i="4" a="1"/>
  <c r="BC84" i="3"/>
  <c r="GY8" i="4" a="1"/>
  <c r="GC5" i="4" a="1"/>
  <c r="BU56" i="3"/>
  <c r="BK54" i="3"/>
  <c r="FH6" i="4" a="1"/>
  <c r="GV8" i="4" a="1"/>
  <c r="GR13" i="4" a="1"/>
  <c r="BT94" i="3"/>
  <c r="FH5" i="4" a="1"/>
  <c r="GF8" i="4" a="1"/>
  <c r="GK14" i="4" a="1"/>
  <c r="HB12" i="4" a="1"/>
  <c r="FH15" i="4" a="1"/>
  <c r="BC70" i="3"/>
  <c r="BL49" i="3"/>
  <c r="HH6" i="4" a="1"/>
  <c r="GB9" i="4" a="1"/>
  <c r="GR9" i="4" a="1"/>
  <c r="GX12" i="4" a="1"/>
  <c r="FU13" i="4" a="1"/>
  <c r="HB14" i="4" a="1"/>
  <c r="GL8" i="4" a="1"/>
  <c r="BA77" i="3"/>
  <c r="BT47" i="3"/>
  <c r="BE77" i="3"/>
  <c r="GN6" i="4" a="1"/>
  <c r="FW7" i="4" a="1"/>
  <c r="FG8" i="4" a="1"/>
  <c r="HA11" i="4" a="1"/>
  <c r="FY7" i="4" a="1"/>
  <c r="HE11" i="4" a="1"/>
  <c r="HG6" i="4" a="1"/>
  <c r="BG93" i="3"/>
  <c r="BA73" i="3"/>
  <c r="BQ91" i="3"/>
  <c r="FL5" i="4" a="1"/>
  <c r="GH11" i="4" a="1"/>
  <c r="FS9" i="4" a="1"/>
  <c r="GR15" i="4" a="1"/>
  <c r="BA93" i="3"/>
  <c r="BG81" i="3"/>
  <c r="BD83" i="3"/>
  <c r="BQ92" i="3"/>
  <c r="BG73" i="3"/>
  <c r="BA86" i="3"/>
  <c r="BI66" i="3"/>
  <c r="BI79" i="3"/>
  <c r="BK94" i="3"/>
  <c r="GI13" i="4" a="1"/>
  <c r="GM11" i="4" a="1"/>
  <c r="BD73" i="3"/>
  <c r="BI62" i="3"/>
  <c r="BE59" i="3"/>
  <c r="BA90" i="3"/>
  <c r="BG71" i="3"/>
  <c r="BG74" i="3"/>
  <c r="BL62" i="3"/>
  <c r="BQ86" i="3"/>
  <c r="FS6" i="4" a="1"/>
  <c r="FI12" i="4" a="1"/>
  <c r="FR12" i="4" a="1"/>
  <c r="GP14" i="4" a="1"/>
  <c r="HH11" i="4" a="1"/>
  <c r="BC79" i="3"/>
  <c r="FL11" i="4" a="1"/>
  <c r="GC7" i="4" a="1"/>
  <c r="GG12" i="4" a="1"/>
  <c r="FW12" i="4" a="1"/>
  <c r="HF14" i="4" a="1"/>
  <c r="GA12" i="4" a="1"/>
  <c r="BC69" i="3"/>
  <c r="BI49" i="3"/>
  <c r="GH8" i="4" a="1"/>
  <c r="BL56" i="3"/>
  <c r="BU81" i="3"/>
  <c r="BG68" i="3"/>
  <c r="GQ5" i="4" a="1"/>
  <c r="FQ6" i="4" a="1"/>
  <c r="GN14" i="4" a="1"/>
  <c r="GQ11" i="4" a="1"/>
  <c r="BS68" i="3"/>
  <c r="BN47" i="3"/>
  <c r="HC5" i="4" a="1"/>
  <c r="FZ15" i="4" a="1"/>
  <c r="GU12" i="4" a="1"/>
  <c r="GC15" i="4" a="1"/>
  <c r="GV13" i="4" a="1"/>
  <c r="BC81" i="3"/>
  <c r="BR91" i="3"/>
  <c r="BE84" i="3"/>
  <c r="BU59" i="3"/>
  <c r="BN56" i="3"/>
  <c r="GI9" i="4" a="1"/>
  <c r="GY13" i="4" a="1"/>
  <c r="GD9" i="4" a="1"/>
  <c r="GZ13" i="4" a="1"/>
  <c r="GF15" i="4" a="1"/>
  <c r="HF6" i="4" a="1"/>
  <c r="BC67" i="3"/>
  <c r="BE71" i="3"/>
  <c r="BH90" i="3"/>
  <c r="BS60" i="3"/>
  <c r="BN79" i="3"/>
  <c r="FG9" i="4" a="1"/>
  <c r="GB7" i="4" a="1"/>
  <c r="HD9" i="4" a="1"/>
  <c r="HC12" i="4" a="1"/>
  <c r="GF13" i="4" a="1"/>
  <c r="HG14" i="4" a="1"/>
  <c r="GG9" i="4" a="1"/>
  <c r="BA65" i="3"/>
  <c r="BV62" i="3"/>
  <c r="BT90" i="3"/>
  <c r="BV97" i="3"/>
  <c r="BH89" i="3"/>
  <c r="BK93" i="3"/>
  <c r="GC14" i="4" a="1"/>
  <c r="FN5" i="4" a="1"/>
  <c r="HE9" i="4" a="1"/>
  <c r="FT14" i="4" a="1"/>
  <c r="GD14" i="4" a="1"/>
  <c r="FO16" i="4" a="1"/>
  <c r="BD65" i="3"/>
  <c r="BR58" i="3"/>
  <c r="BI87" i="3"/>
  <c r="FW8" i="4" a="1"/>
  <c r="FL15" i="4" a="1"/>
  <c r="BC54" i="3"/>
  <c r="GB16" i="4" a="1"/>
  <c r="BC93" i="3"/>
  <c r="GL14" i="4" a="1"/>
  <c r="BC86" i="3"/>
  <c r="BK90" i="3"/>
  <c r="FL8" i="4" a="1"/>
  <c r="HB6" i="4" a="1"/>
  <c r="BS96" i="3"/>
  <c r="GB11" i="4" a="1"/>
  <c r="GG13" i="4" a="1"/>
  <c r="GI14" i="4" a="1"/>
  <c r="GU7" i="4" a="1"/>
  <c r="HE15" i="4" a="1"/>
  <c r="BC48" i="3"/>
  <c r="Y111" i="2"/>
  <c r="HD5" i="4" a="1"/>
  <c r="FN8" i="4" a="1"/>
  <c r="GM16" i="4" a="1"/>
  <c r="FZ5" i="4" a="1"/>
  <c r="FT16" i="4" a="1"/>
  <c r="FX8" i="4" a="1"/>
  <c r="GP15" i="4" a="1"/>
  <c r="BC73" i="3"/>
  <c r="BV65" i="3"/>
  <c r="GB14" i="4" a="1"/>
  <c r="GT6" i="4" a="1"/>
  <c r="FI8" i="4" a="1"/>
  <c r="HG16" i="4" a="1"/>
  <c r="BO88" i="3"/>
  <c r="GS11" i="4" a="1"/>
  <c r="BT92" i="3"/>
  <c r="BC66" i="3"/>
  <c r="BO77" i="3"/>
  <c r="HG7" i="4" a="1"/>
  <c r="GC13" i="4" a="1"/>
  <c r="FP15" i="4" a="1"/>
  <c r="BI60" i="3"/>
  <c r="BD96" i="3"/>
  <c r="Y112" i="2"/>
  <c r="GR6" i="4" a="1"/>
  <c r="HD6" i="4" a="1"/>
  <c r="BD60" i="3"/>
  <c r="GZ5" i="4" a="1"/>
  <c r="FT12" i="4" a="1"/>
  <c r="GO13" i="4" a="1"/>
  <c r="GO15" i="4" a="1"/>
  <c r="BF89" i="3"/>
  <c r="GV16" i="4" a="1"/>
  <c r="BU77" i="3"/>
  <c r="FK9" i="4" a="1"/>
  <c r="BD56" i="3"/>
  <c r="HG13" i="4" a="1"/>
  <c r="BS50" i="3"/>
  <c r="GS14" i="4" a="1"/>
  <c r="BO74" i="3"/>
  <c r="BQ64" i="3"/>
  <c r="GA11" i="4" a="1"/>
  <c r="BD68" i="3"/>
  <c r="GQ12" i="4" a="1"/>
  <c r="BN76" i="3"/>
  <c r="GW5" i="4" a="1"/>
  <c r="GE8" i="4" a="1"/>
  <c r="FX15" i="4" a="1"/>
  <c r="BU96" i="3"/>
  <c r="GW11" i="4" a="1"/>
  <c r="BS81" i="3"/>
  <c r="GR11" i="4" a="1"/>
  <c r="HA16" i="4" a="1"/>
  <c r="GG8" i="4" a="1"/>
  <c r="FQ16" i="4" a="1"/>
  <c r="GM12" i="4" a="1"/>
  <c r="GC9" i="4" a="1"/>
  <c r="BD71" i="3"/>
  <c r="BV92" i="3"/>
  <c r="FQ12" i="4" a="1"/>
  <c r="HF13" i="4" a="1"/>
  <c r="BD59" i="3"/>
  <c r="BR67" i="3"/>
  <c r="GG6" i="4" a="1"/>
  <c r="FG13" i="4" a="1"/>
  <c r="GK16" i="4" a="1"/>
  <c r="BR55" i="3"/>
  <c r="BR50" i="3"/>
  <c r="BS70" i="3"/>
  <c r="GX6" i="4" a="1"/>
  <c r="GO6" i="4" a="1"/>
  <c r="GR16" i="4" a="1"/>
  <c r="BC62" i="3"/>
  <c r="BV91" i="3"/>
  <c r="GL13" i="4" a="1"/>
  <c r="FU15" i="4" a="1"/>
  <c r="GQ9" i="4" a="1"/>
  <c r="GJ8" i="4" a="1"/>
  <c r="FX12" i="4" a="1"/>
  <c r="HH16" i="4" a="1"/>
  <c r="FQ9" i="4" a="1"/>
  <c r="BC80" i="3"/>
  <c r="GF14" i="4" a="1"/>
  <c r="FX13" i="4" a="1"/>
  <c r="BU84" i="3"/>
  <c r="BT86" i="3"/>
  <c r="FY5" i="4" a="1"/>
  <c r="GE12" i="4" a="1"/>
  <c r="BO80" i="3"/>
  <c r="FM8" i="4" a="1"/>
  <c r="HC15" i="4" a="1"/>
  <c r="HG12" i="4" a="1"/>
  <c r="GK13" i="4" a="1"/>
  <c r="GD13" i="4" a="1"/>
  <c r="BR75" i="3"/>
  <c r="GV7" i="4" a="1"/>
  <c r="FH12" i="4" a="1"/>
  <c r="FW14" i="4" a="1"/>
  <c r="BR77" i="3"/>
  <c r="GX5" i="4" a="1"/>
  <c r="GM14" i="4" a="1"/>
  <c r="GN8" i="4" a="1"/>
  <c r="GD5" i="4" a="1"/>
  <c r="GO9" i="4" a="1"/>
  <c r="GU15" i="4" a="1"/>
  <c r="BC88" i="3"/>
  <c r="HD7" i="4" a="1"/>
  <c r="BG66" i="3"/>
  <c r="BU72" i="3"/>
  <c r="HC13" i="4" a="1"/>
  <c r="Y113" i="2"/>
  <c r="BT57" i="3"/>
  <c r="HA6" i="4" a="1"/>
  <c r="FO6" i="4" a="1"/>
  <c r="BD79" i="3"/>
  <c r="BV94" i="3"/>
  <c r="FK13" i="4" a="1"/>
  <c r="FL14" i="4" a="1"/>
  <c r="BC76" i="3"/>
  <c r="BN63" i="3"/>
  <c r="BU83" i="3"/>
  <c r="BJ97" i="3"/>
  <c r="GP8" i="4" a="1"/>
  <c r="GI7" i="4" a="1"/>
  <c r="FI11" i="4" a="1"/>
  <c r="BL71" i="3"/>
  <c r="BN87" i="3"/>
  <c r="FL13" i="4" a="1"/>
  <c r="GA16" i="4" a="1"/>
  <c r="HE13" i="4" a="1"/>
  <c r="GP13" i="4" a="1"/>
  <c r="GE14" i="4" a="1"/>
  <c r="FQ13" i="4" a="1"/>
  <c r="FV12" i="4" a="1"/>
  <c r="GD15" i="4" a="1"/>
  <c r="BK91" i="3"/>
  <c r="FG11" i="4" a="1"/>
  <c r="GG15" i="4" a="1"/>
  <c r="GE5" i="4" a="1"/>
  <c r="GT13" i="4" a="1"/>
  <c r="BS82" i="3"/>
  <c r="HF11" i="4" a="1"/>
  <c r="GL15" i="4" a="1"/>
  <c r="BC97" i="3"/>
  <c r="HG15" i="4" a="1"/>
  <c r="BT77" i="3"/>
  <c r="FH9" i="4" a="1"/>
  <c r="GT16" i="4" a="1"/>
  <c r="BD69" i="3"/>
  <c r="GH6" i="4" a="1"/>
  <c r="BV89" i="3"/>
  <c r="GO11" i="4" a="1"/>
  <c r="BJ73" i="3"/>
  <c r="BG62" i="3"/>
  <c r="GZ7" i="4" a="1"/>
  <c r="FS12" i="4" a="1"/>
  <c r="BF48" i="3"/>
  <c r="BO91" i="3"/>
  <c r="FZ9" i="4" a="1"/>
  <c r="GN16" i="4" a="1"/>
  <c r="BD97" i="3"/>
  <c r="BH93" i="3"/>
  <c r="BR64" i="3"/>
  <c r="BJ81" i="3"/>
  <c r="FU8" i="4" a="1"/>
  <c r="FM12" i="4" a="1"/>
  <c r="GH14" i="4" a="1"/>
  <c r="BE48" i="3"/>
  <c r="HH7" i="4" a="1"/>
  <c r="GK12" i="4" a="1"/>
  <c r="BD67" i="3"/>
  <c r="GB15" i="4" a="1"/>
  <c r="GL11" i="4" a="1"/>
  <c r="GX14" i="4" a="1"/>
  <c r="GB8" i="4" a="1"/>
  <c r="GN12" i="4" a="1"/>
  <c r="GA14" i="4" a="1"/>
  <c r="GN13" i="4" a="1"/>
  <c r="FZ11" i="4" a="1"/>
  <c r="GS12" i="4" a="1"/>
  <c r="GE16" i="4" a="1"/>
  <c r="FJ12" i="4" a="1"/>
  <c r="GX13" i="4" a="1"/>
  <c r="BT71" i="3"/>
  <c r="GG7" i="4" a="1"/>
  <c r="GP16" i="4" a="1"/>
  <c r="BD77" i="3"/>
  <c r="Z112" i="2"/>
  <c r="BO60" i="3"/>
  <c r="HF5" i="4" a="1"/>
  <c r="FM13" i="4" a="1"/>
  <c r="FJ7" i="4" a="1"/>
  <c r="BT85" i="3"/>
  <c r="BL85" i="3"/>
  <c r="HC11" i="4" a="1"/>
  <c r="BN64" i="3"/>
  <c r="FM16" i="4" a="1"/>
  <c r="FY14" i="4" a="1"/>
  <c r="GQ14" i="4" a="1"/>
  <c r="BA66" i="3"/>
  <c r="BE73" i="3"/>
  <c r="GF7" i="4" a="1"/>
  <c r="GJ11" i="4" a="1"/>
  <c r="BF64" i="3"/>
  <c r="BG47" i="3"/>
  <c r="FQ5" i="4" a="1"/>
  <c r="FH13" i="4" a="1"/>
  <c r="BD66" i="3"/>
  <c r="BI71" i="3"/>
  <c r="BV57" i="3"/>
  <c r="BK60" i="3"/>
  <c r="FX11" i="4" a="1"/>
  <c r="FR13" i="4" a="1"/>
  <c r="GQ15" i="4" a="1"/>
  <c r="BQ76" i="3"/>
  <c r="GR7" i="4" a="1"/>
  <c r="GR14" i="4" a="1"/>
  <c r="FN9" i="4" a="1"/>
  <c r="BC87" i="3"/>
  <c r="HD15" i="4" a="1"/>
  <c r="BL70" i="3"/>
  <c r="GR8" i="4" a="1"/>
  <c r="GC16" i="4" a="1"/>
  <c r="BC78" i="3"/>
  <c r="BL59" i="3"/>
  <c r="FH8" i="4" a="1"/>
  <c r="GZ14" i="4" a="1"/>
  <c r="BC90" i="3"/>
  <c r="GI11" i="4" a="1"/>
  <c r="HE16" i="4" a="1"/>
  <c r="GO8" i="4" a="1"/>
  <c r="FN12" i="4" a="1"/>
  <c r="GS8" i="4" a="1"/>
  <c r="BK61" i="3"/>
  <c r="FW11" i="4" a="1"/>
  <c r="FY11" i="4" a="1"/>
  <c r="HB15" i="4" a="1"/>
  <c r="FN13" i="4" a="1"/>
  <c r="BS79" i="3"/>
  <c r="HH12" i="4" a="1"/>
  <c r="GL9" i="4" a="1"/>
  <c r="GU16" i="4" a="1"/>
  <c r="BC83" i="3"/>
  <c r="GX7" i="4" a="1"/>
  <c r="GA7" i="4" a="1"/>
  <c r="FP5" i="4" a="1"/>
  <c r="FK8" i="4" a="1"/>
  <c r="HD16" i="4" a="1"/>
  <c r="BL73" i="3"/>
  <c r="GJ5" i="4" a="1"/>
  <c r="HA13" i="4" a="1"/>
  <c r="GY9" i="4" a="1"/>
  <c r="BE91" i="3"/>
  <c r="HC7" i="4" a="1"/>
  <c r="FZ14" i="4" a="1"/>
  <c r="GY12" i="4" a="1"/>
  <c r="FP12" i="4" a="1"/>
  <c r="FZ13" i="4" a="1"/>
  <c r="GZ15" i="4" a="1"/>
  <c r="FQ14" i="4" a="1"/>
  <c r="BN74" i="3"/>
  <c r="HE8" i="4" a="1"/>
  <c r="GG16" i="4" a="1"/>
  <c r="BT93" i="3"/>
  <c r="BK96" i="3"/>
  <c r="GV5" i="4" a="1"/>
  <c r="FI16" i="4" a="1"/>
  <c r="BR93" i="3"/>
  <c r="BK80" i="3"/>
  <c r="FH11" i="4" a="1"/>
  <c r="GM15" i="4" a="1"/>
  <c r="BE61" i="3"/>
  <c r="BN73" i="3"/>
  <c r="GA13" i="4" a="1"/>
  <c r="FR5" i="4" a="1"/>
  <c r="GN15" i="4" a="1"/>
  <c r="BC75" i="3"/>
  <c r="BQ48" i="3"/>
  <c r="GK9" i="4" a="1"/>
  <c r="HB8" i="4" a="1"/>
  <c r="GW14" i="4" a="1"/>
  <c r="BD63" i="3"/>
  <c r="BD74" i="3"/>
  <c r="BS83" i="3"/>
  <c r="GZ9" i="4" a="1"/>
  <c r="BC96" i="3"/>
  <c r="BR74" i="3"/>
  <c r="BV66" i="3"/>
  <c r="GT9" i="4" a="1"/>
  <c r="FS15" i="4" a="1"/>
  <c r="BT97" i="3"/>
  <c r="HF16" i="4" a="1"/>
  <c r="BK89" i="3"/>
  <c r="FK11" i="4" a="1"/>
  <c r="HH8" i="4" a="1"/>
  <c r="BD91" i="3"/>
  <c r="GQ13" i="4" a="1"/>
  <c r="FN7" i="4" a="1"/>
  <c r="GS15" i="4" a="1"/>
  <c r="HC16" i="4" a="1"/>
  <c r="FV15" i="4" a="1"/>
  <c r="GZ6" i="4" a="1"/>
  <c r="GT15" i="4" a="1"/>
  <c r="BC63" i="3"/>
  <c r="BD72" i="3"/>
  <c r="FP6" i="4" a="1"/>
  <c r="BQ95" i="3"/>
  <c r="FY9" i="4" a="1"/>
  <c r="HD11" i="4" a="1"/>
  <c r="FV14" i="4" a="1"/>
  <c r="BK81" i="3"/>
  <c r="FP14" i="4" a="1"/>
  <c r="FL16" i="4" a="1"/>
  <c r="BC59" i="3"/>
  <c r="BK55" i="3"/>
  <c r="FJ5" i="4" a="1"/>
  <c r="FR16" i="4" a="1"/>
  <c r="BC89" i="3"/>
  <c r="BP92" i="3"/>
  <c r="FX6" i="4" a="1"/>
  <c r="GI16" i="4" a="1"/>
  <c r="BK71" i="3"/>
  <c r="FR8" i="4" a="1"/>
  <c r="FK16" i="4" a="1"/>
  <c r="BQ79" i="3"/>
  <c r="AA112" i="2"/>
  <c r="GE7" i="4" a="1"/>
  <c r="HA8" i="4" a="1"/>
  <c r="FP16" i="4" a="1"/>
  <c r="BV74" i="3"/>
  <c r="HA5" i="4" a="1"/>
  <c r="BV68" i="3"/>
  <c r="GF16" i="4" a="1"/>
  <c r="FO12" i="4" a="1"/>
  <c r="HD14" i="4" a="1"/>
  <c r="FW13" i="4" a="1"/>
  <c r="GQ16" i="4" a="1"/>
  <c r="FN6" i="4" a="1"/>
  <c r="FS16" i="4" a="1"/>
  <c r="GT14" i="4" a="1"/>
  <c r="HB7" i="4" a="1"/>
  <c r="BD47" i="3"/>
  <c r="BD90" i="3"/>
  <c r="GD11" i="4" a="1"/>
  <c r="FX5" i="4" a="1"/>
  <c r="GL12" i="4" a="1"/>
  <c r="GY6" i="4" a="1"/>
  <c r="FS7" i="4" a="1"/>
  <c r="FN14" i="4" a="1"/>
  <c r="GK8" i="4" a="1"/>
  <c r="GP11" i="4" a="1"/>
  <c r="GY14" i="4" a="1"/>
  <c r="BD64" i="3"/>
  <c r="BP60" i="3"/>
  <c r="GW8" i="4" a="1"/>
  <c r="FY12" i="4" a="1"/>
  <c r="HF12" i="4" a="1"/>
  <c r="BF70" i="3"/>
  <c r="HH5" i="4" a="1"/>
  <c r="HG9" i="4" a="1"/>
  <c r="GT5" i="4" a="1"/>
  <c r="BN75" i="3"/>
  <c r="BI58" i="3"/>
  <c r="FJ13" i="4" a="1"/>
  <c r="BC92" i="3"/>
  <c r="GM13" i="4" a="1"/>
  <c r="FM15" i="4" a="1"/>
  <c r="GH12" i="4" a="1"/>
  <c r="BK66" i="3"/>
  <c r="FW15" i="4" a="1"/>
  <c r="AT31" i="3"/>
  <c r="E5" i="6" a="1"/>
  <c r="AW46" i="3"/>
  <c r="AY13" i="3"/>
  <c r="AX45" i="3"/>
  <c r="AF16" i="3"/>
  <c r="EV15" i="4" a="1"/>
  <c r="ES8" i="4" a="1"/>
  <c r="EN14" i="4" a="1"/>
  <c r="AZ16" i="3"/>
  <c r="AZ8" i="3"/>
  <c r="AX32" i="3"/>
  <c r="AV26" i="3"/>
  <c r="AV8" i="3"/>
  <c r="AS24" i="3"/>
  <c r="AX24" i="3"/>
  <c r="AY21" i="3"/>
  <c r="AZ9" i="3"/>
  <c r="AZ32" i="3"/>
  <c r="X5" i="6" a="1"/>
  <c r="ES16" i="4" a="1"/>
  <c r="EV16" i="4" a="1"/>
  <c r="EW12" i="4" a="1"/>
  <c r="EO11" i="4" a="1"/>
  <c r="AW39" i="3"/>
  <c r="EN16" i="4" a="1"/>
  <c r="G5" i="6" a="1"/>
  <c r="AS28" i="3"/>
  <c r="EN7" i="4" a="1"/>
  <c r="AW16" i="3"/>
  <c r="AP6" i="6" a="1"/>
  <c r="AU13" i="3"/>
  <c r="AY11" i="3"/>
  <c r="AH5" i="6" a="1"/>
  <c r="AS42" i="3"/>
  <c r="EW7" i="4" a="1"/>
  <c r="AT6" i="6" a="1"/>
  <c r="AV34" i="3"/>
  <c r="AW29" i="3"/>
  <c r="AY46" i="3"/>
  <c r="AU38" i="3"/>
  <c r="AF20" i="3"/>
  <c r="AF12" i="3"/>
  <c r="AV22" i="3"/>
  <c r="G6" i="6" a="1"/>
  <c r="EQ16" i="4" a="1"/>
  <c r="EW16" i="4" a="1"/>
  <c r="AF34" i="3"/>
  <c r="AT33" i="3"/>
  <c r="AT35" i="3"/>
  <c r="AS15" i="3"/>
  <c r="AX17" i="3"/>
  <c r="U6" i="6" a="1"/>
  <c r="AT45" i="3"/>
  <c r="AT11" i="3"/>
  <c r="AF13" i="3"/>
  <c r="EU9" i="4" a="1"/>
  <c r="ET5" i="4" a="1"/>
  <c r="AW37" i="3"/>
  <c r="AY24" i="3"/>
  <c r="AT8" i="3"/>
  <c r="K6" i="6" a="1"/>
  <c r="AZ28" i="3"/>
  <c r="AT5" i="3"/>
  <c r="AV24" i="3"/>
  <c r="AT41" i="3"/>
  <c r="AS14" i="3"/>
  <c r="AW26" i="3"/>
  <c r="EL16" i="4" a="1"/>
  <c r="EL15" i="4" a="1"/>
  <c r="ER9" i="4" a="1"/>
  <c r="AW42" i="3"/>
  <c r="AW18" i="3"/>
  <c r="AT39" i="3"/>
  <c r="AT17" i="3"/>
  <c r="AF10" i="3"/>
  <c r="BV48" i="3"/>
  <c r="AZ18" i="3"/>
  <c r="AT21" i="3"/>
  <c r="AY31" i="3"/>
  <c r="AZ45" i="3"/>
  <c r="AF6" i="3"/>
  <c r="AV6" i="6" a="1"/>
  <c r="EM12" i="4" a="1"/>
  <c r="AY5" i="3"/>
  <c r="EV14" i="4" a="1"/>
  <c r="AU26" i="3"/>
  <c r="EW8" i="4" a="1"/>
  <c r="AF42" i="3"/>
  <c r="EM5" i="4" a="1"/>
  <c r="AX36" i="3"/>
  <c r="AP7" i="3"/>
  <c r="EW6" i="4" a="1"/>
  <c r="F46" i="3"/>
  <c r="AZ11" i="3"/>
  <c r="AY17" i="3"/>
  <c r="AR6" i="6" a="1"/>
  <c r="D5" i="6" a="1"/>
  <c r="AZ25" i="3"/>
  <c r="AU12" i="3"/>
  <c r="EP11" i="4" a="1"/>
  <c r="AS19" i="3"/>
  <c r="AW36" i="3"/>
  <c r="AW8" i="3"/>
  <c r="EP9" i="4" a="1"/>
  <c r="AY7" i="3"/>
  <c r="AX41" i="3"/>
  <c r="R6" i="6" a="1"/>
  <c r="AV37" i="3"/>
  <c r="AV9" i="3"/>
  <c r="AE6" i="6" a="1"/>
  <c r="AX38" i="3"/>
  <c r="AW13" i="3"/>
  <c r="AY35" i="3"/>
  <c r="AS25" i="3"/>
  <c r="AF31" i="3"/>
  <c r="EO16" i="4" a="1"/>
  <c r="EW5" i="4" a="1"/>
  <c r="EQ5" i="4" a="1"/>
  <c r="AZ37" i="3"/>
  <c r="ER14" i="4" a="1"/>
  <c r="AS5" i="6" a="1"/>
  <c r="AW23" i="3"/>
  <c r="O5" i="6" a="1"/>
  <c r="I6" i="6" a="1"/>
  <c r="AY6" i="3"/>
  <c r="AZ12" i="3"/>
  <c r="AO6" i="6" a="1"/>
  <c r="AZ27" i="3"/>
  <c r="AF17" i="3"/>
  <c r="EM14" i="4" a="1"/>
  <c r="AY16" i="3"/>
  <c r="EU15" i="4" a="1"/>
  <c r="EQ14" i="4" a="1"/>
  <c r="AX21" i="3"/>
  <c r="EU6" i="4" a="1"/>
  <c r="AV35" i="3"/>
  <c r="EU7" i="4" a="1"/>
  <c r="EW9" i="4" a="1"/>
  <c r="AS7" i="3"/>
  <c r="AX6" i="6" a="1"/>
  <c r="AU29" i="3"/>
  <c r="AY28" i="3"/>
  <c r="AX11" i="3"/>
  <c r="EU16" i="4" a="1"/>
  <c r="EW11" i="4" a="1"/>
  <c r="EO7" i="4" a="1"/>
  <c r="AX18" i="3"/>
  <c r="AT26" i="3"/>
  <c r="AY45" i="3"/>
  <c r="AY14" i="3"/>
  <c r="AX19" i="3"/>
  <c r="AW14" i="3"/>
  <c r="AP5" i="6" a="1"/>
  <c r="AZ38" i="3"/>
  <c r="EQ9" i="4" a="1"/>
  <c r="EU11" i="4" a="1"/>
  <c r="AU40" i="3"/>
  <c r="AW9" i="3"/>
  <c r="AV12" i="3"/>
  <c r="AW21" i="3"/>
  <c r="AU27" i="3"/>
  <c r="AY32" i="3"/>
  <c r="AU24" i="3"/>
  <c r="AZ40" i="3"/>
  <c r="EN8" i="4" a="1"/>
  <c r="AU22" i="3"/>
  <c r="AT42" i="3"/>
  <c r="V5" i="6" a="1"/>
  <c r="AK6" i="6" a="1"/>
  <c r="AS10" i="3"/>
  <c r="EN11" i="4" a="1"/>
  <c r="Y5" i="6" a="1"/>
  <c r="AX5" i="6" a="1"/>
  <c r="AX9" i="3"/>
  <c r="EQ6" i="4" a="1"/>
  <c r="AW6" i="3"/>
  <c r="EO13" i="4" a="1"/>
  <c r="AQ6" i="6" a="1"/>
  <c r="AU41" i="3"/>
  <c r="AF29" i="3"/>
  <c r="AF27" i="3"/>
  <c r="AZ26" i="3"/>
  <c r="ET8" i="4" a="1"/>
  <c r="AS13" i="3"/>
  <c r="ES12" i="4" a="1"/>
  <c r="AF32" i="3"/>
  <c r="BT49" i="3"/>
  <c r="AY39" i="3"/>
  <c r="H5" i="6" a="1"/>
  <c r="AW33" i="3"/>
  <c r="AV32" i="3"/>
  <c r="EN13" i="4" a="1"/>
  <c r="AW35" i="3"/>
  <c r="AS32" i="3"/>
  <c r="AW25" i="3"/>
  <c r="EL11" i="4" a="1"/>
  <c r="AU15" i="3"/>
  <c r="AX28" i="3"/>
  <c r="AS6" i="6" a="1"/>
  <c r="U5" i="6" a="1"/>
  <c r="EQ15" i="4" a="1"/>
  <c r="AL6" i="6" a="1"/>
  <c r="AY15" i="3"/>
  <c r="AW5" i="6" a="1"/>
  <c r="BG59" i="3"/>
  <c r="AU23" i="3"/>
  <c r="AV23" i="3"/>
  <c r="AX27" i="3"/>
  <c r="AW12" i="3"/>
  <c r="AP6" i="3"/>
  <c r="AF38" i="3"/>
  <c r="AV21" i="3"/>
  <c r="AT37" i="3"/>
  <c r="EM16" i="4" a="1"/>
  <c r="AW41" i="3"/>
  <c r="AV30" i="3"/>
  <c r="AY9" i="3"/>
  <c r="AZ7" i="3"/>
  <c r="AM6" i="6" a="1"/>
  <c r="AR6" i="3"/>
  <c r="AJ6" i="6" a="1"/>
  <c r="EV12" i="4" a="1"/>
  <c r="AZ34" i="3"/>
  <c r="AV5" i="6" a="1"/>
  <c r="AY42" i="3"/>
  <c r="EV13" i="4" a="1"/>
  <c r="AW27" i="3"/>
  <c r="AZ6" i="3"/>
  <c r="AS20" i="3"/>
  <c r="EW15" i="4" a="1"/>
  <c r="F5" i="6" a="1"/>
  <c r="AV38" i="3"/>
  <c r="AX30" i="3"/>
  <c r="AU6" i="6" a="1"/>
  <c r="AV20" i="3"/>
  <c r="AY8" i="3"/>
  <c r="AF39" i="3"/>
  <c r="ET11" i="4" a="1"/>
  <c r="ET9" i="4" a="1"/>
  <c r="ES11" i="4" a="1"/>
  <c r="EU5" i="4" a="1"/>
  <c r="EQ7" i="4" a="1"/>
  <c r="AU42" i="3"/>
  <c r="AX46" i="3"/>
  <c r="AT28" i="3"/>
  <c r="AS18" i="3"/>
  <c r="Z5" i="6" a="1"/>
  <c r="AT30" i="3"/>
  <c r="AA6" i="6" a="1"/>
  <c r="AF23" i="3"/>
  <c r="ER16" i="4" a="1"/>
  <c r="EM13" i="4" a="1"/>
  <c r="AT16" i="3"/>
  <c r="C5" i="4" a="1"/>
  <c r="AR5" i="6" a="1"/>
  <c r="AD6" i="6" a="1"/>
  <c r="AV42" i="3"/>
  <c r="ET6" i="4" a="1"/>
  <c r="T5" i="6" a="1"/>
  <c r="AU5" i="6" a="1"/>
  <c r="AF41" i="3"/>
  <c r="AZ10" i="3"/>
  <c r="E6" i="6" a="1"/>
  <c r="W5" i="6" a="1"/>
  <c r="AV15" i="3"/>
  <c r="ET13" i="4" a="1"/>
  <c r="AF40" i="3"/>
  <c r="AW20" i="3"/>
  <c r="EO15" i="4" a="1"/>
  <c r="AU5" i="3"/>
  <c r="AV6" i="3"/>
  <c r="AO5" i="6" a="1"/>
  <c r="AY10" i="3"/>
  <c r="AY34" i="3"/>
  <c r="AT18" i="3"/>
  <c r="AY41" i="3"/>
  <c r="EW14" i="4" a="1"/>
  <c r="EU13" i="4" a="1"/>
  <c r="AC6" i="6" a="1"/>
  <c r="AX6" i="3"/>
  <c r="R5" i="6" a="1"/>
  <c r="AX7" i="3"/>
  <c r="AZ35" i="3"/>
  <c r="AV41" i="3"/>
  <c r="AU6" i="3"/>
  <c r="AH6" i="6" a="1"/>
  <c r="AS27" i="3"/>
  <c r="ES6" i="4" a="1"/>
  <c r="EP14" i="4" a="1"/>
  <c r="EU14" i="4" a="1"/>
  <c r="J5" i="6" a="1"/>
  <c r="BP50" i="3"/>
  <c r="AY6" i="6" a="1"/>
  <c r="EP8" i="4" a="1"/>
  <c r="ES5" i="4" a="1"/>
  <c r="AN6" i="6" a="1"/>
  <c r="AI6" i="6" a="1"/>
  <c r="AF26" i="3"/>
  <c r="AV25" i="3"/>
  <c r="AV29" i="3"/>
  <c r="AI5" i="6" a="1"/>
  <c r="AS34" i="3"/>
  <c r="AZ33" i="3"/>
  <c r="AZ19" i="3"/>
  <c r="ER12" i="4" a="1"/>
  <c r="EP16" i="4" a="1"/>
  <c r="EO14" i="4" a="1"/>
  <c r="AT7" i="3"/>
  <c r="AX20" i="3"/>
  <c r="AU10" i="3"/>
  <c r="ET15" i="4" a="1"/>
  <c r="AT38" i="3"/>
  <c r="AF6" i="6" a="1"/>
  <c r="AF5" i="3"/>
  <c r="AX39" i="3"/>
  <c r="L5" i="6" a="1"/>
  <c r="AU30" i="3"/>
  <c r="EP12" i="4" a="1"/>
  <c r="EV9" i="4" a="1"/>
  <c r="AT34" i="3"/>
  <c r="ES15" i="4" a="1"/>
  <c r="EL8" i="4" a="1"/>
  <c r="EP15" i="4" a="1"/>
  <c r="AZ42" i="3"/>
  <c r="AZ17" i="3"/>
  <c r="AU16" i="3"/>
  <c r="AA5" i="6" a="1"/>
  <c r="AU36" i="3"/>
  <c r="AV33" i="3"/>
  <c r="AY18" i="3"/>
  <c r="AW38" i="3"/>
  <c r="S6" i="6" a="1"/>
  <c r="AX14" i="3"/>
  <c r="AT29" i="3"/>
  <c r="AS9" i="3"/>
  <c r="AU28" i="3"/>
  <c r="AW11" i="3"/>
  <c r="H6" i="6" a="1"/>
  <c r="S5" i="6" a="1"/>
  <c r="AP5" i="3"/>
  <c r="AT9" i="3"/>
  <c r="AF14" i="3"/>
  <c r="Y6" i="6" a="1"/>
  <c r="EL5" i="4" a="1"/>
  <c r="AY30" i="3"/>
  <c r="EO8" i="4" a="1"/>
  <c r="AW28" i="3"/>
  <c r="AT13" i="3"/>
  <c r="AT25" i="3"/>
  <c r="AV14" i="3"/>
  <c r="AF9" i="3"/>
  <c r="AV36" i="3"/>
  <c r="AU8" i="3"/>
  <c r="EM15" i="4" a="1"/>
  <c r="EV6" i="4" a="1"/>
  <c r="AX37" i="3"/>
  <c r="EV7" i="4" a="1"/>
  <c r="AS23" i="3"/>
  <c r="BK84" i="3"/>
  <c r="AX33" i="3"/>
  <c r="AY20" i="3"/>
  <c r="AX10" i="3"/>
  <c r="AU11" i="3"/>
  <c r="V6" i="6" a="1"/>
  <c r="AQ5" i="6" a="1"/>
  <c r="EQ13" i="4" a="1"/>
  <c r="EN15" i="4" a="1"/>
  <c r="EL9" i="4" a="1"/>
  <c r="AF18" i="3"/>
  <c r="AS33" i="3"/>
  <c r="AS21" i="3"/>
  <c r="AX26" i="3"/>
  <c r="ER6" i="4" a="1"/>
  <c r="AU7" i="3"/>
  <c r="AU18" i="3"/>
  <c r="AG6" i="6" a="1"/>
  <c r="AX40" i="3"/>
  <c r="AW34" i="3"/>
  <c r="AF7" i="3"/>
  <c r="AV31" i="3"/>
  <c r="ER8" i="4" a="1"/>
  <c r="AT14" i="3"/>
  <c r="AU14" i="3"/>
  <c r="AT5" i="6" a="1"/>
  <c r="AU17" i="3"/>
  <c r="AZ15" i="3"/>
  <c r="C5" i="3"/>
  <c r="AX29" i="3"/>
  <c r="AF30" i="3"/>
  <c r="AT19" i="3"/>
  <c r="AZ21" i="3"/>
  <c r="AT10" i="3"/>
  <c r="AF11" i="3"/>
  <c r="EM8" i="4" a="1"/>
  <c r="EV11" i="4" a="1"/>
  <c r="AS45" i="3"/>
  <c r="AV18" i="3"/>
  <c r="AX42" i="3"/>
  <c r="AB6" i="6" a="1"/>
  <c r="AY23" i="3"/>
  <c r="AZ46" i="3"/>
  <c r="ER11" i="4" a="1"/>
  <c r="AZ31" i="3"/>
  <c r="ET14" i="4" a="1"/>
  <c r="EN6" i="4" a="1"/>
  <c r="AW15" i="3"/>
  <c r="AY27" i="3"/>
  <c r="AF36" i="3"/>
  <c r="AT6" i="3"/>
  <c r="AW7" i="3"/>
  <c r="AX8" i="3"/>
  <c r="AF5" i="6" a="1"/>
  <c r="Q6" i="6" a="1"/>
  <c r="AX15" i="3"/>
  <c r="EO5" i="4" a="1"/>
  <c r="AZ36" i="3"/>
  <c r="EP13" i="4" a="1"/>
  <c r="ER7" i="4" a="1"/>
  <c r="AZ14" i="3"/>
  <c r="EO12" i="4" a="1"/>
  <c r="AS22" i="3"/>
  <c r="ES9" i="4" a="1"/>
  <c r="AW22" i="3"/>
  <c r="EW13" i="4" a="1"/>
  <c r="AY26" i="3"/>
  <c r="AW19" i="3"/>
  <c r="AE5" i="6" a="1"/>
  <c r="AF25" i="3"/>
  <c r="AW45" i="3"/>
  <c r="F45" i="3"/>
  <c r="AT27" i="3"/>
  <c r="AV45" i="3"/>
  <c r="D6" i="6" a="1"/>
  <c r="AU37" i="3"/>
  <c r="EM7" i="4" a="1"/>
  <c r="ER13" i="4" a="1"/>
  <c r="AZ13" i="3"/>
  <c r="C5" i="6" a="1"/>
  <c r="M6" i="6" a="1"/>
  <c r="AT24" i="3"/>
  <c r="AS29" i="3"/>
  <c r="AZ39" i="3"/>
  <c r="AU46" i="3"/>
  <c r="AY12" i="3"/>
  <c r="AF46" i="3"/>
  <c r="AR5" i="3"/>
  <c r="AM5" i="6" a="1"/>
  <c r="EM11" i="4" a="1"/>
  <c r="EL14" i="4" a="1"/>
  <c r="EP5" i="4" a="1"/>
  <c r="ES7" i="4" a="1"/>
  <c r="EP6" i="4" a="1"/>
  <c r="EO9" i="4" a="1"/>
  <c r="AX23" i="3"/>
  <c r="AF37" i="3"/>
  <c r="AZ24" i="3"/>
  <c r="AS12" i="3"/>
  <c r="Q5" i="6" a="1"/>
  <c r="AZ20" i="3"/>
  <c r="AY19" i="3"/>
  <c r="AF28" i="3"/>
  <c r="X6" i="6" a="1"/>
  <c r="C6" i="4" a="1"/>
  <c r="AS41" i="3"/>
  <c r="AV7" i="3"/>
  <c r="AX34" i="3"/>
  <c r="P5" i="6" a="1"/>
  <c r="AW5" i="3"/>
  <c r="AY22" i="3"/>
  <c r="AV28" i="3"/>
  <c r="AU35" i="3"/>
  <c r="W6" i="6" a="1"/>
  <c r="AS5" i="3"/>
  <c r="AV19" i="3"/>
  <c r="AW30" i="3"/>
  <c r="AU20" i="3"/>
  <c r="AY25" i="3"/>
  <c r="AW6" i="6" a="1"/>
  <c r="AF21" i="3"/>
  <c r="AS36" i="3"/>
  <c r="AY36" i="3"/>
  <c r="AV16" i="3"/>
  <c r="AZ29" i="3"/>
  <c r="ET16" i="4" a="1"/>
  <c r="ES14" i="4" a="1"/>
  <c r="BU58" i="3"/>
  <c r="EN12" i="4" a="1"/>
  <c r="AF15" i="3"/>
  <c r="AS39" i="3"/>
  <c r="N5" i="6" a="1"/>
  <c r="AG5" i="6" a="1"/>
  <c r="AF22" i="3"/>
  <c r="AF8" i="3"/>
  <c r="AU33" i="3"/>
  <c r="AU31" i="3"/>
  <c r="EU8" i="4" a="1"/>
  <c r="ET7" i="4" a="1"/>
  <c r="EV8" i="4" a="1"/>
  <c r="AS38" i="3"/>
  <c r="AD5" i="6" a="1"/>
  <c r="ER15" i="4" a="1"/>
  <c r="AV11" i="3"/>
  <c r="EM6" i="4" a="1"/>
  <c r="ES13" i="4" a="1"/>
  <c r="AF35" i="3"/>
  <c r="AX16" i="3"/>
  <c r="AU39" i="3"/>
  <c r="AV5" i="3"/>
  <c r="AV17" i="3"/>
  <c r="AC5" i="6" a="1"/>
  <c r="ER5" i="4" a="1"/>
  <c r="AX25" i="3"/>
  <c r="M5" i="6" a="1"/>
  <c r="AW10" i="3"/>
  <c r="AZ5" i="3"/>
  <c r="AS11" i="3"/>
  <c r="AY37" i="3"/>
  <c r="AK5" i="6" a="1"/>
  <c r="K5" i="6" a="1"/>
  <c r="EN5" i="4" a="1"/>
  <c r="AY5" i="6" a="1"/>
  <c r="AS8" i="3"/>
  <c r="AX5" i="3"/>
  <c r="I5" i="6" a="1"/>
  <c r="L6" i="6" a="1"/>
  <c r="AS16" i="3"/>
  <c r="AU45" i="3"/>
  <c r="ET12" i="4" a="1"/>
  <c r="AU19" i="3"/>
  <c r="EQ8" i="4" a="1"/>
  <c r="P6" i="6" a="1"/>
  <c r="AY33" i="3"/>
  <c r="EP7" i="4" a="1"/>
  <c r="AT20" i="3"/>
  <c r="AR7" i="3"/>
  <c r="AT15" i="3"/>
  <c r="AU32" i="3"/>
  <c r="AW32" i="3"/>
  <c r="AV39" i="3"/>
  <c r="F6" i="6" a="1"/>
  <c r="AT12" i="3"/>
  <c r="AF24" i="3"/>
  <c r="AJ5" i="6" a="1"/>
  <c r="AU9" i="3"/>
  <c r="AU21" i="3"/>
  <c r="AS30" i="3"/>
  <c r="C6" i="6" a="1"/>
  <c r="AU34" i="3"/>
  <c r="AB5" i="6" a="1"/>
  <c r="EO6" i="4" a="1"/>
  <c r="AX22" i="3"/>
  <c r="O6" i="6" a="1"/>
  <c r="AX13" i="3"/>
  <c r="AV46" i="3"/>
  <c r="EL6" i="4" a="1"/>
  <c r="AZ23" i="3"/>
  <c r="EM9" i="4" a="1"/>
  <c r="AV13" i="3"/>
  <c r="AW17" i="3"/>
  <c r="AT32" i="3"/>
  <c r="EQ12" i="4" a="1"/>
  <c r="AF33" i="3"/>
  <c r="EL7" i="4" a="1"/>
  <c r="AW24" i="3"/>
  <c r="EN9" i="4" a="1"/>
  <c r="AS31" i="3"/>
  <c r="AS46" i="3"/>
  <c r="AT23" i="3"/>
  <c r="EV5" i="4" a="1"/>
  <c r="AY40" i="3"/>
  <c r="AT22" i="3"/>
  <c r="AZ30" i="3"/>
  <c r="EU12" i="4" a="1"/>
  <c r="AZ41" i="3"/>
  <c r="AL5" i="6" a="1"/>
  <c r="AT46" i="3"/>
  <c r="EQ11" i="4" a="1"/>
  <c r="AT36" i="3"/>
  <c r="T6" i="6" a="1"/>
  <c r="J6" i="6" a="1"/>
  <c r="AX12" i="3"/>
  <c r="AS37" i="3"/>
  <c r="AY38" i="3"/>
  <c r="AS40" i="3"/>
  <c r="AF45" i="3"/>
  <c r="Z6" i="6" a="1"/>
  <c r="AN5" i="6" a="1"/>
  <c r="AB5" i="3"/>
  <c r="N6" i="6" a="1"/>
  <c r="AS6" i="3"/>
  <c r="AS26" i="3"/>
  <c r="AT40" i="3"/>
  <c r="AX35" i="3"/>
  <c r="AW40" i="3"/>
  <c r="EL12" i="4" a="1"/>
  <c r="AV40" i="3"/>
  <c r="EL13" i="4" a="1"/>
  <c r="AS35" i="3"/>
  <c r="AV27" i="3"/>
  <c r="AS17" i="3"/>
  <c r="AF19" i="3"/>
  <c r="AW31" i="3"/>
  <c r="AU25" i="3"/>
  <c r="AX31" i="3"/>
  <c r="AZ22" i="3"/>
  <c r="BP64" i="3"/>
  <c r="BP70" i="3"/>
  <c r="BP84" i="3"/>
  <c r="BP83" i="3"/>
  <c r="BP68" i="3"/>
  <c r="BP48" i="3"/>
  <c r="BJ94" i="3"/>
  <c r="BJ82" i="3"/>
  <c r="BJ88" i="3"/>
  <c r="BJ84" i="3"/>
  <c r="BJ75" i="3"/>
  <c r="BJ64" i="3"/>
  <c r="BH77" i="3" l="1"/>
  <c r="BB61" i="3"/>
  <c r="BH63" i="3"/>
  <c r="BB59" i="3"/>
  <c r="BR71" i="3"/>
  <c r="BB87" i="3"/>
  <c r="BH71" i="3"/>
  <c r="BO79" i="3"/>
  <c r="BH47" i="3"/>
  <c r="BB58" i="3"/>
  <c r="BR92" i="3"/>
  <c r="BP87" i="3"/>
  <c r="BB84" i="3"/>
  <c r="BV90" i="3"/>
  <c r="BV88" i="3"/>
  <c r="BS84" i="3"/>
  <c r="BV95" i="3"/>
  <c r="BS67" i="3"/>
  <c r="BH65" i="3"/>
  <c r="BF61" i="3"/>
  <c r="BO62" i="3"/>
  <c r="BR73" i="3"/>
  <c r="BB66" i="3"/>
  <c r="BN57" i="3"/>
  <c r="BJ59" i="3"/>
  <c r="BB48" i="3"/>
  <c r="BF49" i="3"/>
  <c r="BV77" i="3"/>
  <c r="BV49" i="3"/>
  <c r="BO66" i="3"/>
  <c r="BN60" i="3"/>
  <c r="BP85" i="3"/>
  <c r="BN82" i="3"/>
  <c r="BJ72" i="3"/>
  <c r="BH92" i="3"/>
  <c r="BS95" i="3"/>
  <c r="BN77" i="3"/>
  <c r="BB93" i="3"/>
  <c r="BO57" i="3"/>
  <c r="BR60" i="3"/>
  <c r="BV69" i="3"/>
  <c r="BH91" i="3"/>
  <c r="BH85" i="3"/>
  <c r="BO95" i="3"/>
  <c r="BP61" i="3"/>
  <c r="BN78" i="3"/>
  <c r="BR85" i="3"/>
  <c r="BN54" i="3"/>
  <c r="BP76" i="3"/>
  <c r="BB83" i="3"/>
  <c r="BO76" i="3"/>
  <c r="BR78" i="3"/>
  <c r="BN71" i="3"/>
  <c r="BB91" i="3"/>
  <c r="BO90" i="3"/>
  <c r="BN61" i="3"/>
  <c r="BJ55" i="3"/>
  <c r="BS80" i="3"/>
  <c r="BN55" i="3"/>
  <c r="BJ62" i="3"/>
  <c r="BS64" i="3"/>
  <c r="BP90" i="3"/>
  <c r="BF56" i="3"/>
  <c r="BV64" i="3"/>
  <c r="BP57" i="3"/>
  <c r="BO70" i="3"/>
  <c r="BN85" i="3"/>
  <c r="BJ54" i="3"/>
  <c r="BS55" i="3"/>
  <c r="BJ67" i="3"/>
  <c r="BJ76" i="3"/>
  <c r="BJ89" i="3"/>
  <c r="BP63" i="3"/>
  <c r="BJ60" i="3"/>
  <c r="BJ61" i="3"/>
  <c r="BP74" i="3"/>
  <c r="BJ48" i="3"/>
  <c r="BJ85" i="3"/>
  <c r="BM65" i="3"/>
  <c r="BM84" i="3"/>
  <c r="BM88" i="3"/>
  <c r="BM91" i="3"/>
  <c r="BM49" i="3"/>
  <c r="BM61" i="3"/>
  <c r="BM75" i="3"/>
  <c r="BM66" i="3"/>
  <c r="BM60" i="3"/>
  <c r="BM50" i="3"/>
  <c r="BM74" i="3"/>
  <c r="BM97" i="3"/>
  <c r="BM83" i="3"/>
  <c r="BM90" i="3"/>
  <c r="BM93" i="3"/>
  <c r="BM92" i="3"/>
  <c r="BM76" i="3"/>
  <c r="BB70" i="3"/>
  <c r="BH57" i="3"/>
  <c r="BS63" i="3"/>
  <c r="BO84" i="3"/>
  <c r="BV63" i="3"/>
  <c r="BM67" i="3"/>
  <c r="BH95" i="3"/>
  <c r="BO65" i="3"/>
  <c r="BO67" i="3"/>
  <c r="BN83" i="3"/>
  <c r="BS69" i="3"/>
  <c r="BF67" i="3"/>
  <c r="BV70" i="3"/>
  <c r="BF95" i="3"/>
  <c r="BF62" i="3"/>
  <c r="BB97" i="3"/>
  <c r="BM80" i="3"/>
  <c r="BO78" i="3"/>
  <c r="BF80" i="3"/>
  <c r="BJ71" i="3"/>
  <c r="BM79" i="3"/>
  <c r="BV73" i="3"/>
  <c r="BP58" i="3"/>
  <c r="BO86" i="3"/>
  <c r="BP47" i="3"/>
  <c r="BS58" i="3"/>
  <c r="BJ47" i="3"/>
  <c r="BO81" i="3"/>
  <c r="BF54" i="3"/>
  <c r="BR87" i="3"/>
  <c r="BH86" i="3"/>
  <c r="BP75" i="3"/>
  <c r="BJ57" i="3"/>
  <c r="BB60" i="3"/>
  <c r="BF97" i="3"/>
  <c r="BP49" i="3"/>
  <c r="BV47" i="3"/>
  <c r="BB80" i="3"/>
  <c r="BN96" i="3"/>
  <c r="BJ65" i="3"/>
  <c r="BS88" i="3"/>
  <c r="BF79" i="3"/>
  <c r="BB68" i="3"/>
  <c r="BF50" i="3"/>
  <c r="BH79" i="3"/>
  <c r="BM68" i="3"/>
  <c r="BP97" i="3"/>
  <c r="BM87" i="3"/>
  <c r="BM81" i="3"/>
  <c r="BM58" i="3"/>
  <c r="BJ78" i="3"/>
  <c r="BP82" i="3"/>
  <c r="BM47" i="3"/>
  <c r="BP91" i="3"/>
  <c r="BJ87" i="3"/>
  <c r="BM62" i="3"/>
  <c r="BJ96" i="3"/>
  <c r="BJ79" i="3"/>
  <c r="BP94" i="3"/>
  <c r="BM56" i="3"/>
  <c r="BJ49" i="3"/>
  <c r="BM57" i="3"/>
  <c r="BM77" i="3"/>
  <c r="BM59" i="3"/>
  <c r="BM69" i="3"/>
  <c r="BM48" i="3"/>
  <c r="BM70" i="3"/>
  <c r="BM78" i="3"/>
  <c r="BM96" i="3"/>
  <c r="BM73" i="3"/>
  <c r="BM71" i="3"/>
  <c r="BM86" i="3"/>
  <c r="BM54" i="3"/>
  <c r="BM72" i="3"/>
  <c r="BM95" i="3"/>
  <c r="BM94" i="3"/>
  <c r="BM89" i="3"/>
  <c r="BM64" i="3"/>
  <c r="BM82" i="3"/>
  <c r="BM55" i="3"/>
  <c r="BM85" i="3"/>
  <c r="BM63" i="3"/>
  <c r="BS56" i="3"/>
  <c r="BS62" i="3"/>
  <c r="BP54" i="3"/>
  <c r="BJ74" i="3"/>
  <c r="BJ83" i="3"/>
  <c r="BJ77" i="3"/>
  <c r="BP81" i="3"/>
  <c r="BP56" i="3"/>
  <c r="BJ66" i="3"/>
  <c r="BJ95" i="3"/>
  <c r="BJ86" i="3"/>
  <c r="CL133" i="1"/>
  <c r="CJ149" i="1"/>
  <c r="CJ126" i="1"/>
  <c r="CK126" i="1" s="1"/>
  <c r="Z73" i="1"/>
  <c r="JT16" i="4" s="1"/>
  <c r="JR16" i="4" s="1"/>
  <c r="CJ135" i="1"/>
  <c r="CK135" i="1" s="1"/>
  <c r="CJ154" i="1"/>
  <c r="CJ137" i="1"/>
  <c r="CK137" i="1" s="1"/>
  <c r="CJ125" i="1"/>
  <c r="CK125" i="1" s="1"/>
  <c r="JQ16" i="4" s="1"/>
  <c r="JY16" i="4" s="1"/>
  <c r="KE9" i="4" s="1"/>
  <c r="CJ151" i="1"/>
  <c r="CL149" i="1"/>
  <c r="Y73" i="1"/>
  <c r="CJ140" i="1"/>
  <c r="CK140" i="1" s="1"/>
  <c r="CK202" i="1" s="1"/>
  <c r="KB16" i="4" s="1"/>
  <c r="KE14" i="4" s="1"/>
  <c r="JW16" i="4" s="1"/>
  <c r="CJ143" i="1"/>
  <c r="X74" i="1"/>
  <c r="KH16" i="4" s="1"/>
  <c r="CJ134" i="1"/>
  <c r="CJ117" i="1"/>
  <c r="KD16" i="4" s="1"/>
  <c r="CL153" i="1"/>
  <c r="CJ122" i="1"/>
  <c r="CK122" i="1" s="1"/>
  <c r="X73" i="1"/>
  <c r="CJ163" i="1"/>
  <c r="CK163" i="1" s="1"/>
  <c r="KA16" i="4" s="1"/>
  <c r="JZ14" i="4" s="1"/>
  <c r="CJ150" i="1"/>
  <c r="JS16" i="4" s="1"/>
  <c r="KG9" i="4" s="1"/>
  <c r="JY9" i="4" s="1"/>
  <c r="JX9" i="4" s="1"/>
  <c r="CJ160" i="1"/>
  <c r="CI74" i="1"/>
  <c r="KH9" i="4" s="1"/>
  <c r="Y74" i="1"/>
  <c r="JS9" i="4" s="1"/>
  <c r="KE16" i="4" s="1"/>
  <c r="CL118" i="1"/>
  <c r="CL140" i="1"/>
  <c r="JZ16" i="4" s="1"/>
  <c r="KD9" i="4" s="1"/>
  <c r="CJ152" i="1"/>
  <c r="CJ164" i="1"/>
  <c r="CK164" i="1" s="1"/>
  <c r="JV16" i="4" s="1"/>
  <c r="CJ144" i="1"/>
  <c r="CJ153" i="1"/>
  <c r="CL163" i="1"/>
  <c r="CJ159" i="1"/>
  <c r="CL151" i="1"/>
  <c r="JU9" i="4" s="1"/>
  <c r="CL144" i="1"/>
  <c r="CJ146" i="1"/>
  <c r="KF9" i="4" s="1"/>
  <c r="KB9" i="4" s="1"/>
  <c r="CL142" i="1"/>
  <c r="CL122" i="1"/>
  <c r="CJ119" i="1"/>
  <c r="CK73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J127" i="1"/>
  <c r="CK127" i="1" s="1"/>
  <c r="CL135" i="1"/>
  <c r="CL154" i="1"/>
  <c r="JW9" i="4" s="1"/>
  <c r="KA9" i="4" s="1"/>
  <c r="JQ9" i="4" s="1"/>
  <c r="CJ142" i="1"/>
  <c r="CH73" i="1"/>
  <c r="CJ74" i="1"/>
  <c r="CL155" i="1"/>
  <c r="JZ9" i="4" s="1"/>
  <c r="JZ21" i="4" s="1"/>
  <c r="KC16" i="4" s="1"/>
  <c r="CH21" i="1"/>
  <c r="CI15" i="1"/>
  <c r="X39" i="1"/>
  <c r="Z25" i="1"/>
  <c r="CI9" i="1"/>
  <c r="CJ25" i="1"/>
  <c r="X136" i="1"/>
  <c r="CJ47" i="1"/>
  <c r="CK63" i="1"/>
  <c r="Z151" i="1"/>
  <c r="CH151" i="1" s="1"/>
  <c r="JU16" i="4" s="1"/>
  <c r="JS14" i="4" s="1"/>
  <c r="CJ133" i="1"/>
  <c r="CK133" i="1" s="1"/>
  <c r="CI47" i="1"/>
  <c r="CJ24" i="1"/>
  <c r="Y9" i="1"/>
  <c r="Z143" i="1"/>
  <c r="CH143" i="1" s="1"/>
  <c r="CL32" i="1"/>
  <c r="X143" i="1"/>
  <c r="Z78" i="1"/>
  <c r="Y35" i="1"/>
  <c r="Z74" i="1"/>
  <c r="CJ147" i="1"/>
  <c r="CL152" i="1"/>
  <c r="CJ73" i="1"/>
  <c r="CG74" i="1"/>
  <c r="CL134" i="1"/>
  <c r="CL145" i="1"/>
  <c r="CL146" i="1"/>
  <c r="Z36" i="1"/>
  <c r="CG46" i="1"/>
  <c r="CH14" i="1"/>
  <c r="CL8" i="1"/>
  <c r="CL137" i="1"/>
  <c r="CL127" i="1"/>
  <c r="CL160" i="1"/>
  <c r="KF16" i="4" s="1"/>
  <c r="JT9" i="4" s="1"/>
  <c r="CL150" i="1"/>
  <c r="CI73" i="1"/>
  <c r="CH74" i="1"/>
  <c r="CG25" i="1"/>
  <c r="Y22" i="1"/>
  <c r="CJ14" i="1"/>
  <c r="X126" i="1"/>
  <c r="X154" i="1" s="1"/>
  <c r="Z137" i="1"/>
  <c r="CH137" i="1" s="1"/>
  <c r="CI137" i="1" s="1"/>
  <c r="Y117" i="1"/>
  <c r="CL22" i="1"/>
  <c r="CK25" i="1"/>
  <c r="CJ155" i="1"/>
  <c r="CJ124" i="1"/>
  <c r="KC9" i="4" s="1"/>
  <c r="JX16" i="4" s="1"/>
  <c r="CJ145" i="1"/>
  <c r="Y39" i="1"/>
  <c r="Y127" i="1"/>
  <c r="CH46" i="1"/>
  <c r="CJ63" i="1"/>
  <c r="JO9" i="4" s="1"/>
  <c r="Z119" i="1"/>
  <c r="CH119" i="1" s="1"/>
  <c r="Z77" i="1"/>
  <c r="CG45" i="1"/>
  <c r="Y45" i="1"/>
  <c r="X78" i="1"/>
  <c r="CH22" i="1"/>
  <c r="CH39" i="1"/>
  <c r="CK74" i="1"/>
  <c r="CL119" i="1"/>
  <c r="CL147" i="1"/>
  <c r="CL126" i="1"/>
  <c r="CL125" i="1"/>
  <c r="CG73" i="1"/>
  <c r="JV9" i="4" s="1"/>
  <c r="JR9" i="4" s="1"/>
  <c r="Y135" i="1"/>
  <c r="Y131" i="1" s="1"/>
  <c r="CH47" i="1"/>
  <c r="CJ35" i="1"/>
  <c r="CL13" i="1"/>
  <c r="Z172" i="1"/>
  <c r="X172" i="1"/>
  <c r="Z125" i="1"/>
  <c r="CH125" i="1" s="1"/>
  <c r="CI125" i="1" s="1"/>
  <c r="Y25" i="1"/>
  <c r="CG22" i="1"/>
  <c r="CJ8" i="1"/>
  <c r="X45" i="1"/>
  <c r="CK35" i="1"/>
  <c r="CL39" i="1"/>
  <c r="Z153" i="1"/>
  <c r="Y140" i="1"/>
  <c r="CH51" i="1"/>
  <c r="CH25" i="1"/>
  <c r="CG47" i="1"/>
  <c r="CL46" i="1"/>
  <c r="CK13" i="1"/>
  <c r="Y23" i="1"/>
  <c r="X36" i="1"/>
  <c r="Z127" i="1"/>
  <c r="CH127" i="1" s="1"/>
  <c r="CI127" i="1" s="1"/>
  <c r="X122" i="1"/>
  <c r="Z164" i="1"/>
  <c r="CH164" i="1" s="1"/>
  <c r="CI164" i="1" s="1"/>
  <c r="CE39" i="1"/>
  <c r="Y13" i="1"/>
  <c r="X144" i="1"/>
  <c r="JN9" i="4" s="1"/>
  <c r="JN16" i="4" s="1"/>
  <c r="JN21" i="4" s="1"/>
  <c r="CH77" i="1" s="1"/>
  <c r="CI23" i="1"/>
  <c r="X153" i="1"/>
  <c r="CJ32" i="1"/>
  <c r="CJ194" i="1" s="1"/>
  <c r="CL64" i="1"/>
  <c r="CH23" i="1"/>
  <c r="X125" i="1"/>
  <c r="X160" i="1"/>
  <c r="X142" i="1"/>
  <c r="Y153" i="1"/>
  <c r="X159" i="1"/>
  <c r="X163" i="1"/>
  <c r="Y118" i="1"/>
  <c r="Y149" i="1"/>
  <c r="CJ23" i="1"/>
  <c r="Z39" i="1"/>
  <c r="X164" i="1"/>
  <c r="CK14" i="1"/>
  <c r="Z13" i="1"/>
  <c r="CG14" i="1"/>
  <c r="Y146" i="1"/>
  <c r="Z145" i="1"/>
  <c r="X23" i="1"/>
  <c r="Y132" i="1"/>
  <c r="X8" i="1"/>
  <c r="CL25" i="1"/>
  <c r="Y143" i="1"/>
  <c r="X25" i="1"/>
  <c r="X20" i="1"/>
  <c r="Y160" i="1"/>
  <c r="Z22" i="1"/>
  <c r="CI36" i="1"/>
  <c r="CK46" i="1"/>
  <c r="CM46" i="1" s="1"/>
  <c r="CN46" i="1" s="1"/>
  <c r="CO46" i="1" s="1"/>
  <c r="CP46" i="1" s="1"/>
  <c r="CQ46" i="1" s="1"/>
  <c r="CR46" i="1" s="1"/>
  <c r="CS46" i="1" s="1"/>
  <c r="CT46" i="1" s="1"/>
  <c r="CU46" i="1" s="1"/>
  <c r="CH8" i="1"/>
  <c r="Y159" i="1"/>
  <c r="Y161" i="1" s="1"/>
  <c r="Y150" i="1"/>
  <c r="CG23" i="1"/>
  <c r="X77" i="1"/>
  <c r="CJ51" i="1"/>
  <c r="X117" i="1"/>
  <c r="X118" i="1"/>
  <c r="CL47" i="1"/>
  <c r="CH45" i="1"/>
  <c r="CL21" i="1"/>
  <c r="CI22" i="1"/>
  <c r="Z159" i="1"/>
  <c r="Z133" i="1"/>
  <c r="CH133" i="1" s="1"/>
  <c r="CI133" i="1" s="1"/>
  <c r="JP9" i="4" s="1"/>
  <c r="Y46" i="1"/>
  <c r="Z126" i="1"/>
  <c r="CH126" i="1" s="1"/>
  <c r="CI126" i="1" s="1"/>
  <c r="Y20" i="1"/>
  <c r="CH15" i="1"/>
  <c r="X145" i="1"/>
  <c r="X24" i="1"/>
  <c r="CL23" i="1"/>
  <c r="X171" i="1"/>
  <c r="X13" i="1"/>
  <c r="CH9" i="1"/>
  <c r="CI20" i="1"/>
  <c r="Y36" i="1"/>
  <c r="Z35" i="1"/>
  <c r="Z32" i="1"/>
  <c r="X67" i="1"/>
  <c r="Z79" i="1"/>
  <c r="CL51" i="1"/>
  <c r="Y137" i="1"/>
  <c r="CJ13" i="1"/>
  <c r="Y51" i="1"/>
  <c r="Z136" i="1"/>
  <c r="CH136" i="1" s="1"/>
  <c r="CI136" i="1" s="1"/>
  <c r="CL36" i="1"/>
  <c r="CK39" i="1"/>
  <c r="Z171" i="1"/>
  <c r="CL24" i="1"/>
  <c r="Y155" i="1"/>
  <c r="CH36" i="1"/>
  <c r="Y77" i="1"/>
  <c r="CJ9" i="1"/>
  <c r="Y136" i="1"/>
  <c r="Y170" i="1"/>
  <c r="CI21" i="1"/>
  <c r="CI13" i="1"/>
  <c r="CK32" i="1"/>
  <c r="CK194" i="1" s="1"/>
  <c r="CL45" i="1"/>
  <c r="Y122" i="1"/>
  <c r="JP16" i="4" s="1"/>
  <c r="Z155" i="1"/>
  <c r="CH155" i="1" s="1"/>
  <c r="Y147" i="1"/>
  <c r="CK22" i="1"/>
  <c r="CI14" i="1"/>
  <c r="CJ45" i="1"/>
  <c r="X127" i="1"/>
  <c r="CG24" i="1"/>
  <c r="Z47" i="1"/>
  <c r="Y24" i="1"/>
  <c r="X9" i="1"/>
  <c r="X135" i="1"/>
  <c r="X131" i="1" s="1"/>
  <c r="CG51" i="1"/>
  <c r="CH13" i="1"/>
  <c r="Y124" i="1"/>
  <c r="Z117" i="1"/>
  <c r="CG8" i="1"/>
  <c r="X21" i="1"/>
  <c r="CI46" i="1"/>
  <c r="Y126" i="1"/>
  <c r="Y154" i="1" s="1"/>
  <c r="Z140" i="1"/>
  <c r="AA202" i="1" s="1"/>
  <c r="CJ15" i="1"/>
  <c r="Y67" i="1"/>
  <c r="CG15" i="1"/>
  <c r="CJ36" i="1"/>
  <c r="X79" i="1"/>
  <c r="Y142" i="1"/>
  <c r="CK8" i="1"/>
  <c r="X47" i="1"/>
  <c r="CI8" i="1"/>
  <c r="CG32" i="1"/>
  <c r="CG194" i="1" s="1"/>
  <c r="X147" i="1"/>
  <c r="Y144" i="1"/>
  <c r="CK64" i="1"/>
  <c r="Y163" i="1"/>
  <c r="X151" i="1"/>
  <c r="CB13" i="1"/>
  <c r="Z20" i="1"/>
  <c r="CK51" i="1"/>
  <c r="CL14" i="1"/>
  <c r="CL9" i="1"/>
  <c r="X146" i="1"/>
  <c r="X140" i="1"/>
  <c r="CH24" i="1"/>
  <c r="X35" i="1"/>
  <c r="Y145" i="1"/>
  <c r="Y119" i="1"/>
  <c r="CI45" i="1"/>
  <c r="X51" i="1"/>
  <c r="Z23" i="1"/>
  <c r="Z149" i="1"/>
  <c r="CH149" i="1" s="1"/>
  <c r="Y125" i="1"/>
  <c r="X32" i="1"/>
  <c r="Z132" i="1"/>
  <c r="CH132" i="1" s="1"/>
  <c r="Z142" i="1"/>
  <c r="X149" i="1"/>
  <c r="CK21" i="1"/>
  <c r="CK47" i="1"/>
  <c r="CI35" i="1"/>
  <c r="CH35" i="1"/>
  <c r="Z170" i="1"/>
  <c r="Z9" i="1"/>
  <c r="CK36" i="1"/>
  <c r="CI24" i="1"/>
  <c r="CH32" i="1"/>
  <c r="X137" i="1"/>
  <c r="CH20" i="1"/>
  <c r="X119" i="1"/>
  <c r="CG9" i="1"/>
  <c r="CK15" i="1"/>
  <c r="Y21" i="1"/>
  <c r="CG13" i="1"/>
  <c r="Z45" i="1"/>
  <c r="CI51" i="1"/>
  <c r="CK20" i="1"/>
  <c r="Y32" i="1"/>
  <c r="Z135" i="1"/>
  <c r="CH135" i="1" s="1"/>
  <c r="CI135" i="1" s="1"/>
  <c r="Z21" i="1"/>
  <c r="CL63" i="1"/>
  <c r="CK9" i="1"/>
  <c r="CK45" i="1"/>
  <c r="Z8" i="1"/>
  <c r="Y47" i="1"/>
  <c r="X170" i="1"/>
  <c r="Z16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Z144" i="1"/>
  <c r="CG39" i="1"/>
  <c r="Z147" i="1"/>
  <c r="CH147" i="1" s="1"/>
  <c r="CG36" i="1"/>
  <c r="Y15" i="1"/>
  <c r="CJ39" i="1"/>
  <c r="Z150" i="1"/>
  <c r="CH150" i="1" s="1"/>
  <c r="Y172" i="1"/>
  <c r="Z24" i="1"/>
  <c r="X22" i="1"/>
  <c r="Z124" i="1"/>
  <c r="CH124" i="1" s="1"/>
  <c r="X132" i="1"/>
  <c r="CI39" i="1"/>
  <c r="Z146" i="1"/>
  <c r="CH146" i="1" s="1"/>
  <c r="CI25" i="1"/>
  <c r="CK23" i="1"/>
  <c r="Z67" i="1"/>
  <c r="CL35" i="1"/>
  <c r="Y171" i="1"/>
  <c r="Z15" i="1"/>
  <c r="Z122" i="1"/>
  <c r="CH122" i="1" s="1"/>
  <c r="CI122" i="1" s="1"/>
  <c r="CJ21" i="1"/>
  <c r="Z46" i="1"/>
  <c r="Z51" i="1"/>
  <c r="X150" i="1"/>
  <c r="CL20" i="1"/>
  <c r="Y151" i="1"/>
  <c r="Z118" i="1"/>
  <c r="CH118" i="1" s="1"/>
  <c r="CI118" i="1" s="1"/>
  <c r="CG20" i="1"/>
  <c r="X133" i="1"/>
  <c r="CK24" i="1"/>
  <c r="X155" i="1"/>
  <c r="Y164" i="1"/>
  <c r="Z160" i="1"/>
  <c r="CH160" i="1" s="1"/>
  <c r="JO16" i="4" s="1"/>
  <c r="JO21" i="4" s="1"/>
  <c r="CI77" i="1" s="1"/>
  <c r="CJ20" i="1"/>
  <c r="CN20" i="1" s="1"/>
  <c r="CR20" i="1" s="1"/>
  <c r="CV20" i="1" s="1"/>
  <c r="CZ20" i="1" s="1"/>
  <c r="Y133" i="1"/>
  <c r="CG35" i="1"/>
  <c r="X46" i="1"/>
  <c r="CG21" i="1"/>
  <c r="X15" i="1"/>
  <c r="Y8" i="1"/>
  <c r="CJ22" i="1"/>
  <c r="CJ46" i="1"/>
  <c r="X124" i="1"/>
  <c r="Y79" i="1"/>
  <c r="CI32" i="1"/>
  <c r="Y78" i="1"/>
  <c r="CL15" i="1"/>
  <c r="CI194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AD35" i="1"/>
  <c r="AV92" i="3"/>
  <c r="AX57" i="3"/>
  <c r="AF83" i="3"/>
  <c r="AZ74" i="3"/>
  <c r="AX60" i="3"/>
  <c r="AT91" i="3"/>
  <c r="AT93" i="3"/>
  <c r="AU74" i="3"/>
  <c r="AU49" i="3"/>
  <c r="AU62" i="3"/>
  <c r="C69" i="3"/>
  <c r="AX97" i="3"/>
  <c r="AU94" i="3"/>
  <c r="AV94" i="3"/>
  <c r="AY92" i="3"/>
  <c r="AW83" i="3"/>
  <c r="AW79" i="3"/>
  <c r="C87" i="3"/>
  <c r="AY91" i="3"/>
  <c r="C96" i="3"/>
  <c r="AV50" i="3"/>
  <c r="AT48" i="3"/>
  <c r="AY97" i="3"/>
  <c r="AV56" i="3"/>
  <c r="AX87" i="3"/>
  <c r="AU50" i="3"/>
  <c r="AS80" i="3"/>
  <c r="AT55" i="3"/>
  <c r="AX77" i="3"/>
  <c r="AW57" i="3"/>
  <c r="AZ80" i="3"/>
  <c r="AU59" i="3"/>
  <c r="AY62" i="3"/>
  <c r="AX63" i="3"/>
  <c r="AS67" i="3"/>
  <c r="AT59" i="3"/>
  <c r="AX66" i="3"/>
  <c r="AY71" i="3"/>
  <c r="AW49" i="3"/>
  <c r="C56" i="3"/>
  <c r="AV97" i="3"/>
  <c r="AF66" i="3"/>
  <c r="AZ68" i="3"/>
  <c r="AZ75" i="3"/>
  <c r="AS50" i="3"/>
  <c r="AS70" i="3"/>
  <c r="AS63" i="3"/>
  <c r="AS56" i="3"/>
  <c r="AF79" i="3"/>
  <c r="AW84" i="3"/>
  <c r="C58" i="3"/>
  <c r="AX83" i="3"/>
  <c r="AS94" i="3"/>
  <c r="AU93" i="3"/>
  <c r="AF84" i="3"/>
  <c r="AZ91" i="3"/>
  <c r="AF71" i="3"/>
  <c r="AV63" i="3"/>
  <c r="AV62" i="3"/>
  <c r="AY77" i="3"/>
  <c r="AW80" i="3"/>
  <c r="AV61" i="3"/>
  <c r="C65" i="3"/>
  <c r="AF87" i="3"/>
  <c r="AY65" i="3"/>
  <c r="AT81" i="3"/>
  <c r="AS61" i="3"/>
  <c r="AT60" i="3"/>
  <c r="AZ59" i="3"/>
  <c r="C78" i="3"/>
  <c r="AZ86" i="3"/>
  <c r="AS68" i="3"/>
  <c r="AY70" i="3"/>
  <c r="AS87" i="3"/>
  <c r="AS58" i="3"/>
  <c r="AX49" i="3"/>
  <c r="AW75" i="3"/>
  <c r="AS83" i="3"/>
  <c r="AW63" i="3"/>
  <c r="AT71" i="3"/>
  <c r="AX73" i="3"/>
  <c r="C60" i="3"/>
  <c r="AX48" i="3"/>
  <c r="AZ69" i="3"/>
  <c r="AF93" i="3"/>
  <c r="AV55" i="3"/>
  <c r="AV85" i="3"/>
  <c r="AY48" i="3"/>
  <c r="AZ82" i="3"/>
  <c r="AW86" i="3"/>
  <c r="AZ73" i="3"/>
  <c r="C67" i="3"/>
  <c r="AF73" i="3"/>
  <c r="AT64" i="3"/>
  <c r="AZ96" i="3"/>
  <c r="AF67" i="3"/>
  <c r="C73" i="3"/>
  <c r="AU75" i="3"/>
  <c r="AT54" i="3"/>
  <c r="AT66" i="3"/>
  <c r="AW65" i="3"/>
  <c r="AU48" i="3"/>
  <c r="AY89" i="3"/>
  <c r="AW62" i="3"/>
  <c r="AZ90" i="3"/>
  <c r="AV65" i="3"/>
  <c r="AZ78" i="3"/>
  <c r="C61" i="3"/>
  <c r="AF77" i="3"/>
  <c r="AZ63" i="3"/>
  <c r="AU77" i="3"/>
  <c r="AW61" i="3"/>
  <c r="C55" i="3"/>
  <c r="AW72" i="3"/>
  <c r="C66" i="3"/>
  <c r="AF94" i="3"/>
  <c r="AT83" i="3"/>
  <c r="AF76" i="3"/>
  <c r="AS84" i="3"/>
  <c r="AF57" i="3"/>
  <c r="AF89" i="3"/>
  <c r="AT72" i="3"/>
  <c r="AT89" i="3"/>
  <c r="AV71" i="3"/>
  <c r="AW55" i="3"/>
  <c r="AS75" i="3"/>
  <c r="AY75" i="3"/>
  <c r="AT82" i="3"/>
  <c r="AZ65" i="3"/>
  <c r="AX76" i="3"/>
  <c r="AU89" i="3"/>
  <c r="AS89" i="3"/>
  <c r="AX85" i="3"/>
  <c r="AZ55" i="3"/>
  <c r="C97" i="3"/>
  <c r="AZ89" i="3"/>
  <c r="AT62" i="3"/>
  <c r="AV80" i="3"/>
  <c r="AX72" i="3"/>
  <c r="C59" i="3"/>
  <c r="AS64" i="3"/>
  <c r="AY90" i="3"/>
  <c r="AS69" i="3"/>
  <c r="AS91" i="3"/>
  <c r="AV78" i="3"/>
  <c r="AW58" i="3"/>
  <c r="AY94" i="3"/>
  <c r="AF62" i="3"/>
  <c r="AZ62" i="3"/>
  <c r="AS78" i="3"/>
  <c r="AY50" i="3"/>
  <c r="AV88" i="3"/>
  <c r="AT77" i="3"/>
  <c r="AV64" i="3"/>
  <c r="AU55" i="3"/>
  <c r="AS77" i="3"/>
  <c r="AW92" i="3"/>
  <c r="AV47" i="3"/>
  <c r="AY93" i="3"/>
  <c r="AU57" i="3"/>
  <c r="AV74" i="3"/>
  <c r="BH62" i="3"/>
  <c r="AS55" i="3"/>
  <c r="AU81" i="3"/>
  <c r="AF59" i="3"/>
  <c r="AW67" i="3"/>
  <c r="AF61" i="3"/>
  <c r="AV67" i="3"/>
  <c r="C57" i="3"/>
  <c r="AV95" i="3"/>
  <c r="AS81" i="3"/>
  <c r="AX47" i="3"/>
  <c r="AT88" i="3"/>
  <c r="AX95" i="3"/>
  <c r="AY96" i="3"/>
  <c r="C95" i="3"/>
  <c r="AU90" i="3"/>
  <c r="AF96" i="3"/>
  <c r="AZ81" i="3"/>
  <c r="AZ56" i="3"/>
  <c r="C63" i="3"/>
  <c r="AS97" i="3"/>
  <c r="AF47" i="3"/>
  <c r="AX65" i="3"/>
  <c r="C82" i="3"/>
  <c r="AU96" i="3"/>
  <c r="AU67" i="3"/>
  <c r="AT95" i="3"/>
  <c r="AZ87" i="3"/>
  <c r="AT56" i="3"/>
  <c r="AU87" i="3"/>
  <c r="AX91" i="3"/>
  <c r="AS57" i="3"/>
  <c r="AY83" i="3"/>
  <c r="AF80" i="3"/>
  <c r="AZ54" i="3"/>
  <c r="AY68" i="3"/>
  <c r="AY76" i="3"/>
  <c r="AX74" i="3"/>
  <c r="AY55" i="3"/>
  <c r="AW89" i="3"/>
  <c r="AW94" i="3"/>
  <c r="AX54" i="3"/>
  <c r="AV57" i="3"/>
  <c r="AY82" i="3"/>
  <c r="AY87" i="3"/>
  <c r="AU47" i="3"/>
  <c r="AT49" i="3"/>
  <c r="C90" i="3"/>
  <c r="C77" i="3"/>
  <c r="AT80" i="3"/>
  <c r="AV81" i="3"/>
  <c r="AZ49" i="3"/>
  <c r="C75" i="3"/>
  <c r="C79" i="3"/>
  <c r="AV48" i="3"/>
  <c r="AT90" i="3"/>
  <c r="AZ77" i="3"/>
  <c r="AS72" i="3"/>
  <c r="AF54" i="3"/>
  <c r="AV82" i="3"/>
  <c r="AV91" i="3"/>
  <c r="AW60" i="3"/>
  <c r="AS74" i="3"/>
  <c r="AT76" i="3"/>
  <c r="AV66" i="3"/>
  <c r="AF74" i="3"/>
  <c r="AX78" i="3"/>
  <c r="AV76" i="3"/>
  <c r="AW50" i="3"/>
  <c r="AY80" i="3"/>
  <c r="AX59" i="3"/>
  <c r="AU86" i="3"/>
  <c r="AF70" i="3"/>
  <c r="AY64" i="3"/>
  <c r="AU72" i="3"/>
  <c r="AZ92" i="3"/>
  <c r="AY72" i="3"/>
  <c r="AT69" i="3"/>
  <c r="C94" i="3"/>
  <c r="AT92" i="3"/>
  <c r="AX50" i="3"/>
  <c r="AS54" i="3"/>
  <c r="AY69" i="3"/>
  <c r="AU78" i="3"/>
  <c r="C89" i="3"/>
  <c r="AT47" i="3"/>
  <c r="AZ85" i="3"/>
  <c r="AU63" i="3"/>
  <c r="AX70" i="3"/>
  <c r="C85" i="3"/>
  <c r="AF88" i="3"/>
  <c r="AX71" i="3"/>
  <c r="AT86" i="3"/>
  <c r="AZ88" i="3"/>
  <c r="AZ94" i="3"/>
  <c r="AZ72" i="3"/>
  <c r="AY49" i="3"/>
  <c r="AX79" i="3"/>
  <c r="AY88" i="3"/>
  <c r="AF55" i="3"/>
  <c r="AX93" i="3"/>
  <c r="AY84" i="3"/>
  <c r="AF92" i="3"/>
  <c r="C88" i="3"/>
  <c r="AU69" i="3"/>
  <c r="AF95" i="3"/>
  <c r="AZ76" i="3"/>
  <c r="AZ50" i="3"/>
  <c r="AU76" i="3"/>
  <c r="AU64" i="3"/>
  <c r="AY58" i="3"/>
  <c r="AS59" i="3"/>
  <c r="C71" i="3"/>
  <c r="AT94" i="3"/>
  <c r="AZ57" i="3"/>
  <c r="AF75" i="3"/>
  <c r="AS62" i="3"/>
  <c r="AU61" i="3"/>
  <c r="AX86" i="3"/>
  <c r="AY86" i="3"/>
  <c r="AW66" i="3"/>
  <c r="AV86" i="3"/>
  <c r="AW56" i="3"/>
  <c r="AY79" i="3"/>
  <c r="C76" i="3"/>
  <c r="AS95" i="3"/>
  <c r="AU83" i="3"/>
  <c r="C81" i="3"/>
  <c r="AY67" i="3"/>
  <c r="AV60" i="3"/>
  <c r="AU97" i="3"/>
  <c r="AS82" i="3"/>
  <c r="AV73" i="3"/>
  <c r="AW70" i="3"/>
  <c r="AU80" i="3"/>
  <c r="AS86" i="3"/>
  <c r="AW76" i="3"/>
  <c r="AT96" i="3"/>
  <c r="AS73" i="3"/>
  <c r="AX89" i="3"/>
  <c r="AX55" i="3"/>
  <c r="AS85" i="3"/>
  <c r="AW97" i="3"/>
  <c r="AW48" i="3"/>
  <c r="C70" i="3"/>
  <c r="AF69" i="3"/>
  <c r="AF85" i="3"/>
  <c r="AZ71" i="3"/>
  <c r="AW74" i="3"/>
  <c r="AW59" i="3"/>
  <c r="AS76" i="3"/>
  <c r="AX69" i="3"/>
  <c r="AV72" i="3"/>
  <c r="AW90" i="3"/>
  <c r="AW68" i="3"/>
  <c r="AV49" i="3"/>
  <c r="AF63" i="3"/>
  <c r="AT61" i="3"/>
  <c r="AW85" i="3"/>
  <c r="AW47" i="3"/>
  <c r="AU56" i="3"/>
  <c r="AY85" i="3"/>
  <c r="AV87" i="3"/>
  <c r="AX92" i="3"/>
  <c r="C54" i="3"/>
  <c r="AS66" i="3"/>
  <c r="AT68" i="3"/>
  <c r="AS92" i="3"/>
  <c r="AV84" i="3"/>
  <c r="AF91" i="3"/>
  <c r="AV70" i="3"/>
  <c r="C68" i="3"/>
  <c r="AF60" i="3"/>
  <c r="AY78" i="3"/>
  <c r="AZ97" i="3"/>
  <c r="AU92" i="3"/>
  <c r="AW82" i="3"/>
  <c r="AT78" i="3"/>
  <c r="AX82" i="3"/>
  <c r="AX56" i="3"/>
  <c r="AF68" i="3"/>
  <c r="AW64" i="3"/>
  <c r="AX62" i="3"/>
  <c r="AZ64" i="3"/>
  <c r="AV58" i="3"/>
  <c r="AS48" i="3"/>
  <c r="AZ67" i="3"/>
  <c r="AF82" i="3"/>
  <c r="AF90" i="3"/>
  <c r="C93" i="3"/>
  <c r="AY61" i="3"/>
  <c r="AF72" i="3"/>
  <c r="AU68" i="3"/>
  <c r="AV96" i="3"/>
  <c r="AU85" i="3"/>
  <c r="AT79" i="3"/>
  <c r="AZ47" i="3"/>
  <c r="AX88" i="3"/>
  <c r="AV83" i="3"/>
  <c r="AF58" i="3"/>
  <c r="AW77" i="3"/>
  <c r="C50" i="3"/>
  <c r="AW95" i="3"/>
  <c r="C84" i="3"/>
  <c r="AT57" i="3"/>
  <c r="AZ66" i="3"/>
  <c r="AF64" i="3"/>
  <c r="AS65" i="3"/>
  <c r="AU71" i="3"/>
  <c r="AT75" i="3"/>
  <c r="AS60" i="3"/>
  <c r="AY60" i="3"/>
  <c r="AY63" i="3"/>
  <c r="AX61" i="3"/>
  <c r="AW73" i="3"/>
  <c r="AS96" i="3"/>
  <c r="AF65" i="3"/>
  <c r="AT50" i="3"/>
  <c r="AX94" i="3"/>
  <c r="AS88" i="3"/>
  <c r="AZ48" i="3"/>
  <c r="AZ95" i="3"/>
  <c r="AW71" i="3"/>
  <c r="C92" i="3"/>
  <c r="AX90" i="3"/>
  <c r="AW91" i="3"/>
  <c r="AS71" i="3"/>
  <c r="AV79" i="3"/>
  <c r="C64" i="3"/>
  <c r="AU79" i="3"/>
  <c r="AU65" i="3"/>
  <c r="AV54" i="3"/>
  <c r="AT74" i="3"/>
  <c r="AZ83" i="3"/>
  <c r="AT58" i="3"/>
  <c r="AX81" i="3"/>
  <c r="AT87" i="3"/>
  <c r="AV77" i="3"/>
  <c r="AU95" i="3"/>
  <c r="AF86" i="3"/>
  <c r="AZ84" i="3"/>
  <c r="AF49" i="3"/>
  <c r="AV75" i="3"/>
  <c r="AY66" i="3"/>
  <c r="AU54" i="3"/>
  <c r="AU73" i="3"/>
  <c r="AZ61" i="3"/>
  <c r="AT84" i="3"/>
  <c r="AW54" i="3"/>
  <c r="AU58" i="3"/>
  <c r="AU82" i="3"/>
  <c r="AX68" i="3"/>
  <c r="AY56" i="3"/>
  <c r="AV93" i="3"/>
  <c r="AZ58" i="3"/>
  <c r="AV69" i="3"/>
  <c r="C83" i="3"/>
  <c r="AY95" i="3"/>
  <c r="C80" i="3"/>
  <c r="AY54" i="3"/>
  <c r="AT97" i="3"/>
  <c r="AU88" i="3"/>
  <c r="AS90" i="3"/>
  <c r="AY73" i="3"/>
  <c r="AY81" i="3"/>
  <c r="AW78" i="3"/>
  <c r="AT73" i="3"/>
  <c r="AT67" i="3"/>
  <c r="AV59" i="3"/>
  <c r="AS93" i="3"/>
  <c r="AF78" i="3"/>
  <c r="AU70" i="3"/>
  <c r="AT65" i="3"/>
  <c r="AF56" i="3"/>
  <c r="AX96" i="3"/>
  <c r="AU60" i="3"/>
  <c r="AX75" i="3"/>
  <c r="AY47" i="3"/>
  <c r="AZ93" i="3"/>
  <c r="AV90" i="3"/>
  <c r="C86" i="3"/>
  <c r="AZ79" i="3"/>
  <c r="AT63" i="3"/>
  <c r="C72" i="3"/>
  <c r="AW88" i="3"/>
  <c r="AX64" i="3"/>
  <c r="AW81" i="3"/>
  <c r="AY59" i="3"/>
  <c r="AT85" i="3"/>
  <c r="AY57" i="3"/>
  <c r="AX80" i="3"/>
  <c r="AY74" i="3"/>
  <c r="AS79" i="3"/>
  <c r="AX84" i="3"/>
  <c r="AW96" i="3"/>
  <c r="AW69" i="3"/>
  <c r="AX58" i="3"/>
  <c r="C91" i="3"/>
  <c r="AU91" i="3"/>
  <c r="AV68" i="3"/>
  <c r="C62" i="3"/>
  <c r="AU84" i="3"/>
  <c r="AU66" i="3"/>
  <c r="AW93" i="3"/>
  <c r="AT70" i="3"/>
  <c r="AV89" i="3"/>
  <c r="AF97" i="3"/>
  <c r="AZ60" i="3"/>
  <c r="AX67" i="3"/>
  <c r="AZ70" i="3"/>
  <c r="AF81" i="3"/>
  <c r="C74" i="3"/>
  <c r="AW87" i="3"/>
  <c r="CL117" i="1" l="1"/>
  <c r="KG16" i="4" s="1"/>
  <c r="CL73" i="1"/>
  <c r="CL252" i="1"/>
  <c r="Y231" i="1"/>
  <c r="CI63" i="1"/>
  <c r="X252" i="1"/>
  <c r="CH153" i="1"/>
  <c r="CH183" i="1" s="1"/>
  <c r="CI183" i="1" s="1"/>
  <c r="Y180" i="1"/>
  <c r="CI132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J138" i="1"/>
  <c r="CM133" i="1"/>
  <c r="CN133" i="1" s="1"/>
  <c r="CO133" i="1" s="1"/>
  <c r="CP133" i="1" s="1"/>
  <c r="JU14" i="4"/>
  <c r="JX15" i="4"/>
  <c r="JZ8" i="4"/>
  <c r="KF15" i="4"/>
  <c r="KF7" i="4"/>
  <c r="KE7" i="4"/>
  <c r="JY14" i="4"/>
  <c r="JT15" i="4"/>
  <c r="KH15" i="4"/>
  <c r="JU8" i="4"/>
  <c r="KE21" i="4"/>
  <c r="JU15" i="4"/>
  <c r="JR7" i="4"/>
  <c r="JU7" i="4"/>
  <c r="KC8" i="4"/>
  <c r="KH14" i="4"/>
  <c r="JY8" i="4"/>
  <c r="JW15" i="4"/>
  <c r="KG8" i="4"/>
  <c r="JW21" i="4"/>
  <c r="KH21" i="4"/>
  <c r="JV21" i="4"/>
  <c r="KC14" i="4"/>
  <c r="JR8" i="4"/>
  <c r="JQ8" i="4"/>
  <c r="JW7" i="4"/>
  <c r="JR15" i="4"/>
  <c r="KG15" i="4"/>
  <c r="JV14" i="4"/>
  <c r="KG7" i="4"/>
  <c r="JZ15" i="4"/>
  <c r="JZ20" i="4" s="1"/>
  <c r="KC15" i="4"/>
  <c r="KC20" i="4" s="1"/>
  <c r="JR21" i="4"/>
  <c r="CL77" i="1" s="1"/>
  <c r="JT8" i="4"/>
  <c r="JS21" i="4"/>
  <c r="KB21" i="4"/>
  <c r="JS8" i="4"/>
  <c r="KB8" i="4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L74" i="1"/>
  <c r="CL143" i="1"/>
  <c r="CL159" i="1"/>
  <c r="CL124" i="1"/>
  <c r="CL164" i="1"/>
  <c r="CJ156" i="1"/>
  <c r="Z173" i="1"/>
  <c r="CL65" i="1"/>
  <c r="Z154" i="1"/>
  <c r="CH154" i="1" s="1"/>
  <c r="X183" i="1"/>
  <c r="X231" i="1"/>
  <c r="CH145" i="1"/>
  <c r="CH180" i="1" s="1"/>
  <c r="CI180" i="1" s="1"/>
  <c r="CH159" i="1"/>
  <c r="CH161" i="1" s="1"/>
  <c r="CH10" i="1"/>
  <c r="CH231" i="1"/>
  <c r="AB46" i="1"/>
  <c r="Z194" i="1"/>
  <c r="CG26" i="1"/>
  <c r="Y252" i="1"/>
  <c r="AC46" i="1"/>
  <c r="CV46" i="1"/>
  <c r="CW46" i="1" s="1"/>
  <c r="CX46" i="1" s="1"/>
  <c r="CY46" i="1" s="1"/>
  <c r="KE8" i="4"/>
  <c r="JT21" i="4"/>
  <c r="JW14" i="4"/>
  <c r="KG21" i="4"/>
  <c r="KE19" i="4"/>
  <c r="JX14" i="4"/>
  <c r="CG253" i="1"/>
  <c r="KF8" i="4"/>
  <c r="KH8" i="4"/>
  <c r="JQ14" i="4"/>
  <c r="KD8" i="4"/>
  <c r="JU21" i="4"/>
  <c r="Y128" i="1"/>
  <c r="Y168" i="1" s="1"/>
  <c r="Y109" i="1" s="1"/>
  <c r="X148" i="1"/>
  <c r="KB7" i="4"/>
  <c r="Y134" i="1"/>
  <c r="Y138" i="1" s="1"/>
  <c r="CJ252" i="1"/>
  <c r="Z202" i="1"/>
  <c r="X179" i="1"/>
  <c r="JN15" i="4"/>
  <c r="JN7" i="4"/>
  <c r="Y26" i="1"/>
  <c r="X173" i="1"/>
  <c r="JO14" i="4"/>
  <c r="Y156" i="1"/>
  <c r="Z179" i="1"/>
  <c r="Y173" i="1"/>
  <c r="JO8" i="4"/>
  <c r="JP7" i="4"/>
  <c r="Y183" i="1"/>
  <c r="X128" i="1"/>
  <c r="JV7" i="4"/>
  <c r="JO7" i="4"/>
  <c r="JV8" i="4"/>
  <c r="Y194" i="1"/>
  <c r="Y253" i="1"/>
  <c r="KA7" i="4"/>
  <c r="CH142" i="1"/>
  <c r="CH194" i="1"/>
  <c r="CH253" i="1"/>
  <c r="X161" i="1"/>
  <c r="CH26" i="1"/>
  <c r="X180" i="1"/>
  <c r="Z209" i="1"/>
  <c r="X26" i="1"/>
  <c r="JQ21" i="4"/>
  <c r="CK77" i="1" s="1"/>
  <c r="KF14" i="4"/>
  <c r="CM20" i="1"/>
  <c r="CQ20" i="1" s="1"/>
  <c r="CU20" i="1" s="1"/>
  <c r="CY20" i="1" s="1"/>
  <c r="Z131" i="1"/>
  <c r="KD7" i="4"/>
  <c r="KH7" i="4"/>
  <c r="CK124" i="1"/>
  <c r="KB14" i="4"/>
  <c r="KA8" i="4"/>
  <c r="CG231" i="1"/>
  <c r="Y10" i="1"/>
  <c r="JO15" i="4"/>
  <c r="Z10" i="1"/>
  <c r="JQ7" i="4"/>
  <c r="KG14" i="4"/>
  <c r="JT7" i="4"/>
  <c r="JN14" i="4"/>
  <c r="X156" i="1"/>
  <c r="JP14" i="4"/>
  <c r="KE15" i="4"/>
  <c r="X10" i="1"/>
  <c r="CH117" i="1"/>
  <c r="Z120" i="1"/>
  <c r="AA207" i="1" s="1"/>
  <c r="Z180" i="1"/>
  <c r="JP15" i="4"/>
  <c r="CK33" i="1"/>
  <c r="Y120" i="1"/>
  <c r="Y248" i="1" s="1"/>
  <c r="CJ132" i="1"/>
  <c r="CI252" i="1"/>
  <c r="CI231" i="1"/>
  <c r="CI10" i="1"/>
  <c r="CK10" i="1"/>
  <c r="CH163" i="1"/>
  <c r="CI253" i="1"/>
  <c r="CO20" i="1"/>
  <c r="CS20" i="1" s="1"/>
  <c r="CW20" i="1" s="1"/>
  <c r="DA20" i="1" s="1"/>
  <c r="CH140" i="1"/>
  <c r="CI140" i="1" s="1"/>
  <c r="CJ202" i="1" s="1"/>
  <c r="CJ120" i="1"/>
  <c r="CJ128" i="1"/>
  <c r="Y148" i="1"/>
  <c r="CI26" i="1"/>
  <c r="CJ180" i="1"/>
  <c r="CK180" i="1" s="1"/>
  <c r="Z161" i="1"/>
  <c r="AA209" i="1" s="1"/>
  <c r="CG10" i="1"/>
  <c r="JN8" i="4"/>
  <c r="JN20" i="4" s="1"/>
  <c r="CH79" i="1" s="1"/>
  <c r="CL26" i="1"/>
  <c r="Z253" i="1"/>
  <c r="Z26" i="1"/>
  <c r="X120" i="1"/>
  <c r="X253" i="1"/>
  <c r="JP8" i="4"/>
  <c r="X134" i="1"/>
  <c r="X138" i="1" s="1"/>
  <c r="JZ7" i="4"/>
  <c r="JZ19" i="4" s="1"/>
  <c r="JX21" i="4"/>
  <c r="Z128" i="1"/>
  <c r="Z148" i="1"/>
  <c r="AA196" i="1" s="1"/>
  <c r="CG252" i="1"/>
  <c r="JY15" i="4"/>
  <c r="CJ183" i="1"/>
  <c r="CK183" i="1" s="1"/>
  <c r="KD21" i="4"/>
  <c r="CK26" i="1"/>
  <c r="CK27" i="1" s="1"/>
  <c r="Z156" i="1"/>
  <c r="AA197" i="1" s="1"/>
  <c r="AA198" i="1" s="1"/>
  <c r="AA199" i="1" s="1"/>
  <c r="CH252" i="1"/>
  <c r="JQ15" i="4"/>
  <c r="JQ20" i="4" s="1"/>
  <c r="CK79" i="1" s="1"/>
  <c r="KF21" i="4"/>
  <c r="CL138" i="1"/>
  <c r="JS7" i="4"/>
  <c r="JS19" i="4" s="1"/>
  <c r="CL148" i="1"/>
  <c r="CJ161" i="1"/>
  <c r="CK209" i="1" s="1"/>
  <c r="CL161" i="1"/>
  <c r="CM163" i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CM125" i="1"/>
  <c r="CN125" i="1" s="1"/>
  <c r="CO125" i="1" s="1"/>
  <c r="CP125" i="1" s="1"/>
  <c r="CQ125" i="1" s="1"/>
  <c r="CR125" i="1" s="1"/>
  <c r="JY7" i="4"/>
  <c r="CJ148" i="1"/>
  <c r="CJ182" i="1" s="1"/>
  <c r="CJ65" i="1"/>
  <c r="CJ253" i="1"/>
  <c r="Z231" i="1"/>
  <c r="CJ26" i="1"/>
  <c r="CJ231" i="1"/>
  <c r="CP20" i="1"/>
  <c r="CT20" i="1" s="1"/>
  <c r="CX20" i="1" s="1"/>
  <c r="DB20" i="1" s="1"/>
  <c r="CH144" i="1"/>
  <c r="CH179" i="1" s="1"/>
  <c r="CI179" i="1" s="1"/>
  <c r="CL98" i="1"/>
  <c r="JP21" i="4"/>
  <c r="CJ77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79" i="1"/>
  <c r="CK179" i="1" s="1"/>
  <c r="CL202" i="1"/>
  <c r="JR14" i="4"/>
  <c r="JR19" i="4" s="1"/>
  <c r="CL78" i="1" s="1"/>
  <c r="JX8" i="4"/>
  <c r="JY21" i="4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V15" i="4"/>
  <c r="JV20" i="4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K98" i="1"/>
  <c r="X194" i="1"/>
  <c r="CJ98" i="1"/>
  <c r="CJ10" i="1"/>
  <c r="JX20" i="4"/>
  <c r="Y202" i="1"/>
  <c r="KC7" i="4"/>
  <c r="KC19" i="4" s="1"/>
  <c r="CL180" i="1"/>
  <c r="CM180" i="1" s="1"/>
  <c r="CN180" i="1" s="1"/>
  <c r="CO180" i="1" s="1"/>
  <c r="CP180" i="1" s="1"/>
  <c r="CQ180" i="1" s="1"/>
  <c r="CR180" i="1" s="1"/>
  <c r="CS180" i="1" s="1"/>
  <c r="KB15" i="4"/>
  <c r="KB20" i="4" s="1"/>
  <c r="CJ185" i="1"/>
  <c r="CM45" i="1"/>
  <c r="CN45" i="1" s="1"/>
  <c r="CO45" i="1" s="1"/>
  <c r="CP45" i="1" s="1"/>
  <c r="CQ45" i="1" s="1"/>
  <c r="JX7" i="4"/>
  <c r="CL183" i="1"/>
  <c r="KD15" i="4"/>
  <c r="JT14" i="4"/>
  <c r="JS15" i="4"/>
  <c r="JS20" i="4" s="1"/>
  <c r="Z252" i="1"/>
  <c r="Y179" i="1"/>
  <c r="CL10" i="1"/>
  <c r="CL231" i="1"/>
  <c r="CK65" i="1"/>
  <c r="KC21" i="4"/>
  <c r="CL179" i="1"/>
  <c r="CM179" i="1" s="1"/>
  <c r="JW8" i="4"/>
  <c r="JW20" i="4" s="1"/>
  <c r="CL120" i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Z183" i="1"/>
  <c r="CL253" i="1"/>
  <c r="CL194" i="1"/>
  <c r="KA15" i="4"/>
  <c r="KA14" i="4"/>
  <c r="KA21" i="4"/>
  <c r="CL156" i="1"/>
  <c r="CL185" i="1" s="1"/>
  <c r="KD14" i="4"/>
  <c r="JU19" i="4"/>
  <c r="JU20" i="4"/>
  <c r="JT20" i="4"/>
  <c r="JR20" i="4"/>
  <c r="CL79" i="1" s="1"/>
  <c r="CI124" i="1"/>
  <c r="CI128" i="1" s="1"/>
  <c r="CH128" i="1"/>
  <c r="CH63" i="1"/>
  <c r="CI65" i="1"/>
  <c r="KG20" i="4"/>
  <c r="AB133" i="1"/>
  <c r="CQ133" i="1"/>
  <c r="CR133" i="1" s="1"/>
  <c r="CS133" i="1" s="1"/>
  <c r="CT133" i="1" s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JK21" i="4"/>
  <c r="CE77" i="1" s="1"/>
  <c r="JK15" i="4"/>
  <c r="CD252" i="1"/>
  <c r="JL14" i="4"/>
  <c r="CC26" i="1"/>
  <c r="BY26" i="1"/>
  <c r="CI98" i="1"/>
  <c r="CF231" i="1"/>
  <c r="BY253" i="1"/>
  <c r="JL8" i="4"/>
  <c r="CE26" i="1"/>
  <c r="BL252" i="1"/>
  <c r="CE98" i="1"/>
  <c r="CD10" i="1"/>
  <c r="CD16" i="1" s="1"/>
  <c r="CC10" i="1"/>
  <c r="CD194" i="1"/>
  <c r="CE10" i="1"/>
  <c r="CG98" i="1"/>
  <c r="CD98" i="1"/>
  <c r="CB10" i="1"/>
  <c r="CB16" i="1" s="1"/>
  <c r="CB252" i="1"/>
  <c r="CC98" i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AE35" i="1"/>
  <c r="U8" i="1"/>
  <c r="V8" i="1"/>
  <c r="W8" i="1"/>
  <c r="KF19" i="4" l="1"/>
  <c r="CG144" i="1"/>
  <c r="AA58" i="1"/>
  <c r="JO20" i="4"/>
  <c r="CI79" i="1" s="1"/>
  <c r="JY20" i="4"/>
  <c r="CL99" i="1"/>
  <c r="CL102" i="1" s="1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X19" i="4"/>
  <c r="KD20" i="4"/>
  <c r="JY19" i="4"/>
  <c r="CL128" i="1"/>
  <c r="KA20" i="4"/>
  <c r="CL184" i="1"/>
  <c r="AB45" i="1"/>
  <c r="KH20" i="4"/>
  <c r="JW19" i="4"/>
  <c r="CH156" i="1"/>
  <c r="CH185" i="1" s="1"/>
  <c r="CH184" i="1" s="1"/>
  <c r="CI184" i="1" s="1"/>
  <c r="CL108" i="1"/>
  <c r="CR45" i="1"/>
  <c r="CS45" i="1" s="1"/>
  <c r="CT45" i="1" s="1"/>
  <c r="CU45" i="1" s="1"/>
  <c r="CI209" i="1"/>
  <c r="KF20" i="4"/>
  <c r="CH16" i="1"/>
  <c r="AA11" i="1"/>
  <c r="AA188" i="1"/>
  <c r="AA206" i="1"/>
  <c r="AA205" i="1" s="1"/>
  <c r="AA249" i="1"/>
  <c r="Y27" i="1"/>
  <c r="Z27" i="1"/>
  <c r="CK16" i="1"/>
  <c r="CK17" i="1" s="1"/>
  <c r="CJ99" i="1"/>
  <c r="CJ102" i="1" s="1"/>
  <c r="KA19" i="4"/>
  <c r="KD19" i="4"/>
  <c r="X27" i="1"/>
  <c r="Y249" i="1"/>
  <c r="Y37" i="1"/>
  <c r="Y33" i="1"/>
  <c r="JV19" i="4"/>
  <c r="KE20" i="4"/>
  <c r="CI202" i="1"/>
  <c r="CH27" i="1"/>
  <c r="X175" i="1"/>
  <c r="X129" i="1"/>
  <c r="CI117" i="1"/>
  <c r="CH120" i="1"/>
  <c r="CH248" i="1" s="1"/>
  <c r="CJ246" i="1"/>
  <c r="CI16" i="1"/>
  <c r="Z175" i="1"/>
  <c r="Y185" i="1"/>
  <c r="Y184" i="1" s="1"/>
  <c r="Z197" i="1"/>
  <c r="Z11" i="1"/>
  <c r="Z16" i="1"/>
  <c r="AA18" i="1" s="1"/>
  <c r="Z188" i="1"/>
  <c r="Z98" i="1"/>
  <c r="CK11" i="1"/>
  <c r="CH12" i="1"/>
  <c r="CG16" i="1"/>
  <c r="CJ225" i="1"/>
  <c r="CK128" i="1"/>
  <c r="X182" i="1"/>
  <c r="Y196" i="1"/>
  <c r="CG27" i="1"/>
  <c r="Y188" i="1"/>
  <c r="Y11" i="1"/>
  <c r="Y98" i="1"/>
  <c r="Y16" i="1"/>
  <c r="Y244" i="1"/>
  <c r="Z157" i="1"/>
  <c r="X98" i="1"/>
  <c r="X16" i="1"/>
  <c r="X244" i="1"/>
  <c r="Z249" i="1"/>
  <c r="Z206" i="1"/>
  <c r="Z129" i="1"/>
  <c r="CJ131" i="1"/>
  <c r="CK131" i="1" s="1"/>
  <c r="CK132" i="1"/>
  <c r="KH19" i="4"/>
  <c r="Z134" i="1"/>
  <c r="CH131" i="1"/>
  <c r="Y209" i="1"/>
  <c r="AD46" i="1"/>
  <c r="CZ46" i="1"/>
  <c r="DA46" i="1" s="1"/>
  <c r="DB46" i="1" s="1"/>
  <c r="JQ19" i="4"/>
  <c r="CK78" i="1" s="1"/>
  <c r="CK107" i="1" s="1"/>
  <c r="JO19" i="4"/>
  <c r="CI78" i="1" s="1"/>
  <c r="Z196" i="1"/>
  <c r="Z168" i="1"/>
  <c r="Z109" i="1" s="1"/>
  <c r="Y206" i="1"/>
  <c r="X37" i="1"/>
  <c r="X168" i="1"/>
  <c r="X109" i="1" s="1"/>
  <c r="CJ92" i="1"/>
  <c r="CJ94" i="1" s="1"/>
  <c r="X33" i="1"/>
  <c r="JP20" i="4"/>
  <c r="CJ79" i="1" s="1"/>
  <c r="CJ108" i="1" s="1"/>
  <c r="JT19" i="4"/>
  <c r="Y129" i="1"/>
  <c r="KB19" i="4"/>
  <c r="CL12" i="1"/>
  <c r="Y203" i="1"/>
  <c r="Y201" i="1" s="1"/>
  <c r="CK12" i="1"/>
  <c r="CJ16" i="1"/>
  <c r="CJ206" i="1"/>
  <c r="JP19" i="4"/>
  <c r="CJ78" i="1" s="1"/>
  <c r="KG19" i="4"/>
  <c r="Y246" i="1"/>
  <c r="X157" i="1"/>
  <c r="X165" i="1" s="1"/>
  <c r="Y197" i="1"/>
  <c r="X185" i="1"/>
  <c r="X184" i="1" s="1"/>
  <c r="X248" i="1"/>
  <c r="X246" i="1"/>
  <c r="CJ184" i="1"/>
  <c r="CK184" i="1" s="1"/>
  <c r="CI12" i="1"/>
  <c r="Y182" i="1"/>
  <c r="Y157" i="1"/>
  <c r="Y165" i="1" s="1"/>
  <c r="Y175" i="1"/>
  <c r="CI27" i="1"/>
  <c r="CI163" i="1"/>
  <c r="JN19" i="4"/>
  <c r="CH78" i="1" s="1"/>
  <c r="CJ129" i="1"/>
  <c r="CG145" i="1"/>
  <c r="CG153" i="1"/>
  <c r="Z37" i="1"/>
  <c r="Z182" i="1"/>
  <c r="Z185" i="1"/>
  <c r="Z184" i="1" s="1"/>
  <c r="CK108" i="1"/>
  <c r="CJ244" i="1"/>
  <c r="CL11" i="1"/>
  <c r="Z248" i="1"/>
  <c r="CJ157" i="1"/>
  <c r="CJ165" i="1" s="1"/>
  <c r="CL225" i="1"/>
  <c r="CI99" i="1"/>
  <c r="CI102" i="1" s="1"/>
  <c r="CJ248" i="1"/>
  <c r="CK134" i="1"/>
  <c r="CL132" i="1"/>
  <c r="CL131" i="1" s="1"/>
  <c r="CM131" i="1" s="1"/>
  <c r="CN131" i="1" s="1"/>
  <c r="CO131" i="1" s="1"/>
  <c r="CP131" i="1" s="1"/>
  <c r="CQ131" i="1" s="1"/>
  <c r="CR131" i="1" s="1"/>
  <c r="CS131" i="1" s="1"/>
  <c r="CT131" i="1" s="1"/>
  <c r="CU131" i="1" s="1"/>
  <c r="CV131" i="1" s="1"/>
  <c r="CW131" i="1" s="1"/>
  <c r="CX131" i="1" s="1"/>
  <c r="CY131" i="1" s="1"/>
  <c r="CZ131" i="1" s="1"/>
  <c r="DA131" i="1" s="1"/>
  <c r="DB131" i="1" s="1"/>
  <c r="CH148" i="1"/>
  <c r="CJ12" i="1"/>
  <c r="CL188" i="1"/>
  <c r="CL16" i="1"/>
  <c r="CL27" i="1"/>
  <c r="CL244" i="1"/>
  <c r="CK99" i="1"/>
  <c r="CL248" i="1"/>
  <c r="CL246" i="1"/>
  <c r="CJ27" i="1"/>
  <c r="CL182" i="1"/>
  <c r="CL157" i="1"/>
  <c r="CL165" i="1" s="1"/>
  <c r="CL92" i="1"/>
  <c r="CL96" i="1" s="1"/>
  <c r="CL107" i="1"/>
  <c r="CJ249" i="1"/>
  <c r="CN179" i="1"/>
  <c r="CH168" i="1"/>
  <c r="CJ186" i="1"/>
  <c r="CJ181" i="1"/>
  <c r="CK181" i="1" s="1"/>
  <c r="CM124" i="1"/>
  <c r="CM183" i="1"/>
  <c r="AC133" i="1"/>
  <c r="CU133" i="1"/>
  <c r="CV133" i="1" s="1"/>
  <c r="CW133" i="1" s="1"/>
  <c r="CX133" i="1" s="1"/>
  <c r="CG63" i="1"/>
  <c r="CH65" i="1"/>
  <c r="CH108" i="1" s="1"/>
  <c r="CI206" i="1"/>
  <c r="CI249" i="1"/>
  <c r="CM140" i="1"/>
  <c r="CM202" i="1" s="1"/>
  <c r="CS125" i="1"/>
  <c r="BZ161" i="1"/>
  <c r="BL161" i="1"/>
  <c r="CB202" i="1"/>
  <c r="CA117" i="1"/>
  <c r="BZ120" i="1"/>
  <c r="BL120" i="1"/>
  <c r="CB161" i="1"/>
  <c r="CC209" i="1" s="1"/>
  <c r="CG124" i="1"/>
  <c r="CG128" i="1" s="1"/>
  <c r="CF128" i="1"/>
  <c r="CD134" i="1"/>
  <c r="CE33" i="1" s="1"/>
  <c r="CC140" i="1"/>
  <c r="CE117" i="1"/>
  <c r="CD120" i="1"/>
  <c r="BM140" i="1"/>
  <c r="BM202" i="1" s="1"/>
  <c r="CD161" i="1"/>
  <c r="CF202" i="1"/>
  <c r="CE128" i="1"/>
  <c r="BM125" i="1"/>
  <c r="BM128" i="1" s="1"/>
  <c r="BL128" i="1"/>
  <c r="CG140" i="1"/>
  <c r="CG149" i="1"/>
  <c r="CF156" i="1"/>
  <c r="CF185" i="1" s="1"/>
  <c r="CF184" i="1" s="1"/>
  <c r="CG117" i="1"/>
  <c r="CF120" i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BZ16" i="1"/>
  <c r="CD18" i="1" s="1"/>
  <c r="CF27" i="1"/>
  <c r="Y58" i="1"/>
  <c r="JJ19" i="4"/>
  <c r="CD78" i="1" s="1"/>
  <c r="JM20" i="4"/>
  <c r="CG79" i="1" s="1"/>
  <c r="CD27" i="1"/>
  <c r="JM19" i="4"/>
  <c r="CG78" i="1" s="1"/>
  <c r="CE153" i="1"/>
  <c r="CE156" i="1" s="1"/>
  <c r="CE185" i="1" s="1"/>
  <c r="CE184" i="1" s="1"/>
  <c r="JJ20" i="4"/>
  <c r="CD79" i="1" s="1"/>
  <c r="JL19" i="4"/>
  <c r="CF78" i="1" s="1"/>
  <c r="JK20" i="4"/>
  <c r="CE79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Z58" i="1"/>
  <c r="CE11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D12" i="1"/>
  <c r="CH11" i="1"/>
  <c r="CI188" i="1"/>
  <c r="CE16" i="1"/>
  <c r="CE19" i="1" s="1"/>
  <c r="CI11" i="1"/>
  <c r="CD17" i="1"/>
  <c r="CG11" i="1"/>
  <c r="CE12" i="1"/>
  <c r="CH188" i="1"/>
  <c r="CA202" i="1"/>
  <c r="BL17" i="1"/>
  <c r="BL28" i="1"/>
  <c r="BY17" i="1"/>
  <c r="BY28" i="1"/>
  <c r="CT180" i="1"/>
  <c r="AE46" i="1"/>
  <c r="V231" i="1"/>
  <c r="W231" i="1"/>
  <c r="U231" i="1"/>
  <c r="CI152" i="1" l="1"/>
  <c r="CH157" i="1"/>
  <c r="CL18" i="1"/>
  <c r="CL206" i="1"/>
  <c r="CL249" i="1"/>
  <c r="AA59" i="1"/>
  <c r="CI108" i="1"/>
  <c r="X166" i="1"/>
  <c r="CM184" i="1"/>
  <c r="CN184" i="1" s="1"/>
  <c r="CO184" i="1" s="1"/>
  <c r="CP184" i="1" s="1"/>
  <c r="CQ184" i="1" s="1"/>
  <c r="CK28" i="1"/>
  <c r="CL168" i="1"/>
  <c r="CL109" i="1" s="1"/>
  <c r="CL111" i="1" s="1"/>
  <c r="CL129" i="1"/>
  <c r="CM11" i="1"/>
  <c r="Y166" i="1"/>
  <c r="CL103" i="1"/>
  <c r="CL104" i="1"/>
  <c r="CI185" i="1"/>
  <c r="AC45" i="1"/>
  <c r="CK18" i="1"/>
  <c r="CG17" i="1"/>
  <c r="CH19" i="1"/>
  <c r="CG28" i="1"/>
  <c r="CH129" i="1"/>
  <c r="Z181" i="1"/>
  <c r="Z186" i="1"/>
  <c r="AA189" i="1" s="1"/>
  <c r="AA190" i="1" s="1"/>
  <c r="CH134" i="1"/>
  <c r="CI131" i="1"/>
  <c r="CI134" i="1" s="1"/>
  <c r="X28" i="1"/>
  <c r="X17" i="1"/>
  <c r="Y18" i="1"/>
  <c r="CK249" i="1"/>
  <c r="Z138" i="1"/>
  <c r="AA203" i="1" s="1"/>
  <c r="AA201" i="1" s="1"/>
  <c r="Z33" i="1"/>
  <c r="CV45" i="1"/>
  <c r="CW45" i="1" s="1"/>
  <c r="CX45" i="1" s="1"/>
  <c r="CY45" i="1" s="1"/>
  <c r="CZ45" i="1" s="1"/>
  <c r="DA45" i="1" s="1"/>
  <c r="DB45" i="1" s="1"/>
  <c r="AE45" i="1" s="1"/>
  <c r="AD45" i="1"/>
  <c r="Y17" i="1"/>
  <c r="Z18" i="1"/>
  <c r="Y28" i="1"/>
  <c r="X181" i="1"/>
  <c r="CH18" i="1"/>
  <c r="Z17" i="1"/>
  <c r="Z28" i="1"/>
  <c r="CH17" i="1"/>
  <c r="CH28" i="1"/>
  <c r="CI19" i="1"/>
  <c r="CI17" i="1"/>
  <c r="CI28" i="1"/>
  <c r="CH182" i="1"/>
  <c r="CI103" i="1"/>
  <c r="CI104" i="1"/>
  <c r="CK206" i="1"/>
  <c r="CG156" i="1"/>
  <c r="CJ166" i="1"/>
  <c r="CI107" i="1"/>
  <c r="CJ96" i="1"/>
  <c r="CJ104" i="1"/>
  <c r="CJ95" i="1"/>
  <c r="CJ103" i="1"/>
  <c r="CJ107" i="1"/>
  <c r="CK185" i="1"/>
  <c r="CK34" i="1"/>
  <c r="CK38" i="1" s="1"/>
  <c r="CK29" i="1"/>
  <c r="Y181" i="1"/>
  <c r="Y186" i="1"/>
  <c r="Z189" i="1" s="1"/>
  <c r="Z190" i="1" s="1"/>
  <c r="Y198" i="1"/>
  <c r="Z198" i="1"/>
  <c r="X186" i="1"/>
  <c r="CJ19" i="1"/>
  <c r="CK19" i="1"/>
  <c r="CJ28" i="1"/>
  <c r="CJ17" i="1"/>
  <c r="CR184" i="1"/>
  <c r="Z165" i="1"/>
  <c r="Z166" i="1" s="1"/>
  <c r="CF28" i="1"/>
  <c r="AA60" i="1" s="1"/>
  <c r="CL19" i="1"/>
  <c r="CH30" i="1"/>
  <c r="CL166" i="1"/>
  <c r="CL110" i="1"/>
  <c r="CK104" i="1"/>
  <c r="CK103" i="1"/>
  <c r="CK102" i="1"/>
  <c r="CL95" i="1"/>
  <c r="CL94" i="1"/>
  <c r="CL186" i="1"/>
  <c r="CL181" i="1"/>
  <c r="CL28" i="1"/>
  <c r="CL226" i="1" s="1"/>
  <c r="CL17" i="1"/>
  <c r="CM17" i="1" s="1"/>
  <c r="CN17" i="1" s="1"/>
  <c r="CK138" i="1"/>
  <c r="CL33" i="1"/>
  <c r="CL30" i="1"/>
  <c r="CH92" i="1"/>
  <c r="CM27" i="1"/>
  <c r="CK30" i="1"/>
  <c r="CJ226" i="1"/>
  <c r="CG29" i="1"/>
  <c r="CJ112" i="1"/>
  <c r="CG34" i="1"/>
  <c r="CG232" i="1"/>
  <c r="CG233" i="1" s="1"/>
  <c r="CN140" i="1"/>
  <c r="CN202" i="1" s="1"/>
  <c r="CY133" i="1"/>
  <c r="CZ133" i="1" s="1"/>
  <c r="DA133" i="1" s="1"/>
  <c r="DB133" i="1" s="1"/>
  <c r="AE133" i="1" s="1"/>
  <c r="AD133" i="1"/>
  <c r="CN183" i="1"/>
  <c r="CM185" i="1"/>
  <c r="CH29" i="1"/>
  <c r="CH34" i="1"/>
  <c r="CH38" i="1" s="1"/>
  <c r="CH250" i="1"/>
  <c r="CH232" i="1"/>
  <c r="CH233" i="1" s="1"/>
  <c r="CI31" i="1"/>
  <c r="CH109" i="1"/>
  <c r="CH111" i="1" s="1"/>
  <c r="CI37" i="1"/>
  <c r="CF63" i="1"/>
  <c r="CG65" i="1"/>
  <c r="CG99" i="1" s="1"/>
  <c r="CG102" i="1" s="1"/>
  <c r="CN124" i="1"/>
  <c r="CM128" i="1"/>
  <c r="CH138" i="1"/>
  <c r="CH165" i="1" s="1"/>
  <c r="CH166" i="1" s="1"/>
  <c r="CI33" i="1"/>
  <c r="CH181" i="1"/>
  <c r="CI181" i="1" s="1"/>
  <c r="CH186" i="1"/>
  <c r="Z30" i="1"/>
  <c r="Y29" i="1"/>
  <c r="Y232" i="1"/>
  <c r="Y233" i="1" s="1"/>
  <c r="Y112" i="1"/>
  <c r="Y250" i="1"/>
  <c r="Y251" i="1" s="1"/>
  <c r="Y34" i="1"/>
  <c r="Z232" i="1"/>
  <c r="Z233" i="1" s="1"/>
  <c r="Z112" i="1"/>
  <c r="Z29" i="1"/>
  <c r="Z250" i="1"/>
  <c r="Z251" i="1" s="1"/>
  <c r="Z34" i="1"/>
  <c r="Z203" i="1"/>
  <c r="Z201" i="1" s="1"/>
  <c r="Z244" i="1"/>
  <c r="Z246" i="1"/>
  <c r="AB131" i="1"/>
  <c r="CO179" i="1"/>
  <c r="CI29" i="1"/>
  <c r="CI232" i="1"/>
  <c r="CI233" i="1" s="1"/>
  <c r="CI34" i="1"/>
  <c r="CJ31" i="1"/>
  <c r="X112" i="1"/>
  <c r="X29" i="1"/>
  <c r="X34" i="1"/>
  <c r="Y30" i="1"/>
  <c r="X232" i="1"/>
  <c r="X233" i="1" s="1"/>
  <c r="CJ33" i="1"/>
  <c r="CI138" i="1"/>
  <c r="CJ203" i="1" s="1"/>
  <c r="CJ201" i="1" s="1"/>
  <c r="CH107" i="1"/>
  <c r="CK182" i="1"/>
  <c r="CH99" i="1"/>
  <c r="CD202" i="1"/>
  <c r="CC202" i="1"/>
  <c r="CG249" i="1"/>
  <c r="CH202" i="1"/>
  <c r="CG202" i="1"/>
  <c r="CA209" i="1"/>
  <c r="BZ248" i="1"/>
  <c r="CT125" i="1"/>
  <c r="CD206" i="1"/>
  <c r="CF249" i="1"/>
  <c r="BM209" i="1"/>
  <c r="BL248" i="1"/>
  <c r="CF206" i="1"/>
  <c r="CF129" i="1"/>
  <c r="BL129" i="1"/>
  <c r="BL168" i="1"/>
  <c r="BL109" i="1" s="1"/>
  <c r="CA33" i="1"/>
  <c r="CA134" i="1"/>
  <c r="CB138" i="1"/>
  <c r="CC33" i="1"/>
  <c r="CC134" i="1"/>
  <c r="BZ168" i="1"/>
  <c r="BZ129" i="1"/>
  <c r="CD138" i="1"/>
  <c r="CE134" i="1"/>
  <c r="CE209" i="1"/>
  <c r="CD248" i="1"/>
  <c r="CA249" i="1"/>
  <c r="CA206" i="1"/>
  <c r="BM206" i="1"/>
  <c r="BM249" i="1"/>
  <c r="CG209" i="1"/>
  <c r="CF168" i="1"/>
  <c r="CF248" i="1"/>
  <c r="BM134" i="1"/>
  <c r="BM138" i="1" s="1"/>
  <c r="BL138" i="1"/>
  <c r="BL246" i="1" s="1"/>
  <c r="CG33" i="1"/>
  <c r="CG134" i="1"/>
  <c r="CH249" i="1"/>
  <c r="CH206" i="1"/>
  <c r="CG206" i="1"/>
  <c r="CB249" i="1"/>
  <c r="CB129" i="1"/>
  <c r="CB168" i="1"/>
  <c r="CB206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BZ19" i="1"/>
  <c r="BZ28" i="1"/>
  <c r="BZ17" i="1"/>
  <c r="CA19" i="1"/>
  <c r="CJ18" i="1"/>
  <c r="CF17" i="1"/>
  <c r="CG19" i="1"/>
  <c r="CF18" i="1"/>
  <c r="BZ246" i="1"/>
  <c r="CF246" i="1"/>
  <c r="CF244" i="1"/>
  <c r="CG18" i="1"/>
  <c r="CC17" i="1"/>
  <c r="Y59" i="1"/>
  <c r="CC28" i="1"/>
  <c r="CC34" i="1" s="1"/>
  <c r="CC38" i="1" s="1"/>
  <c r="CD19" i="1"/>
  <c r="CC18" i="1"/>
  <c r="CE148" i="1"/>
  <c r="CE197" i="1"/>
  <c r="CG196" i="1"/>
  <c r="CF197" i="1"/>
  <c r="CA34" i="1"/>
  <c r="CA38" i="1" s="1"/>
  <c r="CA41" i="1" s="1"/>
  <c r="CA48" i="1" s="1"/>
  <c r="CA193" i="1" s="1"/>
  <c r="CA195" i="1" s="1"/>
  <c r="CA29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U180" i="1"/>
  <c r="AB150" i="1"/>
  <c r="A1" i="1"/>
  <c r="CN11" i="1" l="1"/>
  <c r="CO11" i="1" s="1"/>
  <c r="AA210" i="1"/>
  <c r="AA211" i="1" s="1"/>
  <c r="AA213" i="1"/>
  <c r="AA30" i="1"/>
  <c r="AA250" i="1"/>
  <c r="AA251" i="1" s="1"/>
  <c r="CH31" i="1"/>
  <c r="CK41" i="1"/>
  <c r="CK40" i="1"/>
  <c r="CI250" i="1"/>
  <c r="CI251" i="1" s="1"/>
  <c r="CK112" i="1"/>
  <c r="CK186" i="1"/>
  <c r="CP11" i="1"/>
  <c r="CQ11" i="1"/>
  <c r="CL189" i="1"/>
  <c r="CG185" i="1"/>
  <c r="CH197" i="1"/>
  <c r="CG197" i="1"/>
  <c r="CG31" i="1"/>
  <c r="CI112" i="1"/>
  <c r="CI226" i="1"/>
  <c r="CG250" i="1"/>
  <c r="CF29" i="1"/>
  <c r="CF232" i="1"/>
  <c r="CF233" i="1" s="1"/>
  <c r="CJ30" i="1"/>
  <c r="CF34" i="1"/>
  <c r="CG157" i="1"/>
  <c r="CF30" i="1"/>
  <c r="CG226" i="1"/>
  <c r="CL112" i="1"/>
  <c r="CL114" i="1" s="1"/>
  <c r="CH94" i="1"/>
  <c r="CH96" i="1"/>
  <c r="CK31" i="1"/>
  <c r="CJ29" i="1"/>
  <c r="CJ34" i="1"/>
  <c r="CJ38" i="1" s="1"/>
  <c r="CJ250" i="1"/>
  <c r="CJ251" i="1" s="1"/>
  <c r="CJ232" i="1"/>
  <c r="CJ233" i="1" s="1"/>
  <c r="CH95" i="1"/>
  <c r="Y189" i="1"/>
  <c r="Y190" i="1" s="1"/>
  <c r="CS184" i="1"/>
  <c r="CG104" i="1"/>
  <c r="CG107" i="1"/>
  <c r="CG108" i="1"/>
  <c r="CG103" i="1"/>
  <c r="CH251" i="1"/>
  <c r="CK203" i="1"/>
  <c r="CK201" i="1" s="1"/>
  <c r="CL203" i="1"/>
  <c r="CL201" i="1" s="1"/>
  <c r="CI38" i="1"/>
  <c r="CI41" i="1" s="1"/>
  <c r="CL232" i="1"/>
  <c r="CL233" i="1" s="1"/>
  <c r="CL34" i="1"/>
  <c r="CL38" i="1" s="1"/>
  <c r="CL250" i="1"/>
  <c r="CL251" i="1" s="1"/>
  <c r="CL29" i="1"/>
  <c r="CL31" i="1"/>
  <c r="CN27" i="1"/>
  <c r="CO17" i="1"/>
  <c r="AC131" i="1"/>
  <c r="CO183" i="1"/>
  <c r="CN185" i="1"/>
  <c r="CM181" i="1"/>
  <c r="Z55" i="1"/>
  <c r="Z38" i="1"/>
  <c r="CG38" i="1"/>
  <c r="Y38" i="1"/>
  <c r="Y55" i="1"/>
  <c r="CI182" i="1"/>
  <c r="CI146" i="1"/>
  <c r="CH41" i="1"/>
  <c r="CH40" i="1"/>
  <c r="CM249" i="1"/>
  <c r="CM206" i="1"/>
  <c r="X55" i="1"/>
  <c r="X38" i="1"/>
  <c r="CH103" i="1"/>
  <c r="CH102" i="1"/>
  <c r="CH104" i="1"/>
  <c r="CO140" i="1"/>
  <c r="CP140" i="1" s="1"/>
  <c r="CH110" i="1"/>
  <c r="CI203" i="1"/>
  <c r="CI201" i="1" s="1"/>
  <c r="CH246" i="1"/>
  <c r="CH244" i="1"/>
  <c r="CO124" i="1"/>
  <c r="CN128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E63" i="1"/>
  <c r="CF65" i="1"/>
  <c r="CP179" i="1"/>
  <c r="CF166" i="1"/>
  <c r="CA138" i="1"/>
  <c r="CB33" i="1"/>
  <c r="CB165" i="1"/>
  <c r="CB166" i="1" s="1"/>
  <c r="CD165" i="1"/>
  <c r="CD166" i="1" s="1"/>
  <c r="CU125" i="1"/>
  <c r="CB246" i="1"/>
  <c r="CB244" i="1"/>
  <c r="CE138" i="1"/>
  <c r="CF33" i="1"/>
  <c r="CB251" i="1"/>
  <c r="BZ166" i="1"/>
  <c r="CD33" i="1"/>
  <c r="CC138" i="1"/>
  <c r="BZ109" i="1"/>
  <c r="CA37" i="1"/>
  <c r="CD244" i="1"/>
  <c r="CD24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BZ29" i="1"/>
  <c r="BZ34" i="1"/>
  <c r="CA250" i="1"/>
  <c r="CA251" i="1" s="1"/>
  <c r="CA31" i="1"/>
  <c r="BZ232" i="1"/>
  <c r="BZ233" i="1" s="1"/>
  <c r="CD30" i="1"/>
  <c r="BZ31" i="1"/>
  <c r="BZ250" i="1"/>
  <c r="CB112" i="1"/>
  <c r="CD112" i="1"/>
  <c r="CC250" i="1"/>
  <c r="CC251" i="1" s="1"/>
  <c r="CE196" i="1"/>
  <c r="CE198" i="1" s="1"/>
  <c r="CE157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119" i="1"/>
  <c r="CA120" i="1" s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V180" i="1"/>
  <c r="AC150" i="1"/>
  <c r="CK42" i="1" l="1"/>
  <c r="CK48" i="1"/>
  <c r="CI40" i="1"/>
  <c r="CR11" i="1"/>
  <c r="CF38" i="1"/>
  <c r="CH198" i="1"/>
  <c r="CG184" i="1"/>
  <c r="CG186" i="1"/>
  <c r="CL113" i="1"/>
  <c r="CJ55" i="1"/>
  <c r="CJ41" i="1"/>
  <c r="CJ40" i="1"/>
  <c r="CG251" i="1"/>
  <c r="CG198" i="1"/>
  <c r="CT184" i="1"/>
  <c r="CO202" i="1"/>
  <c r="CL55" i="1"/>
  <c r="CL41" i="1"/>
  <c r="CL40" i="1"/>
  <c r="CP17" i="1"/>
  <c r="CQ17" i="1"/>
  <c r="CO27" i="1"/>
  <c r="CQ179" i="1"/>
  <c r="CD63" i="1"/>
  <c r="CE65" i="1"/>
  <c r="CI42" i="1"/>
  <c r="CI245" i="1" s="1"/>
  <c r="CI234" i="1"/>
  <c r="CI48" i="1"/>
  <c r="CP183" i="1"/>
  <c r="CO185" i="1"/>
  <c r="CP202" i="1"/>
  <c r="CQ140" i="1"/>
  <c r="CP124" i="1"/>
  <c r="CO128" i="1"/>
  <c r="Y41" i="1"/>
  <c r="Y40" i="1"/>
  <c r="CI44" i="1"/>
  <c r="CH48" i="1"/>
  <c r="CH42" i="1"/>
  <c r="CH245" i="1" s="1"/>
  <c r="CH234" i="1"/>
  <c r="CF99" i="1"/>
  <c r="CF107" i="1"/>
  <c r="CF110" i="1" s="1"/>
  <c r="CF113" i="1" s="1"/>
  <c r="CF108" i="1"/>
  <c r="CF111" i="1" s="1"/>
  <c r="CF114" i="1" s="1"/>
  <c r="CF92" i="1"/>
  <c r="X41" i="1"/>
  <c r="X40" i="1"/>
  <c r="CN249" i="1"/>
  <c r="CN206" i="1"/>
  <c r="Z41" i="1"/>
  <c r="AA43" i="1" s="1"/>
  <c r="Z40" i="1"/>
  <c r="CN181" i="1"/>
  <c r="CM182" i="1"/>
  <c r="CM186" i="1" s="1"/>
  <c r="AE131" i="1"/>
  <c r="AD131" i="1"/>
  <c r="CK66" i="1"/>
  <c r="CK52" i="1"/>
  <c r="CH43" i="1"/>
  <c r="CG41" i="1"/>
  <c r="CG40" i="1"/>
  <c r="CA203" i="1"/>
  <c r="CA201" i="1" s="1"/>
  <c r="CB203" i="1"/>
  <c r="CB201" i="1" s="1"/>
  <c r="CE203" i="1"/>
  <c r="CE201" i="1" s="1"/>
  <c r="CF203" i="1"/>
  <c r="CF201" i="1" s="1"/>
  <c r="CH203" i="1"/>
  <c r="CH201" i="1" s="1"/>
  <c r="CG203" i="1"/>
  <c r="CG201" i="1" s="1"/>
  <c r="CV125" i="1"/>
  <c r="CD203" i="1"/>
  <c r="CD201" i="1" s="1"/>
  <c r="CC203" i="1"/>
  <c r="CC201" i="1" s="1"/>
  <c r="CF189" i="1"/>
  <c r="CD189" i="1"/>
  <c r="CH189" i="1"/>
  <c r="BZ38" i="1"/>
  <c r="CB55" i="1"/>
  <c r="CD227" i="1"/>
  <c r="CC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CH113" i="1"/>
  <c r="CH114" i="1"/>
  <c r="CF55" i="1"/>
  <c r="CH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180" i="1"/>
  <c r="AE150" i="1"/>
  <c r="AD150" i="1"/>
  <c r="CJ44" i="1" l="1"/>
  <c r="CJ42" i="1"/>
  <c r="CJ245" i="1" s="1"/>
  <c r="CJ234" i="1"/>
  <c r="CJ48" i="1"/>
  <c r="CK44" i="1"/>
  <c r="CU184" i="1"/>
  <c r="CF41" i="1"/>
  <c r="AA61" i="1" s="1"/>
  <c r="CF40" i="1"/>
  <c r="CS11" i="1"/>
  <c r="CT11" i="1"/>
  <c r="CM40" i="1"/>
  <c r="CN40" i="1"/>
  <c r="CO40" i="1" s="1"/>
  <c r="CF234" i="1"/>
  <c r="CL42" i="1"/>
  <c r="CL245" i="1" s="1"/>
  <c r="CL234" i="1"/>
  <c r="CL48" i="1"/>
  <c r="CL54" i="1" s="1"/>
  <c r="CL44" i="1"/>
  <c r="CL227" i="1"/>
  <c r="CL43" i="1"/>
  <c r="CP27" i="1"/>
  <c r="CR17" i="1"/>
  <c r="CK43" i="1"/>
  <c r="CG234" i="1"/>
  <c r="CG48" i="1"/>
  <c r="CJ227" i="1"/>
  <c r="CH44" i="1"/>
  <c r="CG42" i="1"/>
  <c r="CG245" i="1" s="1"/>
  <c r="CQ183" i="1"/>
  <c r="CP185" i="1"/>
  <c r="X42" i="1"/>
  <c r="X245" i="1" s="1"/>
  <c r="Y43" i="1"/>
  <c r="X48" i="1"/>
  <c r="X234" i="1"/>
  <c r="CG43" i="1"/>
  <c r="CF94" i="1"/>
  <c r="CF95" i="1"/>
  <c r="CF96" i="1"/>
  <c r="CE99" i="1"/>
  <c r="CE107" i="1"/>
  <c r="CE108" i="1"/>
  <c r="CF102" i="1"/>
  <c r="CF104" i="1"/>
  <c r="CF103" i="1"/>
  <c r="CC63" i="1"/>
  <c r="CD65" i="1"/>
  <c r="CO181" i="1"/>
  <c r="CN182" i="1"/>
  <c r="CN186" i="1" s="1"/>
  <c r="CQ124" i="1"/>
  <c r="CP128" i="1"/>
  <c r="CQ202" i="1"/>
  <c r="CR140" i="1"/>
  <c r="CR179" i="1"/>
  <c r="Y234" i="1"/>
  <c r="Z43" i="1"/>
  <c r="Y42" i="1"/>
  <c r="Y245" i="1" s="1"/>
  <c r="Y48" i="1"/>
  <c r="CO249" i="1"/>
  <c r="CO206" i="1"/>
  <c r="CI119" i="1"/>
  <c r="CI120" i="1" s="1"/>
  <c r="CI193" i="1"/>
  <c r="CI195" i="1" s="1"/>
  <c r="CI66" i="1"/>
  <c r="CI52" i="1"/>
  <c r="Y61" i="1"/>
  <c r="Z48" i="1"/>
  <c r="Z42" i="1"/>
  <c r="Z245" i="1" s="1"/>
  <c r="Z234" i="1"/>
  <c r="CH193" i="1"/>
  <c r="CH195" i="1" s="1"/>
  <c r="CH199" i="1" s="1"/>
  <c r="CH66" i="1"/>
  <c r="CH52" i="1"/>
  <c r="CV184" i="1"/>
  <c r="CW125" i="1"/>
  <c r="CM8" i="1"/>
  <c r="BZ41" i="1"/>
  <c r="BZ40" i="1"/>
  <c r="CI227" i="1"/>
  <c r="CF48" i="1"/>
  <c r="CD54" i="1"/>
  <c r="CC52" i="1"/>
  <c r="CC119" i="1"/>
  <c r="CC120" i="1" s="1"/>
  <c r="CC193" i="1"/>
  <c r="CC195" i="1" s="1"/>
  <c r="CB52" i="1"/>
  <c r="CB193" i="1"/>
  <c r="CB195" i="1" s="1"/>
  <c r="CB207" i="1"/>
  <c r="CB205" i="1" s="1"/>
  <c r="CE41" i="1"/>
  <c r="CE40" i="1"/>
  <c r="BY193" i="1"/>
  <c r="BY195" i="1" s="1"/>
  <c r="BY52" i="1"/>
  <c r="BL193" i="1"/>
  <c r="BL195" i="1" s="1"/>
  <c r="BL52" i="1"/>
  <c r="CX180" i="1"/>
  <c r="AB126" i="1"/>
  <c r="AB136" i="1"/>
  <c r="AB135" i="1"/>
  <c r="AB127" i="1"/>
  <c r="AB122" i="1"/>
  <c r="AB151" i="1"/>
  <c r="AB143" i="1"/>
  <c r="AB118" i="1"/>
  <c r="CJ66" i="1" l="1"/>
  <c r="CJ193" i="1"/>
  <c r="CJ195" i="1" s="1"/>
  <c r="CJ52" i="1"/>
  <c r="CF43" i="1"/>
  <c r="CF42" i="1"/>
  <c r="CF245" i="1" s="1"/>
  <c r="CJ43" i="1"/>
  <c r="CG44" i="1"/>
  <c r="CP40" i="1"/>
  <c r="CH213" i="1"/>
  <c r="CL66" i="1"/>
  <c r="CL69" i="1" s="1"/>
  <c r="CL193" i="1"/>
  <c r="CL195" i="1" s="1"/>
  <c r="CL52" i="1"/>
  <c r="CS17" i="1"/>
  <c r="CT17" i="1" s="1"/>
  <c r="CU17" i="1" s="1"/>
  <c r="CK69" i="1"/>
  <c r="CK86" i="1" s="1"/>
  <c r="CQ40" i="1"/>
  <c r="CQ27" i="1"/>
  <c r="CR202" i="1"/>
  <c r="CS140" i="1"/>
  <c r="Y54" i="1"/>
  <c r="Y52" i="1"/>
  <c r="Y193" i="1"/>
  <c r="Y195" i="1" s="1"/>
  <c r="Y199" i="1" s="1"/>
  <c r="Y213" i="1" s="1"/>
  <c r="Y207" i="1"/>
  <c r="Y205" i="1" s="1"/>
  <c r="CI207" i="1"/>
  <c r="CI205" i="1" s="1"/>
  <c r="CI92" i="1"/>
  <c r="CI129" i="1"/>
  <c r="CI55" i="1" s="1"/>
  <c r="CR183" i="1"/>
  <c r="CQ185" i="1"/>
  <c r="CR124" i="1"/>
  <c r="CQ128" i="1"/>
  <c r="CJ207" i="1"/>
  <c r="CJ205" i="1" s="1"/>
  <c r="CP181" i="1"/>
  <c r="CO182" i="1"/>
  <c r="CO186" i="1" s="1"/>
  <c r="CG193" i="1"/>
  <c r="CG195" i="1" s="1"/>
  <c r="CG199" i="1" s="1"/>
  <c r="CG213" i="1" s="1"/>
  <c r="CG52" i="1"/>
  <c r="CG66" i="1"/>
  <c r="CJ69" i="1" s="1"/>
  <c r="CJ54" i="1"/>
  <c r="CG119" i="1"/>
  <c r="CG120" i="1" s="1"/>
  <c r="CE102" i="1"/>
  <c r="CE104" i="1"/>
  <c r="CE103" i="1"/>
  <c r="CD99" i="1"/>
  <c r="CD107" i="1"/>
  <c r="CD110" i="1" s="1"/>
  <c r="CD113" i="1" s="1"/>
  <c r="CD108" i="1"/>
  <c r="CD111" i="1" s="1"/>
  <c r="CD114" i="1" s="1"/>
  <c r="CD92" i="1"/>
  <c r="CD66" i="1"/>
  <c r="CP249" i="1"/>
  <c r="CP206" i="1"/>
  <c r="Z193" i="1"/>
  <c r="Z195" i="1" s="1"/>
  <c r="Z199" i="1" s="1"/>
  <c r="Z213" i="1" s="1"/>
  <c r="Z54" i="1"/>
  <c r="Z52" i="1"/>
  <c r="Z207" i="1"/>
  <c r="Z205" i="1" s="1"/>
  <c r="CS179" i="1"/>
  <c r="CB63" i="1"/>
  <c r="CC65" i="1"/>
  <c r="X54" i="1"/>
  <c r="X193" i="1"/>
  <c r="X195" i="1" s="1"/>
  <c r="X52" i="1"/>
  <c r="CW184" i="1"/>
  <c r="CX184" i="1" s="1"/>
  <c r="CY184" i="1" s="1"/>
  <c r="CZ184" i="1" s="1"/>
  <c r="DA184" i="1" s="1"/>
  <c r="DB184" i="1" s="1"/>
  <c r="CX125" i="1"/>
  <c r="CN8" i="1"/>
  <c r="BZ42" i="1"/>
  <c r="BZ245" i="1" s="1"/>
  <c r="BZ44" i="1"/>
  <c r="CC227" i="1"/>
  <c r="BZ48" i="1"/>
  <c r="CC54" i="1" s="1"/>
  <c r="BZ234" i="1"/>
  <c r="CD43" i="1"/>
  <c r="CA44" i="1"/>
  <c r="CF193" i="1"/>
  <c r="CF195" i="1" s="1"/>
  <c r="CF199" i="1" s="1"/>
  <c r="CF213" i="1" s="1"/>
  <c r="CF52" i="1"/>
  <c r="CF66" i="1"/>
  <c r="CI54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CY180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I69" i="1" l="1"/>
  <c r="CK85" i="1"/>
  <c r="CL85" i="1"/>
  <c r="CL87" i="1"/>
  <c r="CL86" i="1"/>
  <c r="Y210" i="1"/>
  <c r="Y211" i="1" s="1"/>
  <c r="CK87" i="1"/>
  <c r="CR27" i="1"/>
  <c r="CV17" i="1"/>
  <c r="CW17" i="1" s="1"/>
  <c r="CR40" i="1"/>
  <c r="CI94" i="1"/>
  <c r="CI96" i="1"/>
  <c r="CI95" i="1"/>
  <c r="CC99" i="1"/>
  <c r="CC66" i="1"/>
  <c r="CQ181" i="1"/>
  <c r="CP182" i="1"/>
  <c r="CP186" i="1" s="1"/>
  <c r="CA63" i="1"/>
  <c r="CB65" i="1"/>
  <c r="CS202" i="1"/>
  <c r="CT140" i="1"/>
  <c r="CD102" i="1"/>
  <c r="CD104" i="1"/>
  <c r="CD103" i="1"/>
  <c r="CT179" i="1"/>
  <c r="CS124" i="1"/>
  <c r="CR128" i="1"/>
  <c r="CJ86" i="1"/>
  <c r="CJ87" i="1"/>
  <c r="CJ85" i="1"/>
  <c r="Z210" i="1"/>
  <c r="Z211" i="1" s="1"/>
  <c r="CG207" i="1"/>
  <c r="CG205" i="1" s="1"/>
  <c r="CG210" i="1" s="1"/>
  <c r="CG160" i="1" s="1"/>
  <c r="CG161" i="1" s="1"/>
  <c r="CG129" i="1"/>
  <c r="CG55" i="1" s="1"/>
  <c r="CG92" i="1"/>
  <c r="CH207" i="1"/>
  <c r="CH205" i="1" s="1"/>
  <c r="CD94" i="1"/>
  <c r="CD95" i="1"/>
  <c r="CD96" i="1"/>
  <c r="CQ249" i="1"/>
  <c r="CQ206" i="1"/>
  <c r="CC92" i="1"/>
  <c r="CS183" i="1"/>
  <c r="CR185" i="1"/>
  <c r="CY125" i="1"/>
  <c r="CB54" i="1"/>
  <c r="BZ52" i="1"/>
  <c r="BZ193" i="1"/>
  <c r="BZ195" i="1" s="1"/>
  <c r="CI85" i="1"/>
  <c r="CI86" i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CZ180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I87" i="1" l="1"/>
  <c r="CL90" i="1"/>
  <c r="CS40" i="1"/>
  <c r="CS27" i="1"/>
  <c r="CX17" i="1"/>
  <c r="CY17" i="1" s="1"/>
  <c r="CG211" i="1"/>
  <c r="CG244" i="1"/>
  <c r="CH209" i="1"/>
  <c r="CH210" i="1" s="1"/>
  <c r="CH211" i="1" s="1"/>
  <c r="CG248" i="1"/>
  <c r="CG246" i="1"/>
  <c r="CG165" i="1"/>
  <c r="CG166" i="1" s="1"/>
  <c r="CG168" i="1"/>
  <c r="CR181" i="1"/>
  <c r="CQ182" i="1"/>
  <c r="CQ186" i="1" s="1"/>
  <c r="BZ63" i="1"/>
  <c r="CA65" i="1"/>
  <c r="CR249" i="1"/>
  <c r="CR206" i="1"/>
  <c r="CU179" i="1"/>
  <c r="CT202" i="1"/>
  <c r="CU140" i="1"/>
  <c r="CU202" i="1" s="1"/>
  <c r="CB99" i="1"/>
  <c r="CB92" i="1"/>
  <c r="CB66" i="1"/>
  <c r="CE69" i="1" s="1"/>
  <c r="CT124" i="1"/>
  <c r="CS128" i="1"/>
  <c r="CT183" i="1"/>
  <c r="CS185" i="1"/>
  <c r="CG95" i="1"/>
  <c r="CG94" i="1"/>
  <c r="CG96" i="1"/>
  <c r="CZ125" i="1"/>
  <c r="CF69" i="1"/>
  <c r="CH69" i="1"/>
  <c r="CL70" i="1" s="1"/>
  <c r="CG69" i="1"/>
  <c r="CK70" i="1" s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DA180" i="1"/>
  <c r="AE164" i="1"/>
  <c r="AD164" i="1"/>
  <c r="AE154" i="1"/>
  <c r="AD154" i="1"/>
  <c r="AE155" i="1"/>
  <c r="AD155" i="1"/>
  <c r="AE147" i="1"/>
  <c r="AD147" i="1"/>
  <c r="BY231" i="1"/>
  <c r="CZ17" i="1" l="1"/>
  <c r="DA17" i="1"/>
  <c r="DB17" i="1" s="1"/>
  <c r="CT27" i="1"/>
  <c r="CT40" i="1"/>
  <c r="CU40" i="1" s="1"/>
  <c r="CA66" i="1"/>
  <c r="CD69" i="1" s="1"/>
  <c r="CH70" i="1" s="1"/>
  <c r="CA92" i="1"/>
  <c r="CU183" i="1"/>
  <c r="CT185" i="1"/>
  <c r="CS249" i="1"/>
  <c r="CS206" i="1"/>
  <c r="CG109" i="1"/>
  <c r="CH37" i="1"/>
  <c r="CV140" i="1"/>
  <c r="CV202" i="1" s="1"/>
  <c r="CU124" i="1"/>
  <c r="CT128" i="1"/>
  <c r="CV179" i="1"/>
  <c r="BY63" i="1"/>
  <c r="BZ65" i="1"/>
  <c r="CS181" i="1"/>
  <c r="CR182" i="1"/>
  <c r="CR186" i="1" s="1"/>
  <c r="DA125" i="1"/>
  <c r="CE94" i="1"/>
  <c r="CE95" i="1"/>
  <c r="CE96" i="1"/>
  <c r="CE244" i="1"/>
  <c r="CE85" i="1"/>
  <c r="CE86" i="1"/>
  <c r="CI70" i="1"/>
  <c r="CE87" i="1"/>
  <c r="CE248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86" i="1"/>
  <c r="CK90" i="1" s="1"/>
  <c r="CH85" i="1"/>
  <c r="CH87" i="1"/>
  <c r="CE211" i="1"/>
  <c r="CJ70" i="1"/>
  <c r="CF87" i="1"/>
  <c r="CF85" i="1"/>
  <c r="CF86" i="1"/>
  <c r="CU11" i="1"/>
  <c r="CV11" i="1" s="1"/>
  <c r="DB180" i="1"/>
  <c r="CE166" i="1"/>
  <c r="AB20" i="1"/>
  <c r="CU27" i="1" l="1"/>
  <c r="CV40" i="1"/>
  <c r="CW40" i="1" s="1"/>
  <c r="CV183" i="1"/>
  <c r="CU185" i="1"/>
  <c r="CT249" i="1"/>
  <c r="CT206" i="1"/>
  <c r="CT181" i="1"/>
  <c r="CS182" i="1"/>
  <c r="CS186" i="1" s="1"/>
  <c r="BZ92" i="1"/>
  <c r="BZ66" i="1"/>
  <c r="CC69" i="1" s="1"/>
  <c r="CG70" i="1" s="1"/>
  <c r="CV124" i="1"/>
  <c r="CU128" i="1"/>
  <c r="CW140" i="1"/>
  <c r="CW202" i="1" s="1"/>
  <c r="CG110" i="1"/>
  <c r="CG113" i="1" s="1"/>
  <c r="CG111" i="1"/>
  <c r="CG114" i="1" s="1"/>
  <c r="BX63" i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Y65" i="1"/>
  <c r="BY66" i="1" s="1"/>
  <c r="CW179" i="1"/>
  <c r="CD86" i="1"/>
  <c r="CG90" i="1" s="1"/>
  <c r="CD85" i="1"/>
  <c r="CD87" i="1"/>
  <c r="DB125" i="1"/>
  <c r="CJ90" i="1"/>
  <c r="CH90" i="1"/>
  <c r="CF37" i="1"/>
  <c r="CI90" i="1"/>
  <c r="CW11" i="1"/>
  <c r="CE110" i="1"/>
  <c r="CE113" i="1" s="1"/>
  <c r="AC20" i="1"/>
  <c r="BY232" i="1"/>
  <c r="BY233" i="1" s="1"/>
  <c r="CB69" i="1" l="1"/>
  <c r="CF70" i="1" s="1"/>
  <c r="CV27" i="1"/>
  <c r="CX40" i="1"/>
  <c r="CY40" i="1" s="1"/>
  <c r="CZ40" i="1" s="1"/>
  <c r="CX140" i="1"/>
  <c r="CY140" i="1" s="1"/>
  <c r="CU181" i="1"/>
  <c r="CT182" i="1"/>
  <c r="CT186" i="1" s="1"/>
  <c r="CU249" i="1"/>
  <c r="CU206" i="1"/>
  <c r="CW124" i="1"/>
  <c r="CV128" i="1"/>
  <c r="CX179" i="1"/>
  <c r="BK63" i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BL65" i="1"/>
  <c r="CW183" i="1"/>
  <c r="CV185" i="1"/>
  <c r="CX11" i="1"/>
  <c r="CY11" i="1" s="1"/>
  <c r="CZ11" i="1" s="1"/>
  <c r="AD20" i="1"/>
  <c r="BY234" i="1"/>
  <c r="CW27" i="1" l="1"/>
  <c r="CX27" i="1"/>
  <c r="CY27" i="1"/>
  <c r="CX202" i="1"/>
  <c r="DA40" i="1"/>
  <c r="DB40" i="1" s="1"/>
  <c r="CY179" i="1"/>
  <c r="AK63" i="1"/>
  <c r="AJ63" i="1" s="1"/>
  <c r="AI63" i="1" s="1"/>
  <c r="AL65" i="1"/>
  <c r="CV249" i="1"/>
  <c r="CV206" i="1"/>
  <c r="CX124" i="1"/>
  <c r="CW128" i="1"/>
  <c r="CV181" i="1"/>
  <c r="CU182" i="1"/>
  <c r="CU186" i="1" s="1"/>
  <c r="CX183" i="1"/>
  <c r="CW185" i="1"/>
  <c r="BL92" i="1"/>
  <c r="BL66" i="1"/>
  <c r="CY202" i="1"/>
  <c r="CZ140" i="1"/>
  <c r="DA11" i="1"/>
  <c r="DB11" i="1" s="1"/>
  <c r="AE20" i="1"/>
  <c r="CZ27" i="1" l="1"/>
  <c r="CW181" i="1"/>
  <c r="CV182" i="1"/>
  <c r="CV186" i="1" s="1"/>
  <c r="CW249" i="1"/>
  <c r="CW206" i="1"/>
  <c r="CY124" i="1"/>
  <c r="CX128" i="1"/>
  <c r="CZ202" i="1"/>
  <c r="DA140" i="1"/>
  <c r="DB140" i="1" s="1"/>
  <c r="DB202" i="1" s="1"/>
  <c r="CY183" i="1"/>
  <c r="CX185" i="1"/>
  <c r="CZ179" i="1"/>
  <c r="BI65" i="1"/>
  <c r="AT65" i="1"/>
  <c r="BT65" i="1"/>
  <c r="AV65" i="1"/>
  <c r="AX65" i="1"/>
  <c r="AR65" i="1"/>
  <c r="DA27" i="1" l="1"/>
  <c r="DB27" i="1" s="1"/>
  <c r="DA202" i="1"/>
  <c r="DA179" i="1"/>
  <c r="CY185" i="1"/>
  <c r="CZ183" i="1"/>
  <c r="CX249" i="1"/>
  <c r="CX206" i="1"/>
  <c r="CZ124" i="1"/>
  <c r="CY128" i="1"/>
  <c r="CX181" i="1"/>
  <c r="CW182" i="1"/>
  <c r="CW186" i="1" s="1"/>
  <c r="AO65" i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DA124" i="1" l="1"/>
  <c r="CZ128" i="1"/>
  <c r="CY181" i="1"/>
  <c r="CX182" i="1"/>
  <c r="CX186" i="1" s="1"/>
  <c r="CY206" i="1"/>
  <c r="CY249" i="1"/>
  <c r="CZ185" i="1"/>
  <c r="DA183" i="1"/>
  <c r="DB179" i="1"/>
  <c r="BL231" i="1"/>
  <c r="DB183" i="1" l="1"/>
  <c r="DB185" i="1" s="1"/>
  <c r="DA185" i="1"/>
  <c r="CZ181" i="1"/>
  <c r="CY182" i="1"/>
  <c r="CY186" i="1" s="1"/>
  <c r="CZ249" i="1"/>
  <c r="CZ206" i="1"/>
  <c r="DB124" i="1"/>
  <c r="DB128" i="1" s="1"/>
  <c r="DA128" i="1"/>
  <c r="AB140" i="1"/>
  <c r="DB206" i="1" l="1"/>
  <c r="DB249" i="1"/>
  <c r="DA206" i="1"/>
  <c r="DA249" i="1"/>
  <c r="DA181" i="1"/>
  <c r="CZ182" i="1"/>
  <c r="CZ186" i="1" s="1"/>
  <c r="CN77" i="1"/>
  <c r="AB202" i="1"/>
  <c r="CO77" i="1" l="1"/>
  <c r="CM63" i="1"/>
  <c r="DB181" i="1" l="1"/>
  <c r="DB182" i="1" s="1"/>
  <c r="DB186" i="1" s="1"/>
  <c r="DA182" i="1"/>
  <c r="DA186" i="1" s="1"/>
  <c r="CP77" i="1"/>
  <c r="CN63" i="1"/>
  <c r="CM65" i="1"/>
  <c r="G6" i="2"/>
  <c r="N24" i="2"/>
  <c r="R5" i="2"/>
  <c r="F31" i="2"/>
  <c r="X22" i="2"/>
  <c r="M26" i="2"/>
  <c r="Q29" i="2"/>
  <c r="I7" i="2"/>
  <c r="X24" i="2"/>
  <c r="AR87" i="3"/>
  <c r="C12" i="2"/>
  <c r="D16" i="3"/>
  <c r="V46" i="3"/>
  <c r="AO6" i="3"/>
  <c r="R45" i="3"/>
  <c r="BJ12" i="4" a="1"/>
  <c r="AJ14" i="4" a="1"/>
  <c r="DN9" i="4" a="1"/>
  <c r="AO5" i="4" a="1"/>
  <c r="H9" i="2"/>
  <c r="Q78" i="2"/>
  <c r="U30" i="2"/>
  <c r="Q14" i="2"/>
  <c r="L19" i="2"/>
  <c r="Q27" i="2"/>
  <c r="L31" i="2"/>
  <c r="X30" i="2"/>
  <c r="V11" i="2"/>
  <c r="F32" i="2"/>
  <c r="D14" i="2"/>
  <c r="S46" i="3"/>
  <c r="R46" i="3"/>
  <c r="P46" i="3"/>
  <c r="U46" i="3"/>
  <c r="Z8" i="4" a="1"/>
  <c r="AK8" i="4" a="1"/>
  <c r="BG8" i="4" a="1"/>
  <c r="V12" i="4" a="1"/>
  <c r="CI13" i="4" a="1"/>
  <c r="CS15" i="4" a="1"/>
  <c r="Q69" i="2"/>
  <c r="F75" i="2"/>
  <c r="O15" i="2"/>
  <c r="O12" i="2"/>
  <c r="R23" i="2"/>
  <c r="K16" i="2"/>
  <c r="T19" i="2"/>
  <c r="H15" i="2"/>
  <c r="Q59" i="2"/>
  <c r="R11" i="2"/>
  <c r="H35" i="2"/>
  <c r="F22" i="3"/>
  <c r="V45" i="3"/>
  <c r="E13" i="3"/>
  <c r="D31" i="3"/>
  <c r="X19" i="2"/>
  <c r="D32" i="2"/>
  <c r="I31" i="2"/>
  <c r="K17" i="2"/>
  <c r="C22" i="2"/>
  <c r="X63" i="2"/>
  <c r="L21" i="2"/>
  <c r="G11" i="2"/>
  <c r="T11" i="2"/>
  <c r="C65" i="2"/>
  <c r="I21" i="2"/>
  <c r="E25" i="3"/>
  <c r="D15" i="3"/>
  <c r="D22" i="3"/>
  <c r="D35" i="3"/>
  <c r="BF13" i="4" a="1"/>
  <c r="BO8" i="4" a="1"/>
  <c r="EK5" i="4" a="1"/>
  <c r="I23" i="2"/>
  <c r="U14" i="2"/>
  <c r="P34" i="2"/>
  <c r="S13" i="2"/>
  <c r="H54" i="2"/>
  <c r="N10" i="2"/>
  <c r="H18" i="2"/>
  <c r="E15" i="2"/>
  <c r="AR57" i="3"/>
  <c r="K19" i="2"/>
  <c r="H25" i="2"/>
  <c r="AI46" i="3"/>
  <c r="D30" i="3"/>
  <c r="F27" i="3"/>
  <c r="D41" i="3"/>
  <c r="F12" i="4" a="1"/>
  <c r="DB14" i="4" a="1"/>
  <c r="CT8" i="4" a="1"/>
  <c r="D13" i="4" a="1"/>
  <c r="DD13" i="4" a="1"/>
  <c r="CL9" i="4" a="1"/>
  <c r="T34" i="2"/>
  <c r="M19" i="2"/>
  <c r="M8" i="2"/>
  <c r="X20" i="2"/>
  <c r="J35" i="2"/>
  <c r="T32" i="2"/>
  <c r="N15" i="2"/>
  <c r="AR30" i="3"/>
  <c r="AD6" i="3"/>
  <c r="AI14" i="4" a="1"/>
  <c r="CG12" i="4" a="1"/>
  <c r="BR5" i="4" a="1"/>
  <c r="DN12" i="4" a="1"/>
  <c r="L5" i="4" a="1"/>
  <c r="BJ16" i="4" a="1"/>
  <c r="DE8" i="4" a="1"/>
  <c r="BP12" i="4" a="1"/>
  <c r="X33" i="2"/>
  <c r="W17" i="2"/>
  <c r="R31" i="2"/>
  <c r="I29" i="2"/>
  <c r="C25" i="2"/>
  <c r="U28" i="2"/>
  <c r="U32" i="2"/>
  <c r="AR42" i="3"/>
  <c r="G30" i="3"/>
  <c r="AV9" i="4" a="1"/>
  <c r="BB13" i="4" a="1"/>
  <c r="DA7" i="4" a="1"/>
  <c r="EA13" i="4" a="1"/>
  <c r="AM6" i="4" a="1"/>
  <c r="AL15" i="4" a="1"/>
  <c r="DX7" i="4" a="1"/>
  <c r="AR5" i="4" a="1"/>
  <c r="AS13" i="4" a="1"/>
  <c r="BS11" i="4" a="1"/>
  <c r="V11" i="4" a="1"/>
  <c r="H29" i="2"/>
  <c r="O25" i="2"/>
  <c r="K8" i="2"/>
  <c r="P24" i="2"/>
  <c r="O24" i="2"/>
  <c r="P21" i="2"/>
  <c r="C45" i="3"/>
  <c r="G13" i="3"/>
  <c r="CI7" i="4" a="1"/>
  <c r="BL9" i="4" a="1"/>
  <c r="DQ13" i="4" a="1"/>
  <c r="AK6" i="4" a="1"/>
  <c r="DI13" i="4" a="1"/>
  <c r="EJ13" i="4" a="1"/>
  <c r="DM13" i="4" a="1"/>
  <c r="DW14" i="4" a="1"/>
  <c r="DF14" i="4" a="1"/>
  <c r="EA6" i="4" a="1"/>
  <c r="DA12" i="4" a="1"/>
  <c r="ED7" i="4" a="1"/>
  <c r="V32" i="2"/>
  <c r="V26" i="2"/>
  <c r="F35" i="2"/>
  <c r="D36" i="2"/>
  <c r="P69" i="2"/>
  <c r="E7" i="2"/>
  <c r="F30" i="2"/>
  <c r="D17" i="3"/>
  <c r="AR8" i="3"/>
  <c r="BL13" i="4" a="1"/>
  <c r="DP9" i="4" a="1"/>
  <c r="DL6" i="4" a="1"/>
  <c r="BD5" i="4" a="1"/>
  <c r="CR9" i="4" a="1"/>
  <c r="BM13" i="4" a="1"/>
  <c r="CG7" i="4" a="1"/>
  <c r="J14" i="4" a="1"/>
  <c r="AR16" i="4" a="1"/>
  <c r="CF8" i="4" a="1"/>
  <c r="DS8" i="4" a="1"/>
  <c r="AA7" i="4" a="1"/>
  <c r="BA14" i="4" a="1"/>
  <c r="V35" i="2"/>
  <c r="I12" i="2"/>
  <c r="M27" i="2"/>
  <c r="C35" i="2"/>
  <c r="AR49" i="3"/>
  <c r="N32" i="2"/>
  <c r="M16" i="2"/>
  <c r="O35" i="2"/>
  <c r="P15" i="2"/>
  <c r="P20" i="2"/>
  <c r="N17" i="2"/>
  <c r="T18" i="2"/>
  <c r="V13" i="2"/>
  <c r="M17" i="2"/>
  <c r="O21" i="2"/>
  <c r="E27" i="2"/>
  <c r="G18" i="2"/>
  <c r="E39" i="3"/>
  <c r="AG46" i="3"/>
  <c r="F16" i="3"/>
  <c r="BO14" i="4" a="1"/>
  <c r="DK7" i="4" a="1"/>
  <c r="CX14" i="4" a="1"/>
  <c r="CY16" i="4" a="1"/>
  <c r="AV16" i="4" a="1"/>
  <c r="F10" i="2"/>
  <c r="L23" i="2"/>
  <c r="E19" i="2"/>
  <c r="S17" i="2"/>
  <c r="K7" i="2"/>
  <c r="I35" i="2"/>
  <c r="M13" i="2"/>
  <c r="V31" i="2"/>
  <c r="AR60" i="3"/>
  <c r="M31" i="2"/>
  <c r="K15" i="2"/>
  <c r="F20" i="3"/>
  <c r="G45" i="3"/>
  <c r="E31" i="3"/>
  <c r="I45" i="3"/>
  <c r="AG7" i="4" a="1"/>
  <c r="CG16" i="4" a="1"/>
  <c r="AH8" i="4" a="1"/>
  <c r="R11" i="4" a="1"/>
  <c r="BQ9" i="4" a="1"/>
  <c r="EA8" i="4" a="1"/>
  <c r="T26" i="2"/>
  <c r="L17" i="2"/>
  <c r="R29" i="2"/>
  <c r="I20" i="2"/>
  <c r="G32" i="2"/>
  <c r="V36" i="2"/>
  <c r="M32" i="2"/>
  <c r="J20" i="2"/>
  <c r="AR69" i="3"/>
  <c r="M30" i="2"/>
  <c r="E22" i="2"/>
  <c r="AR12" i="3"/>
  <c r="E23" i="3"/>
  <c r="AD12" i="3"/>
  <c r="J45" i="3"/>
  <c r="T5" i="2"/>
  <c r="Q16" i="2"/>
  <c r="T12" i="2"/>
  <c r="I19" i="2"/>
  <c r="O22" i="2"/>
  <c r="U13" i="2"/>
  <c r="D33" i="2"/>
  <c r="L6" i="2"/>
  <c r="AR55" i="3"/>
  <c r="E20" i="2"/>
  <c r="C30" i="2"/>
  <c r="AR36" i="3"/>
  <c r="AR32" i="3"/>
  <c r="D6" i="3"/>
  <c r="F26" i="3"/>
  <c r="AI9" i="4" a="1"/>
  <c r="L9" i="4" a="1"/>
  <c r="BA5" i="4" a="1"/>
  <c r="L34" i="2"/>
  <c r="U23" i="2"/>
  <c r="Q21" i="2"/>
  <c r="Q12" i="2"/>
  <c r="U7" i="2"/>
  <c r="W29" i="2"/>
  <c r="P30" i="2"/>
  <c r="D13" i="2"/>
  <c r="AR93" i="3"/>
  <c r="AR48" i="3"/>
  <c r="E21" i="2"/>
  <c r="AD17" i="3"/>
  <c r="D11" i="3"/>
  <c r="F9" i="3"/>
  <c r="F38" i="3"/>
  <c r="CF16" i="4" a="1"/>
  <c r="BP7" i="4" a="1"/>
  <c r="R13" i="4" a="1"/>
  <c r="BH6" i="4" a="1"/>
  <c r="AY9" i="4" a="1"/>
  <c r="DS6" i="4" a="1"/>
  <c r="O7" i="2"/>
  <c r="O27" i="2"/>
  <c r="W8" i="2"/>
  <c r="J36" i="2"/>
  <c r="U26" i="2"/>
  <c r="I6" i="2"/>
  <c r="E9" i="3"/>
  <c r="E37" i="3"/>
  <c r="L45" i="3"/>
  <c r="D8" i="4" a="1"/>
  <c r="CA15" i="4" a="1"/>
  <c r="BY5" i="4" a="1"/>
  <c r="EJ7" i="4" a="1"/>
  <c r="BO13" i="4" a="1"/>
  <c r="CT15" i="4" a="1"/>
  <c r="DK14" i="4" a="1"/>
  <c r="BJ8" i="4" a="1"/>
  <c r="K34" i="2"/>
  <c r="F27" i="2"/>
  <c r="W30" i="2"/>
  <c r="I10" i="2"/>
  <c r="K43" i="2"/>
  <c r="K22" i="2"/>
  <c r="E45" i="2"/>
  <c r="D10" i="3"/>
  <c r="D18" i="3"/>
  <c r="AX11" i="4" a="1"/>
  <c r="BN11" i="4" a="1"/>
  <c r="CV12" i="4" a="1"/>
  <c r="DR11" i="4" a="1"/>
  <c r="W8" i="4" a="1"/>
  <c r="BB14" i="4" a="1"/>
  <c r="AO14" i="4" a="1"/>
  <c r="BI14" i="4" a="1"/>
  <c r="CA6" i="4" a="1"/>
  <c r="CF15" i="4" a="1"/>
  <c r="CO14" i="4" a="1"/>
  <c r="Q35" i="2"/>
  <c r="V16" i="2"/>
  <c r="V5" i="2"/>
  <c r="T28" i="2"/>
  <c r="AR76" i="3"/>
  <c r="E9" i="2"/>
  <c r="AD18" i="3"/>
  <c r="E16" i="3"/>
  <c r="CC11" i="4" a="1"/>
  <c r="BG5" i="4" a="1"/>
  <c r="AO11" i="4" a="1"/>
  <c r="CF14" i="4" a="1"/>
  <c r="CN15" i="4" a="1"/>
  <c r="AK12" i="4" a="1"/>
  <c r="DP8" i="4" a="1"/>
  <c r="EC9" i="4" a="1"/>
  <c r="EH7" i="4" a="1"/>
  <c r="EK16" i="4" a="1"/>
  <c r="BW13" i="4" a="1"/>
  <c r="DF9" i="4" a="1"/>
  <c r="W16" i="2"/>
  <c r="X13" i="2"/>
  <c r="K36" i="2"/>
  <c r="T24" i="2"/>
  <c r="I36" i="2"/>
  <c r="M34" i="2"/>
  <c r="X12" i="2"/>
  <c r="E17" i="3"/>
  <c r="E45" i="3"/>
  <c r="U21" i="2"/>
  <c r="C20" i="2"/>
  <c r="U35" i="2"/>
  <c r="P14" i="2"/>
  <c r="S22" i="2"/>
  <c r="S6" i="2"/>
  <c r="F36" i="2"/>
  <c r="Q7" i="2"/>
  <c r="E18" i="2"/>
  <c r="S10" i="2"/>
  <c r="AM46" i="3"/>
  <c r="I46" i="3"/>
  <c r="D9" i="3"/>
  <c r="E46" i="3"/>
  <c r="EJ14" i="4" a="1"/>
  <c r="E14" i="4" a="1"/>
  <c r="BW15" i="4" a="1"/>
  <c r="X7" i="4" a="1"/>
  <c r="M14" i="4" a="1"/>
  <c r="U27" i="2"/>
  <c r="X11" i="2"/>
  <c r="K13" i="2"/>
  <c r="W35" i="2"/>
  <c r="H36" i="2"/>
  <c r="I17" i="2"/>
  <c r="Q31" i="2"/>
  <c r="E12" i="2"/>
  <c r="C10" i="2"/>
  <c r="AR75" i="3"/>
  <c r="U31" i="2"/>
  <c r="E41" i="3"/>
  <c r="AR27" i="3"/>
  <c r="AJ45" i="3"/>
  <c r="AR16" i="3"/>
  <c r="AO12" i="4" a="1"/>
  <c r="AI11" i="4" a="1"/>
  <c r="EG16" i="4" a="1"/>
  <c r="BT9" i="4" a="1"/>
  <c r="BH14" i="4" a="1"/>
  <c r="AY6" i="4" a="1"/>
  <c r="K26" i="2"/>
  <c r="P7" i="2"/>
  <c r="V28" i="2"/>
  <c r="D24" i="2"/>
  <c r="J19" i="2"/>
  <c r="V18" i="2"/>
  <c r="K59" i="2"/>
  <c r="I25" i="2"/>
  <c r="T8" i="2"/>
  <c r="AR54" i="3"/>
  <c r="L27" i="2"/>
  <c r="F19" i="3"/>
  <c r="K46" i="3"/>
  <c r="D38" i="3"/>
  <c r="AD11" i="3"/>
  <c r="D19" i="2"/>
  <c r="Q56" i="2"/>
  <c r="U25" i="2"/>
  <c r="W12" i="2"/>
  <c r="J7" i="2"/>
  <c r="I24" i="2"/>
  <c r="F19" i="2"/>
  <c r="E23" i="2"/>
  <c r="M24" i="2"/>
  <c r="AR95" i="3"/>
  <c r="AR86" i="3"/>
  <c r="E26" i="3"/>
  <c r="E42" i="3"/>
  <c r="AO46" i="3"/>
  <c r="F35" i="3"/>
  <c r="J9" i="4" a="1"/>
  <c r="DV7" i="4" a="1"/>
  <c r="DM15" i="4" a="1"/>
  <c r="Q19" i="2"/>
  <c r="I28" i="2"/>
  <c r="J21" i="2"/>
  <c r="I15" i="2"/>
  <c r="Q9" i="2"/>
  <c r="P33" i="2"/>
  <c r="L36" i="2"/>
  <c r="W14" i="2"/>
  <c r="P18" i="2"/>
  <c r="AR83" i="3"/>
  <c r="AR81" i="3"/>
  <c r="G31" i="3"/>
  <c r="AD14" i="3"/>
  <c r="AR31" i="3"/>
  <c r="F11" i="4" a="1"/>
  <c r="Z15" i="4" a="1"/>
  <c r="BV13" i="4" a="1"/>
  <c r="BM15" i="4" a="1"/>
  <c r="DE15" i="4" a="1"/>
  <c r="CN7" i="4" a="1"/>
  <c r="CF6" i="4" a="1"/>
  <c r="S27" i="2"/>
  <c r="N27" i="2"/>
  <c r="P17" i="2"/>
  <c r="X18" i="2"/>
  <c r="H28" i="2"/>
  <c r="AR91" i="3"/>
  <c r="F36" i="3"/>
  <c r="AP46" i="3"/>
  <c r="DV16" i="4" a="1"/>
  <c r="AD8" i="4" a="1"/>
  <c r="U16" i="4" a="1"/>
  <c r="DX6" i="4" a="1"/>
  <c r="CR5" i="4" a="1"/>
  <c r="AU7" i="4" a="1"/>
  <c r="CJ8" i="4" a="1"/>
  <c r="AJ13" i="4" a="1"/>
  <c r="E6" i="4" a="1"/>
  <c r="D16" i="2"/>
  <c r="I18" i="2"/>
  <c r="J9" i="2"/>
  <c r="T9" i="2"/>
  <c r="S5" i="2"/>
  <c r="W22" i="2"/>
  <c r="F32" i="3"/>
  <c r="F6" i="3"/>
  <c r="D28" i="3"/>
  <c r="S11" i="4" a="1"/>
  <c r="CQ13" i="4" a="1"/>
  <c r="Y8" i="4" a="1"/>
  <c r="AP15" i="4" a="1"/>
  <c r="AP11" i="4" a="1"/>
  <c r="Z7" i="4" a="1"/>
  <c r="BV8" i="4" a="1"/>
  <c r="N14" i="4" a="1"/>
  <c r="BT15" i="4" a="1"/>
  <c r="CD12" i="4" a="1"/>
  <c r="S35" i="2"/>
  <c r="L12" i="2"/>
  <c r="C27" i="2"/>
  <c r="W10" i="2"/>
  <c r="D31" i="2"/>
  <c r="N12" i="2"/>
  <c r="S11" i="2"/>
  <c r="D21" i="3"/>
  <c r="F15" i="3"/>
  <c r="BX9" i="4" a="1"/>
  <c r="AZ7" i="4" a="1"/>
  <c r="AC15" i="4" a="1"/>
  <c r="CM6" i="4" a="1"/>
  <c r="P8" i="4" a="1"/>
  <c r="AU16" i="4" a="1"/>
  <c r="DW5" i="4" a="1"/>
  <c r="BW7" i="4" a="1"/>
  <c r="CR6" i="4" a="1"/>
  <c r="AC5" i="4" a="1"/>
  <c r="CG6" i="4" a="1"/>
  <c r="AK16" i="4" a="1"/>
  <c r="K11" i="2"/>
  <c r="H99" i="2"/>
  <c r="M25" i="2"/>
  <c r="K24" i="2"/>
  <c r="H10" i="2"/>
  <c r="N13" i="2"/>
  <c r="AR78" i="3"/>
  <c r="AR15" i="3"/>
  <c r="E19" i="3"/>
  <c r="D14" i="4" a="1"/>
  <c r="DG15" i="4" a="1"/>
  <c r="CC8" i="4" a="1"/>
  <c r="AK5" i="4" a="1"/>
  <c r="AE12" i="4" a="1"/>
  <c r="AA11" i="4" a="1"/>
  <c r="CK5" i="4" a="1"/>
  <c r="AQ5" i="4" a="1"/>
  <c r="Y11" i="4" a="1"/>
  <c r="BJ14" i="4" a="1"/>
  <c r="AY16" i="4" a="1"/>
  <c r="EF6" i="4" a="1"/>
  <c r="V34" i="2"/>
  <c r="H30" i="2"/>
  <c r="C9" i="2"/>
  <c r="J31" i="2"/>
  <c r="P29" i="2"/>
  <c r="N34" i="2"/>
  <c r="AR96" i="3"/>
  <c r="AH46" i="3"/>
  <c r="Q46" i="3"/>
  <c r="AI16" i="4" a="1"/>
  <c r="DR5" i="4" a="1"/>
  <c r="DY8" i="4" a="1"/>
  <c r="DQ11" i="4" a="1"/>
  <c r="DP15" i="4" a="1"/>
  <c r="Z5" i="4" a="1"/>
  <c r="W46" i="2"/>
  <c r="O18" i="2"/>
  <c r="Q13" i="2"/>
  <c r="V8" i="2"/>
  <c r="AD8" i="3"/>
  <c r="BV14" i="4" a="1"/>
  <c r="AE16" i="4" a="1"/>
  <c r="Q5" i="4" a="1"/>
  <c r="AZ6" i="4" a="1"/>
  <c r="AH12" i="4" a="1"/>
  <c r="CQ15" i="4" a="1"/>
  <c r="DB13" i="4" a="1"/>
  <c r="DA13" i="4" a="1"/>
  <c r="S7" i="4" a="1"/>
  <c r="CB8" i="4" a="1"/>
  <c r="DQ12" i="4" a="1"/>
  <c r="Q18" i="2"/>
  <c r="S16" i="2"/>
  <c r="F12" i="2"/>
  <c r="R22" i="2"/>
  <c r="N45" i="3"/>
  <c r="BN7" i="4" a="1"/>
  <c r="BE12" i="4" a="1"/>
  <c r="BO5" i="4" a="1"/>
  <c r="DG14" i="4" a="1"/>
  <c r="EG7" i="4" a="1"/>
  <c r="BC13" i="4" a="1"/>
  <c r="AT5" i="4" a="1"/>
  <c r="CY9" i="4" a="1"/>
  <c r="M12" i="4" a="1"/>
  <c r="CG9" i="4" a="1"/>
  <c r="BU9" i="4" a="1"/>
  <c r="DN5" i="4" a="1"/>
  <c r="BE16" i="4" a="1"/>
  <c r="AT12" i="4" a="1"/>
  <c r="EH14" i="4" a="1"/>
  <c r="DK11" i="4" a="1"/>
  <c r="BL5" i="4" a="1"/>
  <c r="W5" i="2"/>
  <c r="R9" i="2"/>
  <c r="AR64" i="3"/>
  <c r="D13" i="3"/>
  <c r="D7" i="3"/>
  <c r="CQ14" i="4" a="1"/>
  <c r="AL5" i="4" a="1"/>
  <c r="T12" i="4" a="1"/>
  <c r="Q13" i="4" a="1"/>
  <c r="EC8" i="4" a="1"/>
  <c r="DC11" i="4" a="1"/>
  <c r="G9" i="4" a="1"/>
  <c r="CZ5" i="4" a="1"/>
  <c r="BV6" i="4" a="1"/>
  <c r="CK8" i="4" a="1"/>
  <c r="AR14" i="4" a="1"/>
  <c r="C31" i="2"/>
  <c r="P28" i="2"/>
  <c r="L14" i="2"/>
  <c r="AR61" i="3"/>
  <c r="E12" i="3"/>
  <c r="W11" i="4" a="1"/>
  <c r="AY7" i="4" a="1"/>
  <c r="W12" i="4" a="1"/>
  <c r="BJ6" i="4" a="1"/>
  <c r="EB16" i="4" a="1"/>
  <c r="DG9" i="4" a="1"/>
  <c r="BZ6" i="4" a="1"/>
  <c r="DU6" i="4" a="1"/>
  <c r="AA14" i="4" a="1"/>
  <c r="X7" i="2"/>
  <c r="U15" i="2"/>
  <c r="D34" i="2"/>
  <c r="H22" i="2"/>
  <c r="W32" i="2"/>
  <c r="D35" i="2"/>
  <c r="I30" i="2"/>
  <c r="U16" i="2"/>
  <c r="E34" i="2"/>
  <c r="R16" i="2"/>
  <c r="F14" i="2"/>
  <c r="D33" i="3"/>
  <c r="D12" i="3"/>
  <c r="M46" i="3"/>
  <c r="Y46" i="3"/>
  <c r="CY15" i="4" a="1"/>
  <c r="DU7" i="4" a="1"/>
  <c r="CT14" i="4" a="1"/>
  <c r="AG15" i="4" a="1"/>
  <c r="X15" i="4" a="1"/>
  <c r="H8" i="2"/>
  <c r="C6" i="2"/>
  <c r="L33" i="2"/>
  <c r="V23" i="2"/>
  <c r="R34" i="2"/>
  <c r="G35" i="2"/>
  <c r="E24" i="2"/>
  <c r="P5" i="2"/>
  <c r="J11" i="2"/>
  <c r="F22" i="2"/>
  <c r="V15" i="2"/>
  <c r="AD15" i="3"/>
  <c r="O45" i="3"/>
  <c r="F5" i="3"/>
  <c r="CI14" i="4" a="1"/>
  <c r="CB7" i="4" a="1"/>
  <c r="CD5" i="4" a="1"/>
  <c r="ED14" i="4" a="1"/>
  <c r="DE12" i="4" a="1"/>
  <c r="CM13" i="4" a="1"/>
  <c r="DR12" i="4" a="1"/>
  <c r="G23" i="2"/>
  <c r="O17" i="2"/>
  <c r="D20" i="2"/>
  <c r="D7" i="2"/>
  <c r="C59" i="2"/>
  <c r="G27" i="2"/>
  <c r="P35" i="2"/>
  <c r="U5" i="2"/>
  <c r="F26" i="2"/>
  <c r="V19" i="2"/>
  <c r="O14" i="2"/>
  <c r="AA45" i="3"/>
  <c r="E35" i="3"/>
  <c r="AR18" i="3"/>
  <c r="ED16" i="4" a="1"/>
  <c r="G17" i="2"/>
  <c r="K33" i="2"/>
  <c r="U11" i="2"/>
  <c r="D28" i="2"/>
  <c r="S15" i="2"/>
  <c r="G24" i="2"/>
  <c r="H11" i="2"/>
  <c r="C14" i="2"/>
  <c r="V20" i="2"/>
  <c r="X26" i="2"/>
  <c r="I26" i="2"/>
  <c r="E20" i="3"/>
  <c r="AR38" i="3"/>
  <c r="E29" i="3"/>
  <c r="AZ15" i="4" a="1"/>
  <c r="CM16" i="4" a="1"/>
  <c r="DF5" i="4" a="1"/>
  <c r="R14" i="4" a="1"/>
  <c r="Q5" i="2"/>
  <c r="N18" i="2"/>
  <c r="U18" i="2"/>
  <c r="H13" i="2"/>
  <c r="Q24" i="2"/>
  <c r="T13" i="2"/>
  <c r="S7" i="2"/>
  <c r="Q32" i="2"/>
  <c r="V17" i="2"/>
  <c r="P12" i="2"/>
  <c r="AR37" i="3"/>
  <c r="E18" i="3"/>
  <c r="D32" i="3"/>
  <c r="F30" i="3"/>
  <c r="BV7" i="4" a="1"/>
  <c r="BU12" i="4" a="1"/>
  <c r="CO6" i="4" a="1"/>
  <c r="BU8" i="4" a="1"/>
  <c r="P9" i="4" a="1"/>
  <c r="EB8" i="4" a="1"/>
  <c r="BB6" i="4" a="1"/>
  <c r="F21" i="2"/>
  <c r="W24" i="2"/>
  <c r="M28" i="2"/>
  <c r="O29" i="2"/>
  <c r="M23" i="2"/>
  <c r="AR47" i="3"/>
  <c r="G5" i="3"/>
  <c r="E36" i="3"/>
  <c r="BY7" i="4" a="1"/>
  <c r="I14" i="4" a="1"/>
  <c r="P7" i="4" a="1"/>
  <c r="BI16" i="4" a="1"/>
  <c r="AU13" i="4" a="1"/>
  <c r="DW15" i="4" a="1"/>
  <c r="BM16" i="4" a="1"/>
  <c r="CB14" i="4" a="1"/>
  <c r="DM11" i="4" a="1"/>
  <c r="O16" i="2"/>
  <c r="I9" i="2"/>
  <c r="K35" i="2"/>
  <c r="R15" i="2"/>
  <c r="M11" i="2"/>
  <c r="AR63" i="3"/>
  <c r="F18" i="3"/>
  <c r="AL45" i="3"/>
  <c r="DO5" i="4" a="1"/>
  <c r="BU7" i="4" a="1"/>
  <c r="DH8" i="4" a="1"/>
  <c r="AK7" i="4" a="1"/>
  <c r="DQ14" i="4" a="1"/>
  <c r="DU11" i="4" a="1"/>
  <c r="I16" i="4" a="1"/>
  <c r="G14" i="4" a="1"/>
  <c r="DF6" i="4" a="1"/>
  <c r="DR6" i="4" a="1"/>
  <c r="L13" i="4" a="1"/>
  <c r="G7" i="2"/>
  <c r="R54" i="2"/>
  <c r="J25" i="2"/>
  <c r="M35" i="2"/>
  <c r="C32" i="2"/>
  <c r="Q57" i="2"/>
  <c r="F18" i="2"/>
  <c r="D23" i="3"/>
  <c r="AB46" i="3"/>
  <c r="BW11" i="4" a="1"/>
  <c r="AP9" i="4" a="1"/>
  <c r="CU6" i="4" a="1"/>
  <c r="AP16" i="4" a="1"/>
  <c r="BJ9" i="4" a="1"/>
  <c r="DO9" i="4" a="1"/>
  <c r="AB15" i="4" a="1"/>
  <c r="CD9" i="4" a="1"/>
  <c r="M16" i="4" a="1"/>
  <c r="AH9" i="4" a="1"/>
  <c r="CQ12" i="4" a="1"/>
  <c r="DX14" i="4" a="1"/>
  <c r="J18" i="2"/>
  <c r="J26" i="2"/>
  <c r="K25" i="2"/>
  <c r="W26" i="2"/>
  <c r="T31" i="2"/>
  <c r="R7" i="2"/>
  <c r="AR22" i="3"/>
  <c r="AL46" i="3"/>
  <c r="AR35" i="3"/>
  <c r="DL14" i="4" a="1"/>
  <c r="AQ12" i="4" a="1"/>
  <c r="DI16" i="4" a="1"/>
  <c r="U9" i="4" a="1"/>
  <c r="CH14" i="4" a="1"/>
  <c r="BG7" i="4" a="1"/>
  <c r="BO16" i="4" a="1"/>
  <c r="AP7" i="4" a="1"/>
  <c r="CV5" i="4" a="1"/>
  <c r="AP13" i="4" a="1"/>
  <c r="CM9" i="4" a="1"/>
  <c r="BG6" i="4" a="1"/>
  <c r="X41" i="2"/>
  <c r="I8" i="2"/>
  <c r="X34" i="2"/>
  <c r="T27" i="2"/>
  <c r="M7" i="2"/>
  <c r="S14" i="2"/>
  <c r="AQ6" i="3"/>
  <c r="F31" i="3"/>
  <c r="G22" i="3"/>
  <c r="DM6" i="4" a="1"/>
  <c r="CW14" i="4" a="1"/>
  <c r="AG9" i="4" a="1"/>
  <c r="EE11" i="4" a="1"/>
  <c r="DF16" i="4" a="1"/>
  <c r="AT8" i="4" a="1"/>
  <c r="R10" i="2"/>
  <c r="R28" i="2"/>
  <c r="V9" i="2"/>
  <c r="Q54" i="2"/>
  <c r="E38" i="3"/>
  <c r="EG12" i="4" a="1"/>
  <c r="P14" i="4" a="1"/>
  <c r="BS16" i="4" a="1"/>
  <c r="AD16" i="4" a="1"/>
  <c r="DN15" i="4" a="1"/>
  <c r="EI5" i="4" a="1"/>
  <c r="DC16" i="4" a="1"/>
  <c r="BT6" i="4" a="1"/>
  <c r="BD9" i="4" a="1"/>
  <c r="CE14" i="4" a="1"/>
  <c r="CT16" i="4" a="1"/>
  <c r="Q58" i="2"/>
  <c r="E33" i="2"/>
  <c r="F89" i="2"/>
  <c r="W13" i="2"/>
  <c r="F28" i="2"/>
  <c r="W20" i="2"/>
  <c r="E26" i="2"/>
  <c r="L26" i="2"/>
  <c r="D18" i="2"/>
  <c r="L5" i="2"/>
  <c r="F8" i="2"/>
  <c r="N22" i="2"/>
  <c r="G27" i="3"/>
  <c r="AR11" i="3"/>
  <c r="F34" i="3"/>
  <c r="G8" i="3"/>
  <c r="Y5" i="4" a="1"/>
  <c r="DG8" i="4" a="1"/>
  <c r="AK14" i="4" a="1"/>
  <c r="DZ16" i="4" a="1"/>
  <c r="AX6" i="4" a="1"/>
  <c r="U29" i="2"/>
  <c r="S12" i="2"/>
  <c r="P22" i="2"/>
  <c r="P36" i="2"/>
  <c r="S19" i="2"/>
  <c r="F20" i="2"/>
  <c r="O34" i="2"/>
  <c r="O23" i="2"/>
  <c r="U33" i="2"/>
  <c r="K14" i="2"/>
  <c r="AG45" i="3"/>
  <c r="E32" i="3"/>
  <c r="Z45" i="3"/>
  <c r="D20" i="3"/>
  <c r="AF7" i="4" a="1"/>
  <c r="BI13" i="4" a="1"/>
  <c r="CF9" i="4" a="1"/>
  <c r="DF7" i="4" a="1"/>
  <c r="BI6" i="4" a="1"/>
  <c r="BI7" i="4" a="1"/>
  <c r="EG6" i="4" a="1"/>
  <c r="Q6" i="2"/>
  <c r="K32" i="2"/>
  <c r="V24" i="2"/>
  <c r="W31" i="2"/>
  <c r="N19" i="2"/>
  <c r="E10" i="2"/>
  <c r="X21" i="2"/>
  <c r="J32" i="2"/>
  <c r="W70" i="2"/>
  <c r="I11" i="2"/>
  <c r="G7" i="3"/>
  <c r="AR33" i="3"/>
  <c r="AQ45" i="3"/>
  <c r="E34" i="3"/>
  <c r="CX7" i="4" a="1"/>
  <c r="N11" i="2"/>
  <c r="R33" i="2"/>
  <c r="U34" i="2"/>
  <c r="N35" i="2"/>
  <c r="V10" i="2"/>
  <c r="G25" i="2"/>
  <c r="P32" i="2"/>
  <c r="P25" i="2"/>
  <c r="R26" i="2"/>
  <c r="M9" i="2"/>
  <c r="AJ46" i="3"/>
  <c r="L46" i="3"/>
  <c r="AD46" i="3"/>
  <c r="AR28" i="3"/>
  <c r="AL12" i="4" a="1"/>
  <c r="AS6" i="4" a="1"/>
  <c r="CN16" i="4" a="1"/>
  <c r="V29" i="2"/>
  <c r="L8" i="2"/>
  <c r="G29" i="2"/>
  <c r="Q33" i="2"/>
  <c r="Q55" i="2"/>
  <c r="W11" i="2"/>
  <c r="U20" i="2"/>
  <c r="G8" i="2"/>
  <c r="T10" i="2"/>
  <c r="H14" i="2"/>
  <c r="C11" i="2"/>
  <c r="AR19" i="3"/>
  <c r="D40" i="3"/>
  <c r="AR46" i="3"/>
  <c r="D25" i="3"/>
  <c r="BF11" i="4" a="1"/>
  <c r="BX8" i="4" a="1"/>
  <c r="DH15" i="4" a="1"/>
  <c r="BT13" i="4" a="1"/>
  <c r="CX15" i="4" a="1"/>
  <c r="BS12" i="4" a="1"/>
  <c r="AD12" i="4" a="1"/>
  <c r="S25" i="2"/>
  <c r="M33" i="2"/>
  <c r="X15" i="2"/>
  <c r="H26" i="2"/>
  <c r="AR62" i="3"/>
  <c r="C33" i="2"/>
  <c r="E14" i="3"/>
  <c r="AR14" i="3"/>
  <c r="AK11" i="4" a="1"/>
  <c r="Q12" i="4" a="1"/>
  <c r="AQ13" i="4" a="1"/>
  <c r="DL11" i="4" a="1"/>
  <c r="DP5" i="4" a="1"/>
  <c r="I5" i="4" a="1"/>
  <c r="DI7" i="4" a="1"/>
  <c r="W6" i="4" a="1"/>
  <c r="AG16" i="4" a="1"/>
  <c r="S33" i="2"/>
  <c r="S26" i="2"/>
  <c r="Q8" i="2"/>
  <c r="T16" i="2"/>
  <c r="H32" i="2"/>
  <c r="W19" i="2"/>
  <c r="AQ46" i="3"/>
  <c r="AD5" i="3"/>
  <c r="DL9" i="4" a="1"/>
  <c r="DS12" i="4" a="1"/>
  <c r="AC14" i="4" a="1"/>
  <c r="F16" i="4" a="1"/>
  <c r="DJ14" i="4" a="1"/>
  <c r="BV16" i="4" a="1"/>
  <c r="Z16" i="4" a="1"/>
  <c r="AL8" i="4" a="1"/>
  <c r="DD12" i="4" a="1"/>
  <c r="CN9" i="4" a="1"/>
  <c r="ED5" i="4" a="1"/>
  <c r="W25" i="2"/>
  <c r="L16" i="2"/>
  <c r="N16" i="2"/>
  <c r="X27" i="2"/>
  <c r="M22" i="2"/>
  <c r="G19" i="2"/>
  <c r="T22" i="2"/>
  <c r="H49" i="2"/>
  <c r="D15" i="2"/>
  <c r="G30" i="2"/>
  <c r="U8" i="2"/>
  <c r="W7" i="2"/>
  <c r="AR71" i="3"/>
  <c r="D5" i="2"/>
  <c r="M6" i="2"/>
  <c r="AR41" i="3"/>
  <c r="D39" i="3"/>
  <c r="F37" i="3"/>
  <c r="D46" i="3"/>
  <c r="EJ5" i="4" a="1"/>
  <c r="DR16" i="4" a="1"/>
  <c r="EG5" i="4" a="1"/>
  <c r="K14" i="4" a="1"/>
  <c r="F23" i="2"/>
  <c r="O32" i="2"/>
  <c r="L20" i="2"/>
  <c r="D29" i="2"/>
  <c r="C28" i="2"/>
  <c r="G10" i="2"/>
  <c r="R14" i="2"/>
  <c r="F29" i="2"/>
  <c r="R27" i="2"/>
  <c r="R19" i="2"/>
  <c r="K27" i="2"/>
  <c r="F39" i="3"/>
  <c r="AD13" i="3"/>
  <c r="G15" i="3"/>
  <c r="AD16" i="3"/>
  <c r="BF9" i="4" a="1"/>
  <c r="AC11" i="4" a="1"/>
  <c r="BK13" i="4" a="1"/>
  <c r="M5" i="4" a="1"/>
  <c r="BI5" i="4" a="1"/>
  <c r="V5" i="4" a="1"/>
  <c r="M14" i="2"/>
  <c r="I14" i="2"/>
  <c r="D8" i="2"/>
  <c r="K10" i="2"/>
  <c r="R21" i="2"/>
  <c r="N31" i="2"/>
  <c r="L18" i="2"/>
  <c r="S8" i="2"/>
  <c r="R17" i="2"/>
  <c r="E5" i="2"/>
  <c r="I34" i="2"/>
  <c r="J46" i="3"/>
  <c r="D29" i="3"/>
  <c r="D8" i="3"/>
  <c r="AR29" i="3"/>
  <c r="T35" i="2"/>
  <c r="N9" i="2"/>
  <c r="F6" i="2"/>
  <c r="P23" i="2"/>
  <c r="N14" i="2"/>
  <c r="D10" i="2"/>
  <c r="H27" i="2"/>
  <c r="Q20" i="2"/>
  <c r="R36" i="2"/>
  <c r="C26" i="2"/>
  <c r="X29" i="2"/>
  <c r="H45" i="3"/>
  <c r="W46" i="3"/>
  <c r="P45" i="3"/>
  <c r="F7" i="3"/>
  <c r="DZ14" i="4" a="1"/>
  <c r="DK5" i="4" a="1"/>
  <c r="T7" i="4" a="1"/>
  <c r="F24" i="2"/>
  <c r="U36" i="2"/>
  <c r="J33" i="2"/>
  <c r="F17" i="2"/>
  <c r="D12" i="2"/>
  <c r="E31" i="2"/>
  <c r="H7" i="2"/>
  <c r="M15" i="2"/>
  <c r="C7" i="2"/>
  <c r="J16" i="2"/>
  <c r="M21" i="2"/>
  <c r="D37" i="3"/>
  <c r="G46" i="3"/>
  <c r="F24" i="3"/>
  <c r="E27" i="3"/>
  <c r="Y16" i="4" a="1"/>
  <c r="BE11" i="4" a="1"/>
  <c r="AC16" i="4" a="1"/>
  <c r="BH12" i="4" a="1"/>
  <c r="BZ9" i="4" a="1"/>
  <c r="DG16" i="4" a="1"/>
  <c r="Q22" i="2"/>
  <c r="D47" i="2"/>
  <c r="J15" i="2"/>
  <c r="O5" i="2"/>
  <c r="F33" i="2"/>
  <c r="K18" i="2"/>
  <c r="P10" i="2"/>
  <c r="E6" i="3"/>
  <c r="E7" i="3"/>
  <c r="DH14" i="4" a="1"/>
  <c r="DQ16" i="4" a="1"/>
  <c r="CV6" i="4" a="1"/>
  <c r="EK8" i="4" a="1"/>
  <c r="CS12" i="4" a="1"/>
  <c r="CH6" i="4" a="1"/>
  <c r="DT16" i="4" a="1"/>
  <c r="AN9" i="4" a="1"/>
  <c r="L7" i="4" a="1"/>
  <c r="L13" i="2"/>
  <c r="R32" i="2"/>
  <c r="O28" i="2"/>
  <c r="I22" i="2"/>
  <c r="AF50" i="3"/>
  <c r="C13" i="2"/>
  <c r="F33" i="3"/>
  <c r="G16" i="3"/>
  <c r="AJ12" i="4" a="1"/>
  <c r="AM7" i="4" a="1"/>
  <c r="DC12" i="4" a="1"/>
  <c r="BL8" i="4" a="1"/>
  <c r="BK15" i="4" a="1"/>
  <c r="DT9" i="4" a="1"/>
  <c r="AW7" i="4" a="1"/>
  <c r="AJ16" i="4" a="1"/>
  <c r="CH13" i="4" a="1"/>
  <c r="BO9" i="4" a="1"/>
  <c r="AU12" i="4" a="1"/>
  <c r="O6" i="2"/>
  <c r="N25" i="2"/>
  <c r="W18" i="2"/>
  <c r="M20" i="2"/>
  <c r="J17" i="2"/>
  <c r="AR58" i="3"/>
  <c r="D19" i="3"/>
  <c r="D27" i="3"/>
  <c r="BB8" i="4" a="1"/>
  <c r="AN8" i="4" a="1"/>
  <c r="R6" i="4" a="1"/>
  <c r="AF9" i="4" a="1"/>
  <c r="AZ8" i="4" a="1"/>
  <c r="CJ11" i="4" a="1"/>
  <c r="AR8" i="4" a="1"/>
  <c r="AS9" i="4" a="1"/>
  <c r="F7" i="4" a="1"/>
  <c r="N7" i="4" a="1"/>
  <c r="DZ9" i="4" a="1"/>
  <c r="BL11" i="4" a="1"/>
  <c r="EE8" i="4" a="1"/>
  <c r="M18" i="2"/>
  <c r="Q17" i="2"/>
  <c r="D22" i="2"/>
  <c r="E28" i="2"/>
  <c r="T23" i="2"/>
  <c r="G12" i="2"/>
  <c r="F29" i="3"/>
  <c r="N46" i="3"/>
  <c r="CK15" i="4" a="1"/>
  <c r="D6" i="4" a="1"/>
  <c r="BS7" i="4" a="1"/>
  <c r="DD9" i="4" a="1"/>
  <c r="D15" i="4" a="1"/>
  <c r="CK11" i="4" a="1"/>
  <c r="U14" i="4" a="1"/>
  <c r="AK15" i="4" a="1"/>
  <c r="AS8" i="4" a="1"/>
  <c r="BM5" i="4" a="1"/>
  <c r="AE13" i="4" a="1"/>
  <c r="DI5" i="4" a="1"/>
  <c r="EB11" i="4" a="1"/>
  <c r="G36" i="2"/>
  <c r="H19" i="2"/>
  <c r="E29" i="2"/>
  <c r="V22" i="2"/>
  <c r="E36" i="2"/>
  <c r="AR65" i="3"/>
  <c r="F25" i="3"/>
  <c r="AN46" i="3"/>
  <c r="BY8" i="4" a="1"/>
  <c r="AI7" i="4" a="1"/>
  <c r="BX16" i="4" a="1"/>
  <c r="DX13" i="4" a="1"/>
  <c r="BU13" i="4" a="1"/>
  <c r="BM14" i="4" a="1"/>
  <c r="DX8" i="4" a="1"/>
  <c r="K12" i="2"/>
  <c r="P6" i="2"/>
  <c r="Q36" i="2"/>
  <c r="F17" i="3"/>
  <c r="G20" i="3"/>
  <c r="CQ6" i="4" a="1"/>
  <c r="AD5" i="4" a="1"/>
  <c r="AI5" i="4" a="1"/>
  <c r="AA6" i="4" a="1"/>
  <c r="AO7" i="4" a="1"/>
  <c r="CN12" i="4" a="1"/>
  <c r="BZ7" i="4" a="1"/>
  <c r="DA9" i="4" a="1"/>
  <c r="BH8" i="4" a="1"/>
  <c r="EK7" i="4" a="1"/>
  <c r="AM13" i="4" a="1"/>
  <c r="H24" i="2"/>
  <c r="J12" i="2"/>
  <c r="X17" i="2"/>
  <c r="AR77" i="3"/>
  <c r="AO45" i="3"/>
  <c r="BD6" i="4" a="1"/>
  <c r="BE8" i="4" a="1"/>
  <c r="BS15" i="4" a="1"/>
  <c r="AT15" i="4" a="1"/>
  <c r="BJ15" i="4" a="1"/>
  <c r="AI15" i="4" a="1"/>
  <c r="DN14" i="4" a="1"/>
  <c r="EE13" i="4" a="1"/>
  <c r="AW15" i="4" a="1"/>
  <c r="DJ11" i="4" a="1"/>
  <c r="AL9" i="4" a="1"/>
  <c r="CF5" i="4" a="1"/>
  <c r="E7" i="4" a="1"/>
  <c r="N5" i="4" a="1"/>
  <c r="EH12" i="4" a="1"/>
  <c r="DH16" i="4" a="1"/>
  <c r="D6" i="2"/>
  <c r="S23" i="2"/>
  <c r="J28" i="2"/>
  <c r="AR67" i="3"/>
  <c r="F13" i="3"/>
  <c r="CF7" i="4" a="1"/>
  <c r="DU8" i="4" a="1"/>
  <c r="DP12" i="4" a="1"/>
  <c r="CB5" i="4" a="1"/>
  <c r="DB7" i="4" a="1"/>
  <c r="DM16" i="4" a="1"/>
  <c r="BP14" i="4" a="1"/>
  <c r="CD14" i="4" a="1"/>
  <c r="EC13" i="4" a="1"/>
  <c r="EF8" i="4" a="1"/>
  <c r="DU13" i="4" a="1"/>
  <c r="J24" i="2"/>
  <c r="C19" i="2"/>
  <c r="W33" i="2"/>
  <c r="Q34" i="2"/>
  <c r="E21" i="3"/>
  <c r="S21" i="2"/>
  <c r="AB11" i="4" a="1"/>
  <c r="AS5" i="4" a="1"/>
  <c r="R6" i="2"/>
  <c r="AR45" i="3"/>
  <c r="P16" i="4" a="1"/>
  <c r="BL16" i="4" a="1"/>
  <c r="G7" i="4" a="1"/>
  <c r="AT13" i="4" a="1"/>
  <c r="R13" i="2"/>
  <c r="AR68" i="3"/>
  <c r="O46" i="3"/>
  <c r="BD15" i="4" a="1"/>
  <c r="CW7" i="4" a="1"/>
  <c r="BA6" i="4" a="1"/>
  <c r="L35" i="2"/>
  <c r="T6" i="2"/>
  <c r="AR20" i="3"/>
  <c r="O7" i="4" a="1"/>
  <c r="AJ9" i="4" a="1"/>
  <c r="DX11" i="4" a="1"/>
  <c r="DR8" i="4" a="1"/>
  <c r="EK9" i="4" a="1"/>
  <c r="J27" i="2"/>
  <c r="P11" i="2"/>
  <c r="H5" i="2"/>
  <c r="EH5" i="4" a="1"/>
  <c r="CO13" i="4" a="1"/>
  <c r="AN11" i="4" a="1"/>
  <c r="L16" i="4" a="1"/>
  <c r="AV5" i="4" a="1"/>
  <c r="CY13" i="4" a="1"/>
  <c r="R7" i="4" a="1"/>
  <c r="AC13" i="4" a="1"/>
  <c r="DS7" i="4" a="1"/>
  <c r="EE7" i="4" a="1"/>
  <c r="BF8" i="4" a="1"/>
  <c r="N5" i="2"/>
  <c r="R20" i="2"/>
  <c r="C23" i="2"/>
  <c r="E30" i="3"/>
  <c r="M7" i="4" a="1"/>
  <c r="EJ16" i="4" a="1"/>
  <c r="EA16" i="4" a="1"/>
  <c r="AY5" i="4" a="1"/>
  <c r="CC6" i="4" a="1"/>
  <c r="CJ6" i="4" a="1"/>
  <c r="BR8" i="4" a="1"/>
  <c r="R25" i="2"/>
  <c r="P16" i="2"/>
  <c r="V27" i="2"/>
  <c r="N9" i="4" a="1"/>
  <c r="AK13" i="4" a="1"/>
  <c r="CF12" i="4" a="1"/>
  <c r="BE5" i="4" a="1"/>
  <c r="EA9" i="4" a="1"/>
  <c r="DP6" i="4" a="1"/>
  <c r="BR15" i="4" a="1"/>
  <c r="DL7" i="4" a="1"/>
  <c r="AW11" i="4" a="1"/>
  <c r="S14" i="4" a="1"/>
  <c r="CV16" i="4" a="1"/>
  <c r="AO6" i="4" a="1"/>
  <c r="AO15" i="4" a="1"/>
  <c r="BM7" i="4" a="1"/>
  <c r="J10" i="2"/>
  <c r="P19" i="2"/>
  <c r="AR90" i="3"/>
  <c r="AE46" i="3"/>
  <c r="F40" i="3"/>
  <c r="EI14" i="4" a="1"/>
  <c r="AD7" i="4" a="1"/>
  <c r="DQ5" i="4" a="1"/>
  <c r="CG14" i="4" a="1"/>
  <c r="CA11" i="4" a="1"/>
  <c r="AU15" i="4" a="1"/>
  <c r="K6" i="4" a="1"/>
  <c r="BD14" i="4" a="1"/>
  <c r="DU9" i="4" a="1"/>
  <c r="DV12" i="4" a="1"/>
  <c r="AF14" i="4" a="1"/>
  <c r="V12" i="2"/>
  <c r="T7" i="2"/>
  <c r="P31" i="2"/>
  <c r="T17" i="2"/>
  <c r="E24" i="3"/>
  <c r="AG12" i="4" a="1"/>
  <c r="CH7" i="4" a="1"/>
  <c r="DA8" i="4" a="1"/>
  <c r="AB5" i="4" a="1"/>
  <c r="CD15" i="4" a="1"/>
  <c r="AJ7" i="4" a="1"/>
  <c r="BY11" i="4" a="1"/>
  <c r="CO16" i="4" a="1"/>
  <c r="AH6" i="4" a="1"/>
  <c r="DM14" i="4" a="1"/>
  <c r="BB7" i="4" a="1"/>
  <c r="L8" i="4" a="1"/>
  <c r="G15" i="4" a="1"/>
  <c r="Q28" i="2"/>
  <c r="T33" i="2"/>
  <c r="P27" i="2"/>
  <c r="O20" i="2"/>
  <c r="K6" i="2"/>
  <c r="J30" i="2"/>
  <c r="G28" i="3"/>
  <c r="BF7" i="4" a="1"/>
  <c r="CN14" i="4" a="1"/>
  <c r="BV15" i="4" a="1"/>
  <c r="K9" i="4" a="1"/>
  <c r="DN6" i="4" a="1"/>
  <c r="N36" i="2"/>
  <c r="D26" i="2"/>
  <c r="C15" i="2"/>
  <c r="C9" i="4" a="1"/>
  <c r="CJ13" i="4" a="1"/>
  <c r="EF7" i="4" a="1"/>
  <c r="AS14" i="4" a="1"/>
  <c r="N15" i="4" a="1"/>
  <c r="AF5" i="4" a="1"/>
  <c r="Z14" i="4" a="1"/>
  <c r="CK12" i="4" a="1"/>
  <c r="BR14" i="4" a="1"/>
  <c r="DB15" i="4" a="1"/>
  <c r="AD45" i="3"/>
  <c r="K13" i="4" a="1"/>
  <c r="DV14" i="4" a="1"/>
  <c r="EJ6" i="4" a="1"/>
  <c r="BW16" i="4" a="1"/>
  <c r="DY13" i="4" a="1"/>
  <c r="Q26" i="2"/>
  <c r="AR39" i="3"/>
  <c r="AB9" i="4" a="1"/>
  <c r="DO16" i="4" a="1"/>
  <c r="BK9" i="4" a="1"/>
  <c r="DV8" i="4" a="1"/>
  <c r="AX7" i="4" a="1"/>
  <c r="BQ6" i="4" a="1"/>
  <c r="H13" i="4" a="1"/>
  <c r="W14" i="4" a="1"/>
  <c r="CQ7" i="4" a="1"/>
  <c r="DU14" i="4" a="1"/>
  <c r="CH9" i="4" a="1"/>
  <c r="C8" i="4" a="1"/>
  <c r="AP8" i="4" a="1"/>
  <c r="R5" i="4" a="1"/>
  <c r="DI11" i="4" a="1"/>
  <c r="P15" i="4" a="1"/>
  <c r="EG8" i="4" a="1"/>
  <c r="BA16" i="4" a="1"/>
  <c r="T20" i="2"/>
  <c r="DO14" i="4" a="1"/>
  <c r="CG8" i="4" a="1"/>
  <c r="DB12" i="4" a="1"/>
  <c r="CN13" i="4" a="1"/>
  <c r="DH5" i="4" a="1"/>
  <c r="AN5" i="4" a="1"/>
  <c r="CL14" i="4" a="1"/>
  <c r="EK11" i="4" a="1"/>
  <c r="H14" i="4" a="1"/>
  <c r="X11" i="4" a="1"/>
  <c r="CE6" i="4" a="1"/>
  <c r="E8" i="3"/>
  <c r="AP14" i="4" a="1"/>
  <c r="Y15" i="4" a="1"/>
  <c r="F5" i="2"/>
  <c r="AR13" i="3"/>
  <c r="BL12" i="4" a="1"/>
  <c r="AA9" i="4" a="1"/>
  <c r="CZ11" i="4" a="1"/>
  <c r="F21" i="3"/>
  <c r="EB7" i="4" a="1"/>
  <c r="T25" i="2"/>
  <c r="DQ6" i="4" a="1"/>
  <c r="DE13" i="4" a="1"/>
  <c r="EB5" i="4" a="1"/>
  <c r="F12" i="3"/>
  <c r="N21" i="2"/>
  <c r="CY6" i="4" a="1"/>
  <c r="CC16" i="4" a="1"/>
  <c r="DC14" i="4" a="1"/>
  <c r="H5" i="4" a="1"/>
  <c r="CH12" i="4" a="1"/>
  <c r="X12" i="4" a="1"/>
  <c r="EB13" i="4" a="1"/>
  <c r="BU15" i="4" a="1"/>
  <c r="N8" i="4" a="1"/>
  <c r="AB7" i="4" a="1"/>
  <c r="BA12" i="4" a="1"/>
  <c r="AF6" i="4" a="1"/>
  <c r="BM6" i="4" a="1"/>
  <c r="AO8" i="4" a="1"/>
  <c r="L24" i="2"/>
  <c r="O31" i="2"/>
  <c r="AM5" i="4" a="1"/>
  <c r="AZ9" i="4" a="1"/>
  <c r="G14" i="2"/>
  <c r="AZ14" i="4" a="1"/>
  <c r="W13" i="4" a="1"/>
  <c r="M6" i="4" a="1"/>
  <c r="EH8" i="4" a="1"/>
  <c r="P12" i="4" a="1"/>
  <c r="H6" i="2"/>
  <c r="AR80" i="3"/>
  <c r="Z46" i="3"/>
  <c r="EC7" i="4" a="1"/>
  <c r="X8" i="4" a="1"/>
  <c r="V16" i="4" a="1"/>
  <c r="E14" i="2"/>
  <c r="AR72" i="3"/>
  <c r="G25" i="3"/>
  <c r="O6" i="4" a="1"/>
  <c r="AJ5" i="4" a="1"/>
  <c r="DH13" i="4" a="1"/>
  <c r="DL12" i="4" a="1"/>
  <c r="BJ13" i="4" a="1"/>
  <c r="C17" i="2"/>
  <c r="Q23" i="2"/>
  <c r="F8" i="3"/>
  <c r="EI16" i="4" a="1"/>
  <c r="DL13" i="4" a="1"/>
  <c r="L6" i="4" a="1"/>
  <c r="BD12" i="4" a="1"/>
  <c r="CM14" i="4" a="1"/>
  <c r="AD6" i="4" a="1"/>
  <c r="AO13" i="4" a="1"/>
  <c r="AZ11" i="4" a="1"/>
  <c r="DV9" i="4" a="1"/>
  <c r="DW8" i="4" a="1"/>
  <c r="CP16" i="4" a="1"/>
  <c r="J13" i="2"/>
  <c r="X25" i="2"/>
  <c r="I13" i="2"/>
  <c r="AD9" i="4" a="1"/>
  <c r="CZ15" i="4" a="1"/>
  <c r="CC13" i="4" a="1"/>
  <c r="BQ15" i="4" a="1"/>
  <c r="AE11" i="4" a="1"/>
  <c r="CG5" i="4" a="1"/>
  <c r="DI15" i="4" a="1"/>
  <c r="M15" i="4" a="1"/>
  <c r="L10" i="2"/>
  <c r="M36" i="2"/>
  <c r="G11" i="3"/>
  <c r="EC15" i="4" a="1"/>
  <c r="AA12" i="4" a="1"/>
  <c r="CH8" i="4" a="1"/>
  <c r="AA16" i="4" a="1"/>
  <c r="F13" i="4" a="1"/>
  <c r="AZ13" i="4" a="1"/>
  <c r="F6" i="4" a="1"/>
  <c r="BL14" i="4" a="1"/>
  <c r="BT12" i="4" a="1"/>
  <c r="CP5" i="4" a="1"/>
  <c r="H11" i="4" a="1"/>
  <c r="CC9" i="4" a="1"/>
  <c r="EG13" i="4" a="1"/>
  <c r="F13" i="2"/>
  <c r="K21" i="2"/>
  <c r="K20" i="2"/>
  <c r="X36" i="2"/>
  <c r="T46" i="3"/>
  <c r="DT7" i="4" a="1"/>
  <c r="BN16" i="4" a="1"/>
  <c r="ED9" i="4" a="1"/>
  <c r="AY11" i="4" a="1"/>
  <c r="BW12" i="4" a="1"/>
  <c r="CL6" i="4" a="1"/>
  <c r="T15" i="4" a="1"/>
  <c r="DJ7" i="4" a="1"/>
  <c r="DT5" i="4" a="1"/>
  <c r="BZ16" i="4" a="1"/>
  <c r="AZ16" i="4" a="1"/>
  <c r="EH15" i="4" a="1"/>
  <c r="K87" i="2"/>
  <c r="D23" i="2"/>
  <c r="S18" i="2"/>
  <c r="AR34" i="3"/>
  <c r="G12" i="3"/>
  <c r="CN11" i="4" a="1"/>
  <c r="CB9" i="4" a="1"/>
  <c r="CT12" i="4" a="1"/>
  <c r="DH6" i="4" a="1"/>
  <c r="BC16" i="4" a="1"/>
  <c r="CQ5" i="4" a="1"/>
  <c r="CO5" i="4" a="1"/>
  <c r="P5" i="4" a="1"/>
  <c r="EC5" i="4" a="1"/>
  <c r="AX12" i="4" a="1"/>
  <c r="CX9" i="4" a="1"/>
  <c r="DZ15" i="4" a="1"/>
  <c r="CX11" i="4" a="1"/>
  <c r="L29" i="2"/>
  <c r="O30" i="2"/>
  <c r="O26" i="2"/>
  <c r="X5" i="2"/>
  <c r="L11" i="2"/>
  <c r="E40" i="3"/>
  <c r="G29" i="3"/>
  <c r="DY11" i="4" a="1"/>
  <c r="J7" i="4" a="1"/>
  <c r="DZ6" i="4" a="1"/>
  <c r="DJ16" i="4" a="1"/>
  <c r="AR9" i="4" a="1"/>
  <c r="O13" i="2"/>
  <c r="E35" i="2"/>
  <c r="F10" i="3"/>
  <c r="CX6" i="4" a="1"/>
  <c r="EI12" i="4" a="1"/>
  <c r="DL16" i="4" a="1"/>
  <c r="CW11" i="4" a="1"/>
  <c r="AS16" i="4" a="1"/>
  <c r="E5" i="4" a="1"/>
  <c r="L12" i="4" a="1"/>
  <c r="EG15" i="4" a="1"/>
  <c r="DW7" i="4" a="1"/>
  <c r="CB11" i="4" a="1"/>
  <c r="DP7" i="4" a="1"/>
  <c r="DU12" i="4" a="1"/>
  <c r="D14" i="3"/>
  <c r="EH6" i="4" a="1"/>
  <c r="BZ13" i="4" a="1"/>
  <c r="DP13" i="4" a="1"/>
  <c r="F16" i="2"/>
  <c r="X13" i="4" a="1"/>
  <c r="ED6" i="4" a="1"/>
  <c r="CQ11" i="4" a="1"/>
  <c r="DO15" i="4" a="1"/>
  <c r="DX16" i="4" a="1"/>
  <c r="CC12" i="4" a="1"/>
  <c r="EJ15" i="4" a="1"/>
  <c r="CJ15" i="4" a="1"/>
  <c r="AS12" i="4" a="1"/>
  <c r="AY14" i="4" a="1"/>
  <c r="BA13" i="4" a="1"/>
  <c r="DK8" i="4" a="1"/>
  <c r="DF13" i="4" a="1"/>
  <c r="DS11" i="4" a="1"/>
  <c r="CI5" i="4" a="1"/>
  <c r="DN16" i="4" a="1"/>
  <c r="Z12" i="4" a="1"/>
  <c r="DD7" i="4" a="1"/>
  <c r="G15" i="2"/>
  <c r="J23" i="2"/>
  <c r="DL15" i="4" a="1"/>
  <c r="CP12" i="4" a="1"/>
  <c r="AE15" i="4" a="1"/>
  <c r="H15" i="4" a="1"/>
  <c r="AQ8" i="4" a="1"/>
  <c r="DM9" i="4" a="1"/>
  <c r="DE7" i="4" a="1"/>
  <c r="S13" i="4" a="1"/>
  <c r="DI9" i="4" a="1"/>
  <c r="U7" i="4" a="1"/>
  <c r="CD16" i="4" a="1"/>
  <c r="C7" i="4" a="1"/>
  <c r="D16" i="4" a="1"/>
  <c r="AC8" i="4" a="1"/>
  <c r="F7" i="2"/>
  <c r="C46" i="3"/>
  <c r="AC12" i="4" a="1"/>
  <c r="CZ8" i="4" a="1"/>
  <c r="F5" i="4" a="1"/>
  <c r="BC15" i="4" a="1"/>
  <c r="G16" i="2"/>
  <c r="E28" i="3"/>
  <c r="AW9" i="4" a="1"/>
  <c r="CE15" i="4" a="1"/>
  <c r="DD6" i="4" a="1"/>
  <c r="T36" i="2"/>
  <c r="J14" i="2"/>
  <c r="CZ12" i="4" a="1"/>
  <c r="BJ5" i="4" a="1"/>
  <c r="BA15" i="4" a="1"/>
  <c r="AH7" i="4" a="1"/>
  <c r="CL5" i="4" a="1"/>
  <c r="CZ13" i="4" a="1"/>
  <c r="DA15" i="4" a="1"/>
  <c r="AG6" i="4" a="1"/>
  <c r="CN5" i="4" a="1"/>
  <c r="O14" i="4" a="1"/>
  <c r="BU16" i="4" a="1"/>
  <c r="CU11" i="4" a="1"/>
  <c r="DC8" i="4" a="1"/>
  <c r="AN6" i="4" a="1"/>
  <c r="J5" i="2"/>
  <c r="M8" i="4" a="1"/>
  <c r="C36" i="2"/>
  <c r="EA14" i="4" a="1"/>
  <c r="G20" i="2"/>
  <c r="AR74" i="3"/>
  <c r="BH5" i="4" a="1"/>
  <c r="DC15" i="4" a="1"/>
  <c r="CB15" i="4" a="1"/>
  <c r="DJ8" i="4" a="1"/>
  <c r="E11" i="4" a="1"/>
  <c r="E17" i="2"/>
  <c r="AK9" i="4" a="1"/>
  <c r="BG11" i="4" a="1"/>
  <c r="CE7" i="4" a="1"/>
  <c r="CT6" i="4" a="1"/>
  <c r="EF9" i="4" a="1"/>
  <c r="EF16" i="4" a="1"/>
  <c r="AB8" i="4" a="1"/>
  <c r="BF6" i="4" a="1"/>
  <c r="DV13" i="4" a="1"/>
  <c r="H21" i="2"/>
  <c r="BY15" i="4" a="1"/>
  <c r="EK13" i="4" a="1"/>
  <c r="BG12" i="4" a="1"/>
  <c r="E8" i="2"/>
  <c r="N13" i="4" a="1"/>
  <c r="CE16" i="4" a="1"/>
  <c r="AN12" i="4" a="1"/>
  <c r="DK6" i="4" a="1"/>
  <c r="AK45" i="3"/>
  <c r="CS13" i="4" a="1"/>
  <c r="C24" i="2"/>
  <c r="X35" i="2"/>
  <c r="AB13" i="4" a="1"/>
  <c r="DJ6" i="4" a="1"/>
  <c r="I15" i="4" a="1"/>
  <c r="O9" i="4" a="1"/>
  <c r="CP6" i="4" a="1"/>
  <c r="CY5" i="4" a="1"/>
  <c r="BI12" i="4" a="1"/>
  <c r="EB9" i="4" a="1"/>
  <c r="G60" i="3"/>
  <c r="G93" i="3"/>
  <c r="G88" i="3"/>
  <c r="G55" i="3"/>
  <c r="F76" i="3"/>
  <c r="X46" i="3"/>
  <c r="G12" i="4" a="1"/>
  <c r="I8" i="4" a="1"/>
  <c r="L28" i="2"/>
  <c r="AT14" i="4" a="1"/>
  <c r="BC5" i="4" a="1"/>
  <c r="BV9" i="4" a="1"/>
  <c r="AW12" i="4" a="1"/>
  <c r="H17" i="2"/>
  <c r="I5" i="2"/>
  <c r="U9" i="2"/>
  <c r="AR26" i="3"/>
  <c r="CM8" i="4" a="1"/>
  <c r="AF8" i="4" a="1"/>
  <c r="EI9" i="4" a="1"/>
  <c r="F34" i="2"/>
  <c r="X32" i="2"/>
  <c r="DM5" i="4" a="1"/>
  <c r="AH5" i="4" a="1"/>
  <c r="E9" i="4" a="1"/>
  <c r="DZ13" i="4" a="1"/>
  <c r="AW13" i="4" a="1"/>
  <c r="CH11" i="4" a="1"/>
  <c r="T15" i="2"/>
  <c r="C18" i="2"/>
  <c r="AC46" i="3"/>
  <c r="AH13" i="4" a="1"/>
  <c r="BE7" i="4" a="1"/>
  <c r="CL12" i="4" a="1"/>
  <c r="BB11" i="4" a="1"/>
  <c r="BR7" i="4" a="1"/>
  <c r="N6" i="4" a="1"/>
  <c r="V13" i="4" a="1"/>
  <c r="AR6" i="4" a="1"/>
  <c r="CX13" i="4" a="1"/>
  <c r="BW5" i="4" a="1"/>
  <c r="H8" i="4" a="1"/>
  <c r="L7" i="2"/>
  <c r="Q10" i="2"/>
  <c r="G13" i="2"/>
  <c r="CI15" i="4" a="1"/>
  <c r="CK14" i="4" a="1"/>
  <c r="X9" i="4" a="1"/>
  <c r="CE13" i="4" a="1"/>
  <c r="I12" i="4" a="1"/>
  <c r="BN8" i="4" a="1"/>
  <c r="H16" i="4" a="1"/>
  <c r="BF16" i="4" a="1"/>
  <c r="Q11" i="2"/>
  <c r="G9" i="2"/>
  <c r="G26" i="3"/>
  <c r="CT11" i="4" a="1"/>
  <c r="CJ9" i="4" a="1"/>
  <c r="K16" i="4" a="1"/>
  <c r="BV11" i="4" a="1"/>
  <c r="L11" i="4" a="1"/>
  <c r="V9" i="4" a="1"/>
  <c r="EH9" i="4" a="1"/>
  <c r="CV11" i="4" a="1"/>
  <c r="BN12" i="4" a="1"/>
  <c r="BO7" i="4" a="1"/>
  <c r="DS15" i="4" a="1"/>
  <c r="AN16" i="4" a="1"/>
  <c r="DR13" i="4" a="1"/>
  <c r="O8" i="2"/>
  <c r="E30" i="2"/>
  <c r="G28" i="2"/>
  <c r="S24" i="2"/>
  <c r="E22" i="3"/>
  <c r="BU6" i="4" a="1"/>
  <c r="DG13" i="4" a="1"/>
  <c r="EI6" i="4" a="1"/>
  <c r="EE16" i="4" a="1"/>
  <c r="AG14" i="4" a="1"/>
  <c r="CK13" i="4" a="1"/>
  <c r="CS6" i="4" a="1"/>
  <c r="DZ7" i="4" a="1"/>
  <c r="DX15" i="4" a="1"/>
  <c r="T5" i="4" a="1"/>
  <c r="AU8" i="4" a="1"/>
  <c r="CE9" i="4" a="1"/>
  <c r="X8" i="2"/>
  <c r="N26" i="2"/>
  <c r="AS49" i="3"/>
  <c r="AD10" i="3"/>
  <c r="AM45" i="3"/>
  <c r="DC9" i="4" a="1"/>
  <c r="CP14" i="4" a="1"/>
  <c r="BQ8" i="4" a="1"/>
  <c r="T6" i="4" a="1"/>
  <c r="CY8" i="4" a="1"/>
  <c r="AX14" i="4" a="1"/>
  <c r="CP7" i="4" a="1"/>
  <c r="EF11" i="4" a="1"/>
  <c r="CD13" i="4" a="1"/>
  <c r="DO13" i="4" a="1"/>
  <c r="BH13" i="4" a="1"/>
  <c r="AH16" i="4" a="1"/>
  <c r="CI9" i="4" a="1"/>
  <c r="K28" i="2"/>
  <c r="C34" i="2"/>
  <c r="X9" i="2"/>
  <c r="S28" i="2"/>
  <c r="AR50" i="3"/>
  <c r="D36" i="3"/>
  <c r="K45" i="3"/>
  <c r="DH12" i="4" a="1"/>
  <c r="CU9" i="4" a="1"/>
  <c r="EJ12" i="4" a="1"/>
  <c r="N12" i="4" a="1"/>
  <c r="V8" i="4" a="1"/>
  <c r="E32" i="2"/>
  <c r="L15" i="2"/>
  <c r="AB45" i="3"/>
  <c r="AI13" i="4" a="1"/>
  <c r="AA13" i="4" a="1"/>
  <c r="AC9" i="4" a="1"/>
  <c r="AY13" i="4" a="1"/>
  <c r="AV6" i="4" a="1"/>
  <c r="AT11" i="4" a="1"/>
  <c r="AS7" i="4" a="1"/>
  <c r="BC11" i="4" a="1"/>
  <c r="DB6" i="4" a="1"/>
  <c r="W16" i="4" a="1"/>
  <c r="BP16" i="4" a="1"/>
  <c r="AW16" i="4" a="1"/>
  <c r="AA46" i="3"/>
  <c r="BE14" i="4" a="1"/>
  <c r="Q15" i="4" a="1"/>
  <c r="W36" i="2"/>
  <c r="E16" i="2"/>
  <c r="BE15" i="4" a="1"/>
  <c r="AX16" i="4" a="1"/>
  <c r="BP15" i="4" a="1"/>
  <c r="CJ14" i="4" a="1"/>
  <c r="BX14" i="4" a="1"/>
  <c r="BS5" i="4" a="1"/>
  <c r="EE5" i="4" a="1"/>
  <c r="DH11" i="4" a="1"/>
  <c r="AH14" i="4" a="1"/>
  <c r="O12" i="4" a="1"/>
  <c r="CW8" i="4" a="1"/>
  <c r="T21" i="2"/>
  <c r="BA7" i="4" a="1"/>
  <c r="AX5" i="4" a="1"/>
  <c r="DD11" i="4" a="1"/>
  <c r="DT15" i="4" a="1"/>
  <c r="CE12" i="4" a="1"/>
  <c r="CU13" i="4" a="1"/>
  <c r="O33" i="2"/>
  <c r="N20" i="2"/>
  <c r="EG14" i="4" a="1"/>
  <c r="AC6" i="4" a="1"/>
  <c r="G6" i="4" a="1"/>
  <c r="E13" i="4" a="1"/>
  <c r="BC7" i="4" a="1"/>
  <c r="CB16" i="4" a="1"/>
  <c r="CK16" i="4" a="1"/>
  <c r="AP12" i="4" a="1"/>
  <c r="D25" i="2"/>
  <c r="AW8" i="4" a="1"/>
  <c r="DD14" i="4" a="1"/>
  <c r="CS7" i="4" a="1"/>
  <c r="S9" i="4" a="1"/>
  <c r="J29" i="2"/>
  <c r="W27" i="2"/>
  <c r="F23" i="3"/>
  <c r="AU11" i="4" a="1"/>
  <c r="AL6" i="4" a="1"/>
  <c r="BW8" i="4" a="1"/>
  <c r="ED11" i="4" a="1"/>
  <c r="V33" i="2"/>
  <c r="BT7" i="4" a="1"/>
  <c r="CW6" i="4" a="1"/>
  <c r="Z11" i="4" a="1"/>
  <c r="Y9" i="4" a="1"/>
  <c r="D17" i="2"/>
  <c r="V25" i="2"/>
  <c r="EH16" i="4" a="1"/>
  <c r="AV8" i="4" a="1"/>
  <c r="C16" i="4" a="1"/>
  <c r="Z9" i="4" a="1"/>
  <c r="AT9" i="4" a="1"/>
  <c r="CJ16" i="4" a="1"/>
  <c r="I6" i="4" a="1"/>
  <c r="ED12" i="4" a="1"/>
  <c r="BZ12" i="4" a="1"/>
  <c r="AP6" i="4" a="1"/>
  <c r="CA14" i="4" a="1"/>
  <c r="AV13" i="4" a="1"/>
  <c r="I9" i="4" a="1"/>
  <c r="DZ5" i="4" a="1"/>
  <c r="D30" i="2"/>
  <c r="BM11" i="4" a="1"/>
  <c r="C16" i="2"/>
  <c r="M9" i="4" a="1"/>
  <c r="J22" i="2"/>
  <c r="J34" i="2"/>
  <c r="S15" i="4" a="1"/>
  <c r="U12" i="4" a="1"/>
  <c r="BT5" i="4" a="1"/>
  <c r="BT8" i="4" a="1"/>
  <c r="H20" i="2"/>
  <c r="AR94" i="3"/>
  <c r="AK46" i="3"/>
  <c r="BZ11" i="4" a="1"/>
  <c r="BQ16" i="4" a="1"/>
  <c r="L25" i="2"/>
  <c r="DF15" i="4" a="1"/>
  <c r="EA15" i="4" a="1"/>
  <c r="BS13" i="4" a="1"/>
  <c r="N11" i="4" a="1"/>
  <c r="R35" i="2"/>
  <c r="E25" i="2"/>
  <c r="E11" i="3"/>
  <c r="R16" i="4" a="1"/>
  <c r="J5" i="4" a="1"/>
  <c r="CE5" i="4" a="1"/>
  <c r="EH13" i="4" a="1"/>
  <c r="H31" i="2"/>
  <c r="AR66" i="3"/>
  <c r="BQ7" i="4" a="1"/>
  <c r="BK11" i="4" a="1"/>
  <c r="BB15" i="4" a="1"/>
  <c r="DJ9" i="4" a="1"/>
  <c r="EA11" i="4" a="1"/>
  <c r="AU9" i="4" a="1"/>
  <c r="N28" i="2"/>
  <c r="AR70" i="3"/>
  <c r="U45" i="3"/>
  <c r="BC12" i="4" a="1"/>
  <c r="AI8" i="4" a="1"/>
  <c r="F15" i="4" a="1"/>
  <c r="BR11" i="4" a="1"/>
  <c r="CU5" i="4" a="1"/>
  <c r="W9" i="4" a="1"/>
  <c r="DH9" i="4" a="1"/>
  <c r="O5" i="4" a="1"/>
  <c r="T14" i="4" a="1"/>
  <c r="BY12" i="4" a="1"/>
  <c r="DW9" i="4" a="1"/>
  <c r="G33" i="2"/>
  <c r="O10" i="2"/>
  <c r="D26" i="3"/>
  <c r="DV5" i="4" a="1"/>
  <c r="EC11" i="4" a="1"/>
  <c r="DS5" i="4" a="1"/>
  <c r="BG15" i="4" a="1"/>
  <c r="CI11" i="4" a="1"/>
  <c r="AP5" i="4" a="1"/>
  <c r="E15" i="4" a="1"/>
  <c r="DJ13" i="4" a="1"/>
  <c r="X16" i="2"/>
  <c r="AR56" i="3"/>
  <c r="E33" i="3"/>
  <c r="BV5" i="4" a="1"/>
  <c r="DP16" i="4" a="1"/>
  <c r="AW14" i="4" a="1"/>
  <c r="AL13" i="4" a="1"/>
  <c r="T9" i="4" a="1"/>
  <c r="EE15" i="4" a="1"/>
  <c r="EK14" i="4" a="1"/>
  <c r="AR15" i="4" a="1"/>
  <c r="BM12" i="4" a="1"/>
  <c r="CK7" i="4" a="1"/>
  <c r="L15" i="4" a="1"/>
  <c r="AN14" i="4" a="1"/>
  <c r="DI6" i="4" a="1"/>
  <c r="U12" i="2"/>
  <c r="I32" i="2"/>
  <c r="N6" i="2"/>
  <c r="AR73" i="3"/>
  <c r="G9" i="3"/>
  <c r="BR12" i="4" a="1"/>
  <c r="CJ5" i="4" a="1"/>
  <c r="DU5" i="4" a="1"/>
  <c r="EF15" i="4" a="1"/>
  <c r="Y12" i="4" a="1"/>
  <c r="AB6" i="4" a="1"/>
  <c r="DR14" i="4" a="1"/>
  <c r="H12" i="4" a="1"/>
  <c r="BY9" i="4" a="1"/>
  <c r="V7" i="4" a="1"/>
  <c r="AG8" i="4" a="1"/>
  <c r="X28" i="2"/>
  <c r="G31" i="2"/>
  <c r="P26" i="2"/>
  <c r="D11" i="2"/>
  <c r="X45" i="3"/>
  <c r="E16" i="4" a="1"/>
  <c r="K15" i="4" a="1"/>
  <c r="DP11" i="4" a="1"/>
  <c r="DQ15" i="4" a="1"/>
  <c r="EA7" i="4" a="1"/>
  <c r="AV11" i="4" a="1"/>
  <c r="AQ16" i="4" a="1"/>
  <c r="BB9" i="4" a="1"/>
  <c r="CV15" i="4" a="1"/>
  <c r="DR9" i="4" a="1"/>
  <c r="DH7" i="4" a="1"/>
  <c r="S8" i="4" a="1"/>
  <c r="EF12" i="4" a="1"/>
  <c r="CY7" i="4" a="1"/>
  <c r="R12" i="2"/>
  <c r="U19" i="2"/>
  <c r="S36" i="2"/>
  <c r="F9" i="2"/>
  <c r="W74" i="2"/>
  <c r="AI45" i="3"/>
  <c r="AB12" i="4" a="1"/>
  <c r="BY13" i="4" a="1"/>
  <c r="BK12" i="4" a="1"/>
  <c r="DA14" i="4" a="1"/>
  <c r="BX12" i="4" a="1"/>
  <c r="C8" i="2"/>
  <c r="Q46" i="2"/>
  <c r="L22" i="2"/>
  <c r="G24" i="3"/>
  <c r="DW6" i="4" a="1"/>
  <c r="BI15" i="4" a="1"/>
  <c r="CD11" i="4" a="1"/>
  <c r="BE13" i="4" a="1"/>
  <c r="DS9" i="4" a="1"/>
  <c r="BQ12" i="4" a="1"/>
  <c r="AD14" i="4" a="1"/>
  <c r="DA6" i="4" a="1"/>
  <c r="G8" i="4" a="1"/>
  <c r="DN13" i="4" a="1"/>
  <c r="P6" i="4" a="1"/>
  <c r="AJ6" i="4" a="1"/>
  <c r="BC9" i="4" a="1"/>
  <c r="BK7" i="4" a="1"/>
  <c r="EK6" i="4" a="1"/>
  <c r="R18" i="2"/>
  <c r="H33" i="2"/>
  <c r="AF16" i="4" a="1"/>
  <c r="DY14" i="4" a="1"/>
  <c r="CP15" i="4" a="1"/>
  <c r="CV7" i="4" a="1"/>
  <c r="AD15" i="4" a="1"/>
  <c r="CZ7" i="4" a="1"/>
  <c r="G16" i="4" a="1"/>
  <c r="DG6" i="4" a="1"/>
  <c r="D5" i="4" a="1"/>
  <c r="F14" i="4" a="1"/>
  <c r="CZ14" i="4" a="1"/>
  <c r="DA11" i="4" a="1"/>
  <c r="U8" i="4" a="1"/>
  <c r="BV12" i="4" a="1"/>
  <c r="DZ8" i="4" a="1"/>
  <c r="P8" i="2"/>
  <c r="BK16" i="4" a="1"/>
  <c r="Y13" i="4" a="1"/>
  <c r="S9" i="2"/>
  <c r="S45" i="3"/>
  <c r="CN8" i="4" a="1"/>
  <c r="CT5" i="4" a="1"/>
  <c r="CT13" i="4" a="1"/>
  <c r="CW5" i="4" a="1"/>
  <c r="CK9" i="4" a="1"/>
  <c r="J11" i="4" a="1"/>
  <c r="K5" i="4" a="1"/>
  <c r="DY15" i="4" a="1"/>
  <c r="AY12" i="4" a="1"/>
  <c r="Z6" i="4" a="1"/>
  <c r="BW14" i="4" a="1"/>
  <c r="AN13" i="4" a="1"/>
  <c r="R9" i="4" a="1"/>
  <c r="CH16" i="4" a="1"/>
  <c r="L30" i="2"/>
  <c r="AX8" i="4" a="1"/>
  <c r="CA9" i="4" a="1"/>
  <c r="DG7" i="4" a="1"/>
  <c r="EA12" i="4" a="1"/>
  <c r="CR7" i="4" a="1"/>
  <c r="S20" i="2"/>
  <c r="F9" i="4" a="1"/>
  <c r="AA15" i="4" a="1"/>
  <c r="BN14" i="4" a="1"/>
  <c r="CQ16" i="4" a="1"/>
  <c r="G26" i="2"/>
  <c r="AR24" i="3"/>
  <c r="CO9" i="4" a="1"/>
  <c r="CD6" i="4" a="1"/>
  <c r="Y7" i="4" a="1"/>
  <c r="BB12" i="4" a="1"/>
  <c r="AY8" i="4" a="1"/>
  <c r="CU7" i="4" a="1"/>
  <c r="AQ11" i="4" a="1"/>
  <c r="DD16" i="4" a="1"/>
  <c r="BG16" i="4" a="1"/>
  <c r="DY9" i="4" a="1"/>
  <c r="AF15" i="4" a="1"/>
  <c r="EI15" i="4" a="1"/>
  <c r="AT16" i="4" a="1"/>
  <c r="AV7" i="4" a="1"/>
  <c r="H46" i="3"/>
  <c r="DY12" i="4" a="1"/>
  <c r="G17" i="3"/>
  <c r="BF5" i="4" a="1"/>
  <c r="G5" i="2"/>
  <c r="AR21" i="3"/>
  <c r="I11" i="4" a="1"/>
  <c r="BQ11" i="4" a="1"/>
  <c r="BP9" i="4" a="1"/>
  <c r="U15" i="4" a="1"/>
  <c r="K23" i="2"/>
  <c r="AR59" i="3"/>
  <c r="BZ5" i="4" a="1"/>
  <c r="AV15" i="4" a="1"/>
  <c r="CV13" i="4" a="1"/>
  <c r="DK9" i="4" a="1"/>
  <c r="BN13" i="4" a="1"/>
  <c r="BR16" i="4" a="1"/>
  <c r="BC6" i="4" a="1"/>
  <c r="S6" i="4" a="1"/>
  <c r="O19" i="2"/>
  <c r="AR82" i="3"/>
  <c r="BW6" i="4" a="1"/>
  <c r="T11" i="4" a="1"/>
  <c r="BR6" i="4" a="1"/>
  <c r="K7" i="4" a="1"/>
  <c r="CR16" i="4" a="1"/>
  <c r="CQ9" i="4" a="1"/>
  <c r="CG13" i="4" a="1"/>
  <c r="EI13" i="4" a="1"/>
  <c r="AZ12" i="4" a="1"/>
  <c r="CY11" i="4" a="1"/>
  <c r="D5" i="3"/>
  <c r="CK6" i="4" a="1"/>
  <c r="Q8" i="4" a="1"/>
  <c r="AS47" i="3"/>
  <c r="T16" i="4" a="1"/>
  <c r="DE16" i="4" a="1"/>
  <c r="DT11" i="4" a="1"/>
  <c r="S12" i="4" a="1"/>
  <c r="P9" i="2"/>
  <c r="X31" i="2"/>
  <c r="D34" i="3"/>
  <c r="BM8" i="4" a="1"/>
  <c r="DY16" i="4" a="1"/>
  <c r="BB16" i="4" a="1"/>
  <c r="BT16" i="4" a="1"/>
  <c r="K30" i="2"/>
  <c r="AR9" i="3"/>
  <c r="DM12" i="4" a="1"/>
  <c r="I13" i="4" a="1"/>
  <c r="DV6" i="4" a="1"/>
  <c r="AE9" i="4" a="1"/>
  <c r="AG13" i="4" a="1"/>
  <c r="CR15" i="4" a="1"/>
  <c r="F11" i="2"/>
  <c r="J8" i="2"/>
  <c r="D45" i="3"/>
  <c r="DI14" i="4" a="1"/>
  <c r="F8" i="4" a="1"/>
  <c r="CH15" i="4" a="1"/>
  <c r="CC14" i="4" a="1"/>
  <c r="J13" i="4" a="1"/>
  <c r="CA5" i="4" a="1"/>
  <c r="DR15" i="4" a="1"/>
  <c r="EG11" i="4" a="1"/>
  <c r="Q6" i="4" a="1"/>
  <c r="CA13" i="4" a="1"/>
  <c r="AE5" i="4" a="1"/>
  <c r="V14" i="2"/>
  <c r="Q25" i="2"/>
  <c r="AR40" i="3"/>
  <c r="C15" i="4" a="1"/>
  <c r="X6" i="4" a="1"/>
  <c r="AR13" i="4" a="1"/>
  <c r="DQ7" i="4" a="1"/>
  <c r="CY14" i="4" a="1"/>
  <c r="DD5" i="4" a="1"/>
  <c r="DJ5" i="4" a="1"/>
  <c r="W9" i="2"/>
  <c r="H23" i="2"/>
  <c r="U24" i="2"/>
  <c r="AC45" i="3"/>
  <c r="CS14" i="4" a="1"/>
  <c r="DZ12" i="4" a="1"/>
  <c r="H6" i="4" a="1"/>
  <c r="CS5" i="4" a="1"/>
  <c r="DC13" i="4" a="1"/>
  <c r="DO11" i="4" a="1"/>
  <c r="C11" i="4" a="1"/>
  <c r="Y14" i="4" a="1"/>
  <c r="AD13" i="4" a="1"/>
  <c r="CB6" i="4" a="1"/>
  <c r="BX15" i="4" a="1"/>
  <c r="BI11" i="4" a="1"/>
  <c r="CM5" i="4" a="1"/>
  <c r="V7" i="2"/>
  <c r="J6" i="2"/>
  <c r="I33" i="2"/>
  <c r="F15" i="2"/>
  <c r="G10" i="3"/>
  <c r="DT12" i="4" a="1"/>
  <c r="CD8" i="4" a="1"/>
  <c r="BP8" i="4" a="1"/>
  <c r="DK16" i="4" a="1"/>
  <c r="AX13" i="4" a="1"/>
  <c r="CL11" i="4" a="1"/>
  <c r="E8" i="4" a="1"/>
  <c r="EB15" i="4" a="1"/>
  <c r="DD8" i="4" a="1"/>
  <c r="CU16" i="4" a="1"/>
  <c r="CS11" i="4" a="1"/>
  <c r="C21" i="2"/>
  <c r="U22" i="2"/>
  <c r="M29" i="2"/>
  <c r="S29" i="2"/>
  <c r="T45" i="3"/>
  <c r="BK8" i="4" a="1"/>
  <c r="AD11" i="4" a="1"/>
  <c r="T8" i="4" a="1"/>
  <c r="BP5" i="4" a="1"/>
  <c r="D11" i="4" a="1"/>
  <c r="BO15" i="4" a="1"/>
  <c r="EC14" i="4" a="1"/>
  <c r="BK5" i="4" a="1"/>
  <c r="P11" i="4" a="1"/>
  <c r="T13" i="4" a="1"/>
  <c r="BG13" i="4" a="1"/>
  <c r="AY15" i="4" a="1"/>
  <c r="BP6" i="4" a="1"/>
  <c r="BX11" i="4" a="1"/>
  <c r="I16" i="2"/>
  <c r="U17" i="2"/>
  <c r="G22" i="2"/>
  <c r="T14" i="2"/>
  <c r="AR85" i="3"/>
  <c r="G14" i="3"/>
  <c r="J8" i="4" a="1"/>
  <c r="W5" i="4" a="1"/>
  <c r="DK13" i="4" a="1"/>
  <c r="CL16" i="4" a="1"/>
  <c r="G11" i="4" a="1"/>
  <c r="I27" i="2"/>
  <c r="W21" i="2"/>
  <c r="E6" i="2"/>
  <c r="F28" i="3"/>
  <c r="AR12" i="4" a="1"/>
  <c r="CP9" i="4" a="1"/>
  <c r="AQ9" i="4" a="1"/>
  <c r="C14" i="4" a="1"/>
  <c r="EE9" i="4" a="1"/>
  <c r="S16" i="4" a="1"/>
  <c r="BD7" i="4" a="1"/>
  <c r="DF8" i="4" a="1"/>
  <c r="AR7" i="4" a="1"/>
  <c r="DO7" i="4" a="1"/>
  <c r="AS11" i="4" a="1"/>
  <c r="N16" i="4" a="1"/>
  <c r="DX9" i="4" a="1"/>
  <c r="BL6" i="4" a="1"/>
  <c r="BO11" i="4" a="1"/>
  <c r="T29" i="2"/>
  <c r="E5" i="3"/>
  <c r="BK6" i="4" a="1"/>
  <c r="BY14" i="4" a="1"/>
  <c r="K12" i="4" a="1"/>
  <c r="DS16" i="4" a="1"/>
  <c r="G13" i="4" a="1"/>
  <c r="AG5" i="4" a="1"/>
  <c r="DJ15" i="4" a="1"/>
  <c r="Q11" i="4" a="1"/>
  <c r="DS14" i="4" a="1"/>
  <c r="DY7" i="4" a="1"/>
  <c r="BI8" i="4" a="1"/>
  <c r="V15" i="4" a="1"/>
  <c r="K8" i="4" a="1"/>
  <c r="F11" i="3"/>
  <c r="CA7" i="4" a="1"/>
  <c r="AR11" i="4" a="1"/>
  <c r="E12" i="4" a="1"/>
  <c r="AC7" i="4" a="1"/>
  <c r="F25" i="2"/>
  <c r="AR25" i="3"/>
  <c r="DQ8" i="4" a="1"/>
  <c r="AW5" i="4" a="1"/>
  <c r="AL7" i="4" a="1"/>
  <c r="BH9" i="4" a="1"/>
  <c r="CS16" i="4" a="1"/>
  <c r="AO16" i="4" a="1"/>
  <c r="CP11" i="4" a="1"/>
  <c r="AT7" i="4" a="1"/>
  <c r="U6" i="4" a="1"/>
  <c r="BN5" i="4" a="1"/>
  <c r="C12" i="4" a="1"/>
  <c r="CJ12" i="4" a="1"/>
  <c r="BX7" i="4" a="1"/>
  <c r="D9" i="2"/>
  <c r="V30" i="2"/>
  <c r="DE11" i="4" a="1"/>
  <c r="CP8" i="4" a="1"/>
  <c r="BJ7" i="4" a="1"/>
  <c r="DC6" i="4" a="1"/>
  <c r="R12" i="4" a="1"/>
  <c r="H34" i="2"/>
  <c r="DO8" i="4" a="1"/>
  <c r="Q7" i="4" a="1"/>
  <c r="DC7" i="4" a="1"/>
  <c r="AQ6" i="4" a="1"/>
  <c r="P13" i="2"/>
  <c r="G21" i="3"/>
  <c r="BO12" i="4" a="1"/>
  <c r="BD11" i="4" a="1"/>
  <c r="EC12" i="4" a="1"/>
  <c r="X16" i="4" a="1"/>
  <c r="CL13" i="4" a="1"/>
  <c r="BD13" i="4" a="1"/>
  <c r="EC6" i="4" a="1"/>
  <c r="U13" i="4" a="1"/>
  <c r="EG9" i="4" a="1"/>
  <c r="AM14" i="4" a="1"/>
  <c r="CV8" i="4" a="1"/>
  <c r="EE14" i="4" a="1"/>
  <c r="CR11" i="4" a="1"/>
  <c r="AI12" i="4" a="1"/>
  <c r="BP11" i="4" a="1"/>
  <c r="R15" i="4" a="1"/>
  <c r="DL5" i="4" a="1"/>
  <c r="ED8" i="4" a="1"/>
  <c r="O11" i="2"/>
  <c r="D42" i="3"/>
  <c r="DQ9" i="4" a="1"/>
  <c r="CI16" i="4" a="1"/>
  <c r="BN6" i="4" a="1"/>
  <c r="CD7" i="4" a="1"/>
  <c r="R24" i="2"/>
  <c r="E10" i="3"/>
  <c r="DI8" i="4" a="1"/>
  <c r="BS14" i="4" a="1"/>
  <c r="AQ7" i="4" a="1"/>
  <c r="BD16" i="4" a="1"/>
  <c r="AM8" i="4" a="1"/>
  <c r="ED13" i="4" a="1"/>
  <c r="EB14" i="4" a="1"/>
  <c r="CG15" i="4" a="1"/>
  <c r="S62" i="2"/>
  <c r="AP45" i="3"/>
  <c r="W7" i="4" a="1"/>
  <c r="X92" i="2"/>
  <c r="AX9" i="4" a="1"/>
  <c r="EA5" i="4" a="1"/>
  <c r="DN7" i="4" a="1"/>
  <c r="CO11" i="4" a="1"/>
  <c r="BU5" i="4" a="1"/>
  <c r="AL16" i="4" a="1"/>
  <c r="CI12" i="4" a="1"/>
  <c r="AM9" i="4" a="1"/>
  <c r="N7" i="2"/>
  <c r="AD9" i="3"/>
  <c r="EF13" i="4" a="1"/>
  <c r="BF14" i="4" a="1"/>
  <c r="AV12" i="4" a="1"/>
  <c r="CE8" i="4" a="1"/>
  <c r="EI11" i="4" a="1"/>
  <c r="CU15" i="4" a="1"/>
  <c r="AE8" i="4" a="1"/>
  <c r="E71" i="3"/>
  <c r="D74" i="3"/>
  <c r="D71" i="3"/>
  <c r="D92" i="3"/>
  <c r="F87" i="3"/>
  <c r="D84" i="3"/>
  <c r="D86" i="3"/>
  <c r="D58" i="3"/>
  <c r="F85" i="3"/>
  <c r="E64" i="3"/>
  <c r="F80" i="3"/>
  <c r="AD80" i="3"/>
  <c r="AD75" i="3"/>
  <c r="G71" i="3"/>
  <c r="F59" i="3"/>
  <c r="E76" i="3"/>
  <c r="G59" i="3"/>
  <c r="AD78" i="3"/>
  <c r="D59" i="3"/>
  <c r="G56" i="3"/>
  <c r="G72" i="3"/>
  <c r="F97" i="3"/>
  <c r="CR8" i="4" a="1"/>
  <c r="U11" i="4" a="1"/>
  <c r="G34" i="2"/>
  <c r="D24" i="3"/>
  <c r="AE6" i="4" a="1"/>
  <c r="BC8" i="4" a="1"/>
  <c r="DX5" i="4" a="1"/>
  <c r="DW13" i="4" a="1"/>
  <c r="K29" i="2"/>
  <c r="M10" i="2"/>
  <c r="F42" i="3"/>
  <c r="CZ16" i="4" a="1"/>
  <c r="AE7" i="4" a="1"/>
  <c r="CA12" i="4" a="1"/>
  <c r="K5" i="2"/>
  <c r="S31" i="2"/>
  <c r="F14" i="3"/>
  <c r="BA9" i="4" a="1"/>
  <c r="DB8" i="4" a="1"/>
  <c r="BN9" i="4" a="1"/>
  <c r="BT14" i="4" a="1"/>
  <c r="CX8" i="4" a="1"/>
  <c r="CW12" i="4" a="1"/>
  <c r="O36" i="2"/>
  <c r="N8" i="2"/>
  <c r="Y45" i="3"/>
  <c r="DO12" i="4" a="1"/>
  <c r="D7" i="4" a="1"/>
  <c r="AU5" i="4" a="1"/>
  <c r="AB16" i="4" a="1"/>
  <c r="CW13" i="4" a="1"/>
  <c r="CY12" i="4" a="1"/>
  <c r="CG11" i="4" a="1"/>
  <c r="BA8" i="4" a="1"/>
  <c r="CZ6" i="4" a="1"/>
  <c r="BH11" i="4" a="1"/>
  <c r="V21" i="2"/>
  <c r="L9" i="2"/>
  <c r="G21" i="2"/>
  <c r="AD7" i="3"/>
  <c r="DE14" i="4" a="1"/>
  <c r="EF5" i="4" a="1"/>
  <c r="I7" i="4" a="1"/>
  <c r="AZ5" i="4" a="1"/>
  <c r="CO7" i="4" a="1"/>
  <c r="CX5" i="4" a="1"/>
  <c r="EB12" i="4" a="1"/>
  <c r="O9" i="2"/>
  <c r="D21" i="2"/>
  <c r="AR79" i="3"/>
  <c r="AR23" i="3"/>
  <c r="EK15" i="4" a="1"/>
  <c r="BE6" i="4" a="1"/>
  <c r="V6" i="4" a="1"/>
  <c r="CM15" i="4" a="1"/>
  <c r="C13" i="4" a="1"/>
  <c r="DR7" i="4" a="1"/>
  <c r="DT14" i="4" a="1"/>
  <c r="L14" i="4" a="1"/>
  <c r="DK15" i="4" a="1"/>
  <c r="BQ13" i="4" a="1"/>
  <c r="DB11" i="4" a="1"/>
  <c r="EJ9" i="4" a="1"/>
  <c r="G5" i="4" a="1"/>
  <c r="X23" i="2"/>
  <c r="K31" i="2"/>
  <c r="C29" i="2"/>
  <c r="AF48" i="3"/>
  <c r="G19" i="3"/>
  <c r="BZ8" i="4" a="1"/>
  <c r="X5" i="4" a="1"/>
  <c r="CT7" i="4" a="1"/>
  <c r="BH16" i="4" a="1"/>
  <c r="D12" i="4" a="1"/>
  <c r="J12" i="4" a="1"/>
  <c r="BX6" i="4" a="1"/>
  <c r="BZ14" i="4" a="1"/>
  <c r="DC5" i="4" a="1"/>
  <c r="CJ7" i="4" a="1"/>
  <c r="AM12" i="4" a="1"/>
  <c r="H12" i="2"/>
  <c r="X10" i="2"/>
  <c r="Q15" i="2"/>
  <c r="E13" i="2"/>
  <c r="Q45" i="3"/>
  <c r="J16" i="4" a="1"/>
  <c r="CS8" i="4" a="1"/>
  <c r="CQ8" i="4" a="1"/>
  <c r="DF12" i="4" a="1"/>
  <c r="AO9" i="4" a="1"/>
  <c r="DX12" i="4" a="1"/>
  <c r="W15" i="4" a="1"/>
  <c r="DM8" i="4" a="1"/>
  <c r="CR12" i="4" a="1"/>
  <c r="AI6" i="4" a="1"/>
  <c r="ED15" i="4" a="1"/>
  <c r="AU14" i="4" a="1"/>
  <c r="BD8" i="4" a="1"/>
  <c r="K11" i="4" a="1"/>
  <c r="N29" i="2"/>
  <c r="X14" i="2"/>
  <c r="L32" i="2"/>
  <c r="W15" i="2"/>
  <c r="W34" i="2"/>
  <c r="G18" i="3"/>
  <c r="AN7" i="4" a="1"/>
  <c r="V14" i="4" a="1"/>
  <c r="CM7" i="4" a="1"/>
  <c r="D9" i="4" a="1"/>
  <c r="BU14" i="4" a="1"/>
  <c r="U6" i="2"/>
  <c r="S32" i="2"/>
  <c r="AR92" i="3"/>
  <c r="CR13" i="4" a="1"/>
  <c r="DO6" i="4" a="1"/>
  <c r="EE6" i="4" a="1"/>
  <c r="AA8" i="4" a="1"/>
  <c r="CA16" i="4" a="1"/>
  <c r="DB9" i="4" a="1"/>
  <c r="DB5" i="4" a="1"/>
  <c r="BO6" i="4" a="1"/>
  <c r="DT8" i="4" a="1"/>
  <c r="AM16" i="4" a="1"/>
  <c r="DW16" i="4" a="1"/>
  <c r="DK12" i="4" a="1"/>
  <c r="DE9" i="4" a="1"/>
  <c r="AV14" i="4" a="1"/>
  <c r="AM11" i="4" a="1"/>
  <c r="DD15" i="4" a="1"/>
  <c r="R8" i="2"/>
  <c r="AR17" i="3"/>
  <c r="CA8" i="4" a="1"/>
  <c r="DT6" i="4" a="1"/>
  <c r="CO15" i="4" a="1"/>
  <c r="M11" i="4" a="1"/>
  <c r="P13" i="4" a="1"/>
  <c r="H7" i="4" a="1"/>
  <c r="DJ12" i="4" a="1"/>
  <c r="CI6" i="4" a="1"/>
  <c r="EK12" i="4" a="1"/>
  <c r="AQ14" i="4" a="1"/>
  <c r="EJ8" i="4" a="1"/>
  <c r="CV9" i="4" a="1"/>
  <c r="J6" i="4" a="1"/>
  <c r="O11" i="4" a="1"/>
  <c r="AE14" i="4" a="1"/>
  <c r="BH15" i="4" a="1"/>
  <c r="DN8" i="4" a="1"/>
  <c r="CO12" i="4" a="1"/>
  <c r="N30" i="2"/>
  <c r="M45" i="3"/>
  <c r="DB16" i="4" a="1"/>
  <c r="AN15" i="4" a="1"/>
  <c r="DY5" i="4" a="1"/>
  <c r="CX12" i="4" a="1"/>
  <c r="Z13" i="4" a="1"/>
  <c r="BQ14" i="4" a="1"/>
  <c r="AL14" i="4" a="1"/>
  <c r="DM7" i="4" a="1"/>
  <c r="BE9" i="4" a="1"/>
  <c r="CO8" i="4" a="1"/>
  <c r="N33" i="2"/>
  <c r="O8" i="4" a="1"/>
  <c r="DV11" i="4" a="1"/>
  <c r="W23" i="2"/>
  <c r="R30" i="2"/>
  <c r="CB13" i="4" a="1"/>
  <c r="BI9" i="4" a="1"/>
  <c r="BC14" i="4" a="1"/>
  <c r="BK14" i="4" a="1"/>
  <c r="H9" i="4" a="1"/>
  <c r="U10" i="2"/>
  <c r="AB14" i="4" a="1"/>
  <c r="AH11" i="4" a="1"/>
  <c r="AT6" i="4" a="1"/>
  <c r="T30" i="2"/>
  <c r="D27" i="2"/>
  <c r="AH45" i="3"/>
  <c r="CP13" i="4" a="1"/>
  <c r="AX15" i="4" a="1"/>
  <c r="AF11" i="4" a="1"/>
  <c r="CH5" i="4" a="1"/>
  <c r="BR9" i="4" a="1"/>
  <c r="BS8" i="4" a="1"/>
  <c r="BT11" i="4" a="1"/>
  <c r="DW12" i="4" a="1"/>
  <c r="CN6" i="4" a="1"/>
  <c r="DU15" i="4" a="1"/>
  <c r="BW9" i="4" a="1"/>
  <c r="U5" i="4" a="1"/>
  <c r="BU11" i="4" a="1"/>
  <c r="BQ5" i="4" a="1"/>
  <c r="CZ9" i="4" a="1"/>
  <c r="DN11" i="4" a="1"/>
  <c r="CF13" i="4" a="1"/>
  <c r="EH11" i="4" a="1"/>
  <c r="W28" i="2"/>
  <c r="E15" i="3"/>
  <c r="DF11" i="4" a="1"/>
  <c r="BM9" i="4" a="1"/>
  <c r="BX13" i="4" a="1"/>
  <c r="J15" i="4" a="1"/>
  <c r="M12" i="2"/>
  <c r="G6" i="3"/>
  <c r="CU8" i="4" a="1"/>
  <c r="EB6" i="4" a="1"/>
  <c r="AF13" i="4" a="1"/>
  <c r="CC5" i="4" a="1"/>
  <c r="CW16" i="4" a="1"/>
  <c r="CL8" i="4" a="1"/>
  <c r="EJ11" i="4" a="1"/>
  <c r="AW6" i="4" a="1"/>
  <c r="S5" i="4" a="1"/>
  <c r="DV15" i="4" a="1"/>
  <c r="BS6" i="4" a="1"/>
  <c r="BL7" i="4" a="1"/>
  <c r="CW15" i="4" a="1"/>
  <c r="K9" i="2"/>
  <c r="BY6" i="4" a="1"/>
  <c r="CR14" i="4" a="1"/>
  <c r="CC15" i="4" a="1"/>
  <c r="AE45" i="3"/>
  <c r="CL15" i="4" a="1"/>
  <c r="AR89" i="3"/>
  <c r="Q14" i="4" a="1"/>
  <c r="CI8" i="4" a="1"/>
  <c r="CU14" i="4" a="1"/>
  <c r="BA11" i="4" a="1"/>
  <c r="AJ11" i="4" a="1"/>
  <c r="D57" i="3"/>
  <c r="AD82" i="3"/>
  <c r="AD57" i="3"/>
  <c r="G65" i="3"/>
  <c r="AD79" i="3"/>
  <c r="D94" i="3"/>
  <c r="G86" i="3"/>
  <c r="F61" i="3"/>
  <c r="G97" i="3"/>
  <c r="G77" i="3"/>
  <c r="F74" i="3"/>
  <c r="AD84" i="3"/>
  <c r="AD64" i="3"/>
  <c r="E96" i="3"/>
  <c r="AD60" i="3"/>
  <c r="G63" i="3"/>
  <c r="E62" i="3"/>
  <c r="AD56" i="3"/>
  <c r="AD90" i="3"/>
  <c r="AD68" i="3"/>
  <c r="F65" i="3"/>
  <c r="F71" i="3"/>
  <c r="AD77" i="3"/>
  <c r="AD74" i="3"/>
  <c r="D69" i="3"/>
  <c r="G54" i="3"/>
  <c r="AD63" i="3"/>
  <c r="G69" i="3"/>
  <c r="AD97" i="3"/>
  <c r="D68" i="3"/>
  <c r="AD70" i="3"/>
  <c r="E75" i="3"/>
  <c r="D96" i="3"/>
  <c r="F77" i="3"/>
  <c r="E82" i="3"/>
  <c r="BS9" i="4" a="1"/>
  <c r="D54" i="3"/>
  <c r="AD76" i="3"/>
  <c r="D67" i="3"/>
  <c r="F50" i="3"/>
  <c r="E56" i="3"/>
  <c r="D93" i="3"/>
  <c r="X66" i="2"/>
  <c r="CV14" i="4" a="1"/>
  <c r="DG5" i="4" a="1"/>
  <c r="M13" i="4" a="1"/>
  <c r="AA5" i="4" a="1"/>
  <c r="AR88" i="3"/>
  <c r="DL8" i="4" a="1"/>
  <c r="G23" i="3"/>
  <c r="DE5" i="4" a="1"/>
  <c r="DE6" i="4" a="1"/>
  <c r="EI8" i="4" a="1"/>
  <c r="AR97" i="3"/>
  <c r="DG11" i="4" a="1"/>
  <c r="CF11" i="4" a="1"/>
  <c r="CX16" i="4" a="1"/>
  <c r="BL15" i="4" a="1"/>
  <c r="BG9" i="4" a="1"/>
  <c r="AD86" i="3"/>
  <c r="G70" i="3"/>
  <c r="F73" i="3"/>
  <c r="E55" i="3"/>
  <c r="E78" i="3"/>
  <c r="F93" i="3"/>
  <c r="D79" i="3"/>
  <c r="F64" i="3"/>
  <c r="D60" i="3"/>
  <c r="F54" i="3"/>
  <c r="F48" i="3"/>
  <c r="G90" i="3"/>
  <c r="AD59" i="3"/>
  <c r="AD66" i="3"/>
  <c r="G82" i="3"/>
  <c r="F66" i="3"/>
  <c r="F60" i="3"/>
  <c r="AD58" i="3"/>
  <c r="D65" i="3"/>
  <c r="F82" i="3"/>
  <c r="G84" i="3"/>
  <c r="AD94" i="3"/>
  <c r="AD67" i="3"/>
  <c r="G95" i="3"/>
  <c r="G94" i="3"/>
  <c r="X14" i="4" a="1"/>
  <c r="DU16" i="4" a="1"/>
  <c r="BH7" i="4" a="1"/>
  <c r="CC7" i="4" a="1"/>
  <c r="AM15" i="4" a="1"/>
  <c r="BZ15" i="4" a="1"/>
  <c r="DP14" i="4" a="1"/>
  <c r="AQ15" i="4" a="1"/>
  <c r="AR84" i="3"/>
  <c r="CS9" i="4" a="1"/>
  <c r="BF15" i="4" a="1"/>
  <c r="W45" i="3"/>
  <c r="Y6" i="4" a="1"/>
  <c r="DS13" i="4" a="1"/>
  <c r="BY16" i="4" a="1"/>
  <c r="AU6" i="4" a="1"/>
  <c r="E87" i="3"/>
  <c r="DA5" i="4" a="1"/>
  <c r="DA16" i="4" a="1"/>
  <c r="AG11" i="4" a="1"/>
  <c r="CL7" i="4" a="1"/>
  <c r="Q16" i="4" a="1"/>
  <c r="BR13" i="4" a="1"/>
  <c r="AH15" i="4" a="1"/>
  <c r="EE12" i="4" a="1"/>
  <c r="CM12" i="4" a="1"/>
  <c r="S30" i="2"/>
  <c r="BP13" i="4" a="1"/>
  <c r="AN45" i="3"/>
  <c r="BX5" i="4" a="1"/>
  <c r="CE11" i="4" a="1"/>
  <c r="BN15" i="4" a="1"/>
  <c r="O15" i="4" a="1"/>
  <c r="AJ15" i="4" a="1"/>
  <c r="F63" i="3"/>
  <c r="D70" i="3"/>
  <c r="G57" i="3"/>
  <c r="G83" i="3"/>
  <c r="E61" i="3"/>
  <c r="D83" i="3"/>
  <c r="E95" i="3"/>
  <c r="F88" i="3"/>
  <c r="G74" i="3"/>
  <c r="G81" i="3"/>
  <c r="D72" i="3"/>
  <c r="G87" i="3"/>
  <c r="F67" i="3"/>
  <c r="AD87" i="3"/>
  <c r="D81" i="3"/>
  <c r="F62" i="3"/>
  <c r="G92" i="3"/>
  <c r="F72" i="3"/>
  <c r="F90" i="3"/>
  <c r="AD62" i="3"/>
  <c r="F84" i="3"/>
  <c r="F57" i="3"/>
  <c r="F96" i="3"/>
  <c r="D62" i="3"/>
  <c r="AD71" i="3"/>
  <c r="G61" i="3"/>
  <c r="F56" i="3"/>
  <c r="D76" i="3"/>
  <c r="AD92" i="3"/>
  <c r="E84" i="3"/>
  <c r="G96" i="3"/>
  <c r="E94" i="3"/>
  <c r="F94" i="3"/>
  <c r="G62" i="3"/>
  <c r="N23" i="2"/>
  <c r="E11" i="2"/>
  <c r="R8" i="4" a="1"/>
  <c r="DW11" i="4" a="1"/>
  <c r="O13" i="4" a="1"/>
  <c r="AS15" i="4" a="1"/>
  <c r="DZ11" i="4" a="1"/>
  <c r="CB12" i="4" a="1"/>
  <c r="O16" i="4" a="1"/>
  <c r="BF12" i="4" a="1"/>
  <c r="S34" i="2"/>
  <c r="F41" i="3"/>
  <c r="CW9" i="4" a="1"/>
  <c r="CT9" i="4" a="1"/>
  <c r="AF12" i="4" a="1"/>
  <c r="EI7" i="4" a="1"/>
  <c r="AL11" i="4" a="1"/>
  <c r="F81" i="3"/>
  <c r="E63" i="3"/>
  <c r="E80" i="3"/>
  <c r="F47" i="3"/>
  <c r="F55" i="3"/>
  <c r="D55" i="3"/>
  <c r="G75" i="3"/>
  <c r="AD91" i="3"/>
  <c r="D90" i="3"/>
  <c r="G58" i="3"/>
  <c r="D95" i="3"/>
  <c r="D78" i="3"/>
  <c r="AD73" i="3"/>
  <c r="D87" i="3"/>
  <c r="G64" i="3"/>
  <c r="AD85" i="3"/>
  <c r="G76" i="3"/>
  <c r="G89" i="3"/>
  <c r="F91" i="3"/>
  <c r="E67" i="3"/>
  <c r="E91" i="3"/>
  <c r="F92" i="3"/>
  <c r="F89" i="3"/>
  <c r="F68" i="3"/>
  <c r="AD95" i="3"/>
  <c r="E59" i="3"/>
  <c r="AD55" i="3"/>
  <c r="BJ11" i="4" a="1"/>
  <c r="AR10" i="3"/>
  <c r="DT13" i="4" a="1"/>
  <c r="BG14" i="4" a="1"/>
  <c r="H16" i="2"/>
  <c r="DY6" i="4" a="1"/>
  <c r="CM11" i="4" a="1"/>
  <c r="CU12" i="4" a="1"/>
  <c r="Q30" i="2"/>
  <c r="BB5" i="4" a="1"/>
  <c r="M5" i="2"/>
  <c r="DG12" i="4" a="1"/>
  <c r="EF14" i="4" a="1"/>
  <c r="AJ8" i="4" a="1"/>
  <c r="EC16" i="4" a="1"/>
  <c r="DI12" i="4" a="1"/>
  <c r="Q9" i="4" a="1"/>
  <c r="G91" i="3"/>
  <c r="E70" i="3"/>
  <c r="E60" i="3"/>
  <c r="G85" i="3"/>
  <c r="F58" i="3"/>
  <c r="D61" i="3"/>
  <c r="G73" i="3"/>
  <c r="F79" i="3"/>
  <c r="AD69" i="3"/>
  <c r="F95" i="3"/>
  <c r="F83" i="3"/>
  <c r="G78" i="3"/>
  <c r="F69" i="3"/>
  <c r="AD72" i="3"/>
  <c r="AD93" i="3"/>
  <c r="G67" i="3"/>
  <c r="F78" i="3"/>
  <c r="E69" i="3"/>
  <c r="AD61" i="3"/>
  <c r="G68" i="3"/>
  <c r="AD83" i="3"/>
  <c r="F75" i="3"/>
  <c r="F70" i="3"/>
  <c r="AD81" i="3"/>
  <c r="G79" i="3"/>
  <c r="G80" i="3"/>
  <c r="AD96" i="3"/>
  <c r="G66" i="3"/>
  <c r="F86" i="3"/>
  <c r="E89" i="3"/>
  <c r="F49" i="3"/>
  <c r="E83" i="3" l="1"/>
  <c r="E90" i="3"/>
  <c r="D91" i="3"/>
  <c r="E86" i="3"/>
  <c r="D82" i="3"/>
  <c r="D97" i="3"/>
  <c r="D89" i="3"/>
  <c r="E85" i="3"/>
  <c r="D73" i="3"/>
  <c r="D64" i="3"/>
  <c r="E66" i="3"/>
  <c r="E58" i="3"/>
  <c r="E57" i="3"/>
  <c r="E74" i="3"/>
  <c r="E81" i="3"/>
  <c r="E88" i="3"/>
  <c r="D75" i="3"/>
  <c r="D85" i="3"/>
  <c r="E93" i="3"/>
  <c r="D77" i="3"/>
  <c r="D56" i="3"/>
  <c r="E73" i="3"/>
  <c r="E54" i="3"/>
  <c r="D80" i="3"/>
  <c r="E97" i="3"/>
  <c r="E77" i="3"/>
  <c r="D88" i="3"/>
  <c r="D66" i="3"/>
  <c r="E72" i="3"/>
  <c r="D63" i="3"/>
  <c r="E65" i="3"/>
  <c r="AD65" i="3"/>
  <c r="E92" i="3"/>
  <c r="AD89" i="3"/>
  <c r="E79" i="3"/>
  <c r="AD88" i="3"/>
  <c r="AD54" i="3"/>
  <c r="E68" i="3"/>
  <c r="AL73" i="1"/>
  <c r="BJ163" i="1"/>
  <c r="BK163" i="1" s="1"/>
  <c r="BJ144" i="1"/>
  <c r="AL133" i="1"/>
  <c r="BJ160" i="1"/>
  <c r="AL142" i="1"/>
  <c r="AM142" i="1" s="1"/>
  <c r="BJ135" i="1"/>
  <c r="BK135" i="1" s="1"/>
  <c r="AL132" i="1"/>
  <c r="AL160" i="1"/>
  <c r="AL164" i="1"/>
  <c r="AM164" i="1" s="1"/>
  <c r="BJ132" i="1"/>
  <c r="AL143" i="1"/>
  <c r="AM143" i="1" s="1"/>
  <c r="AL119" i="1"/>
  <c r="P39" i="1"/>
  <c r="BX13" i="1"/>
  <c r="BJ164" i="1"/>
  <c r="AL131" i="1"/>
  <c r="AL134" i="1" s="1"/>
  <c r="AM134" i="1" s="1"/>
  <c r="AL153" i="1"/>
  <c r="AL155" i="1"/>
  <c r="AM155" i="1" s="1"/>
  <c r="AL154" i="1"/>
  <c r="AM154" i="1" s="1"/>
  <c r="BJ147" i="1"/>
  <c r="BK147" i="1" s="1"/>
  <c r="AJ152" i="1"/>
  <c r="AK152" i="1" s="1"/>
  <c r="AJ142" i="1"/>
  <c r="AK142" i="1" s="1"/>
  <c r="AJ164" i="1"/>
  <c r="AK164" i="1" s="1"/>
  <c r="AJ126" i="1"/>
  <c r="AK126" i="1" s="1"/>
  <c r="BJ154" i="1"/>
  <c r="BK154" i="1" s="1"/>
  <c r="AL144" i="1"/>
  <c r="HS16" i="4" s="1"/>
  <c r="D13" i="1"/>
  <c r="M35" i="1"/>
  <c r="BJ155" i="1"/>
  <c r="BK155" i="1" s="1"/>
  <c r="AL117" i="1"/>
  <c r="AM117" i="1" s="1"/>
  <c r="AJ124" i="1"/>
  <c r="AK124" i="1" s="1"/>
  <c r="AL163" i="1"/>
  <c r="AM163" i="1" s="1"/>
  <c r="AL118" i="1"/>
  <c r="AM118" i="1" s="1"/>
  <c r="AL146" i="1"/>
  <c r="AM146" i="1" s="1"/>
  <c r="BJ124" i="1"/>
  <c r="BK124" i="1" s="1"/>
  <c r="AL126" i="1"/>
  <c r="AM126" i="1" s="1"/>
  <c r="AL135" i="1"/>
  <c r="AM135" i="1" s="1"/>
  <c r="AL124" i="1"/>
  <c r="AM124" i="1" s="1"/>
  <c r="AJ144" i="1"/>
  <c r="BJ152" i="1"/>
  <c r="BK152" i="1" s="1"/>
  <c r="AJ135" i="1"/>
  <c r="AK135" i="1" s="1"/>
  <c r="AL127" i="1"/>
  <c r="AM127" i="1" s="1"/>
  <c r="AJ160" i="1"/>
  <c r="AJ133" i="1"/>
  <c r="AL125" i="1"/>
  <c r="AM125" i="1" s="1"/>
  <c r="R39" i="1"/>
  <c r="IW16" i="4" s="1"/>
  <c r="BX146" i="1"/>
  <c r="BY146" i="1" s="1"/>
  <c r="AL145" i="1"/>
  <c r="AJ150" i="1"/>
  <c r="AK150" i="1" s="1"/>
  <c r="BJ119" i="1"/>
  <c r="AL122" i="1"/>
  <c r="AM122" i="1" s="1"/>
  <c r="AL151" i="1"/>
  <c r="AM151" i="1" s="1"/>
  <c r="BJ151" i="1"/>
  <c r="BK151" i="1" s="1"/>
  <c r="AJ122" i="1"/>
  <c r="AK122" i="1" s="1"/>
  <c r="AL149" i="1"/>
  <c r="AM149" i="1" s="1"/>
  <c r="AJ143" i="1"/>
  <c r="AK143" i="1" s="1"/>
  <c r="AM35" i="1"/>
  <c r="BX127" i="1"/>
  <c r="BY127" i="1" s="1"/>
  <c r="AL74" i="1"/>
  <c r="AL140" i="1"/>
  <c r="AM140" i="1" s="1"/>
  <c r="AM202" i="1" s="1"/>
  <c r="AJ163" i="1"/>
  <c r="AK163" i="1" s="1"/>
  <c r="BJ133" i="1"/>
  <c r="AJ131" i="1"/>
  <c r="BJ125" i="1"/>
  <c r="BK125" i="1" s="1"/>
  <c r="AJ132" i="1"/>
  <c r="BJ137" i="1"/>
  <c r="BK137" i="1" s="1"/>
  <c r="BJ140" i="1"/>
  <c r="BK140" i="1" s="1"/>
  <c r="BL202" i="1" s="1"/>
  <c r="AL150" i="1"/>
  <c r="AM150" i="1" s="1"/>
  <c r="BJ131" i="1"/>
  <c r="BJ126" i="1"/>
  <c r="BK126" i="1" s="1"/>
  <c r="BJ117" i="1"/>
  <c r="BJ122" i="1"/>
  <c r="BK122" i="1" s="1"/>
  <c r="BJ149" i="1"/>
  <c r="BJ146" i="1"/>
  <c r="BK146" i="1" s="1"/>
  <c r="AL137" i="1"/>
  <c r="AM137" i="1" s="1"/>
  <c r="BJ143" i="1"/>
  <c r="BJ118" i="1"/>
  <c r="BK118" i="1" s="1"/>
  <c r="BJ145" i="1"/>
  <c r="AJ118" i="1"/>
  <c r="AK118" i="1" s="1"/>
  <c r="BX153" i="1"/>
  <c r="AM8" i="1"/>
  <c r="AM231" i="1" s="1"/>
  <c r="L15" i="1"/>
  <c r="AK24" i="1"/>
  <c r="IM9" i="4" s="1"/>
  <c r="C32" i="1"/>
  <c r="C194" i="1" s="1"/>
  <c r="S39" i="1"/>
  <c r="Q39" i="1"/>
  <c r="V35" i="1"/>
  <c r="M46" i="1"/>
  <c r="IG9" i="4" s="1"/>
  <c r="M39" i="1"/>
  <c r="BX21" i="1"/>
  <c r="IA16" i="4" s="1"/>
  <c r="BX155" i="1"/>
  <c r="BY155" i="1" s="1"/>
  <c r="R45" i="1"/>
  <c r="T8" i="1"/>
  <c r="AM25" i="1"/>
  <c r="V23" i="1"/>
  <c r="K45" i="1"/>
  <c r="W20" i="1"/>
  <c r="M47" i="1"/>
  <c r="D24" i="1"/>
  <c r="P23" i="1"/>
  <c r="G15" i="1"/>
  <c r="IH16" i="4" s="1"/>
  <c r="B47" i="1"/>
  <c r="W35" i="1"/>
  <c r="JI15" i="4" s="1"/>
  <c r="BX35" i="1"/>
  <c r="BX143" i="1"/>
  <c r="BY143" i="1" s="1"/>
  <c r="IJ9" i="4" s="1"/>
  <c r="AL23" i="1"/>
  <c r="AL51" i="1"/>
  <c r="J47" i="1"/>
  <c r="BJ142" i="1"/>
  <c r="BK142" i="1" s="1"/>
  <c r="BJ159" i="1"/>
  <c r="AL159" i="1"/>
  <c r="AL147" i="1"/>
  <c r="AM147" i="1" s="1"/>
  <c r="AJ119" i="1"/>
  <c r="AJ146" i="1"/>
  <c r="AK146" i="1" s="1"/>
  <c r="AL152" i="1"/>
  <c r="AM152" i="1" s="1"/>
  <c r="AJ155" i="1"/>
  <c r="AK155" i="1" s="1"/>
  <c r="M9" i="1"/>
  <c r="IA9" i="4" s="1"/>
  <c r="AK13" i="1"/>
  <c r="IQ16" i="4" s="1"/>
  <c r="AJ51" i="1"/>
  <c r="N13" i="1"/>
  <c r="HV16" i="4" s="1"/>
  <c r="AM22" i="1"/>
  <c r="O24" i="1"/>
  <c r="U39" i="1"/>
  <c r="IH9" i="4" s="1"/>
  <c r="BX36" i="1"/>
  <c r="E36" i="1"/>
  <c r="AL15" i="1"/>
  <c r="JC16" i="4" s="1"/>
  <c r="S47" i="1"/>
  <c r="JG9" i="4" s="1"/>
  <c r="AL32" i="1"/>
  <c r="AL194" i="1" s="1"/>
  <c r="D8" i="1"/>
  <c r="H32" i="1"/>
  <c r="IR16" i="4" s="1"/>
  <c r="AM23" i="1"/>
  <c r="BX147" i="1"/>
  <c r="BY147" i="1" s="1"/>
  <c r="S20" i="1"/>
  <c r="T21" i="1"/>
  <c r="R47" i="1"/>
  <c r="L47" i="1"/>
  <c r="IU16" i="4" s="1"/>
  <c r="AM13" i="1"/>
  <c r="E23" i="1"/>
  <c r="H46" i="1"/>
  <c r="I8" i="1"/>
  <c r="U9" i="1"/>
  <c r="U10" i="1" s="1"/>
  <c r="U98" i="1" s="1"/>
  <c r="G35" i="1"/>
  <c r="P36" i="1"/>
  <c r="U20" i="1"/>
  <c r="E13" i="1"/>
  <c r="J39" i="1"/>
  <c r="IL16" i="4" s="1"/>
  <c r="IF16" i="4" s="1"/>
  <c r="JE16" i="4" s="1"/>
  <c r="AJ45" i="1"/>
  <c r="IT16" i="4" s="1"/>
  <c r="BX145" i="1"/>
  <c r="N22" i="1"/>
  <c r="J35" i="1"/>
  <c r="BX22" i="1"/>
  <c r="AM21" i="1"/>
  <c r="JE9" i="4" s="1"/>
  <c r="IX16" i="4" s="1"/>
  <c r="IS9" i="4" s="1"/>
  <c r="HP9" i="4" s="1"/>
  <c r="IE8" i="4" s="1"/>
  <c r="K39" i="1"/>
  <c r="HT9" i="4" s="1"/>
  <c r="II16" i="4" s="1"/>
  <c r="G46" i="1"/>
  <c r="Q25" i="1"/>
  <c r="JC9" i="4" s="1"/>
  <c r="T22" i="1"/>
  <c r="Q15" i="1"/>
  <c r="HU8" i="4" s="1"/>
  <c r="IF9" i="4" s="1"/>
  <c r="C13" i="1"/>
  <c r="M8" i="1"/>
  <c r="H45" i="1"/>
  <c r="T15" i="1"/>
  <c r="JB16" i="4" s="1"/>
  <c r="BX117" i="1"/>
  <c r="BY117" i="1" s="1"/>
  <c r="AJ47" i="1"/>
  <c r="F46" i="1"/>
  <c r="BX133" i="1"/>
  <c r="IZ9" i="4" s="1"/>
  <c r="BX151" i="1"/>
  <c r="BY151" i="1" s="1"/>
  <c r="HT16" i="4" s="1"/>
  <c r="AK15" i="1"/>
  <c r="D36" i="1"/>
  <c r="Q51" i="1"/>
  <c r="K36" i="1"/>
  <c r="IK16" i="4" s="1"/>
  <c r="C39" i="1"/>
  <c r="HQ9" i="4" s="1"/>
  <c r="JH16" i="4" s="1"/>
  <c r="U36" i="1"/>
  <c r="U252" i="1" s="1"/>
  <c r="C21" i="1"/>
  <c r="U46" i="1"/>
  <c r="AL35" i="1"/>
  <c r="V32" i="1"/>
  <c r="V194" i="1" s="1"/>
  <c r="I47" i="1"/>
  <c r="C36" i="1"/>
  <c r="N46" i="1"/>
  <c r="K23" i="1"/>
  <c r="D45" i="1"/>
  <c r="IU9" i="4" s="1"/>
  <c r="BX74" i="1"/>
  <c r="IQ9" i="4" s="1"/>
  <c r="BJ13" i="1"/>
  <c r="BY73" i="1"/>
  <c r="JG16" i="4" s="1"/>
  <c r="D39" i="1"/>
  <c r="JH9" i="4" s="1"/>
  <c r="P13" i="1"/>
  <c r="HV9" i="4" s="1"/>
  <c r="F24" i="1"/>
  <c r="K9" i="1"/>
  <c r="B25" i="1"/>
  <c r="S23" i="1"/>
  <c r="W45" i="1"/>
  <c r="BX47" i="1"/>
  <c r="G21" i="1"/>
  <c r="JF9" i="4" s="1"/>
  <c r="HS9" i="4" s="1"/>
  <c r="W51" i="1"/>
  <c r="D21" i="1"/>
  <c r="BX137" i="1"/>
  <c r="BY137" i="1" s="1"/>
  <c r="I20" i="1"/>
  <c r="AK32" i="1"/>
  <c r="AK194" i="1" s="1"/>
  <c r="E9" i="1"/>
  <c r="JA9" i="4" s="1"/>
  <c r="I35" i="1"/>
  <c r="F23" i="1"/>
  <c r="AJ23" i="1"/>
  <c r="IC16" i="4" s="1"/>
  <c r="AL13" i="1"/>
  <c r="D51" i="1"/>
  <c r="N24" i="1"/>
  <c r="IZ16" i="4" s="1"/>
  <c r="AM39" i="1"/>
  <c r="K13" i="1"/>
  <c r="N39" i="1"/>
  <c r="K47" i="1"/>
  <c r="IV9" i="4" s="1"/>
  <c r="AM14" i="1"/>
  <c r="BX45" i="1"/>
  <c r="R25" i="1"/>
  <c r="C35" i="1"/>
  <c r="IN16" i="4" s="1"/>
  <c r="IJ16" i="4" s="1"/>
  <c r="IJ21" i="4" s="1"/>
  <c r="BD77" i="1" s="1"/>
  <c r="E24" i="1"/>
  <c r="IO9" i="4" s="1"/>
  <c r="HW16" i="4" s="1"/>
  <c r="AM15" i="1"/>
  <c r="HX9" i="4" s="1"/>
  <c r="H24" i="1"/>
  <c r="W36" i="1"/>
  <c r="W252" i="1" s="1"/>
  <c r="I24" i="1"/>
  <c r="JD9" i="4" s="1"/>
  <c r="P35" i="1"/>
  <c r="B21" i="1"/>
  <c r="AM36" i="1"/>
  <c r="BX135" i="1"/>
  <c r="BY135" i="1" s="1"/>
  <c r="D20" i="1"/>
  <c r="BX159" i="1"/>
  <c r="G8" i="1"/>
  <c r="F20" i="1"/>
  <c r="IO16" i="4" s="1"/>
  <c r="AL14" i="1"/>
  <c r="S36" i="1"/>
  <c r="AL22" i="1"/>
  <c r="HW9" i="4" s="1"/>
  <c r="II9" i="4" s="1"/>
  <c r="IM16" i="4" s="1"/>
  <c r="IL14" i="4" s="1"/>
  <c r="B23" i="1"/>
  <c r="AM32" i="1"/>
  <c r="I39" i="1"/>
  <c r="J8" i="1"/>
  <c r="J231" i="1" s="1"/>
  <c r="O32" i="1"/>
  <c r="O194" i="1" s="1"/>
  <c r="S46" i="1"/>
  <c r="IS16" i="4" s="1"/>
  <c r="S21" i="1"/>
  <c r="S9" i="1"/>
  <c r="U15" i="1"/>
  <c r="BX126" i="1"/>
  <c r="BY126" i="1" s="1"/>
  <c r="O22" i="1"/>
  <c r="U32" i="1"/>
  <c r="Q36" i="1"/>
  <c r="B35" i="1"/>
  <c r="HR16" i="4" s="1"/>
  <c r="O13" i="1"/>
  <c r="I32" i="1"/>
  <c r="JI9" i="4" s="1"/>
  <c r="HZ9" i="4" s="1"/>
  <c r="BX9" i="1"/>
  <c r="S8" i="1"/>
  <c r="S231" i="1" s="1"/>
  <c r="K51" i="1"/>
  <c r="BX131" i="1"/>
  <c r="Q24" i="1"/>
  <c r="Q8" i="1"/>
  <c r="AK22" i="1"/>
  <c r="V46" i="1"/>
  <c r="B22" i="1"/>
  <c r="JA16" i="4" s="1"/>
  <c r="R35" i="1"/>
  <c r="C8" i="1"/>
  <c r="BX140" i="1"/>
  <c r="BY140" i="1" s="1"/>
  <c r="BZ202" i="1" s="1"/>
  <c r="W21" i="1"/>
  <c r="I15" i="1"/>
  <c r="IW9" i="4" s="1"/>
  <c r="IW21" i="4" s="1"/>
  <c r="BQ77" i="1" s="1"/>
  <c r="AM9" i="1"/>
  <c r="AL21" i="1"/>
  <c r="O8" i="1"/>
  <c r="J15" i="1"/>
  <c r="AL36" i="1"/>
  <c r="BX150" i="1"/>
  <c r="BY150" i="1" s="1"/>
  <c r="D47" i="1"/>
  <c r="G22" i="1"/>
  <c r="IX9" i="4" s="1"/>
  <c r="IR15" i="4" s="1"/>
  <c r="AL39" i="1"/>
  <c r="F15" i="1"/>
  <c r="S35" i="1"/>
  <c r="P21" i="1"/>
  <c r="L25" i="1"/>
  <c r="IC9" i="4" s="1"/>
  <c r="BX119" i="1"/>
  <c r="BY119" i="1" s="1"/>
  <c r="I21" i="1"/>
  <c r="V25" i="1"/>
  <c r="M36" i="1"/>
  <c r="N8" i="1"/>
  <c r="N231" i="1" s="1"/>
  <c r="HZ16" i="4" s="1"/>
  <c r="AM20" i="1"/>
  <c r="B24" i="1"/>
  <c r="BL74" i="1"/>
  <c r="Q45" i="1"/>
  <c r="K24" i="1"/>
  <c r="JI8" i="4" s="1"/>
  <c r="AK8" i="1"/>
  <c r="J25" i="1"/>
  <c r="E46" i="1"/>
  <c r="I23" i="1"/>
  <c r="C124" i="1"/>
  <c r="IY16" i="4" s="1"/>
  <c r="IN9" i="4" s="1"/>
  <c r="B9" i="1"/>
  <c r="L23" i="1"/>
  <c r="G9" i="1"/>
  <c r="C15" i="1"/>
  <c r="E21" i="1"/>
  <c r="I46" i="1"/>
  <c r="W47" i="1"/>
  <c r="G32" i="1"/>
  <c r="G194" i="1" s="1"/>
  <c r="M20" i="1"/>
  <c r="O35" i="1"/>
  <c r="E8" i="1"/>
  <c r="E231" i="1" s="1"/>
  <c r="S51" i="1"/>
  <c r="BX39" i="1"/>
  <c r="AJ39" i="1"/>
  <c r="Q21" i="1"/>
  <c r="K25" i="1"/>
  <c r="H20" i="1"/>
  <c r="L20" i="1"/>
  <c r="BJ20" i="1"/>
  <c r="AM24" i="1"/>
  <c r="J32" i="1"/>
  <c r="J194" i="1" s="1"/>
  <c r="Q22" i="1"/>
  <c r="Q32" i="1"/>
  <c r="Q194" i="1" s="1"/>
  <c r="E47" i="1"/>
  <c r="Q20" i="1"/>
  <c r="C47" i="1"/>
  <c r="N45" i="1"/>
  <c r="E35" i="1"/>
  <c r="L8" i="1"/>
  <c r="L231" i="1" s="1"/>
  <c r="V9" i="1"/>
  <c r="V10" i="1" s="1"/>
  <c r="F39" i="1"/>
  <c r="C23" i="1"/>
  <c r="G163" i="1"/>
  <c r="F22" i="1"/>
  <c r="W32" i="1"/>
  <c r="V36" i="1"/>
  <c r="V252" i="1" s="1"/>
  <c r="HP16" i="4" s="1"/>
  <c r="V22" i="1"/>
  <c r="G45" i="1"/>
  <c r="R46" i="1"/>
  <c r="HY16" i="4" s="1"/>
  <c r="BX23" i="1"/>
  <c r="AK23" i="1"/>
  <c r="B46" i="1"/>
  <c r="BX124" i="1"/>
  <c r="BY124" i="1" s="1"/>
  <c r="W23" i="1"/>
  <c r="L46" i="1"/>
  <c r="R36" i="1"/>
  <c r="AJ36" i="1"/>
  <c r="B13" i="1"/>
  <c r="G20" i="1"/>
  <c r="V13" i="1"/>
  <c r="P46" i="1"/>
  <c r="F47" i="1"/>
  <c r="U47" i="1"/>
  <c r="BX32" i="1"/>
  <c r="BX194" i="1" s="1"/>
  <c r="O36" i="1"/>
  <c r="O45" i="1"/>
  <c r="F36" i="1"/>
  <c r="M51" i="1"/>
  <c r="Q46" i="1"/>
  <c r="M13" i="1"/>
  <c r="AK45" i="1"/>
  <c r="H13" i="1"/>
  <c r="I45" i="1"/>
  <c r="M22" i="1"/>
  <c r="J45" i="1"/>
  <c r="P8" i="1"/>
  <c r="IP9" i="4" s="1"/>
  <c r="AJ9" i="1"/>
  <c r="J20" i="1"/>
  <c r="T46" i="1"/>
  <c r="N35" i="1"/>
  <c r="R22" i="1"/>
  <c r="R15" i="1"/>
  <c r="T47" i="1"/>
  <c r="AL45" i="1"/>
  <c r="BX15" i="1"/>
  <c r="C25" i="1"/>
  <c r="V24" i="1"/>
  <c r="D46" i="1"/>
  <c r="HX16" i="4" s="1"/>
  <c r="P153" i="1"/>
  <c r="P183" i="1" s="1"/>
  <c r="HY9" i="4" s="1"/>
  <c r="R20" i="1"/>
  <c r="L9" i="1"/>
  <c r="S32" i="1"/>
  <c r="S194" i="1" s="1"/>
  <c r="W117" i="1"/>
  <c r="HU9" i="4" s="1"/>
  <c r="BX46" i="1"/>
  <c r="Q9" i="1"/>
  <c r="J36" i="1"/>
  <c r="I25" i="1"/>
  <c r="IB16" i="4" s="1"/>
  <c r="IB9" i="4" s="1"/>
  <c r="AJ35" i="1"/>
  <c r="AJ37" i="1" s="1"/>
  <c r="E25" i="1"/>
  <c r="P155" i="1"/>
  <c r="B45" i="1"/>
  <c r="L51" i="1"/>
  <c r="I36" i="1"/>
  <c r="I252" i="1" s="1"/>
  <c r="Q153" i="1"/>
  <c r="Q183" i="1" s="1"/>
  <c r="F9" i="1"/>
  <c r="HQ16" i="4" s="1"/>
  <c r="HQ21" i="4" s="1"/>
  <c r="AK77" i="1" s="1"/>
  <c r="IZ8" i="4" s="1"/>
  <c r="AL25" i="1"/>
  <c r="BX125" i="1"/>
  <c r="BY125" i="1" s="1"/>
  <c r="L13" i="1"/>
  <c r="Q23" i="1"/>
  <c r="J51" i="1"/>
  <c r="IN7" i="4" s="1"/>
  <c r="L35" i="1"/>
  <c r="N47" i="1"/>
  <c r="AK25" i="1"/>
  <c r="O15" i="1"/>
  <c r="U21" i="1"/>
  <c r="P45" i="1"/>
  <c r="R9" i="1"/>
  <c r="S24" i="1"/>
  <c r="G24" i="1"/>
  <c r="T25" i="1"/>
  <c r="M25" i="1"/>
  <c r="IF15" i="4" s="1"/>
  <c r="AK39" i="1"/>
  <c r="AK9" i="1"/>
  <c r="B20" i="1"/>
  <c r="G13" i="1"/>
  <c r="R23" i="1"/>
  <c r="T13" i="1"/>
  <c r="J46" i="1"/>
  <c r="F21" i="1"/>
  <c r="BX25" i="1"/>
  <c r="AK46" i="1"/>
  <c r="N20" i="1"/>
  <c r="U22" i="1"/>
  <c r="O51" i="1"/>
  <c r="F32" i="1"/>
  <c r="C9" i="1"/>
  <c r="N21" i="1"/>
  <c r="F35" i="1"/>
  <c r="BJ24" i="1"/>
  <c r="U23" i="1"/>
  <c r="I13" i="1"/>
  <c r="F51" i="1"/>
  <c r="U35" i="1"/>
  <c r="K46" i="1"/>
  <c r="B8" i="1"/>
  <c r="B231" i="1" s="1"/>
  <c r="IU14" i="4" s="1"/>
  <c r="AJ14" i="1"/>
  <c r="E20" i="1"/>
  <c r="H39" i="1"/>
  <c r="C51" i="1"/>
  <c r="V45" i="1"/>
  <c r="T23" i="1"/>
  <c r="W9" i="1"/>
  <c r="W10" i="1" s="1"/>
  <c r="AK14" i="1"/>
  <c r="K20" i="1"/>
  <c r="BX149" i="1"/>
  <c r="BY149" i="1" s="1"/>
  <c r="JH14" i="4" s="1"/>
  <c r="IG16" i="4" s="1"/>
  <c r="IG21" i="4" s="1"/>
  <c r="BA77" i="1" s="1"/>
  <c r="E15" i="1"/>
  <c r="P25" i="1"/>
  <c r="P24" i="1"/>
  <c r="N25" i="1"/>
  <c r="BX163" i="1"/>
  <c r="BY163" i="1" s="1"/>
  <c r="O47" i="1"/>
  <c r="G39" i="1"/>
  <c r="IE16" i="4" s="1"/>
  <c r="BX24" i="1"/>
  <c r="BX142" i="1"/>
  <c r="BY142" i="1" s="1"/>
  <c r="M24" i="1"/>
  <c r="L36" i="1"/>
  <c r="J13" i="1"/>
  <c r="HT8" i="4" s="1"/>
  <c r="IF7" i="4" s="1"/>
  <c r="AL24" i="1"/>
  <c r="AJ22" i="1"/>
  <c r="R13" i="1"/>
  <c r="M15" i="1"/>
  <c r="B32" i="1"/>
  <c r="K15" i="1"/>
  <c r="R51" i="1"/>
  <c r="AJ32" i="1"/>
  <c r="AL8" i="1"/>
  <c r="H25" i="1"/>
  <c r="HU16" i="4" s="1"/>
  <c r="JD16" i="4" s="1"/>
  <c r="BX154" i="1"/>
  <c r="BY154" i="1" s="1"/>
  <c r="W25" i="1"/>
  <c r="O21" i="1"/>
  <c r="M32" i="1"/>
  <c r="R32" i="1"/>
  <c r="R194" i="1" s="1"/>
  <c r="BJ23" i="1"/>
  <c r="BX144" i="1"/>
  <c r="BX160" i="1"/>
  <c r="O25" i="1"/>
  <c r="V20" i="1"/>
  <c r="O46" i="1"/>
  <c r="H23" i="1"/>
  <c r="P22" i="1"/>
  <c r="AL46" i="1"/>
  <c r="AK51" i="1"/>
  <c r="AK47" i="1"/>
  <c r="BX164" i="1"/>
  <c r="BY164" i="1" s="1"/>
  <c r="D35" i="1"/>
  <c r="E22" i="1"/>
  <c r="I9" i="1"/>
  <c r="V15" i="1"/>
  <c r="T36" i="1"/>
  <c r="P127" i="1"/>
  <c r="C22" i="1"/>
  <c r="BJ15" i="1"/>
  <c r="K32" i="1"/>
  <c r="K194" i="1" s="1"/>
  <c r="H36" i="1"/>
  <c r="U25" i="1"/>
  <c r="I22" i="1"/>
  <c r="O9" i="1"/>
  <c r="IL9" i="4" s="1"/>
  <c r="BX20" i="1"/>
  <c r="D15" i="1"/>
  <c r="H21" i="1"/>
  <c r="V51" i="1"/>
  <c r="J24" i="1"/>
  <c r="W13" i="1"/>
  <c r="T32" i="1"/>
  <c r="D25" i="1"/>
  <c r="P9" i="1"/>
  <c r="R8" i="1"/>
  <c r="R231" i="1" s="1"/>
  <c r="O20" i="1"/>
  <c r="T51" i="1"/>
  <c r="AK21" i="1"/>
  <c r="W15" i="1"/>
  <c r="W24" i="1"/>
  <c r="JI16" i="4" s="1"/>
  <c r="AK20" i="1"/>
  <c r="BJ25" i="1"/>
  <c r="P51" i="1"/>
  <c r="AJ25" i="1"/>
  <c r="AJ13" i="1"/>
  <c r="D122" i="1"/>
  <c r="J119" i="1"/>
  <c r="V39" i="1"/>
  <c r="E32" i="1"/>
  <c r="E194" i="1" s="1"/>
  <c r="H8" i="1"/>
  <c r="N32" i="1"/>
  <c r="N9" i="1"/>
  <c r="IE9" i="4" s="1"/>
  <c r="IP16" i="4" s="1"/>
  <c r="AJ15" i="1"/>
  <c r="BJ21" i="1"/>
  <c r="C24" i="1"/>
  <c r="O39" i="1"/>
  <c r="V47" i="1"/>
  <c r="T9" i="1"/>
  <c r="P15" i="1"/>
  <c r="T35" i="1"/>
  <c r="HR9" i="4" s="1"/>
  <c r="AL47" i="1"/>
  <c r="AJ8" i="1"/>
  <c r="AJ231" i="1" s="1"/>
  <c r="B39" i="1"/>
  <c r="K8" i="1"/>
  <c r="C46" i="1"/>
  <c r="T24" i="1"/>
  <c r="H22" i="1"/>
  <c r="S15" i="1"/>
  <c r="BJ14" i="1"/>
  <c r="AK35" i="1"/>
  <c r="BX14" i="1"/>
  <c r="L39" i="1"/>
  <c r="BX132" i="1"/>
  <c r="L45" i="1"/>
  <c r="F45" i="1"/>
  <c r="Q47" i="1"/>
  <c r="K21" i="1"/>
  <c r="IK9" i="4" s="1"/>
  <c r="AL9" i="1"/>
  <c r="J23" i="1"/>
  <c r="BX122" i="1"/>
  <c r="BY122" i="1" s="1"/>
  <c r="L24" i="1"/>
  <c r="H51" i="1"/>
  <c r="J9" i="1"/>
  <c r="R21" i="1"/>
  <c r="D22" i="1"/>
  <c r="K35" i="1"/>
  <c r="ID16" i="4" s="1"/>
  <c r="AL20" i="1"/>
  <c r="F25" i="1"/>
  <c r="D32" i="1"/>
  <c r="D194" i="1" s="1"/>
  <c r="L21" i="1"/>
  <c r="U24" i="1"/>
  <c r="S25" i="1"/>
  <c r="M21" i="1"/>
  <c r="O23" i="1"/>
  <c r="N51" i="1"/>
  <c r="M45" i="1"/>
  <c r="BX73" i="1"/>
  <c r="B51" i="1"/>
  <c r="L32" i="1"/>
  <c r="L194" i="1" s="1"/>
  <c r="H15" i="1"/>
  <c r="U51" i="1"/>
  <c r="IF14" i="4" s="1"/>
  <c r="IT9" i="4" s="1"/>
  <c r="JB9" i="4" s="1"/>
  <c r="BX8" i="1"/>
  <c r="AJ21" i="1"/>
  <c r="E39" i="1"/>
  <c r="D9" i="1"/>
  <c r="E51" i="1"/>
  <c r="U45" i="1"/>
  <c r="N36" i="1"/>
  <c r="G47" i="1"/>
  <c r="ID9" i="4" s="1"/>
  <c r="ID21" i="4" s="1"/>
  <c r="AX77" i="1" s="1"/>
  <c r="BX51" i="1"/>
  <c r="T45" i="1"/>
  <c r="B36" i="1"/>
  <c r="H47" i="1"/>
  <c r="V21" i="1"/>
  <c r="W46" i="1"/>
  <c r="BJ8" i="1"/>
  <c r="BJ231" i="1" s="1"/>
  <c r="M23" i="1"/>
  <c r="S45" i="1"/>
  <c r="I51" i="1"/>
  <c r="L22" i="1"/>
  <c r="IR9" i="4" s="1"/>
  <c r="G36" i="1"/>
  <c r="J22" i="1"/>
  <c r="BX118" i="1"/>
  <c r="BY118" i="1" s="1"/>
  <c r="D23" i="1"/>
  <c r="G25" i="1"/>
  <c r="G153" i="1"/>
  <c r="R24" i="1"/>
  <c r="T20" i="1"/>
  <c r="H35" i="1"/>
  <c r="AJ46" i="1"/>
  <c r="AJ24" i="1"/>
  <c r="AK36" i="1"/>
  <c r="S13" i="1"/>
  <c r="F13" i="1"/>
  <c r="W132" i="1"/>
  <c r="J21" i="1"/>
  <c r="C45" i="1"/>
  <c r="W22" i="1"/>
  <c r="G51" i="1"/>
  <c r="Q13" i="1"/>
  <c r="G23" i="1"/>
  <c r="S22" i="1"/>
  <c r="Q35" i="1"/>
  <c r="N15" i="1"/>
  <c r="N23" i="1"/>
  <c r="E159" i="1"/>
  <c r="IU15" i="4" s="1"/>
  <c r="IA8" i="4" s="1"/>
  <c r="C20" i="1"/>
  <c r="E45" i="1"/>
  <c r="U13" i="1"/>
  <c r="W39" i="1"/>
  <c r="P32" i="1"/>
  <c r="P194" i="1" s="1"/>
  <c r="K22" i="1"/>
  <c r="P20" i="1"/>
  <c r="T39" i="1"/>
  <c r="P160" i="1"/>
  <c r="AJ20" i="1"/>
  <c r="B15" i="1"/>
  <c r="BX152" i="1"/>
  <c r="BY152" i="1" s="1"/>
  <c r="H9" i="1"/>
  <c r="P47" i="1"/>
  <c r="F8" i="1"/>
  <c r="F231" i="1" s="1"/>
  <c r="IH14" i="4"/>
  <c r="HT7" i="4"/>
  <c r="V253" i="1"/>
  <c r="AL120" i="1"/>
  <c r="AL128" i="1"/>
  <c r="AI196" i="1"/>
  <c r="AI198" i="1" s="1"/>
  <c r="AJ134" i="1"/>
  <c r="AK33" i="1" s="1"/>
  <c r="BK143" i="1"/>
  <c r="BK202" i="1"/>
  <c r="CM32" i="1"/>
  <c r="AB77" i="1"/>
  <c r="CQ77" i="1"/>
  <c r="AC140" i="1"/>
  <c r="CN65" i="1"/>
  <c r="CO63" i="1"/>
  <c r="AJ151" i="1" l="1"/>
  <c r="AK151" i="1" s="1"/>
  <c r="AJ127" i="1"/>
  <c r="AK127" i="1" s="1"/>
  <c r="AJ149" i="1"/>
  <c r="AK149" i="1" s="1"/>
  <c r="AJ153" i="1"/>
  <c r="AJ145" i="1"/>
  <c r="AJ159" i="1"/>
  <c r="AJ161" i="1" s="1"/>
  <c r="AK209" i="1" s="1"/>
  <c r="AJ154" i="1"/>
  <c r="AK154" i="1" s="1"/>
  <c r="AJ117" i="1"/>
  <c r="AK117" i="1" s="1"/>
  <c r="AJ140" i="1"/>
  <c r="AJ147" i="1"/>
  <c r="AK147" i="1" s="1"/>
  <c r="AJ137" i="1"/>
  <c r="AK137" i="1" s="1"/>
  <c r="L253" i="1"/>
  <c r="AL161" i="1"/>
  <c r="AM209" i="1" s="1"/>
  <c r="AJ125" i="1"/>
  <c r="IZ21" i="4"/>
  <c r="BT77" i="1" s="1"/>
  <c r="W11" i="1"/>
  <c r="IY9" i="4" s="1"/>
  <c r="JF16" i="4" s="1"/>
  <c r="AL253" i="1"/>
  <c r="G183" i="1"/>
  <c r="Q252" i="1"/>
  <c r="P253" i="1"/>
  <c r="J252" i="1"/>
  <c r="S10" i="1"/>
  <c r="Q10" i="1"/>
  <c r="Q231" i="1"/>
  <c r="BX253" i="1"/>
  <c r="C231" i="1"/>
  <c r="K253" i="1"/>
  <c r="J253" i="1"/>
  <c r="BJ148" i="1"/>
  <c r="BY202" i="1"/>
  <c r="BJ161" i="1"/>
  <c r="BK209" i="1" s="1"/>
  <c r="IY7" i="4"/>
  <c r="AM10" i="1"/>
  <c r="M252" i="1"/>
  <c r="HU21" i="4"/>
  <c r="AO77" i="1" s="1"/>
  <c r="HZ8" i="4"/>
  <c r="IK8" i="4"/>
  <c r="IR7" i="4"/>
  <c r="IL8" i="4"/>
  <c r="JC8" i="4"/>
  <c r="IS21" i="4"/>
  <c r="BM77" i="1" s="1"/>
  <c r="IQ8" i="4"/>
  <c r="JI7" i="4"/>
  <c r="C252" i="1"/>
  <c r="O253" i="1"/>
  <c r="T26" i="1"/>
  <c r="IL7" i="4"/>
  <c r="IL19" i="4" s="1"/>
  <c r="BF78" i="1" s="1"/>
  <c r="BF107" i="1" s="1"/>
  <c r="HV14" i="4"/>
  <c r="IZ14" i="4"/>
  <c r="HZ7" i="4"/>
  <c r="HY14" i="4"/>
  <c r="G253" i="1"/>
  <c r="JG15" i="4"/>
  <c r="HV15" i="4"/>
  <c r="D26" i="1"/>
  <c r="E10" i="1"/>
  <c r="E16" i="1" s="1"/>
  <c r="AK231" i="1"/>
  <c r="O231" i="1"/>
  <c r="C10" i="1"/>
  <c r="C16" i="1" s="1"/>
  <c r="HR21" i="4"/>
  <c r="AL77" i="1" s="1"/>
  <c r="R252" i="1"/>
  <c r="V11" i="1"/>
  <c r="BJ180" i="1"/>
  <c r="BK180" i="1" s="1"/>
  <c r="BX180" i="1"/>
  <c r="BY180" i="1" s="1"/>
  <c r="BK117" i="1"/>
  <c r="BJ120" i="1"/>
  <c r="BK149" i="1"/>
  <c r="AL156" i="1"/>
  <c r="AJ120" i="1"/>
  <c r="BJ150" i="1"/>
  <c r="BJ127" i="1"/>
  <c r="AM128" i="1"/>
  <c r="BJ134" i="1"/>
  <c r="JI20" i="4"/>
  <c r="CC79" i="1" s="1"/>
  <c r="HV21" i="4"/>
  <c r="AP77" i="1" s="1"/>
  <c r="S26" i="1"/>
  <c r="AM26" i="1"/>
  <c r="AM27" i="1" s="1"/>
  <c r="JF15" i="4"/>
  <c r="IO14" i="4"/>
  <c r="IU7" i="4"/>
  <c r="IU19" i="4" s="1"/>
  <c r="BO78" i="1" s="1"/>
  <c r="BO107" i="1" s="1"/>
  <c r="IG7" i="4"/>
  <c r="IN14" i="4"/>
  <c r="IN19" i="4" s="1"/>
  <c r="BH78" i="1" s="1"/>
  <c r="BH107" i="1" s="1"/>
  <c r="IT7" i="4"/>
  <c r="JE15" i="4"/>
  <c r="IQ15" i="4"/>
  <c r="IQ20" i="4" s="1"/>
  <c r="BK79" i="1" s="1"/>
  <c r="BK108" i="1" s="1"/>
  <c r="BJ153" i="1"/>
  <c r="BJ183" i="1" s="1"/>
  <c r="BK183" i="1" s="1"/>
  <c r="JA8" i="4"/>
  <c r="AM252" i="1"/>
  <c r="IM21" i="4"/>
  <c r="BG77" i="1" s="1"/>
  <c r="IX15" i="4"/>
  <c r="IL15" i="4"/>
  <c r="IL20" i="4" s="1"/>
  <c r="BF79" i="1" s="1"/>
  <c r="BF108" i="1" s="1"/>
  <c r="IV7" i="4"/>
  <c r="C253" i="1"/>
  <c r="IE15" i="4"/>
  <c r="IE20" i="4" s="1"/>
  <c r="AY79" i="1" s="1"/>
  <c r="AY108" i="1" s="1"/>
  <c r="HP15" i="4"/>
  <c r="HP21" i="4"/>
  <c r="AJ77" i="1" s="1"/>
  <c r="HX14" i="4"/>
  <c r="IV15" i="4"/>
  <c r="IN8" i="4"/>
  <c r="O252" i="1"/>
  <c r="IA14" i="4"/>
  <c r="L10" i="1"/>
  <c r="IB21" i="4"/>
  <c r="AV77" i="1" s="1"/>
  <c r="JC14" i="4"/>
  <c r="U26" i="1"/>
  <c r="JD7" i="4"/>
  <c r="T252" i="1"/>
  <c r="IL21" i="4"/>
  <c r="BF77" i="1" s="1"/>
  <c r="II14" i="4"/>
  <c r="N10" i="1"/>
  <c r="N98" i="1" s="1"/>
  <c r="IP21" i="4"/>
  <c r="BJ77" i="1" s="1"/>
  <c r="IK14" i="4"/>
  <c r="AL26" i="1"/>
  <c r="HR14" i="4"/>
  <c r="IT21" i="4"/>
  <c r="BN77" i="1" s="1"/>
  <c r="JE14" i="4"/>
  <c r="N252" i="1"/>
  <c r="L26" i="1"/>
  <c r="BY120" i="1"/>
  <c r="AJ26" i="1"/>
  <c r="L252" i="1"/>
  <c r="L16" i="1"/>
  <c r="L98" i="1"/>
  <c r="R10" i="1"/>
  <c r="BY128" i="1"/>
  <c r="BY129" i="1" s="1"/>
  <c r="HZ21" i="4"/>
  <c r="AT77" i="1" s="1"/>
  <c r="IC7" i="4"/>
  <c r="AM138" i="1"/>
  <c r="HY21" i="4"/>
  <c r="AS77" i="1" s="1"/>
  <c r="HQ7" i="4"/>
  <c r="JD15" i="4"/>
  <c r="N16" i="1"/>
  <c r="S253" i="1"/>
  <c r="J26" i="1"/>
  <c r="G252" i="1"/>
  <c r="HP14" i="4"/>
  <c r="HR8" i="4"/>
  <c r="HX21" i="4"/>
  <c r="AR77" i="1" s="1"/>
  <c r="HS8" i="4"/>
  <c r="R253" i="1"/>
  <c r="S252" i="1"/>
  <c r="JF8" i="4"/>
  <c r="HS14" i="4"/>
  <c r="B253" i="1"/>
  <c r="IF19" i="4"/>
  <c r="AZ78" i="1" s="1"/>
  <c r="AZ107" i="1" s="1"/>
  <c r="IM7" i="4"/>
  <c r="JB15" i="4"/>
  <c r="JF14" i="4"/>
  <c r="IX7" i="4"/>
  <c r="Q253" i="1"/>
  <c r="IC21" i="4"/>
  <c r="AW77" i="1" s="1"/>
  <c r="ID14" i="4"/>
  <c r="IX14" i="4"/>
  <c r="JG7" i="4"/>
  <c r="AJ180" i="1"/>
  <c r="AK180" i="1" s="1"/>
  <c r="J10" i="1"/>
  <c r="IU8" i="4"/>
  <c r="IU20" i="4" s="1"/>
  <c r="BO79" i="1" s="1"/>
  <c r="BO108" i="1" s="1"/>
  <c r="HW14" i="4"/>
  <c r="IA7" i="4"/>
  <c r="JF7" i="4"/>
  <c r="AL148" i="1"/>
  <c r="AL182" i="1" s="1"/>
  <c r="BX128" i="1"/>
  <c r="V188" i="1"/>
  <c r="BX148" i="1"/>
  <c r="BX182" i="1" s="1"/>
  <c r="BX161" i="1"/>
  <c r="BX156" i="1"/>
  <c r="BX185" i="1" s="1"/>
  <c r="AJ148" i="1"/>
  <c r="AJ196" i="1" s="1"/>
  <c r="D253" i="1"/>
  <c r="AJ156" i="1"/>
  <c r="AJ197" i="1" s="1"/>
  <c r="BX120" i="1"/>
  <c r="BX92" i="1" s="1"/>
  <c r="BX129" i="1"/>
  <c r="K231" i="1"/>
  <c r="K10" i="1"/>
  <c r="C26" i="1"/>
  <c r="HW8" i="4"/>
  <c r="JH7" i="4"/>
  <c r="X11" i="1"/>
  <c r="X188" i="1"/>
  <c r="W98" i="1"/>
  <c r="W16" i="1"/>
  <c r="W188" i="1"/>
  <c r="IM8" i="4"/>
  <c r="V26" i="1"/>
  <c r="V27" i="1" s="1"/>
  <c r="V98" i="1"/>
  <c r="V16" i="1"/>
  <c r="Q26" i="1"/>
  <c r="K26" i="1"/>
  <c r="B10" i="1"/>
  <c r="IY21" i="4"/>
  <c r="BS77" i="1" s="1"/>
  <c r="HU14" i="4"/>
  <c r="U16" i="1"/>
  <c r="JA14" i="4"/>
  <c r="IJ14" i="4"/>
  <c r="IR14" i="4"/>
  <c r="IR19" i="4" s="1"/>
  <c r="BL78" i="1" s="1"/>
  <c r="HV8" i="4"/>
  <c r="HV20" i="4" s="1"/>
  <c r="AP79" i="1" s="1"/>
  <c r="AP108" i="1" s="1"/>
  <c r="IK21" i="4"/>
  <c r="BE77" i="1" s="1"/>
  <c r="IW7" i="4"/>
  <c r="JC7" i="4"/>
  <c r="JC19" i="4" s="1"/>
  <c r="BW78" i="1" s="1"/>
  <c r="BW107" i="1" s="1"/>
  <c r="IP8" i="4"/>
  <c r="JG14" i="4"/>
  <c r="D231" i="1"/>
  <c r="D10" i="1"/>
  <c r="D27" i="1" s="1"/>
  <c r="IQ21" i="4"/>
  <c r="BK77" i="1" s="1"/>
  <c r="IY14" i="4"/>
  <c r="IY19" i="4" s="1"/>
  <c r="BS78" i="1" s="1"/>
  <c r="BS107" i="1" s="1"/>
  <c r="IS15" i="4"/>
  <c r="IB15" i="4"/>
  <c r="BX183" i="1"/>
  <c r="BY183" i="1" s="1"/>
  <c r="AL180" i="1"/>
  <c r="AM180" i="1" s="1"/>
  <c r="IH15" i="4"/>
  <c r="IJ15" i="4"/>
  <c r="HS21" i="4"/>
  <c r="AM77" i="1" s="1"/>
  <c r="M194" i="1"/>
  <c r="M253" i="1"/>
  <c r="AM98" i="1"/>
  <c r="AM99" i="1" s="1"/>
  <c r="B252" i="1"/>
  <c r="O26" i="1"/>
  <c r="IE21" i="4"/>
  <c r="AY77" i="1" s="1"/>
  <c r="JF21" i="4"/>
  <c r="BZ77" i="1" s="1"/>
  <c r="BZ94" i="1" s="1"/>
  <c r="IW15" i="4"/>
  <c r="IQ14" i="4"/>
  <c r="F10" i="1"/>
  <c r="HT14" i="4"/>
  <c r="HT19" i="4" s="1"/>
  <c r="AN78" i="1" s="1"/>
  <c r="AN107" i="1" s="1"/>
  <c r="IZ15" i="4"/>
  <c r="IZ20" i="4" s="1"/>
  <c r="BT79" i="1" s="1"/>
  <c r="BT108" i="1" s="1"/>
  <c r="IZ7" i="4"/>
  <c r="IZ19" i="4" s="1"/>
  <c r="BT78" i="1" s="1"/>
  <c r="BT107" i="1" s="1"/>
  <c r="W253" i="1"/>
  <c r="W194" i="1"/>
  <c r="M26" i="1"/>
  <c r="IB8" i="4"/>
  <c r="IA15" i="4"/>
  <c r="IA20" i="4" s="1"/>
  <c r="AU79" i="1" s="1"/>
  <c r="AU108" i="1" s="1"/>
  <c r="O10" i="1"/>
  <c r="IP14" i="4"/>
  <c r="JI14" i="4"/>
  <c r="JI19" i="4" s="1"/>
  <c r="CC78" i="1" s="1"/>
  <c r="IP15" i="4"/>
  <c r="JH8" i="4"/>
  <c r="HX8" i="4"/>
  <c r="IO15" i="4"/>
  <c r="JG21" i="4"/>
  <c r="CA77" i="1" s="1"/>
  <c r="IT14" i="4"/>
  <c r="IT19" i="4" s="1"/>
  <c r="BN78" i="1" s="1"/>
  <c r="BN107" i="1" s="1"/>
  <c r="HZ14" i="4"/>
  <c r="HU15" i="4"/>
  <c r="HU20" i="4" s="1"/>
  <c r="AO79" i="1" s="1"/>
  <c r="AO108" i="1" s="1"/>
  <c r="K252" i="1"/>
  <c r="D252" i="1"/>
  <c r="IX21" i="4"/>
  <c r="BR77" i="1" s="1"/>
  <c r="IW14" i="4"/>
  <c r="I231" i="1"/>
  <c r="I10" i="1"/>
  <c r="BX252" i="1"/>
  <c r="IV8" i="4"/>
  <c r="IV20" i="4" s="1"/>
  <c r="BP79" i="1" s="1"/>
  <c r="BP108" i="1" s="1"/>
  <c r="IM14" i="4"/>
  <c r="IC14" i="4"/>
  <c r="IN15" i="4"/>
  <c r="AL179" i="1"/>
  <c r="AM179" i="1" s="1"/>
  <c r="BJ179" i="1"/>
  <c r="BK179" i="1" s="1"/>
  <c r="P26" i="1"/>
  <c r="BX179" i="1"/>
  <c r="BY179" i="1" s="1"/>
  <c r="AL231" i="1"/>
  <c r="AL10" i="1"/>
  <c r="G26" i="1"/>
  <c r="F26" i="1"/>
  <c r="IE7" i="4"/>
  <c r="IC8" i="4"/>
  <c r="U194" i="1"/>
  <c r="U253" i="1"/>
  <c r="AM194" i="1"/>
  <c r="AM253" i="1"/>
  <c r="HX7" i="4"/>
  <c r="HX19" i="4" s="1"/>
  <c r="AR78" i="1" s="1"/>
  <c r="AR107" i="1" s="1"/>
  <c r="JD21" i="4"/>
  <c r="BX77" i="1" s="1"/>
  <c r="HW21" i="4"/>
  <c r="AQ77" i="1" s="1"/>
  <c r="JE7" i="4"/>
  <c r="JE19" i="4" s="1"/>
  <c r="BY78" i="1" s="1"/>
  <c r="BY107" i="1" s="1"/>
  <c r="ID8" i="4"/>
  <c r="JH21" i="4"/>
  <c r="CB77" i="1" s="1"/>
  <c r="IY15" i="4"/>
  <c r="JB21" i="4"/>
  <c r="BV77" i="1" s="1"/>
  <c r="JH15" i="4"/>
  <c r="HV7" i="4"/>
  <c r="HV19" i="4" s="1"/>
  <c r="AP78" i="1" s="1"/>
  <c r="AP107" i="1" s="1"/>
  <c r="JC15" i="4"/>
  <c r="JC20" i="4" s="1"/>
  <c r="BW79" i="1" s="1"/>
  <c r="BW108" i="1" s="1"/>
  <c r="HW7" i="4"/>
  <c r="HW19" i="4" s="1"/>
  <c r="AQ78" i="1" s="1"/>
  <c r="AQ107" i="1" s="1"/>
  <c r="P252" i="1"/>
  <c r="IU21" i="4"/>
  <c r="BO77" i="1" s="1"/>
  <c r="IO7" i="4"/>
  <c r="IO19" i="4" s="1"/>
  <c r="BI78" i="1" s="1"/>
  <c r="BI107" i="1" s="1"/>
  <c r="JG8" i="4"/>
  <c r="JG20" i="4" s="1"/>
  <c r="CA79" i="1" s="1"/>
  <c r="IP7" i="4"/>
  <c r="IT8" i="4"/>
  <c r="T231" i="1"/>
  <c r="T10" i="1"/>
  <c r="IA21" i="4"/>
  <c r="AU77" i="1" s="1"/>
  <c r="JB8" i="4"/>
  <c r="JB14" i="4"/>
  <c r="H26" i="1"/>
  <c r="H252" i="1"/>
  <c r="AJ194" i="1"/>
  <c r="AJ33" i="1"/>
  <c r="N26" i="1"/>
  <c r="HQ14" i="4"/>
  <c r="HX15" i="4"/>
  <c r="AJ10" i="1"/>
  <c r="II7" i="4"/>
  <c r="F252" i="1"/>
  <c r="HS7" i="4"/>
  <c r="AM16" i="1"/>
  <c r="ID15" i="4"/>
  <c r="JI21" i="4"/>
  <c r="CC77" i="1" s="1"/>
  <c r="IH7" i="4"/>
  <c r="IH19" i="4" s="1"/>
  <c r="BB78" i="1" s="1"/>
  <c r="BB107" i="1" s="1"/>
  <c r="JD8" i="4"/>
  <c r="JD14" i="4"/>
  <c r="HT15" i="4"/>
  <c r="HT20" i="4" s="1"/>
  <c r="AN79" i="1" s="1"/>
  <c r="AN108" i="1" s="1"/>
  <c r="G231" i="1"/>
  <c r="G10" i="1"/>
  <c r="JE8" i="4"/>
  <c r="HS15" i="4"/>
  <c r="HQ15" i="4"/>
  <c r="HU7" i="4"/>
  <c r="HT21" i="4"/>
  <c r="AN77" i="1" s="1"/>
  <c r="II15" i="4"/>
  <c r="IT15" i="4"/>
  <c r="HW15" i="4"/>
  <c r="JE21" i="4"/>
  <c r="BY77" i="1" s="1"/>
  <c r="HP8" i="4"/>
  <c r="HP20" i="4" s="1"/>
  <c r="AJ79" i="1" s="1"/>
  <c r="IR21" i="4"/>
  <c r="BL77" i="1" s="1"/>
  <c r="BL94" i="1" s="1"/>
  <c r="IY8" i="4"/>
  <c r="JC21" i="4"/>
  <c r="BW77" i="1" s="1"/>
  <c r="ID7" i="4"/>
  <c r="IX8" i="4"/>
  <c r="IX20" i="4" s="1"/>
  <c r="BR79" i="1" s="1"/>
  <c r="BR108" i="1" s="1"/>
  <c r="HP7" i="4"/>
  <c r="HP19" i="4" s="1"/>
  <c r="AJ78" i="1" s="1"/>
  <c r="IH21" i="4"/>
  <c r="BB77" i="1" s="1"/>
  <c r="IB7" i="4"/>
  <c r="IC15" i="4"/>
  <c r="CA98" i="1"/>
  <c r="CA99" i="1" s="1"/>
  <c r="BX231" i="1"/>
  <c r="R26" i="1"/>
  <c r="N194" i="1"/>
  <c r="N253" i="1"/>
  <c r="W26" i="1"/>
  <c r="W27" i="1" s="1"/>
  <c r="IF8" i="4"/>
  <c r="IF20" i="4" s="1"/>
  <c r="AZ79" i="1" s="1"/>
  <c r="AZ108" i="1" s="1"/>
  <c r="AL252" i="1"/>
  <c r="BX134" i="1"/>
  <c r="BX10" i="1"/>
  <c r="CA225" i="1" s="1"/>
  <c r="I194" i="1"/>
  <c r="I253" i="1"/>
  <c r="IH8" i="4"/>
  <c r="JA7" i="4"/>
  <c r="IJ7" i="4"/>
  <c r="B26" i="1"/>
  <c r="IS14" i="4"/>
  <c r="IO21" i="4"/>
  <c r="BI77" i="1" s="1"/>
  <c r="IS8" i="4"/>
  <c r="IJ8" i="4"/>
  <c r="IW8" i="4"/>
  <c r="M231" i="1"/>
  <c r="M10" i="1"/>
  <c r="HQ8" i="4"/>
  <c r="II21" i="4"/>
  <c r="BC77" i="1" s="1"/>
  <c r="HY15" i="4"/>
  <c r="IF21" i="4"/>
  <c r="AZ77" i="1" s="1"/>
  <c r="II8" i="4"/>
  <c r="HY8" i="4"/>
  <c r="IO8" i="4"/>
  <c r="IG14" i="4"/>
  <c r="HR15" i="4"/>
  <c r="AJ179" i="1"/>
  <c r="IQ7" i="4"/>
  <c r="H231" i="1"/>
  <c r="H10" i="1"/>
  <c r="T194" i="1"/>
  <c r="T253" i="1"/>
  <c r="BX26" i="1"/>
  <c r="IR8" i="4"/>
  <c r="IR20" i="4" s="1"/>
  <c r="BL79" i="1" s="1"/>
  <c r="BL96" i="1" s="1"/>
  <c r="E26" i="1"/>
  <c r="F194" i="1"/>
  <c r="F253" i="1"/>
  <c r="P231" i="1"/>
  <c r="P10" i="1"/>
  <c r="AK26" i="1"/>
  <c r="IN21" i="4"/>
  <c r="BH77" i="1" s="1"/>
  <c r="AK10" i="1"/>
  <c r="IG15" i="4"/>
  <c r="IM15" i="4"/>
  <c r="IB14" i="4"/>
  <c r="I26" i="1"/>
  <c r="HR7" i="4"/>
  <c r="JA21" i="4"/>
  <c r="BU77" i="1" s="1"/>
  <c r="IK7" i="4"/>
  <c r="IE14" i="4"/>
  <c r="IK15" i="4"/>
  <c r="H194" i="1"/>
  <c r="H253" i="1"/>
  <c r="JB7" i="4"/>
  <c r="IG8" i="4"/>
  <c r="HY7" i="4"/>
  <c r="JA15" i="4"/>
  <c r="IS7" i="4"/>
  <c r="IV14" i="4"/>
  <c r="HZ15" i="4"/>
  <c r="AL183" i="1"/>
  <c r="AM183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M33" i="1"/>
  <c r="AL138" i="1"/>
  <c r="AL92" i="1"/>
  <c r="AK134" i="1"/>
  <c r="AL12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AJ202" i="1" l="1"/>
  <c r="AK140" i="1"/>
  <c r="IA19" i="4"/>
  <c r="AU78" i="1" s="1"/>
  <c r="AU107" i="1" s="1"/>
  <c r="HX20" i="4"/>
  <c r="AR79" i="1" s="1"/>
  <c r="AR108" i="1" s="1"/>
  <c r="II19" i="4"/>
  <c r="BC78" i="1" s="1"/>
  <c r="BC107" i="1" s="1"/>
  <c r="IG19" i="4"/>
  <c r="BA78" i="1" s="1"/>
  <c r="BA107" i="1" s="1"/>
  <c r="HR20" i="4"/>
  <c r="AL79" i="1" s="1"/>
  <c r="AJ183" i="1"/>
  <c r="AL248" i="1"/>
  <c r="AL168" i="1"/>
  <c r="AJ138" i="1"/>
  <c r="BJ182" i="1"/>
  <c r="AJ128" i="1"/>
  <c r="AK125" i="1"/>
  <c r="AK128" i="1" s="1"/>
  <c r="S98" i="1"/>
  <c r="S16" i="1"/>
  <c r="S17" i="1" s="1"/>
  <c r="Q16" i="1"/>
  <c r="Q17" i="1" s="1"/>
  <c r="Q98" i="1"/>
  <c r="JF19" i="4"/>
  <c r="BZ78" i="1" s="1"/>
  <c r="L188" i="1"/>
  <c r="C27" i="1"/>
  <c r="JG19" i="4"/>
  <c r="CA78" i="1" s="1"/>
  <c r="CA95" i="1" s="1"/>
  <c r="HZ19" i="4"/>
  <c r="AT78" i="1" s="1"/>
  <c r="AT107" i="1" s="1"/>
  <c r="J188" i="1"/>
  <c r="IC19" i="4"/>
  <c r="AW78" i="1" s="1"/>
  <c r="AW107" i="1" s="1"/>
  <c r="HS19" i="4"/>
  <c r="AM78" i="1" s="1"/>
  <c r="JD20" i="4"/>
  <c r="BX79" i="1" s="1"/>
  <c r="BX108" i="1" s="1"/>
  <c r="JD19" i="4"/>
  <c r="BX78" i="1" s="1"/>
  <c r="JE20" i="4"/>
  <c r="BY79" i="1" s="1"/>
  <c r="BY108" i="1" s="1"/>
  <c r="ID19" i="4"/>
  <c r="AX78" i="1" s="1"/>
  <c r="AX107" i="1" s="1"/>
  <c r="E27" i="1"/>
  <c r="IM20" i="4"/>
  <c r="BG79" i="1" s="1"/>
  <c r="BG108" i="1" s="1"/>
  <c r="HR19" i="4"/>
  <c r="AL78" i="1" s="1"/>
  <c r="JA20" i="4"/>
  <c r="BU79" i="1" s="1"/>
  <c r="BU108" i="1" s="1"/>
  <c r="IN20" i="4"/>
  <c r="BH79" i="1" s="1"/>
  <c r="BH108" i="1" s="1"/>
  <c r="HS20" i="4"/>
  <c r="AM79" i="1" s="1"/>
  <c r="IK19" i="4"/>
  <c r="BE78" i="1" s="1"/>
  <c r="BE107" i="1" s="1"/>
  <c r="IE19" i="4"/>
  <c r="AY78" i="1" s="1"/>
  <c r="AY107" i="1" s="1"/>
  <c r="IK20" i="4"/>
  <c r="BE79" i="1" s="1"/>
  <c r="BE108" i="1" s="1"/>
  <c r="HY19" i="4"/>
  <c r="AS78" i="1" s="1"/>
  <c r="AS107" i="1" s="1"/>
  <c r="IV19" i="4"/>
  <c r="BP78" i="1" s="1"/>
  <c r="BP107" i="1" s="1"/>
  <c r="HZ20" i="4"/>
  <c r="AT79" i="1" s="1"/>
  <c r="AT108" i="1" s="1"/>
  <c r="M11" i="1"/>
  <c r="M188" i="1"/>
  <c r="F11" i="1"/>
  <c r="J16" i="1"/>
  <c r="J17" i="1" s="1"/>
  <c r="J98" i="1"/>
  <c r="E98" i="1"/>
  <c r="J11" i="1"/>
  <c r="R188" i="1"/>
  <c r="R11" i="1"/>
  <c r="S188" i="1"/>
  <c r="CC87" i="1"/>
  <c r="C17" i="1"/>
  <c r="E17" i="1"/>
  <c r="BY207" i="1"/>
  <c r="BZ207" i="1"/>
  <c r="BY92" i="1"/>
  <c r="IY20" i="4"/>
  <c r="BS79" i="1" s="1"/>
  <c r="BS108" i="1" s="1"/>
  <c r="AL185" i="1"/>
  <c r="BX157" i="1"/>
  <c r="BJ248" i="1"/>
  <c r="BX94" i="1"/>
  <c r="BY94" i="1"/>
  <c r="BJ92" i="1"/>
  <c r="BJ156" i="1"/>
  <c r="BK150" i="1"/>
  <c r="BJ128" i="1"/>
  <c r="BK127" i="1"/>
  <c r="BK128" i="1" s="1"/>
  <c r="JF20" i="4"/>
  <c r="BZ79" i="1" s="1"/>
  <c r="IX19" i="4"/>
  <c r="BR78" i="1" s="1"/>
  <c r="BR107" i="1" s="1"/>
  <c r="BZ206" i="1"/>
  <c r="BZ249" i="1"/>
  <c r="BZ251" i="1" s="1"/>
  <c r="JB20" i="4"/>
  <c r="BV79" i="1" s="1"/>
  <c r="BV108" i="1" s="1"/>
  <c r="E188" i="1"/>
  <c r="HQ19" i="4"/>
  <c r="AK78" i="1" s="1"/>
  <c r="ID20" i="4"/>
  <c r="AX79" i="1" s="1"/>
  <c r="AX108" i="1" s="1"/>
  <c r="AM104" i="1"/>
  <c r="B27" i="1"/>
  <c r="HY20" i="4"/>
  <c r="AS79" i="1" s="1"/>
  <c r="AS108" i="1" s="1"/>
  <c r="BX27" i="1"/>
  <c r="IB19" i="4"/>
  <c r="AV78" i="1" s="1"/>
  <c r="AV107" i="1" s="1"/>
  <c r="S11" i="1"/>
  <c r="BX168" i="1"/>
  <c r="BX109" i="1" s="1"/>
  <c r="BY206" i="1"/>
  <c r="BY249" i="1"/>
  <c r="AM249" i="1"/>
  <c r="BK134" i="1"/>
  <c r="BJ138" i="1"/>
  <c r="BJ246" i="1" s="1"/>
  <c r="AM206" i="1"/>
  <c r="AJ185" i="1"/>
  <c r="AJ157" i="1"/>
  <c r="AJ182" i="1"/>
  <c r="AL157" i="1"/>
  <c r="L17" i="1"/>
  <c r="BL107" i="1"/>
  <c r="BL110" i="1" s="1"/>
  <c r="BL95" i="1"/>
  <c r="N17" i="1"/>
  <c r="CC95" i="1"/>
  <c r="CC107" i="1"/>
  <c r="CC103" i="1"/>
  <c r="CC86" i="1"/>
  <c r="CF90" i="1" s="1"/>
  <c r="CC96" i="1"/>
  <c r="CC104" i="1"/>
  <c r="CC108" i="1"/>
  <c r="BL108" i="1"/>
  <c r="BL111" i="1" s="1"/>
  <c r="BY89" i="1"/>
  <c r="C28" i="1"/>
  <c r="JH19" i="4"/>
  <c r="CB78" i="1" s="1"/>
  <c r="IM19" i="4"/>
  <c r="BG78" i="1" s="1"/>
  <c r="BG107" i="1" s="1"/>
  <c r="R98" i="1"/>
  <c r="R16" i="1"/>
  <c r="AM102" i="1"/>
  <c r="K188" i="1"/>
  <c r="HW20" i="4"/>
  <c r="AQ79" i="1" s="1"/>
  <c r="AQ108" i="1" s="1"/>
  <c r="BX184" i="1"/>
  <c r="BX186" i="1"/>
  <c r="CB189" i="1" s="1"/>
  <c r="BY209" i="1"/>
  <c r="BX248" i="1"/>
  <c r="BX181" i="1"/>
  <c r="L11" i="1"/>
  <c r="CA96" i="1"/>
  <c r="CA104" i="1"/>
  <c r="CA108" i="1"/>
  <c r="AK27" i="1"/>
  <c r="N11" i="1"/>
  <c r="M98" i="1"/>
  <c r="N188" i="1"/>
  <c r="M16" i="1"/>
  <c r="IS19" i="4"/>
  <c r="BM78" i="1" s="1"/>
  <c r="BM107" i="1" s="1"/>
  <c r="IC20" i="4"/>
  <c r="AW79" i="1" s="1"/>
  <c r="AW108" i="1" s="1"/>
  <c r="IT20" i="4"/>
  <c r="BN79" i="1" s="1"/>
  <c r="BN108" i="1" s="1"/>
  <c r="AL27" i="1"/>
  <c r="AL16" i="1"/>
  <c r="AM12" i="1"/>
  <c r="IP20" i="4"/>
  <c r="BJ79" i="1" s="1"/>
  <c r="BJ108" i="1" s="1"/>
  <c r="F98" i="1"/>
  <c r="F16" i="1"/>
  <c r="F188" i="1"/>
  <c r="D11" i="1"/>
  <c r="D16" i="1"/>
  <c r="D188" i="1"/>
  <c r="E11" i="1"/>
  <c r="HU19" i="4"/>
  <c r="AO78" i="1" s="1"/>
  <c r="AO107" i="1" s="1"/>
  <c r="E28" i="1"/>
  <c r="E29" i="1" s="1"/>
  <c r="AL96" i="1"/>
  <c r="P188" i="1"/>
  <c r="Q11" i="1"/>
  <c r="P16" i="1"/>
  <c r="P11" i="1"/>
  <c r="P98" i="1"/>
  <c r="Q188" i="1"/>
  <c r="BY12" i="1"/>
  <c r="CB11" i="1"/>
  <c r="BX16" i="1"/>
  <c r="CC188" i="1"/>
  <c r="II20" i="4"/>
  <c r="BC79" i="1" s="1"/>
  <c r="BC108" i="1" s="1"/>
  <c r="G16" i="1"/>
  <c r="G188" i="1"/>
  <c r="G11" i="1"/>
  <c r="G98" i="1"/>
  <c r="CC85" i="1"/>
  <c r="CC94" i="1"/>
  <c r="CC102" i="1"/>
  <c r="AJ16" i="1"/>
  <c r="AK12" i="1"/>
  <c r="AM225" i="1"/>
  <c r="AJ27" i="1"/>
  <c r="JH20" i="4"/>
  <c r="CB79" i="1" s="1"/>
  <c r="IW19" i="4"/>
  <c r="BQ78" i="1" s="1"/>
  <c r="BQ107" i="1" s="1"/>
  <c r="IQ19" i="4"/>
  <c r="BK78" i="1" s="1"/>
  <c r="BK107" i="1" s="1"/>
  <c r="BY134" i="1"/>
  <c r="BX138" i="1"/>
  <c r="BY33" i="1"/>
  <c r="T11" i="1"/>
  <c r="U11" i="1"/>
  <c r="T188" i="1"/>
  <c r="T98" i="1"/>
  <c r="T16" i="1"/>
  <c r="U188" i="1"/>
  <c r="CA102" i="1"/>
  <c r="CA94" i="1"/>
  <c r="IP19" i="4"/>
  <c r="BJ78" i="1" s="1"/>
  <c r="BJ107" i="1" s="1"/>
  <c r="IW20" i="4"/>
  <c r="BQ79" i="1" s="1"/>
  <c r="BQ108" i="1" s="1"/>
  <c r="IB20" i="4"/>
  <c r="AV79" i="1" s="1"/>
  <c r="AV108" i="1" s="1"/>
  <c r="B16" i="1"/>
  <c r="C188" i="1"/>
  <c r="IG20" i="4"/>
  <c r="BA79" i="1" s="1"/>
  <c r="BA108" i="1" s="1"/>
  <c r="AM17" i="1"/>
  <c r="AM28" i="1"/>
  <c r="IO20" i="4"/>
  <c r="BI79" i="1" s="1"/>
  <c r="BI108" i="1" s="1"/>
  <c r="O98" i="1"/>
  <c r="O11" i="1"/>
  <c r="O188" i="1"/>
  <c r="O16" i="1"/>
  <c r="IS20" i="4"/>
  <c r="BM79" i="1" s="1"/>
  <c r="BM108" i="1" s="1"/>
  <c r="IJ19" i="4"/>
  <c r="BD78" i="1" s="1"/>
  <c r="BD107" i="1" s="1"/>
  <c r="AL12" i="1"/>
  <c r="AK16" i="1"/>
  <c r="H98" i="1"/>
  <c r="H11" i="1"/>
  <c r="H188" i="1"/>
  <c r="H16" i="1"/>
  <c r="HQ20" i="4"/>
  <c r="AK79" i="1" s="1"/>
  <c r="CB94" i="1"/>
  <c r="CB102" i="1"/>
  <c r="CB85" i="1"/>
  <c r="IJ20" i="4"/>
  <c r="BD79" i="1" s="1"/>
  <c r="BD108" i="1" s="1"/>
  <c r="JA19" i="4"/>
  <c r="BU78" i="1" s="1"/>
  <c r="BU107" i="1" s="1"/>
  <c r="X18" i="1"/>
  <c r="W17" i="1"/>
  <c r="W28" i="1"/>
  <c r="JB19" i="4"/>
  <c r="BV78" i="1" s="1"/>
  <c r="BV107" i="1" s="1"/>
  <c r="I11" i="1"/>
  <c r="I188" i="1"/>
  <c r="I16" i="1"/>
  <c r="I17" i="1" s="1"/>
  <c r="I98" i="1"/>
  <c r="IH20" i="4"/>
  <c r="BB79" i="1" s="1"/>
  <c r="BB108" i="1" s="1"/>
  <c r="U17" i="1"/>
  <c r="V18" i="1"/>
  <c r="V17" i="1"/>
  <c r="V28" i="1"/>
  <c r="W18" i="1"/>
  <c r="K11" i="1"/>
  <c r="K98" i="1"/>
  <c r="K16" i="1"/>
  <c r="C11" i="1"/>
  <c r="AJ198" i="1"/>
  <c r="AM203" i="1"/>
  <c r="AM201" i="1" s="1"/>
  <c r="AL246" i="1"/>
  <c r="AK138" i="1"/>
  <c r="AL33" i="1"/>
  <c r="AL94" i="1"/>
  <c r="AL18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202" i="1" l="1"/>
  <c r="IV16" i="4"/>
  <c r="IV21" i="4" s="1"/>
  <c r="BP77" i="1" s="1"/>
  <c r="AK202" i="1"/>
  <c r="BX95" i="1"/>
  <c r="AJ129" i="1"/>
  <c r="AL108" i="1"/>
  <c r="CA103" i="1"/>
  <c r="CA107" i="1"/>
  <c r="BX107" i="1"/>
  <c r="BX89" i="1"/>
  <c r="AL95" i="1"/>
  <c r="AL109" i="1"/>
  <c r="AM37" i="1"/>
  <c r="AJ203" i="1"/>
  <c r="AJ201" i="1" s="1"/>
  <c r="BJ181" i="1"/>
  <c r="AJ206" i="1"/>
  <c r="AJ168" i="1"/>
  <c r="AK37" i="1" s="1"/>
  <c r="AL249" i="1"/>
  <c r="AL206" i="1"/>
  <c r="AK206" i="1"/>
  <c r="AM103" i="1"/>
  <c r="AM107" i="1"/>
  <c r="BZ95" i="1"/>
  <c r="BZ89" i="1"/>
  <c r="BZ107" i="1"/>
  <c r="BZ110" i="1" s="1"/>
  <c r="AM108" i="1"/>
  <c r="AL107" i="1"/>
  <c r="BX96" i="1"/>
  <c r="AJ165" i="1"/>
  <c r="K18" i="1"/>
  <c r="J18" i="1"/>
  <c r="BJ94" i="1"/>
  <c r="BY96" i="1"/>
  <c r="BZ205" i="1"/>
  <c r="BY95" i="1"/>
  <c r="AL184" i="1"/>
  <c r="AL186" i="1"/>
  <c r="BY205" i="1"/>
  <c r="BJ157" i="1"/>
  <c r="BJ185" i="1"/>
  <c r="BJ168" i="1"/>
  <c r="BJ109" i="1" s="1"/>
  <c r="BJ129" i="1"/>
  <c r="BK206" i="1"/>
  <c r="BL249" i="1"/>
  <c r="BL206" i="1"/>
  <c r="BK249" i="1"/>
  <c r="BZ96" i="1"/>
  <c r="BZ108" i="1"/>
  <c r="BZ111" i="1" s="1"/>
  <c r="CB95" i="1"/>
  <c r="CB103" i="1"/>
  <c r="CB86" i="1"/>
  <c r="CE90" i="1" s="1"/>
  <c r="CB107" i="1"/>
  <c r="CB110" i="1" s="1"/>
  <c r="CB113" i="1" s="1"/>
  <c r="BY37" i="1"/>
  <c r="AL165" i="1"/>
  <c r="AL166" i="1" s="1"/>
  <c r="BL33" i="1"/>
  <c r="BK138" i="1"/>
  <c r="BL203" i="1" s="1"/>
  <c r="BL201" i="1" s="1"/>
  <c r="BX110" i="1"/>
  <c r="BX111" i="1"/>
  <c r="C29" i="1"/>
  <c r="BJ95" i="1"/>
  <c r="R17" i="1"/>
  <c r="R18" i="1"/>
  <c r="S18" i="1"/>
  <c r="AL19" i="1"/>
  <c r="AK17" i="1"/>
  <c r="AK28" i="1"/>
  <c r="CB104" i="1"/>
  <c r="CB87" i="1"/>
  <c r="CB108" i="1"/>
  <c r="CB111" i="1" s="1"/>
  <c r="CB114" i="1" s="1"/>
  <c r="CB96" i="1"/>
  <c r="H17" i="1"/>
  <c r="I18" i="1"/>
  <c r="B17" i="1"/>
  <c r="B28" i="1"/>
  <c r="C18" i="1"/>
  <c r="L18" i="1"/>
  <c r="K17" i="1"/>
  <c r="U18" i="1"/>
  <c r="T18" i="1"/>
  <c r="T17" i="1"/>
  <c r="BX17" i="1"/>
  <c r="BY19" i="1"/>
  <c r="BX28" i="1"/>
  <c r="CB18" i="1"/>
  <c r="Q18" i="1"/>
  <c r="P17" i="1"/>
  <c r="AM34" i="1"/>
  <c r="AM38" i="1" s="1"/>
  <c r="AM232" i="1"/>
  <c r="AM233" i="1" s="1"/>
  <c r="AM29" i="1"/>
  <c r="BY138" i="1"/>
  <c r="BZ203" i="1" s="1"/>
  <c r="BZ201" i="1" s="1"/>
  <c r="BZ33" i="1"/>
  <c r="F17" i="1"/>
  <c r="G18" i="1"/>
  <c r="F18" i="1"/>
  <c r="BJ96" i="1"/>
  <c r="W250" i="1"/>
  <c r="X250" i="1"/>
  <c r="W34" i="1"/>
  <c r="W38" i="1" s="1"/>
  <c r="W29" i="1"/>
  <c r="X30" i="1"/>
  <c r="W232" i="1"/>
  <c r="W233" i="1" s="1"/>
  <c r="W112" i="1"/>
  <c r="O17" i="1"/>
  <c r="P18" i="1"/>
  <c r="O18" i="1"/>
  <c r="AJ17" i="1"/>
  <c r="AJ28" i="1"/>
  <c r="AK19" i="1"/>
  <c r="V112" i="1"/>
  <c r="V232" i="1"/>
  <c r="V233" i="1" s="1"/>
  <c r="W30" i="1"/>
  <c r="V29" i="1"/>
  <c r="V34" i="1"/>
  <c r="V38" i="1" s="1"/>
  <c r="D17" i="1"/>
  <c r="D28" i="1"/>
  <c r="E18" i="1"/>
  <c r="D18" i="1"/>
  <c r="M17" i="1"/>
  <c r="N18" i="1"/>
  <c r="M18" i="1"/>
  <c r="H18" i="1"/>
  <c r="G17" i="1"/>
  <c r="AL17" i="1"/>
  <c r="AM19" i="1"/>
  <c r="AL28" i="1"/>
  <c r="BX246" i="1"/>
  <c r="BX165" i="1"/>
  <c r="BX166" i="1" s="1"/>
  <c r="AK203" i="1"/>
  <c r="AK201" i="1" s="1"/>
  <c r="AL203" i="1"/>
  <c r="AL201" i="1" s="1"/>
  <c r="AL111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166" i="1" l="1"/>
  <c r="AL110" i="1"/>
  <c r="BJ186" i="1"/>
  <c r="BJ184" i="1"/>
  <c r="BJ110" i="1"/>
  <c r="BJ111" i="1"/>
  <c r="W41" i="1"/>
  <c r="W40" i="1"/>
  <c r="AM40" i="1"/>
  <c r="AM41" i="1"/>
  <c r="AM42" i="1" s="1"/>
  <c r="AM245" i="1" s="1"/>
  <c r="BY203" i="1"/>
  <c r="BY201" i="1" s="1"/>
  <c r="D250" i="1"/>
  <c r="E30" i="1"/>
  <c r="D112" i="1"/>
  <c r="D34" i="1"/>
  <c r="D38" i="1" s="1"/>
  <c r="D232" i="1"/>
  <c r="D233" i="1" s="1"/>
  <c r="D29" i="1"/>
  <c r="D30" i="1"/>
  <c r="B29" i="1"/>
  <c r="B112" i="1"/>
  <c r="C30" i="1"/>
  <c r="C250" i="1"/>
  <c r="AL232" i="1"/>
  <c r="AL233" i="1" s="1"/>
  <c r="AM31" i="1"/>
  <c r="AL29" i="1"/>
  <c r="AL34" i="1"/>
  <c r="AL38" i="1" s="1"/>
  <c r="AL250" i="1"/>
  <c r="AL251" i="1" s="1"/>
  <c r="V41" i="1"/>
  <c r="V40" i="1"/>
  <c r="AJ29" i="1"/>
  <c r="AJ34" i="1"/>
  <c r="AJ38" i="1" s="1"/>
  <c r="AJ232" i="1"/>
  <c r="AJ233" i="1" s="1"/>
  <c r="AM112" i="1"/>
  <c r="AK31" i="1"/>
  <c r="AM226" i="1"/>
  <c r="AK29" i="1"/>
  <c r="AK34" i="1"/>
  <c r="AK38" i="1" s="1"/>
  <c r="AK232" i="1"/>
  <c r="AK233" i="1" s="1"/>
  <c r="AL31" i="1"/>
  <c r="CB30" i="1"/>
  <c r="CA112" i="1"/>
  <c r="BX232" i="1"/>
  <c r="BX233" i="1" s="1"/>
  <c r="BY31" i="1"/>
  <c r="BX29" i="1"/>
  <c r="BY250" i="1"/>
  <c r="BY251" i="1" s="1"/>
  <c r="BX34" i="1"/>
  <c r="AM250" i="1"/>
  <c r="AM251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234" i="1" l="1"/>
  <c r="BX38" i="1"/>
  <c r="CA55" i="1"/>
  <c r="V42" i="1"/>
  <c r="V245" i="1" s="1"/>
  <c r="W43" i="1"/>
  <c r="V48" i="1"/>
  <c r="D41" i="1"/>
  <c r="D40" i="1"/>
  <c r="AL41" i="1"/>
  <c r="AL40" i="1"/>
  <c r="AK40" i="1"/>
  <c r="AK41" i="1"/>
  <c r="AJ41" i="1"/>
  <c r="AJ40" i="1"/>
  <c r="X43" i="1"/>
  <c r="W48" i="1"/>
  <c r="W52" i="1" s="1"/>
  <c r="W234" i="1"/>
  <c r="W42" i="1"/>
  <c r="W245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M44" i="1" l="1"/>
  <c r="AL48" i="1"/>
  <c r="AL42" i="1"/>
  <c r="AL245" i="1" s="1"/>
  <c r="AL234" i="1"/>
  <c r="BX40" i="1"/>
  <c r="BX41" i="1"/>
  <c r="AJ42" i="1"/>
  <c r="AJ48" i="1"/>
  <c r="AJ234" i="1"/>
  <c r="AM227" i="1"/>
  <c r="AK44" i="1"/>
  <c r="D234" i="1"/>
  <c r="D42" i="1"/>
  <c r="D48" i="1"/>
  <c r="AK42" i="1"/>
  <c r="AL44" i="1"/>
  <c r="AK234" i="1"/>
  <c r="AK48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D193" i="1" l="1"/>
  <c r="D195" i="1" s="1"/>
  <c r="D52" i="1"/>
  <c r="AJ193" i="1"/>
  <c r="AJ195" i="1" s="1"/>
  <c r="AJ199" i="1" s="1"/>
  <c r="AJ213" i="1" s="1"/>
  <c r="AJ207" i="1"/>
  <c r="AJ205" i="1" s="1"/>
  <c r="AJ210" i="1" s="1"/>
  <c r="AJ211" i="1" s="1"/>
  <c r="AJ52" i="1"/>
  <c r="AJ66" i="1"/>
  <c r="AL193" i="1"/>
  <c r="AL195" i="1" s="1"/>
  <c r="AL66" i="1"/>
  <c r="AL52" i="1"/>
  <c r="AK119" i="1"/>
  <c r="AK120" i="1" s="1"/>
  <c r="AK52" i="1"/>
  <c r="AK193" i="1"/>
  <c r="AK195" i="1" s="1"/>
  <c r="AK66" i="1"/>
  <c r="CB43" i="1"/>
  <c r="BX234" i="1"/>
  <c r="BX42" i="1"/>
  <c r="BX245" i="1" s="1"/>
  <c r="BX48" i="1"/>
  <c r="BY44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AK129" i="1" l="1"/>
  <c r="AK207" i="1"/>
  <c r="AK205" i="1" s="1"/>
  <c r="AL207" i="1"/>
  <c r="AL205" i="1" s="1"/>
  <c r="CA54" i="1"/>
  <c r="BX66" i="1"/>
  <c r="CA69" i="1" s="1"/>
  <c r="BX193" i="1"/>
  <c r="BX195" i="1" s="1"/>
  <c r="BX52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A86" i="1" l="1"/>
  <c r="CD90" i="1" s="1"/>
  <c r="BW89" i="1"/>
  <c r="CA85" i="1"/>
  <c r="CE70" i="1"/>
  <c r="CA87" i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K56" i="2"/>
  <c r="D51" i="2"/>
  <c r="I74" i="2"/>
  <c r="L87" i="2"/>
  <c r="H48" i="2"/>
  <c r="H78" i="2"/>
  <c r="V61" i="2"/>
  <c r="O71" i="2"/>
  <c r="L43" i="2"/>
  <c r="H81" i="2"/>
  <c r="I72" i="2"/>
  <c r="O72" i="2"/>
  <c r="O46" i="2"/>
  <c r="X67" i="2"/>
  <c r="X55" i="2"/>
  <c r="O93" i="2"/>
  <c r="E74" i="2"/>
  <c r="W50" i="2"/>
  <c r="H66" i="2"/>
  <c r="W91" i="2"/>
  <c r="V64" i="2"/>
  <c r="O89" i="2"/>
  <c r="J83" i="2"/>
  <c r="F94" i="2"/>
  <c r="M61" i="2"/>
  <c r="P106" i="2"/>
  <c r="F76" i="2"/>
  <c r="H94" i="2"/>
  <c r="I50" i="2"/>
  <c r="N73" i="2"/>
  <c r="I112" i="2"/>
  <c r="N83" i="2"/>
  <c r="E44" i="2"/>
  <c r="M74" i="2"/>
  <c r="K85" i="2"/>
  <c r="X80" i="2"/>
  <c r="C79" i="2"/>
  <c r="D42" i="2"/>
  <c r="AP61" i="3"/>
  <c r="H17" i="3"/>
  <c r="AG42" i="3"/>
  <c r="H14" i="3"/>
  <c r="X28" i="3"/>
  <c r="Z12" i="3"/>
  <c r="AN27" i="3"/>
  <c r="AK11" i="3"/>
  <c r="R26" i="3"/>
  <c r="T10" i="3"/>
  <c r="AP22" i="3"/>
  <c r="R37" i="3"/>
  <c r="AD30" i="3"/>
  <c r="H83" i="2"/>
  <c r="I57" i="2"/>
  <c r="F84" i="2"/>
  <c r="H75" i="2"/>
  <c r="M80" i="2"/>
  <c r="D48" i="2"/>
  <c r="L68" i="2"/>
  <c r="T72" i="2"/>
  <c r="N48" i="2"/>
  <c r="W72" i="2"/>
  <c r="J110" i="2"/>
  <c r="W85" i="2"/>
  <c r="F90" i="2"/>
  <c r="S76" i="2"/>
  <c r="F91" i="2"/>
  <c r="C68" i="2"/>
  <c r="M90" i="2"/>
  <c r="D73" i="2"/>
  <c r="H57" i="2"/>
  <c r="N46" i="2"/>
  <c r="S95" i="2"/>
  <c r="AP84" i="3"/>
  <c r="AP72" i="3"/>
  <c r="AP25" i="3"/>
  <c r="AJ25" i="3"/>
  <c r="I16" i="3"/>
  <c r="Y34" i="3"/>
  <c r="AC37" i="3"/>
  <c r="N35" i="3"/>
  <c r="Z24" i="3"/>
  <c r="AI23" i="3"/>
  <c r="AA5" i="3"/>
  <c r="Y7" i="3"/>
  <c r="AJ12" i="3"/>
  <c r="AO28" i="3"/>
  <c r="L54" i="2"/>
  <c r="T92" i="2"/>
  <c r="D89" i="2"/>
  <c r="O107" i="2"/>
  <c r="N65" i="2"/>
  <c r="S60" i="2"/>
  <c r="T53" i="2"/>
  <c r="U71" i="2"/>
  <c r="S46" i="2"/>
  <c r="M44" i="2"/>
  <c r="W49" i="2"/>
  <c r="F86" i="2"/>
  <c r="L53" i="2"/>
  <c r="T47" i="2"/>
  <c r="G59" i="2"/>
  <c r="F64" i="2"/>
  <c r="G54" i="2"/>
  <c r="W86" i="2"/>
  <c r="J60" i="2"/>
  <c r="H109" i="2"/>
  <c r="S98" i="2"/>
  <c r="AP92" i="3"/>
  <c r="L32" i="3"/>
  <c r="AH33" i="3"/>
  <c r="AN9" i="3"/>
  <c r="W29" i="3"/>
  <c r="AB37" i="3"/>
  <c r="AI5" i="3"/>
  <c r="R17" i="3"/>
  <c r="R28" i="3"/>
  <c r="AK36" i="3"/>
  <c r="K24" i="3"/>
  <c r="P40" i="3"/>
  <c r="J23" i="3"/>
  <c r="AG31" i="3"/>
  <c r="AJ35" i="3"/>
  <c r="C13" i="3"/>
  <c r="O31" i="3"/>
  <c r="O56" i="2"/>
  <c r="H91" i="2"/>
  <c r="D61" i="2"/>
  <c r="G106" i="2"/>
  <c r="G58" i="2"/>
  <c r="D98" i="2"/>
  <c r="S99" i="2"/>
  <c r="H53" i="2"/>
  <c r="G61" i="2"/>
  <c r="V113" i="2"/>
  <c r="L111" i="2"/>
  <c r="K98" i="2"/>
  <c r="D74" i="2"/>
  <c r="H51" i="2"/>
  <c r="M66" i="2"/>
  <c r="G46" i="2"/>
  <c r="K93" i="2"/>
  <c r="S85" i="2"/>
  <c r="N78" i="2"/>
  <c r="D57" i="2"/>
  <c r="W77" i="2"/>
  <c r="M113" i="2"/>
  <c r="W56" i="2"/>
  <c r="V90" i="2"/>
  <c r="C45" i="2"/>
  <c r="L57" i="2"/>
  <c r="T106" i="2"/>
  <c r="L104" i="2"/>
  <c r="D82" i="2"/>
  <c r="K57" i="2"/>
  <c r="R94" i="2"/>
  <c r="T49" i="2"/>
  <c r="N98" i="2"/>
  <c r="L78" i="2"/>
  <c r="AP62" i="3"/>
  <c r="O39" i="3"/>
  <c r="AO15" i="3"/>
  <c r="L11" i="3"/>
  <c r="AL37" i="3"/>
  <c r="AC42" i="3"/>
  <c r="AC13" i="3"/>
  <c r="T22" i="3"/>
  <c r="AN17" i="3"/>
  <c r="AO10" i="3"/>
  <c r="G39" i="3"/>
  <c r="V13" i="3"/>
  <c r="AL13" i="3"/>
  <c r="AI35" i="3"/>
  <c r="AN16" i="3"/>
  <c r="H104" i="2"/>
  <c r="P91" i="2"/>
  <c r="H64" i="2"/>
  <c r="D70" i="2"/>
  <c r="W57" i="2"/>
  <c r="R106" i="2"/>
  <c r="R110" i="2"/>
  <c r="G48" i="2"/>
  <c r="X79" i="2"/>
  <c r="H46" i="2"/>
  <c r="V105" i="2"/>
  <c r="H111" i="2"/>
  <c r="P108" i="2"/>
  <c r="T82" i="2"/>
  <c r="J44" i="2"/>
  <c r="I45" i="2"/>
  <c r="H68" i="2"/>
  <c r="J51" i="2"/>
  <c r="T105" i="2"/>
  <c r="J67" i="2"/>
  <c r="AB65" i="3"/>
  <c r="AB56" i="3"/>
  <c r="AM16" i="3"/>
  <c r="AK21" i="3"/>
  <c r="K29" i="3"/>
  <c r="U24" i="3"/>
  <c r="S34" i="3"/>
  <c r="AH11" i="3"/>
  <c r="AL16" i="3"/>
  <c r="AJ36" i="3"/>
  <c r="I40" i="3"/>
  <c r="N30" i="3"/>
  <c r="AD21" i="3"/>
  <c r="O113" i="2"/>
  <c r="U44" i="2"/>
  <c r="G109" i="2"/>
  <c r="F108" i="2"/>
  <c r="I85" i="2"/>
  <c r="V72" i="2"/>
  <c r="P42" i="2"/>
  <c r="I77" i="2"/>
  <c r="S79" i="2"/>
  <c r="R87" i="2"/>
  <c r="P62" i="2"/>
  <c r="Q82" i="2"/>
  <c r="S97" i="2"/>
  <c r="N108" i="2"/>
  <c r="W41" i="2"/>
  <c r="M95" i="2"/>
  <c r="T71" i="2"/>
  <c r="P60" i="2"/>
  <c r="X104" i="2"/>
  <c r="E48" i="2"/>
  <c r="S64" i="2"/>
  <c r="AB48" i="3"/>
  <c r="AB95" i="3"/>
  <c r="AL41" i="3"/>
  <c r="I19" i="3"/>
  <c r="L29" i="3"/>
  <c r="AH24" i="3"/>
  <c r="AA31" i="3"/>
  <c r="S40" i="3"/>
  <c r="C15" i="3"/>
  <c r="S38" i="3"/>
  <c r="L38" i="3"/>
  <c r="AL21" i="3"/>
  <c r="AA11" i="3"/>
  <c r="Q14" i="3"/>
  <c r="AB14" i="3"/>
  <c r="G65" i="2"/>
  <c r="Q53" i="2"/>
  <c r="N64" i="2"/>
  <c r="M91" i="2"/>
  <c r="L65" i="2"/>
  <c r="Q89" i="2"/>
  <c r="K74" i="2"/>
  <c r="I82" i="2"/>
  <c r="V80" i="2"/>
  <c r="W44" i="2"/>
  <c r="W92" i="2"/>
  <c r="R64" i="2"/>
  <c r="E51" i="2"/>
  <c r="P82" i="2"/>
  <c r="O44" i="2"/>
  <c r="N99" i="2"/>
  <c r="I55" i="2"/>
  <c r="H106" i="2"/>
  <c r="V97" i="2"/>
  <c r="Q62" i="2"/>
  <c r="I95" i="2"/>
  <c r="M62" i="2"/>
  <c r="P64" i="2"/>
  <c r="D85" i="2"/>
  <c r="U75" i="2"/>
  <c r="O98" i="2"/>
  <c r="R62" i="2"/>
  <c r="D72" i="2"/>
  <c r="C89" i="2"/>
  <c r="T75" i="2"/>
  <c r="G53" i="2"/>
  <c r="R89" i="2"/>
  <c r="O63" i="2"/>
  <c r="F112" i="2"/>
  <c r="I42" i="2"/>
  <c r="G41" i="2"/>
  <c r="R69" i="2"/>
  <c r="F47" i="2"/>
  <c r="E76" i="2"/>
  <c r="C48" i="2"/>
  <c r="P59" i="2"/>
  <c r="U41" i="2"/>
  <c r="E65" i="2"/>
  <c r="O42" i="2"/>
  <c r="X44" i="2"/>
  <c r="J108" i="2"/>
  <c r="J99" i="2"/>
  <c r="K66" i="2"/>
  <c r="W51" i="2"/>
  <c r="O92" i="2"/>
  <c r="O112" i="2"/>
  <c r="U93" i="2"/>
  <c r="T59" i="2"/>
  <c r="I94" i="2"/>
  <c r="R52" i="2"/>
  <c r="K97" i="2"/>
  <c r="F63" i="2"/>
  <c r="W97" i="2"/>
  <c r="Q71" i="2"/>
  <c r="X60" i="2"/>
  <c r="T54" i="2"/>
  <c r="L47" i="2"/>
  <c r="V48" i="2"/>
  <c r="M52" i="2"/>
  <c r="M98" i="2"/>
  <c r="M73" i="2"/>
  <c r="J64" i="2"/>
  <c r="T60" i="2"/>
  <c r="O111" i="2"/>
  <c r="C80" i="2"/>
  <c r="S42" i="2"/>
  <c r="K106" i="2"/>
  <c r="C91" i="2"/>
  <c r="AB63" i="3"/>
  <c r="Z19" i="3"/>
  <c r="P10" i="3"/>
  <c r="AI11" i="3"/>
  <c r="W19" i="3"/>
  <c r="AA36" i="3"/>
  <c r="AI10" i="3"/>
  <c r="AN6" i="3"/>
  <c r="AQ19" i="3"/>
  <c r="K15" i="3"/>
  <c r="M30" i="3"/>
  <c r="L27" i="3"/>
  <c r="J20" i="3"/>
  <c r="U52" i="2"/>
  <c r="O69" i="2"/>
  <c r="M65" i="2"/>
  <c r="I68" i="2"/>
  <c r="V87" i="2"/>
  <c r="G113" i="2"/>
  <c r="Q97" i="2"/>
  <c r="E47" i="2"/>
  <c r="N59" i="2"/>
  <c r="R108" i="2"/>
  <c r="T104" i="2"/>
  <c r="M49" i="2"/>
  <c r="L76" i="2"/>
  <c r="R47" i="2"/>
  <c r="G104" i="2"/>
  <c r="D64" i="2"/>
  <c r="N109" i="2"/>
  <c r="D43" i="2"/>
  <c r="V44" i="2"/>
  <c r="N44" i="2"/>
  <c r="N57" i="2"/>
  <c r="AP66" i="3"/>
  <c r="AP60" i="3"/>
  <c r="W26" i="3"/>
  <c r="AP41" i="3"/>
  <c r="AE25" i="3"/>
  <c r="AK17" i="3"/>
  <c r="AL9" i="3"/>
  <c r="N21" i="3"/>
  <c r="L16" i="3"/>
  <c r="K21" i="3"/>
  <c r="O30" i="3"/>
  <c r="W41" i="3"/>
  <c r="C6" i="3"/>
  <c r="AJ18" i="3"/>
  <c r="G43" i="2"/>
  <c r="D93" i="2"/>
  <c r="R46" i="2"/>
  <c r="J41" i="2"/>
  <c r="D65" i="2"/>
  <c r="O40" i="2"/>
  <c r="J52" i="2"/>
  <c r="Q99" i="2"/>
  <c r="R66" i="2"/>
  <c r="X47" i="2"/>
  <c r="D84" i="2"/>
  <c r="F60" i="2"/>
  <c r="Q90" i="2"/>
  <c r="O51" i="2"/>
  <c r="V66" i="2"/>
  <c r="L66" i="2"/>
  <c r="X43" i="2"/>
  <c r="Q50" i="2"/>
  <c r="C61" i="2"/>
  <c r="F81" i="2"/>
  <c r="C87" i="2"/>
  <c r="AP54" i="3"/>
  <c r="R18" i="3"/>
  <c r="X12" i="3"/>
  <c r="AE21" i="3"/>
  <c r="AN12" i="3"/>
  <c r="P8" i="3"/>
  <c r="AM5" i="3"/>
  <c r="AP28" i="3"/>
  <c r="AH40" i="3"/>
  <c r="AL15" i="3"/>
  <c r="X29" i="3"/>
  <c r="P17" i="3"/>
  <c r="X32" i="3"/>
  <c r="AM34" i="3"/>
  <c r="AO35" i="3"/>
  <c r="AG41" i="3"/>
  <c r="O12" i="3"/>
  <c r="K75" i="2"/>
  <c r="U79" i="2"/>
  <c r="T55" i="2"/>
  <c r="I67" i="2"/>
  <c r="O49" i="2"/>
  <c r="P67" i="2"/>
  <c r="W71" i="2"/>
  <c r="L113" i="2"/>
  <c r="R58" i="2"/>
  <c r="N76" i="2"/>
  <c r="T107" i="2"/>
  <c r="E69" i="2"/>
  <c r="I99" i="2"/>
  <c r="P51" i="2"/>
  <c r="P73" i="2"/>
  <c r="X94" i="2"/>
  <c r="S51" i="2"/>
  <c r="J53" i="2"/>
  <c r="W90" i="2"/>
  <c r="Q49" i="2"/>
  <c r="F52" i="2"/>
  <c r="Q70" i="2"/>
  <c r="V110" i="2"/>
  <c r="L74" i="2"/>
  <c r="E55" i="2"/>
  <c r="V50" i="2"/>
  <c r="T87" i="2"/>
  <c r="K96" i="2"/>
  <c r="O64" i="2"/>
  <c r="S110" i="2"/>
  <c r="G74" i="2"/>
  <c r="D94" i="2"/>
  <c r="G51" i="2"/>
  <c r="C63" i="2"/>
  <c r="AP80" i="3"/>
  <c r="N26" i="3"/>
  <c r="Z8" i="3"/>
  <c r="S32" i="3"/>
  <c r="AM8" i="3"/>
  <c r="AM39" i="3"/>
  <c r="G32" i="3"/>
  <c r="U12" i="3"/>
  <c r="P21" i="3"/>
  <c r="E48" i="3"/>
  <c r="K18" i="3"/>
  <c r="Q41" i="3"/>
  <c r="S26" i="3"/>
  <c r="AA16" i="3"/>
  <c r="H107" i="2"/>
  <c r="O48" i="2"/>
  <c r="S44" i="2"/>
  <c r="X75" i="2"/>
  <c r="R78" i="2"/>
  <c r="S104" i="2"/>
  <c r="O81" i="2"/>
  <c r="K45" i="2"/>
  <c r="O83" i="2"/>
  <c r="E58" i="2"/>
  <c r="E81" i="2"/>
  <c r="X110" i="2"/>
  <c r="U94" i="2"/>
  <c r="D87" i="2"/>
  <c r="D112" i="2"/>
  <c r="E91" i="2"/>
  <c r="X48" i="2"/>
  <c r="M51" i="2"/>
  <c r="S65" i="2"/>
  <c r="M67" i="2"/>
  <c r="U65" i="2"/>
  <c r="AB58" i="3"/>
  <c r="AB69" i="3"/>
  <c r="AQ39" i="3"/>
  <c r="AB20" i="3"/>
  <c r="N34" i="3"/>
  <c r="H24" i="3"/>
  <c r="M20" i="3"/>
  <c r="AA6" i="3"/>
  <c r="AI34" i="3"/>
  <c r="C8" i="3"/>
  <c r="AN19" i="3"/>
  <c r="AN29" i="3"/>
  <c r="AD40" i="3"/>
  <c r="U66" i="2"/>
  <c r="P76" i="2"/>
  <c r="N97" i="2"/>
  <c r="V49" i="2"/>
  <c r="Q63" i="2"/>
  <c r="M92" i="2"/>
  <c r="Q91" i="2"/>
  <c r="S53" i="2"/>
  <c r="O106" i="2"/>
  <c r="T94" i="2"/>
  <c r="L94" i="2"/>
  <c r="W54" i="2"/>
  <c r="D96" i="2"/>
  <c r="L79" i="2"/>
  <c r="V56" i="2"/>
  <c r="M84" i="2"/>
  <c r="O104" i="2"/>
  <c r="Q86" i="2"/>
  <c r="G94" i="2"/>
  <c r="P77" i="2"/>
  <c r="K111" i="2"/>
  <c r="AP55" i="3"/>
  <c r="P32" i="3"/>
  <c r="E49" i="3"/>
  <c r="K40" i="3"/>
  <c r="U11" i="3"/>
  <c r="AC29" i="3"/>
  <c r="O15" i="3"/>
  <c r="AK22" i="3"/>
  <c r="S27" i="3"/>
  <c r="AB42" i="3"/>
  <c r="L36" i="3"/>
  <c r="AQ40" i="3"/>
  <c r="I10" i="3"/>
  <c r="AP20" i="3"/>
  <c r="Z41" i="3"/>
  <c r="P90" i="2"/>
  <c r="D80" i="2"/>
  <c r="I78" i="2"/>
  <c r="P46" i="2"/>
  <c r="V75" i="2"/>
  <c r="E64" i="2"/>
  <c r="P107" i="2"/>
  <c r="G89" i="2"/>
  <c r="M45" i="2"/>
  <c r="M78" i="2"/>
  <c r="R51" i="2"/>
  <c r="Q93" i="2"/>
  <c r="L108" i="2"/>
  <c r="J62" i="2"/>
  <c r="S91" i="2"/>
  <c r="F53" i="2"/>
  <c r="Q65" i="2"/>
  <c r="N93" i="2"/>
  <c r="L92" i="2"/>
  <c r="J104" i="2"/>
  <c r="L91" i="2"/>
  <c r="C76" i="2"/>
  <c r="I96" i="2"/>
  <c r="U88" i="2"/>
  <c r="G95" i="2"/>
  <c r="E111" i="2"/>
  <c r="F44" i="2"/>
  <c r="V41" i="2"/>
  <c r="N42" i="2"/>
  <c r="E40" i="2"/>
  <c r="G111" i="2"/>
  <c r="F73" i="2"/>
  <c r="Q110" i="2"/>
  <c r="O75" i="2"/>
  <c r="O94" i="2"/>
  <c r="D92" i="2"/>
  <c r="R42" i="2"/>
  <c r="I62" i="2"/>
  <c r="P75" i="2"/>
  <c r="L71" i="2"/>
  <c r="Q92" i="2"/>
  <c r="C109" i="2"/>
  <c r="S50" i="2"/>
  <c r="H96" i="2"/>
  <c r="H52" i="2"/>
  <c r="S75" i="2"/>
  <c r="O97" i="2"/>
  <c r="G85" i="2"/>
  <c r="X74" i="2"/>
  <c r="X54" i="2"/>
  <c r="E42" i="2"/>
  <c r="AP95" i="3"/>
  <c r="P39" i="3"/>
  <c r="I23" i="3"/>
  <c r="AA12" i="3"/>
  <c r="N5" i="3"/>
  <c r="V9" i="3"/>
  <c r="Q29" i="3"/>
  <c r="O20" i="3"/>
  <c r="G50" i="3"/>
  <c r="AB29" i="3"/>
  <c r="AD48" i="3"/>
  <c r="O26" i="3"/>
  <c r="H23" i="3"/>
  <c r="Q113" i="2"/>
  <c r="P96" i="2"/>
  <c r="S82" i="2"/>
  <c r="C50" i="2"/>
  <c r="V88" i="2"/>
  <c r="F96" i="2"/>
  <c r="E49" i="2"/>
  <c r="I70" i="2"/>
  <c r="V51" i="2"/>
  <c r="W81" i="2"/>
  <c r="S55" i="2"/>
  <c r="I63" i="2"/>
  <c r="O45" i="2"/>
  <c r="Q64" i="2"/>
  <c r="P61" i="2"/>
  <c r="J85" i="2"/>
  <c r="K65" i="2"/>
  <c r="P49" i="2"/>
  <c r="M64" i="2"/>
  <c r="D113" i="2"/>
  <c r="V83" i="2"/>
  <c r="AP90" i="3"/>
  <c r="C21" i="3"/>
  <c r="AQ29" i="3"/>
  <c r="Q27" i="3"/>
  <c r="Q33" i="3"/>
  <c r="M36" i="3"/>
  <c r="AE11" i="3"/>
  <c r="AQ32" i="3"/>
  <c r="AJ20" i="3"/>
  <c r="AO31" i="3"/>
  <c r="D50" i="3"/>
  <c r="AO38" i="3"/>
  <c r="H15" i="3"/>
  <c r="T111" i="2"/>
  <c r="C92" i="2"/>
  <c r="V85" i="2"/>
  <c r="S57" i="2"/>
  <c r="L90" i="2"/>
  <c r="M97" i="2"/>
  <c r="G44" i="2"/>
  <c r="I92" i="2"/>
  <c r="H86" i="2"/>
  <c r="V92" i="2"/>
  <c r="U45" i="2"/>
  <c r="C43" i="2"/>
  <c r="C57" i="2"/>
  <c r="J84" i="2"/>
  <c r="C105" i="2"/>
  <c r="K68" i="2"/>
  <c r="W82" i="2"/>
  <c r="W110" i="2"/>
  <c r="D56" i="2"/>
  <c r="R59" i="2"/>
  <c r="W96" i="2"/>
  <c r="AP70" i="3"/>
  <c r="AB70" i="3"/>
  <c r="AL20" i="3"/>
  <c r="AE32" i="3"/>
  <c r="AG17" i="3"/>
  <c r="AB38" i="3"/>
  <c r="AM12" i="3"/>
  <c r="C17" i="3"/>
  <c r="X38" i="3"/>
  <c r="AG32" i="3"/>
  <c r="T14" i="3"/>
  <c r="R38" i="3"/>
  <c r="T21" i="3"/>
  <c r="AD25" i="3"/>
  <c r="Z32" i="3"/>
  <c r="L12" i="3"/>
  <c r="AQ35" i="3"/>
  <c r="AE26" i="3"/>
  <c r="Q83" i="2"/>
  <c r="G40" i="2"/>
  <c r="C94" i="2"/>
  <c r="P65" i="2"/>
  <c r="K61" i="2"/>
  <c r="E61" i="2"/>
  <c r="M54" i="2"/>
  <c r="S78" i="2"/>
  <c r="W99" i="2"/>
  <c r="D52" i="2"/>
  <c r="W109" i="2"/>
  <c r="F48" i="2"/>
  <c r="K113" i="2"/>
  <c r="V60" i="2"/>
  <c r="S67" i="2"/>
  <c r="E63" i="2"/>
  <c r="Q40" i="2"/>
  <c r="C85" i="2"/>
  <c r="H65" i="2"/>
  <c r="L55" i="2"/>
  <c r="Q77" i="2"/>
  <c r="Q95" i="2"/>
  <c r="L110" i="2"/>
  <c r="S68" i="2"/>
  <c r="L58" i="2"/>
  <c r="E108" i="2"/>
  <c r="U60" i="2"/>
  <c r="U112" i="2"/>
  <c r="X61" i="2"/>
  <c r="V53" i="2"/>
  <c r="O88" i="2"/>
  <c r="G78" i="2"/>
  <c r="N61" i="2"/>
  <c r="AP56" i="3"/>
  <c r="AP89" i="3"/>
  <c r="J16" i="3"/>
  <c r="O28" i="3"/>
  <c r="W18" i="3"/>
  <c r="AE39" i="3"/>
  <c r="Z28" i="3"/>
  <c r="N20" i="3"/>
  <c r="I25" i="3"/>
  <c r="V38" i="3"/>
  <c r="Q22" i="3"/>
  <c r="O27" i="3"/>
  <c r="AO30" i="3"/>
  <c r="V30" i="3"/>
  <c r="AE37" i="3"/>
  <c r="E109" i="2"/>
  <c r="N51" i="2"/>
  <c r="E110" i="2"/>
  <c r="U105" i="2"/>
  <c r="S77" i="2"/>
  <c r="T67" i="2"/>
  <c r="Q87" i="2"/>
  <c r="J55" i="2"/>
  <c r="G84" i="2"/>
  <c r="R91" i="2"/>
  <c r="X72" i="2"/>
  <c r="V89" i="2"/>
  <c r="O96" i="2"/>
  <c r="S71" i="2"/>
  <c r="J105" i="2"/>
  <c r="N106" i="2"/>
  <c r="R71" i="2"/>
  <c r="K78" i="2"/>
  <c r="S90" i="2"/>
  <c r="G76" i="2"/>
  <c r="I73" i="2"/>
  <c r="AB55" i="3"/>
  <c r="AB84" i="3"/>
  <c r="AO39" i="3"/>
  <c r="AE9" i="3"/>
  <c r="AQ18" i="3"/>
  <c r="AL31" i="3"/>
  <c r="AP8" i="3"/>
  <c r="AE19" i="3"/>
  <c r="H42" i="3"/>
  <c r="C24" i="3"/>
  <c r="AQ22" i="3"/>
  <c r="K6" i="3"/>
  <c r="K10" i="3"/>
  <c r="V55" i="2"/>
  <c r="U99" i="2"/>
  <c r="P66" i="2"/>
  <c r="H110" i="2"/>
  <c r="J93" i="2"/>
  <c r="K108" i="2"/>
  <c r="L48" i="2"/>
  <c r="W88" i="2"/>
  <c r="F106" i="2"/>
  <c r="F49" i="2"/>
  <c r="O90" i="2"/>
  <c r="D86" i="2"/>
  <c r="S88" i="2"/>
  <c r="O110" i="2"/>
  <c r="J111" i="2"/>
  <c r="F79" i="2"/>
  <c r="G87" i="2"/>
  <c r="K46" i="2"/>
  <c r="W104" i="2"/>
  <c r="X112" i="2"/>
  <c r="M59" i="2"/>
  <c r="AP63" i="3"/>
  <c r="C37" i="3"/>
  <c r="R36" i="3"/>
  <c r="I36" i="3"/>
  <c r="Z11" i="3"/>
  <c r="AH36" i="3"/>
  <c r="R40" i="3"/>
  <c r="AB30" i="3"/>
  <c r="Y16" i="3"/>
  <c r="C40" i="3"/>
  <c r="X26" i="3"/>
  <c r="W13" i="3"/>
  <c r="Y20" i="3"/>
  <c r="AL25" i="3"/>
  <c r="AM10" i="3"/>
  <c r="O77" i="2"/>
  <c r="X59" i="2"/>
  <c r="K50" i="2"/>
  <c r="P68" i="2"/>
  <c r="K62" i="2"/>
  <c r="K90" i="2"/>
  <c r="U68" i="2"/>
  <c r="X62" i="2"/>
  <c r="N105" i="2"/>
  <c r="I61" i="2"/>
  <c r="R105" i="2"/>
  <c r="V62" i="2"/>
  <c r="K51" i="2"/>
  <c r="E54" i="2"/>
  <c r="O53" i="2"/>
  <c r="Q107" i="2"/>
  <c r="S47" i="2"/>
  <c r="D40" i="2"/>
  <c r="S111" i="2"/>
  <c r="E90" i="2"/>
  <c r="O95" i="2"/>
  <c r="X65" i="2"/>
  <c r="O68" i="2"/>
  <c r="K52" i="2"/>
  <c r="M82" i="2"/>
  <c r="X108" i="2"/>
  <c r="R81" i="2"/>
  <c r="M86" i="2"/>
  <c r="S92" i="2"/>
  <c r="P99" i="2"/>
  <c r="N66" i="2"/>
  <c r="W89" i="2"/>
  <c r="L56" i="2"/>
  <c r="J87" i="2"/>
  <c r="E88" i="2"/>
  <c r="H42" i="2"/>
  <c r="T86" i="2"/>
  <c r="H90" i="2"/>
  <c r="R40" i="2"/>
  <c r="F97" i="2"/>
  <c r="U57" i="2"/>
  <c r="L84" i="2"/>
  <c r="L95" i="2"/>
  <c r="F105" i="2"/>
  <c r="V74" i="2"/>
  <c r="G96" i="2"/>
  <c r="I76" i="2"/>
  <c r="R55" i="2"/>
  <c r="H95" i="2"/>
  <c r="F72" i="2"/>
  <c r="U55" i="2"/>
  <c r="I47" i="2"/>
  <c r="H79" i="2"/>
  <c r="W67" i="2"/>
  <c r="F43" i="2"/>
  <c r="X107" i="2"/>
  <c r="C90" i="2"/>
  <c r="M68" i="2"/>
  <c r="F45" i="2"/>
  <c r="N63" i="2"/>
  <c r="U64" i="2"/>
  <c r="AB47" i="3"/>
  <c r="C28" i="3"/>
  <c r="AN22" i="3"/>
  <c r="I37" i="3"/>
  <c r="P25" i="3"/>
  <c r="AB23" i="3"/>
  <c r="H40" i="3"/>
  <c r="S17" i="3"/>
  <c r="K42" i="3"/>
  <c r="AK34" i="3"/>
  <c r="J61" i="2"/>
  <c r="N62" i="2"/>
  <c r="P52" i="2"/>
  <c r="AP59" i="3"/>
  <c r="AD24" i="3"/>
  <c r="X10" i="3"/>
  <c r="J7" i="3"/>
  <c r="H37" i="3"/>
  <c r="Y23" i="3"/>
  <c r="L17" i="3"/>
  <c r="K30" i="3"/>
  <c r="AC35" i="3"/>
  <c r="AM18" i="3"/>
  <c r="H12" i="3"/>
  <c r="T13" i="3"/>
  <c r="J11" i="3"/>
  <c r="T29" i="3"/>
  <c r="W39" i="3"/>
  <c r="AJ6" i="3"/>
  <c r="AE6" i="3"/>
  <c r="S106" i="2"/>
  <c r="R113" i="2"/>
  <c r="G67" i="2"/>
  <c r="AP71" i="3"/>
  <c r="AC39" i="3"/>
  <c r="Y11" i="3"/>
  <c r="AB10" i="3"/>
  <c r="AP33" i="3"/>
  <c r="AO16" i="3"/>
  <c r="L15" i="3"/>
  <c r="AH27" i="3"/>
  <c r="AN39" i="3"/>
  <c r="T40" i="3"/>
  <c r="R7" i="3"/>
  <c r="Q39" i="3"/>
  <c r="X6" i="3"/>
  <c r="S23" i="3"/>
  <c r="S21" i="3"/>
  <c r="Z16" i="3"/>
  <c r="U62" i="2"/>
  <c r="H108" i="2"/>
  <c r="E96" i="2"/>
  <c r="X31" i="3"/>
  <c r="AN20" i="3"/>
  <c r="J15" i="3"/>
  <c r="M5" i="3"/>
  <c r="AL6" i="3"/>
  <c r="J33" i="3"/>
  <c r="X41" i="3"/>
  <c r="H22" i="3"/>
  <c r="S10" i="3"/>
  <c r="Q76" i="2"/>
  <c r="Q42" i="2"/>
  <c r="E77" i="2"/>
  <c r="AC18" i="3"/>
  <c r="T32" i="3"/>
  <c r="AQ36" i="3"/>
  <c r="O11" i="3"/>
  <c r="AI27" i="3"/>
  <c r="U14" i="3"/>
  <c r="N6" i="3"/>
  <c r="K31" i="3"/>
  <c r="AC10" i="3"/>
  <c r="AJ27" i="3"/>
  <c r="Y41" i="3"/>
  <c r="J19" i="3"/>
  <c r="I7" i="3"/>
  <c r="AD22" i="3"/>
  <c r="Y27" i="3"/>
  <c r="J14" i="3"/>
  <c r="AP32" i="3"/>
  <c r="AP64" i="3"/>
  <c r="N18" i="3"/>
  <c r="H44" i="2"/>
  <c r="I81" i="2"/>
  <c r="F69" i="2"/>
  <c r="X30" i="3"/>
  <c r="AI30" i="3"/>
  <c r="AK30" i="3"/>
  <c r="AE33" i="3"/>
  <c r="N42" i="3"/>
  <c r="AK35" i="3"/>
  <c r="AC12" i="3"/>
  <c r="AN18" i="3"/>
  <c r="V17" i="3"/>
  <c r="AN41" i="3"/>
  <c r="AO8" i="3"/>
  <c r="K16" i="3"/>
  <c r="W9" i="3"/>
  <c r="AK42" i="3"/>
  <c r="AC30" i="3"/>
  <c r="P113" i="2"/>
  <c r="T98" i="2"/>
  <c r="P94" i="2"/>
  <c r="F78" i="2"/>
  <c r="M50" i="2"/>
  <c r="X64" i="2"/>
  <c r="J59" i="2"/>
  <c r="Q52" i="2"/>
  <c r="R88" i="2"/>
  <c r="V86" i="2"/>
  <c r="W94" i="2"/>
  <c r="R82" i="2"/>
  <c r="I97" i="2"/>
  <c r="C86" i="2"/>
  <c r="V112" i="2"/>
  <c r="U46" i="2"/>
  <c r="V57" i="2"/>
  <c r="G75" i="2"/>
  <c r="J66" i="2"/>
  <c r="N56" i="2"/>
  <c r="Q84" i="2"/>
  <c r="I65" i="2"/>
  <c r="L70" i="2"/>
  <c r="U48" i="2"/>
  <c r="F74" i="2"/>
  <c r="N41" i="2"/>
  <c r="P80" i="2"/>
  <c r="J106" i="2"/>
  <c r="K110" i="2"/>
  <c r="H98" i="2"/>
  <c r="I46" i="2"/>
  <c r="M107" i="2"/>
  <c r="J86" i="2"/>
  <c r="Q111" i="2"/>
  <c r="E73" i="2"/>
  <c r="L61" i="2"/>
  <c r="C95" i="2"/>
  <c r="AB89" i="3"/>
  <c r="AB67" i="3"/>
  <c r="AO33" i="3"/>
  <c r="AE24" i="3"/>
  <c r="N39" i="3"/>
  <c r="U41" i="3"/>
  <c r="C22" i="3"/>
  <c r="V33" i="3"/>
  <c r="AO32" i="3"/>
  <c r="AG23" i="3"/>
  <c r="AN24" i="3"/>
  <c r="Z36" i="3"/>
  <c r="Z23" i="3"/>
  <c r="AN38" i="3"/>
  <c r="H43" i="2"/>
  <c r="G108" i="2"/>
  <c r="N68" i="2"/>
  <c r="M87" i="2"/>
  <c r="U97" i="2"/>
  <c r="X57" i="2"/>
  <c r="F83" i="2"/>
  <c r="P112" i="2"/>
  <c r="V58" i="2"/>
  <c r="D44" i="2"/>
  <c r="L89" i="2"/>
  <c r="V54" i="2"/>
  <c r="E57" i="2"/>
  <c r="L49" i="2"/>
  <c r="O80" i="2"/>
  <c r="R96" i="2"/>
  <c r="K55" i="2"/>
  <c r="C110" i="2"/>
  <c r="I93" i="2"/>
  <c r="K58" i="2"/>
  <c r="L109" i="2"/>
  <c r="AB94" i="3"/>
  <c r="AP12" i="3"/>
  <c r="U30" i="3"/>
  <c r="E47" i="3"/>
  <c r="AM11" i="3"/>
  <c r="AA17" i="3"/>
  <c r="O8" i="3"/>
  <c r="J8" i="3"/>
  <c r="AC33" i="3"/>
  <c r="R42" i="3"/>
  <c r="U6" i="3"/>
  <c r="N28" i="3"/>
  <c r="G49" i="3"/>
  <c r="J54" i="2"/>
  <c r="M88" i="2"/>
  <c r="X106" i="2"/>
  <c r="Q108" i="2"/>
  <c r="I41" i="2"/>
  <c r="H74" i="2"/>
  <c r="D88" i="2"/>
  <c r="O57" i="2"/>
  <c r="R57" i="2"/>
  <c r="N82" i="2"/>
  <c r="G57" i="2"/>
  <c r="M60" i="2"/>
  <c r="U73" i="2"/>
  <c r="R93" i="2"/>
  <c r="R70" i="2"/>
  <c r="N86" i="2"/>
  <c r="I111" i="2"/>
  <c r="C40" i="2"/>
  <c r="P57" i="2"/>
  <c r="P56" i="2"/>
  <c r="W112" i="2"/>
  <c r="AB78" i="3"/>
  <c r="AP69" i="3"/>
  <c r="T24" i="3"/>
  <c r="AI16" i="3"/>
  <c r="H13" i="3"/>
  <c r="AG28" i="3"/>
  <c r="O41" i="3"/>
  <c r="AL22" i="3"/>
  <c r="C34" i="3"/>
  <c r="V27" i="3"/>
  <c r="V7" i="3"/>
  <c r="V11" i="3"/>
  <c r="M37" i="3"/>
  <c r="Z20" i="3"/>
  <c r="J40" i="3"/>
  <c r="AQ31" i="3"/>
  <c r="S22" i="3"/>
  <c r="H8" i="3"/>
  <c r="P104" i="2"/>
  <c r="U42" i="2"/>
  <c r="D111" i="2"/>
  <c r="V96" i="2"/>
  <c r="G45" i="2"/>
  <c r="P71" i="2"/>
  <c r="K80" i="2"/>
  <c r="W47" i="2"/>
  <c r="N104" i="2"/>
  <c r="X82" i="2"/>
  <c r="K109" i="2"/>
  <c r="W55" i="2"/>
  <c r="Q43" i="2"/>
  <c r="E75" i="2"/>
  <c r="C88" i="2"/>
  <c r="D66" i="2"/>
  <c r="F80" i="2"/>
  <c r="Q109" i="2"/>
  <c r="Q96" i="2"/>
  <c r="S89" i="2"/>
  <c r="R61" i="2"/>
  <c r="D105" i="2"/>
  <c r="H87" i="2"/>
  <c r="J91" i="2"/>
  <c r="X95" i="2"/>
  <c r="S45" i="2"/>
  <c r="N95" i="2"/>
  <c r="S41" i="2"/>
  <c r="K69" i="2"/>
  <c r="H80" i="2"/>
  <c r="X86" i="2"/>
  <c r="W79" i="2"/>
  <c r="M108" i="2"/>
  <c r="AP86" i="3"/>
  <c r="AB85" i="3"/>
  <c r="T25" i="3"/>
  <c r="AI41" i="3"/>
  <c r="AP13" i="3"/>
  <c r="R32" i="3"/>
  <c r="N10" i="3"/>
  <c r="AI38" i="3"/>
  <c r="M31" i="3"/>
  <c r="I29" i="3"/>
  <c r="AG18" i="3"/>
  <c r="AE38" i="3"/>
  <c r="P24" i="3"/>
  <c r="AL40" i="3"/>
  <c r="T20" i="3"/>
  <c r="J92" i="2"/>
  <c r="J109" i="2"/>
  <c r="R44" i="2"/>
  <c r="G107" i="2"/>
  <c r="G73" i="2"/>
  <c r="M105" i="2"/>
  <c r="R79" i="2"/>
  <c r="X90" i="2"/>
  <c r="W62" i="2"/>
  <c r="E41" i="2"/>
  <c r="U47" i="2"/>
  <c r="U67" i="2"/>
  <c r="S107" i="2"/>
  <c r="V99" i="2"/>
  <c r="T83" i="2"/>
  <c r="N69" i="2"/>
  <c r="F56" i="2"/>
  <c r="Q98" i="2"/>
  <c r="D68" i="2"/>
  <c r="O66" i="2"/>
  <c r="T63" i="2"/>
  <c r="AB92" i="3"/>
  <c r="W5" i="3"/>
  <c r="Z10" i="3"/>
  <c r="M29" i="3"/>
  <c r="Q31" i="3"/>
  <c r="AM40" i="3"/>
  <c r="C25" i="3"/>
  <c r="R6" i="3"/>
  <c r="C33" i="3"/>
  <c r="AC17" i="3"/>
  <c r="T11" i="3"/>
  <c r="X22" i="3"/>
  <c r="AO9" i="3"/>
  <c r="S80" i="2"/>
  <c r="U80" i="2"/>
  <c r="N45" i="2"/>
  <c r="J71" i="2"/>
  <c r="C46" i="2"/>
  <c r="M46" i="2"/>
  <c r="S43" i="2"/>
  <c r="F42" i="2"/>
  <c r="L41" i="2"/>
  <c r="C47" i="2"/>
  <c r="W42" i="2"/>
  <c r="W111" i="2"/>
  <c r="H56" i="2"/>
  <c r="K48" i="2"/>
  <c r="E93" i="2"/>
  <c r="I87" i="2"/>
  <c r="E80" i="2"/>
  <c r="I110" i="2"/>
  <c r="G86" i="2"/>
  <c r="L67" i="2"/>
  <c r="F93" i="2"/>
  <c r="AP82" i="3"/>
  <c r="AH23" i="3"/>
  <c r="I28" i="3"/>
  <c r="N14" i="3"/>
  <c r="I26" i="3"/>
  <c r="AP34" i="3"/>
  <c r="H21" i="3"/>
  <c r="AE42" i="3"/>
  <c r="AL39" i="3"/>
  <c r="I21" i="3"/>
  <c r="S24" i="3"/>
  <c r="Y32" i="3"/>
  <c r="AE17" i="3"/>
  <c r="R41" i="3"/>
  <c r="O36" i="3"/>
  <c r="P84" i="2"/>
  <c r="D78" i="2"/>
  <c r="M104" i="2"/>
  <c r="I106" i="2"/>
  <c r="I80" i="2"/>
  <c r="L112" i="2"/>
  <c r="X93" i="2"/>
  <c r="L50" i="2"/>
  <c r="E79" i="2"/>
  <c r="C74" i="2"/>
  <c r="H85" i="2"/>
  <c r="P95" i="2"/>
  <c r="L63" i="2"/>
  <c r="T113" i="2"/>
  <c r="J72" i="2"/>
  <c r="F65" i="2"/>
  <c r="I52" i="2"/>
  <c r="P97" i="2"/>
  <c r="V52" i="2"/>
  <c r="F92" i="2"/>
  <c r="I84" i="2"/>
  <c r="H50" i="2"/>
  <c r="R49" i="2"/>
  <c r="V69" i="2"/>
  <c r="U95" i="2"/>
  <c r="C54" i="2"/>
  <c r="M70" i="2"/>
  <c r="N87" i="2"/>
  <c r="K91" i="2"/>
  <c r="R41" i="2"/>
  <c r="M96" i="2"/>
  <c r="U76" i="2"/>
  <c r="W43" i="2"/>
  <c r="R92" i="2"/>
  <c r="W84" i="2"/>
  <c r="S81" i="2"/>
  <c r="O85" i="2"/>
  <c r="N89" i="2"/>
  <c r="E66" i="2"/>
  <c r="N94" i="2"/>
  <c r="Q41" i="2"/>
  <c r="X58" i="2"/>
  <c r="P89" i="2"/>
  <c r="C75" i="2"/>
  <c r="W76" i="2"/>
  <c r="D106" i="2"/>
  <c r="R99" i="2"/>
  <c r="C108" i="2"/>
  <c r="C48" i="3"/>
  <c r="AB76" i="3"/>
  <c r="I38" i="3"/>
  <c r="K38" i="3"/>
  <c r="S35" i="3"/>
  <c r="Y39" i="3"/>
  <c r="C32" i="3"/>
  <c r="AO24" i="3"/>
  <c r="AO34" i="3"/>
  <c r="AB24" i="3"/>
  <c r="AB13" i="3"/>
  <c r="AJ32" i="3"/>
  <c r="AB27" i="3"/>
  <c r="AL29" i="3"/>
  <c r="U98" i="2"/>
  <c r="I64" i="2"/>
  <c r="M55" i="2"/>
  <c r="I48" i="2"/>
  <c r="I54" i="2"/>
  <c r="I60" i="2"/>
  <c r="I109" i="2"/>
  <c r="V78" i="2"/>
  <c r="K47" i="2"/>
  <c r="E94" i="2"/>
  <c r="R75" i="2"/>
  <c r="H73" i="2"/>
  <c r="X88" i="2"/>
  <c r="L73" i="2"/>
  <c r="V104" i="2"/>
  <c r="N75" i="2"/>
  <c r="V109" i="2"/>
  <c r="W64" i="2"/>
  <c r="R65" i="2"/>
  <c r="G69" i="2"/>
  <c r="U51" i="2"/>
  <c r="AP47" i="3"/>
  <c r="V16" i="3"/>
  <c r="AN31" i="3"/>
  <c r="N40" i="3"/>
  <c r="AH15" i="3"/>
  <c r="L5" i="3"/>
  <c r="P20" i="3"/>
  <c r="AL10" i="3"/>
  <c r="AP15" i="3"/>
  <c r="Z31" i="3"/>
  <c r="W27" i="3"/>
  <c r="C39" i="3"/>
  <c r="AM23" i="3"/>
  <c r="V42" i="2"/>
  <c r="U54" i="2"/>
  <c r="O73" i="2"/>
  <c r="R53" i="2"/>
  <c r="L88" i="2"/>
  <c r="I91" i="2"/>
  <c r="G97" i="2"/>
  <c r="E43" i="2"/>
  <c r="P72" i="2"/>
  <c r="P81" i="2"/>
  <c r="S105" i="2"/>
  <c r="T79" i="2"/>
  <c r="S48" i="2"/>
  <c r="N74" i="2"/>
  <c r="D55" i="2"/>
  <c r="P53" i="2"/>
  <c r="D58" i="2"/>
  <c r="O52" i="2"/>
  <c r="G42" i="2"/>
  <c r="Q73" i="2"/>
  <c r="F82" i="2"/>
  <c r="AP83" i="3"/>
  <c r="R29" i="3"/>
  <c r="AE10" i="3"/>
  <c r="X7" i="3"/>
  <c r="AD20" i="3"/>
  <c r="AJ16" i="3"/>
  <c r="L31" i="3"/>
  <c r="W7" i="3"/>
  <c r="AC25" i="3"/>
  <c r="AG30" i="3"/>
  <c r="X13" i="3"/>
  <c r="AQ42" i="3"/>
  <c r="J32" i="3"/>
  <c r="AE36" i="3"/>
  <c r="Y14" i="3"/>
  <c r="R31" i="3"/>
  <c r="V35" i="3"/>
  <c r="M106" i="2"/>
  <c r="P85" i="2"/>
  <c r="J107" i="2"/>
  <c r="S40" i="2"/>
  <c r="O76" i="2"/>
  <c r="L82" i="2"/>
  <c r="N107" i="2"/>
  <c r="E70" i="2"/>
  <c r="C98" i="2"/>
  <c r="O58" i="2"/>
  <c r="R77" i="2"/>
  <c r="V111" i="2"/>
  <c r="H72" i="2"/>
  <c r="U49" i="2"/>
  <c r="G72" i="2"/>
  <c r="E53" i="2"/>
  <c r="K86" i="2"/>
  <c r="S96" i="2"/>
  <c r="H82" i="2"/>
  <c r="V43" i="2"/>
  <c r="K44" i="2"/>
  <c r="S112" i="2"/>
  <c r="K99" i="2"/>
  <c r="M69" i="2"/>
  <c r="I53" i="2"/>
  <c r="K53" i="2"/>
  <c r="J74" i="2"/>
  <c r="F54" i="2"/>
  <c r="T89" i="2"/>
  <c r="H47" i="2"/>
  <c r="T93" i="2"/>
  <c r="K41" i="2"/>
  <c r="I58" i="2"/>
  <c r="X85" i="2"/>
  <c r="AB90" i="3"/>
  <c r="Z30" i="3"/>
  <c r="R24" i="3"/>
  <c r="O37" i="3"/>
  <c r="AE14" i="3"/>
  <c r="AM14" i="3"/>
  <c r="AA42" i="3"/>
  <c r="AJ14" i="3"/>
  <c r="C42" i="3"/>
  <c r="AH10" i="3"/>
  <c r="Q9" i="3"/>
  <c r="AK10" i="3"/>
  <c r="AL12" i="3"/>
  <c r="AN28" i="3"/>
  <c r="N13" i="3"/>
  <c r="V106" i="2"/>
  <c r="L85" i="2"/>
  <c r="T64" i="2"/>
  <c r="J56" i="2"/>
  <c r="J78" i="2"/>
  <c r="V40" i="2"/>
  <c r="T99" i="2"/>
  <c r="J75" i="2"/>
  <c r="P111" i="2"/>
  <c r="W95" i="2"/>
  <c r="E92" i="2"/>
  <c r="C55" i="2"/>
  <c r="J76" i="2"/>
  <c r="C106" i="2"/>
  <c r="E50" i="2"/>
  <c r="M79" i="2"/>
  <c r="H67" i="2"/>
  <c r="V77" i="2"/>
  <c r="R104" i="2"/>
  <c r="G62" i="2"/>
  <c r="L40" i="2"/>
  <c r="AP79" i="3"/>
  <c r="J36" i="3"/>
  <c r="V8" i="3"/>
  <c r="AD28" i="3"/>
  <c r="AH42" i="3"/>
  <c r="M39" i="3"/>
  <c r="M9" i="3"/>
  <c r="AM9" i="3"/>
  <c r="AI31" i="3"/>
  <c r="AM24" i="3"/>
  <c r="AP17" i="3"/>
  <c r="AL7" i="3"/>
  <c r="M8" i="3"/>
  <c r="P83" i="2"/>
  <c r="G71" i="2"/>
  <c r="C41" i="2"/>
  <c r="J46" i="2"/>
  <c r="C67" i="2"/>
  <c r="O82" i="2"/>
  <c r="U53" i="2"/>
  <c r="T66" i="2"/>
  <c r="J94" i="2"/>
  <c r="R63" i="2"/>
  <c r="X96" i="2"/>
  <c r="R112" i="2"/>
  <c r="X42" i="2"/>
  <c r="E83" i="2"/>
  <c r="M43" i="2"/>
  <c r="L99" i="2"/>
  <c r="J77" i="2"/>
  <c r="O67" i="2"/>
  <c r="T58" i="2"/>
  <c r="X81" i="2"/>
  <c r="AB83" i="3"/>
  <c r="AP76" i="3"/>
  <c r="G36" i="3"/>
  <c r="AD35" i="3"/>
  <c r="J37" i="3"/>
  <c r="AO21" i="3"/>
  <c r="AK29" i="3"/>
  <c r="L20" i="3"/>
  <c r="W6" i="3"/>
  <c r="AG8" i="3"/>
  <c r="X25" i="3"/>
  <c r="AK20" i="3"/>
  <c r="AE30" i="3"/>
  <c r="R23" i="3"/>
  <c r="AQ27" i="3"/>
  <c r="Z42" i="3"/>
  <c r="U104" i="2"/>
  <c r="F50" i="2"/>
  <c r="R86" i="2"/>
  <c r="T69" i="2"/>
  <c r="N58" i="2"/>
  <c r="K104" i="2"/>
  <c r="R56" i="2"/>
  <c r="D110" i="2"/>
  <c r="C42" i="2"/>
  <c r="P47" i="2"/>
  <c r="L45" i="2"/>
  <c r="D91" i="2"/>
  <c r="H89" i="2"/>
  <c r="U61" i="2"/>
  <c r="H62" i="2"/>
  <c r="K71" i="2"/>
  <c r="S59" i="2"/>
  <c r="T52" i="2"/>
  <c r="C66" i="2"/>
  <c r="D99" i="2"/>
  <c r="M85" i="2"/>
  <c r="L81" i="2"/>
  <c r="L93" i="2"/>
  <c r="G47" i="2"/>
  <c r="D45" i="2"/>
  <c r="W60" i="2"/>
  <c r="W75" i="2"/>
  <c r="W40" i="2"/>
  <c r="O87" i="2"/>
  <c r="T48" i="2"/>
  <c r="K72" i="2"/>
  <c r="R84" i="2"/>
  <c r="N43" i="2"/>
  <c r="V47" i="2"/>
  <c r="C93" i="2"/>
  <c r="R73" i="2"/>
  <c r="V68" i="2"/>
  <c r="T62" i="2"/>
  <c r="X109" i="2"/>
  <c r="U113" i="2"/>
  <c r="S69" i="2"/>
  <c r="M93" i="2"/>
  <c r="X73" i="2"/>
  <c r="N84" i="2"/>
  <c r="X50" i="2"/>
  <c r="I83" i="2"/>
  <c r="F71" i="2"/>
  <c r="J57" i="2"/>
  <c r="O105" i="2"/>
  <c r="F109" i="2"/>
  <c r="S84" i="2"/>
  <c r="K67" i="2"/>
  <c r="X51" i="2"/>
  <c r="U90" i="2"/>
  <c r="L96" i="2"/>
  <c r="E56" i="2"/>
  <c r="S83" i="2"/>
  <c r="S56" i="2"/>
  <c r="K73" i="2"/>
  <c r="N55" i="2"/>
  <c r="L97" i="2"/>
  <c r="AP58" i="3"/>
  <c r="AJ38" i="3"/>
  <c r="Q36" i="3"/>
  <c r="L37" i="3"/>
  <c r="M15" i="3"/>
  <c r="AG7" i="3"/>
  <c r="R30" i="3"/>
  <c r="AM13" i="3"/>
  <c r="U28" i="3"/>
  <c r="AQ21" i="3"/>
  <c r="C58" i="2"/>
  <c r="M58" i="2"/>
  <c r="H77" i="2"/>
  <c r="AP73" i="3"/>
  <c r="AQ38" i="3"/>
  <c r="C12" i="3"/>
  <c r="O24" i="3"/>
  <c r="AH41" i="3"/>
  <c r="J13" i="3"/>
  <c r="O32" i="3"/>
  <c r="X37" i="3"/>
  <c r="AL23" i="3"/>
  <c r="K28" i="3"/>
  <c r="K41" i="3"/>
  <c r="AA37" i="3"/>
  <c r="W38" i="3"/>
  <c r="AB40" i="3"/>
  <c r="V37" i="3"/>
  <c r="AO27" i="3"/>
  <c r="AN10" i="3"/>
  <c r="T95" i="2"/>
  <c r="H69" i="2"/>
  <c r="I44" i="2"/>
  <c r="AB74" i="3"/>
  <c r="R35" i="3"/>
  <c r="AK27" i="3"/>
  <c r="L28" i="3"/>
  <c r="L39" i="3"/>
  <c r="U25" i="3"/>
  <c r="R27" i="3"/>
  <c r="C4" i="3"/>
  <c r="AK26" i="3"/>
  <c r="AI17" i="3"/>
  <c r="H39" i="3"/>
  <c r="N22" i="3"/>
  <c r="Z15" i="3"/>
  <c r="AB93" i="3"/>
  <c r="AI18" i="3"/>
  <c r="K54" i="2"/>
  <c r="D46" i="2"/>
  <c r="P110" i="2"/>
  <c r="AP78" i="3"/>
  <c r="AP19" i="3"/>
  <c r="M25" i="3"/>
  <c r="AJ34" i="3"/>
  <c r="Q28" i="3"/>
  <c r="U34" i="3"/>
  <c r="AL24" i="3"/>
  <c r="AJ9" i="3"/>
  <c r="M17" i="3"/>
  <c r="J31" i="3"/>
  <c r="E71" i="2"/>
  <c r="J96" i="2"/>
  <c r="AP96" i="3"/>
  <c r="AL27" i="3"/>
  <c r="V41" i="3"/>
  <c r="T41" i="3"/>
  <c r="AJ11" i="3"/>
  <c r="AK39" i="3"/>
  <c r="Q30" i="3"/>
  <c r="V98" i="2"/>
  <c r="X77" i="2"/>
  <c r="C70" i="2"/>
  <c r="N96" i="2"/>
  <c r="F104" i="2"/>
  <c r="D69" i="2"/>
  <c r="S70" i="2"/>
  <c r="H105" i="2"/>
  <c r="U58" i="2"/>
  <c r="P78" i="2"/>
  <c r="C64" i="2"/>
  <c r="N80" i="2"/>
  <c r="G91" i="2"/>
  <c r="C107" i="2"/>
  <c r="P44" i="2"/>
  <c r="E72" i="2"/>
  <c r="E59" i="2"/>
  <c r="Q45" i="2"/>
  <c r="S87" i="2"/>
  <c r="N85" i="2"/>
  <c r="F110" i="2"/>
  <c r="I71" i="2"/>
  <c r="Q104" i="2"/>
  <c r="S61" i="2"/>
  <c r="O43" i="2"/>
  <c r="P54" i="2"/>
  <c r="I90" i="2"/>
  <c r="M77" i="2"/>
  <c r="P40" i="2"/>
  <c r="I59" i="2"/>
  <c r="V84" i="2"/>
  <c r="H92" i="2"/>
  <c r="D77" i="2"/>
  <c r="Q80" i="2"/>
  <c r="T61" i="2"/>
  <c r="J88" i="2"/>
  <c r="L46" i="2"/>
  <c r="X68" i="2"/>
  <c r="AP88" i="3"/>
  <c r="AM33" i="3"/>
  <c r="S16" i="3"/>
  <c r="AB41" i="3"/>
  <c r="K36" i="3"/>
  <c r="AB22" i="3"/>
  <c r="M22" i="3"/>
  <c r="AP26" i="3"/>
  <c r="M7" i="3"/>
  <c r="H25" i="3"/>
  <c r="AC16" i="3"/>
  <c r="Y36" i="3"/>
  <c r="Y33" i="3"/>
  <c r="L42" i="3"/>
  <c r="P105" i="2"/>
  <c r="T73" i="2"/>
  <c r="L107" i="2"/>
  <c r="W65" i="2"/>
  <c r="T51" i="2"/>
  <c r="C73" i="2"/>
  <c r="X40" i="2"/>
  <c r="L59" i="2"/>
  <c r="T85" i="2"/>
  <c r="D49" i="2"/>
  <c r="Q48" i="2"/>
  <c r="U50" i="2"/>
  <c r="Q105" i="2"/>
  <c r="Q112" i="2"/>
  <c r="W58" i="2"/>
  <c r="V82" i="2"/>
  <c r="C97" i="2"/>
  <c r="V91" i="2"/>
  <c r="S58" i="2"/>
  <c r="I79" i="2"/>
  <c r="V95" i="2"/>
  <c r="AP74" i="3"/>
  <c r="AJ17" i="3"/>
  <c r="H5" i="3"/>
  <c r="AM25" i="3"/>
  <c r="T34" i="3"/>
  <c r="J25" i="3"/>
  <c r="V29" i="3"/>
  <c r="AC19" i="3"/>
  <c r="AH35" i="3"/>
  <c r="U33" i="3"/>
  <c r="N29" i="3"/>
  <c r="AE28" i="3"/>
  <c r="L9" i="3"/>
  <c r="F55" i="2"/>
  <c r="X71" i="2"/>
  <c r="G90" i="2"/>
  <c r="H113" i="2"/>
  <c r="P109" i="2"/>
  <c r="P79" i="2"/>
  <c r="C84" i="2"/>
  <c r="S73" i="2"/>
  <c r="D81" i="2"/>
  <c r="D97" i="2"/>
  <c r="T46" i="2"/>
  <c r="C99" i="2"/>
  <c r="G93" i="2"/>
  <c r="N111" i="2"/>
  <c r="J113" i="2"/>
  <c r="D95" i="2"/>
  <c r="V70" i="2"/>
  <c r="H58" i="2"/>
  <c r="F59" i="2"/>
  <c r="Q51" i="2"/>
  <c r="M42" i="2"/>
  <c r="AB50" i="3"/>
  <c r="T8" i="3"/>
  <c r="Y17" i="3"/>
  <c r="I9" i="3"/>
  <c r="AI21" i="3"/>
  <c r="AG15" i="3"/>
  <c r="I13" i="3"/>
  <c r="L30" i="3"/>
  <c r="O6" i="3"/>
  <c r="AP31" i="3"/>
  <c r="AO23" i="3"/>
  <c r="AL38" i="3"/>
  <c r="AQ24" i="3"/>
  <c r="Y8" i="3"/>
  <c r="AP42" i="3"/>
  <c r="P28" i="3"/>
  <c r="V28" i="3"/>
  <c r="I89" i="2"/>
  <c r="K107" i="2"/>
  <c r="L75" i="2"/>
  <c r="J112" i="2"/>
  <c r="X49" i="2"/>
  <c r="D83" i="2"/>
  <c r="W113" i="2"/>
  <c r="L72" i="2"/>
  <c r="X46" i="2"/>
  <c r="K60" i="2"/>
  <c r="Q106" i="2"/>
  <c r="K70" i="2"/>
  <c r="V76" i="2"/>
  <c r="H40" i="2"/>
  <c r="N60" i="2"/>
  <c r="T44" i="2"/>
  <c r="G77" i="2"/>
  <c r="K79" i="2"/>
  <c r="L52" i="2"/>
  <c r="Q67" i="2"/>
  <c r="E60" i="2"/>
  <c r="U56" i="2"/>
  <c r="R85" i="2"/>
  <c r="G112" i="2"/>
  <c r="Q81" i="2"/>
  <c r="T81" i="2"/>
  <c r="O59" i="2"/>
  <c r="E105" i="2"/>
  <c r="W78" i="2"/>
  <c r="H61" i="2"/>
  <c r="V108" i="2"/>
  <c r="R68" i="2"/>
  <c r="U108" i="2"/>
  <c r="X84" i="2"/>
  <c r="AP57" i="3"/>
  <c r="AL33" i="3"/>
  <c r="O21" i="3"/>
  <c r="P41" i="3"/>
  <c r="I8" i="3"/>
  <c r="K35" i="3"/>
  <c r="AB18" i="3"/>
  <c r="AN34" i="3"/>
  <c r="Y31" i="3"/>
  <c r="O19" i="3"/>
  <c r="I34" i="3"/>
  <c r="AE29" i="3"/>
  <c r="Z40" i="3"/>
  <c r="AO18" i="3"/>
  <c r="AC21" i="3"/>
  <c r="R67" i="2"/>
  <c r="R90" i="2"/>
  <c r="T77" i="2"/>
  <c r="W63" i="2"/>
  <c r="U82" i="2"/>
  <c r="M76" i="2"/>
  <c r="G81" i="2"/>
  <c r="F87" i="2"/>
  <c r="G82" i="2"/>
  <c r="P98" i="2"/>
  <c r="K42" i="2"/>
  <c r="S49" i="2"/>
  <c r="W69" i="2"/>
  <c r="E98" i="2"/>
  <c r="R76" i="2"/>
  <c r="N113" i="2"/>
  <c r="F58" i="2"/>
  <c r="T109" i="2"/>
  <c r="E112" i="2"/>
  <c r="O50" i="2"/>
  <c r="X45" i="2"/>
  <c r="AB62" i="3"/>
  <c r="AN33" i="3"/>
  <c r="L25" i="3"/>
  <c r="S33" i="3"/>
  <c r="AP30" i="3"/>
  <c r="AD38" i="3"/>
  <c r="AK24" i="3"/>
  <c r="Q38" i="3"/>
  <c r="N32" i="3"/>
  <c r="AA32" i="3"/>
  <c r="I18" i="3"/>
  <c r="AG34" i="3"/>
  <c r="E82" i="2"/>
  <c r="T76" i="2"/>
  <c r="Q85" i="2"/>
  <c r="D90" i="2"/>
  <c r="T97" i="2"/>
  <c r="G92" i="2"/>
  <c r="R48" i="2"/>
  <c r="U92" i="2"/>
  <c r="P70" i="2"/>
  <c r="P41" i="2"/>
  <c r="K105" i="2"/>
  <c r="R98" i="2"/>
  <c r="I86" i="2"/>
  <c r="J68" i="2"/>
  <c r="J42" i="2"/>
  <c r="X105" i="2"/>
  <c r="T56" i="2"/>
  <c r="V46" i="2"/>
  <c r="I69" i="2"/>
  <c r="G64" i="2"/>
  <c r="P45" i="2"/>
  <c r="AB73" i="3"/>
  <c r="AB64" i="3"/>
  <c r="AP10" i="3"/>
  <c r="AH16" i="3"/>
  <c r="AL30" i="3"/>
  <c r="AM41" i="3"/>
  <c r="AM26" i="3"/>
  <c r="Q23" i="3"/>
  <c r="AC7" i="3"/>
  <c r="AP11" i="3"/>
  <c r="E50" i="3"/>
  <c r="Q40" i="3"/>
  <c r="AQ30" i="3"/>
  <c r="R21" i="3"/>
  <c r="X9" i="3"/>
  <c r="M40" i="2"/>
  <c r="L86" i="2"/>
  <c r="X98" i="2"/>
  <c r="D54" i="2"/>
  <c r="E107" i="2"/>
  <c r="S113" i="2"/>
  <c r="J90" i="2"/>
  <c r="G66" i="2"/>
  <c r="E52" i="2"/>
  <c r="V65" i="2"/>
  <c r="C49" i="2"/>
  <c r="K95" i="2"/>
  <c r="M89" i="2"/>
  <c r="R80" i="2"/>
  <c r="L80" i="2"/>
  <c r="G49" i="2"/>
  <c r="D75" i="2"/>
  <c r="Q47" i="2"/>
  <c r="W48" i="2"/>
  <c r="R109" i="2"/>
  <c r="V107" i="2"/>
  <c r="O54" i="2"/>
  <c r="Q66" i="2"/>
  <c r="P87" i="2"/>
  <c r="H41" i="2"/>
  <c r="L62" i="2"/>
  <c r="V94" i="2"/>
  <c r="T41" i="2"/>
  <c r="X56" i="2"/>
  <c r="X87" i="2"/>
  <c r="X97" i="2"/>
  <c r="P92" i="2"/>
  <c r="AB59" i="3"/>
  <c r="AQ13" i="3"/>
  <c r="W37" i="3"/>
  <c r="AI15" i="3"/>
  <c r="H19" i="3"/>
  <c r="M26" i="3"/>
  <c r="X5" i="3"/>
  <c r="L51" i="2"/>
  <c r="T112" i="2"/>
  <c r="N24" i="3"/>
  <c r="AG37" i="3"/>
  <c r="T16" i="3"/>
  <c r="U36" i="3"/>
  <c r="AI37" i="3"/>
  <c r="AK38" i="3"/>
  <c r="AM27" i="3"/>
  <c r="AQ28" i="3"/>
  <c r="AI39" i="3"/>
  <c r="C18" i="3"/>
  <c r="W80" i="2"/>
  <c r="AO36" i="3"/>
  <c r="U106" i="2"/>
  <c r="AB60" i="3"/>
  <c r="W21" i="3"/>
  <c r="AN7" i="3"/>
  <c r="AC5" i="3"/>
  <c r="W42" i="3"/>
  <c r="K12" i="3"/>
  <c r="AP35" i="3"/>
  <c r="P36" i="3"/>
  <c r="AD41" i="3"/>
  <c r="AD37" i="3"/>
  <c r="AH5" i="3"/>
  <c r="Q75" i="2"/>
  <c r="H59" i="2"/>
  <c r="X24" i="3"/>
  <c r="J38" i="3"/>
  <c r="AH28" i="3"/>
  <c r="Q37" i="3"/>
  <c r="U17" i="3"/>
  <c r="N38" i="3"/>
  <c r="R83" i="2"/>
  <c r="H97" i="2"/>
  <c r="V24" i="3"/>
  <c r="C41" i="3"/>
  <c r="AQ33" i="3"/>
  <c r="AN40" i="3"/>
  <c r="AM35" i="3"/>
  <c r="AM19" i="3"/>
  <c r="AJ40" i="3"/>
  <c r="N27" i="3"/>
  <c r="S37" i="3"/>
  <c r="P29" i="3"/>
  <c r="AQ17" i="3"/>
  <c r="Q11" i="3"/>
  <c r="O33" i="3"/>
  <c r="N8" i="3"/>
  <c r="X83" i="2"/>
  <c r="O99" i="2"/>
  <c r="V45" i="2"/>
  <c r="H41" i="3"/>
  <c r="L8" i="3"/>
  <c r="R20" i="3"/>
  <c r="AM30" i="3"/>
  <c r="AP39" i="3"/>
  <c r="C31" i="3"/>
  <c r="N16" i="3"/>
  <c r="S25" i="3"/>
  <c r="S28" i="3"/>
  <c r="AK15" i="3"/>
  <c r="U15" i="3"/>
  <c r="Z18" i="3"/>
  <c r="J35" i="3"/>
  <c r="X42" i="3"/>
  <c r="AP68" i="3"/>
  <c r="AC8" i="3"/>
  <c r="C36" i="3"/>
  <c r="X70" i="2"/>
  <c r="O60" i="2"/>
  <c r="G79" i="2"/>
  <c r="C49" i="3"/>
  <c r="C38" i="3"/>
  <c r="AN32" i="3"/>
  <c r="AC6" i="3"/>
  <c r="AB33" i="3"/>
  <c r="AB25" i="3"/>
  <c r="AH19" i="3"/>
  <c r="Q13" i="3"/>
  <c r="T42" i="3"/>
  <c r="AE13" i="3"/>
  <c r="M21" i="3"/>
  <c r="U16" i="3"/>
  <c r="D107" i="2"/>
  <c r="V12" i="3"/>
  <c r="W10" i="3"/>
  <c r="R16" i="3"/>
  <c r="AH12" i="3"/>
  <c r="AA19" i="3"/>
  <c r="T5" i="3"/>
  <c r="O47" i="2"/>
  <c r="L23" i="3"/>
  <c r="AN36" i="3"/>
  <c r="U72" i="2"/>
  <c r="K81" i="2"/>
  <c r="R60" i="2"/>
  <c r="O35" i="3"/>
  <c r="Y5" i="3"/>
  <c r="K32" i="3"/>
  <c r="AO37" i="3"/>
  <c r="U111" i="2"/>
  <c r="T108" i="2"/>
  <c r="C60" i="2"/>
  <c r="U43" i="2"/>
  <c r="AB77" i="3"/>
  <c r="W22" i="3"/>
  <c r="X36" i="3"/>
  <c r="AB21" i="3"/>
  <c r="AI32" i="3"/>
  <c r="I6" i="3"/>
  <c r="C81" i="2"/>
  <c r="V73" i="2"/>
  <c r="G52" i="2"/>
  <c r="J58" i="2"/>
  <c r="R43" i="2"/>
  <c r="K83" i="2"/>
  <c r="I49" i="2"/>
  <c r="F113" i="2"/>
  <c r="T42" i="2"/>
  <c r="Q74" i="2"/>
  <c r="L44" i="2"/>
  <c r="X69" i="2"/>
  <c r="L60" i="2"/>
  <c r="W53" i="2"/>
  <c r="J49" i="2"/>
  <c r="I88" i="2"/>
  <c r="O61" i="2"/>
  <c r="T45" i="2"/>
  <c r="E84" i="2"/>
  <c r="M110" i="2"/>
  <c r="D50" i="2"/>
  <c r="J80" i="2"/>
  <c r="H70" i="2"/>
  <c r="E67" i="2"/>
  <c r="F68" i="2"/>
  <c r="Q94" i="2"/>
  <c r="U77" i="2"/>
  <c r="J69" i="2"/>
  <c r="X111" i="2"/>
  <c r="I75" i="2"/>
  <c r="E78" i="2"/>
  <c r="C47" i="3"/>
  <c r="T17" i="3"/>
  <c r="AA9" i="3"/>
  <c r="I39" i="3"/>
  <c r="Q26" i="3"/>
  <c r="AK9" i="3"/>
  <c r="AC9" i="3"/>
  <c r="T80" i="2"/>
  <c r="U70" i="2"/>
  <c r="O23" i="3"/>
  <c r="T35" i="3"/>
  <c r="AK41" i="3"/>
  <c r="AO17" i="3"/>
  <c r="U18" i="3"/>
  <c r="AB8" i="3"/>
  <c r="S20" i="3"/>
  <c r="AQ11" i="3"/>
  <c r="AK40" i="3"/>
  <c r="J22" i="3"/>
  <c r="AC27" i="3"/>
  <c r="T78" i="2"/>
  <c r="K112" i="2"/>
  <c r="AB82" i="3"/>
  <c r="AJ33" i="3"/>
  <c r="O9" i="3"/>
  <c r="Z29" i="3"/>
  <c r="AA7" i="3"/>
  <c r="AI7" i="3"/>
  <c r="AA15" i="3"/>
  <c r="J26" i="3"/>
  <c r="Q34" i="3"/>
  <c r="Q35" i="3"/>
  <c r="V39" i="3"/>
  <c r="G63" i="2"/>
  <c r="AB88" i="3"/>
  <c r="H11" i="3"/>
  <c r="AI19" i="3"/>
  <c r="H16" i="3"/>
  <c r="U7" i="3"/>
  <c r="AI26" i="3"/>
  <c r="Q18" i="3"/>
  <c r="G88" i="2"/>
  <c r="G83" i="2"/>
  <c r="X27" i="3"/>
  <c r="H36" i="3"/>
  <c r="AL34" i="3"/>
  <c r="P42" i="3"/>
  <c r="Y12" i="3"/>
  <c r="AG16" i="3"/>
  <c r="G47" i="3"/>
  <c r="K8" i="3"/>
  <c r="T31" i="3"/>
  <c r="J9" i="3"/>
  <c r="S13" i="3"/>
  <c r="N25" i="3"/>
  <c r="V15" i="3"/>
  <c r="AJ28" i="3"/>
  <c r="P63" i="2"/>
  <c r="K92" i="2"/>
  <c r="C56" i="2"/>
  <c r="AC20" i="3"/>
  <c r="H27" i="3"/>
  <c r="AE18" i="3"/>
  <c r="H7" i="3"/>
  <c r="AQ15" i="3"/>
  <c r="AN42" i="3"/>
  <c r="Y15" i="3"/>
  <c r="U42" i="3"/>
  <c r="X20" i="3"/>
  <c r="AO26" i="3"/>
  <c r="I30" i="3"/>
  <c r="AK6" i="3"/>
  <c r="P9" i="3"/>
  <c r="Q17" i="3"/>
  <c r="Y40" i="3"/>
  <c r="AJ5" i="3"/>
  <c r="K37" i="3"/>
  <c r="F46" i="2"/>
  <c r="M72" i="2"/>
  <c r="R97" i="2"/>
  <c r="S7" i="3"/>
  <c r="Q16" i="3"/>
  <c r="P22" i="3"/>
  <c r="U37" i="3"/>
  <c r="AO41" i="3"/>
  <c r="S39" i="3"/>
  <c r="X33" i="3"/>
  <c r="K17" i="3"/>
  <c r="D48" i="3"/>
  <c r="AQ16" i="3"/>
  <c r="AA38" i="3"/>
  <c r="AJ7" i="3"/>
  <c r="AB80" i="3"/>
  <c r="S42" i="3"/>
  <c r="AD19" i="3"/>
  <c r="AG11" i="3"/>
  <c r="S18" i="3"/>
  <c r="W8" i="3"/>
  <c r="AI33" i="3"/>
  <c r="AP94" i="3"/>
  <c r="W11" i="3"/>
  <c r="AA28" i="3"/>
  <c r="W98" i="2"/>
  <c r="N49" i="2"/>
  <c r="AB71" i="3"/>
  <c r="AP16" i="3"/>
  <c r="Z39" i="3"/>
  <c r="C16" i="3"/>
  <c r="AQ20" i="3"/>
  <c r="R15" i="3"/>
  <c r="W108" i="2"/>
  <c r="S72" i="2"/>
  <c r="T74" i="2"/>
  <c r="AP91" i="3"/>
  <c r="C7" i="3"/>
  <c r="Y18" i="3"/>
  <c r="Z9" i="3"/>
  <c r="AQ41" i="3"/>
  <c r="M12" i="3"/>
  <c r="U5" i="3"/>
  <c r="M57" i="2"/>
  <c r="S30" i="3"/>
  <c r="AI40" i="3"/>
  <c r="C83" i="2"/>
  <c r="AJ31" i="3"/>
  <c r="H35" i="3"/>
  <c r="AL17" i="3"/>
  <c r="M16" i="3"/>
  <c r="O29" i="3"/>
  <c r="S9" i="3"/>
  <c r="R10" i="3"/>
  <c r="AP29" i="3"/>
  <c r="AE27" i="3"/>
  <c r="S74" i="2"/>
  <c r="K88" i="2"/>
  <c r="W106" i="2"/>
  <c r="K40" i="2"/>
  <c r="T96" i="2"/>
  <c r="C51" i="2"/>
  <c r="O84" i="2"/>
  <c r="K49" i="2"/>
  <c r="F41" i="2"/>
  <c r="E104" i="2"/>
  <c r="L69" i="2"/>
  <c r="G110" i="2"/>
  <c r="D71" i="2"/>
  <c r="V81" i="2"/>
  <c r="Q72" i="2"/>
  <c r="T57" i="2"/>
  <c r="T110" i="2"/>
  <c r="P88" i="2"/>
  <c r="U74" i="2"/>
  <c r="O41" i="2"/>
  <c r="H112" i="2"/>
  <c r="C72" i="2"/>
  <c r="Q68" i="2"/>
  <c r="U78" i="2"/>
  <c r="E89" i="2"/>
  <c r="J89" i="2"/>
  <c r="J70" i="2"/>
  <c r="Q61" i="2"/>
  <c r="X53" i="2"/>
  <c r="P48" i="2"/>
  <c r="J81" i="2"/>
  <c r="AB54" i="3"/>
  <c r="M10" i="3"/>
  <c r="Y6" i="3"/>
  <c r="W15" i="3"/>
  <c r="K23" i="3"/>
  <c r="V25" i="3"/>
  <c r="AB26" i="3"/>
  <c r="Q88" i="2"/>
  <c r="G60" i="2"/>
  <c r="Z6" i="3"/>
  <c r="M13" i="3"/>
  <c r="W36" i="3"/>
  <c r="AL36" i="3"/>
  <c r="T9" i="3"/>
  <c r="U38" i="3"/>
  <c r="O13" i="3"/>
  <c r="Q10" i="3"/>
  <c r="AH38" i="3"/>
  <c r="AK16" i="3"/>
  <c r="L22" i="3"/>
  <c r="U96" i="2"/>
  <c r="C78" i="2"/>
  <c r="M35" i="3"/>
  <c r="W34" i="3"/>
  <c r="K19" i="3"/>
  <c r="R33" i="3"/>
  <c r="X17" i="3"/>
  <c r="AD42" i="3"/>
  <c r="G34" i="3"/>
  <c r="T6" i="3"/>
  <c r="AJ24" i="3"/>
  <c r="G35" i="3"/>
  <c r="E86" i="2"/>
  <c r="D59" i="2"/>
  <c r="AP85" i="3"/>
  <c r="W12" i="3"/>
  <c r="AC23" i="3"/>
  <c r="X40" i="3"/>
  <c r="AC38" i="3"/>
  <c r="N41" i="3"/>
  <c r="J43" i="2"/>
  <c r="O55" i="2"/>
  <c r="AB79" i="3"/>
  <c r="Z34" i="3"/>
  <c r="P6" i="3"/>
  <c r="S41" i="3"/>
  <c r="Q6" i="3"/>
  <c r="AA22" i="3"/>
  <c r="R8" i="3"/>
  <c r="I17" i="3"/>
  <c r="AQ7" i="3"/>
  <c r="L35" i="3"/>
  <c r="V6" i="3"/>
  <c r="Z33" i="3"/>
  <c r="AB16" i="3"/>
  <c r="S94" i="2"/>
  <c r="AK14" i="3"/>
  <c r="T50" i="2"/>
  <c r="P86" i="2"/>
  <c r="AP75" i="3"/>
  <c r="AK12" i="3"/>
  <c r="AC36" i="3"/>
  <c r="N36" i="3"/>
  <c r="AE20" i="3"/>
  <c r="Q15" i="3"/>
  <c r="AN11" i="3"/>
  <c r="AK8" i="3"/>
  <c r="AB17" i="3"/>
  <c r="AD49" i="3"/>
  <c r="AO13" i="3"/>
  <c r="AM37" i="3"/>
  <c r="AQ25" i="3"/>
  <c r="AK19" i="3"/>
  <c r="AO22" i="3"/>
  <c r="N19" i="3"/>
  <c r="H32" i="3"/>
  <c r="J10" i="3"/>
  <c r="F111" i="2"/>
  <c r="J48" i="2"/>
  <c r="M111" i="2"/>
  <c r="Y22" i="3"/>
  <c r="T33" i="3"/>
  <c r="AN25" i="3"/>
  <c r="U22" i="3"/>
  <c r="Z26" i="3"/>
  <c r="U39" i="3"/>
  <c r="AJ39" i="3"/>
  <c r="L7" i="3"/>
  <c r="AD34" i="3"/>
  <c r="K33" i="3"/>
  <c r="AE12" i="3"/>
  <c r="C26" i="3"/>
  <c r="AP50" i="3"/>
  <c r="AE7" i="3"/>
  <c r="R9" i="3"/>
  <c r="C11" i="3"/>
  <c r="M41" i="3"/>
  <c r="U13" i="3"/>
  <c r="K20" i="3"/>
  <c r="L19" i="3"/>
  <c r="AA13" i="3"/>
  <c r="AC41" i="3"/>
  <c r="O78" i="2"/>
  <c r="G80" i="2"/>
  <c r="C23" i="3"/>
  <c r="AJ23" i="3"/>
  <c r="AJ42" i="3"/>
  <c r="AB9" i="3"/>
  <c r="I32" i="3"/>
  <c r="I42" i="3"/>
  <c r="D62" i="2"/>
  <c r="X76" i="2"/>
  <c r="G55" i="2"/>
  <c r="AP77" i="3"/>
  <c r="O38" i="3"/>
  <c r="M32" i="3"/>
  <c r="M33" i="3"/>
  <c r="W35" i="3"/>
  <c r="N9" i="3"/>
  <c r="I12" i="3"/>
  <c r="K11" i="3"/>
  <c r="AL14" i="3"/>
  <c r="I113" i="2"/>
  <c r="U69" i="2"/>
  <c r="S54" i="2"/>
  <c r="AI6" i="3"/>
  <c r="O17" i="3"/>
  <c r="G40" i="3"/>
  <c r="W16" i="3"/>
  <c r="AG36" i="3"/>
  <c r="U9" i="3"/>
  <c r="AG19" i="3"/>
  <c r="J30" i="3"/>
  <c r="AI29" i="3"/>
  <c r="T27" i="3"/>
  <c r="Z27" i="3"/>
  <c r="P33" i="3"/>
  <c r="W107" i="2"/>
  <c r="M63" i="2"/>
  <c r="L83" i="2"/>
  <c r="AD50" i="3"/>
  <c r="AQ8" i="3"/>
  <c r="J34" i="3"/>
  <c r="C9" i="3"/>
  <c r="AI36" i="3"/>
  <c r="Z13" i="3"/>
  <c r="AD27" i="3"/>
  <c r="H26" i="3"/>
  <c r="D47" i="3"/>
  <c r="R12" i="3"/>
  <c r="I98" i="2"/>
  <c r="G68" i="2"/>
  <c r="F77" i="2"/>
  <c r="AP48" i="3"/>
  <c r="P5" i="3"/>
  <c r="AP23" i="3"/>
  <c r="T28" i="3"/>
  <c r="I35" i="3"/>
  <c r="AC31" i="3"/>
  <c r="AM7" i="3"/>
  <c r="Y35" i="3"/>
  <c r="AC32" i="3"/>
  <c r="I31" i="3"/>
  <c r="AE22" i="3"/>
  <c r="H60" i="2"/>
  <c r="I105" i="2"/>
  <c r="H9" i="3"/>
  <c r="L24" i="3"/>
  <c r="V36" i="3"/>
  <c r="C96" i="2"/>
  <c r="C52" i="2"/>
  <c r="S66" i="2"/>
  <c r="Z25" i="3"/>
  <c r="AJ8" i="3"/>
  <c r="T12" i="3"/>
  <c r="Y26" i="3"/>
  <c r="AC11" i="3"/>
  <c r="S52" i="2"/>
  <c r="N92" i="2"/>
  <c r="S11" i="3"/>
  <c r="O25" i="3"/>
  <c r="K39" i="3"/>
  <c r="M19" i="3"/>
  <c r="V40" i="3"/>
  <c r="R111" i="2"/>
  <c r="U23" i="3"/>
  <c r="S5" i="3"/>
  <c r="Z14" i="3"/>
  <c r="Q32" i="3"/>
  <c r="E62" i="2"/>
  <c r="E68" i="2"/>
  <c r="X78" i="2"/>
  <c r="G41" i="3"/>
  <c r="I41" i="3"/>
  <c r="R13" i="3"/>
  <c r="V26" i="3"/>
  <c r="AJ10" i="3"/>
  <c r="AM6" i="3"/>
  <c r="AH20" i="3"/>
  <c r="Q7" i="3"/>
  <c r="P93" i="2"/>
  <c r="U21" i="3"/>
  <c r="AO14" i="3"/>
  <c r="AJ13" i="3"/>
  <c r="T19" i="3"/>
  <c r="N7" i="3"/>
  <c r="X8" i="3"/>
  <c r="C44" i="2"/>
  <c r="U35" i="3"/>
  <c r="R11" i="3"/>
  <c r="S109" i="2"/>
  <c r="P74" i="2"/>
  <c r="AP81" i="3"/>
  <c r="Y25" i="3"/>
  <c r="AA21" i="3"/>
  <c r="P11" i="3"/>
  <c r="AE35" i="3"/>
  <c r="AQ34" i="3"/>
  <c r="I104" i="2"/>
  <c r="AB66" i="3"/>
  <c r="AH14" i="3"/>
  <c r="Y37" i="3"/>
  <c r="M27" i="3"/>
  <c r="AJ26" i="3"/>
  <c r="N12" i="3"/>
  <c r="T15" i="3"/>
  <c r="AL26" i="3"/>
  <c r="AL5" i="3"/>
  <c r="J73" i="2"/>
  <c r="O70" i="2"/>
  <c r="AI24" i="3"/>
  <c r="U26" i="3"/>
  <c r="X39" i="3"/>
  <c r="X11" i="3"/>
  <c r="W14" i="3"/>
  <c r="M71" i="2"/>
  <c r="H93" i="2"/>
  <c r="AO11" i="3"/>
  <c r="AG29" i="3"/>
  <c r="AI13" i="3"/>
  <c r="W45" i="2"/>
  <c r="R25" i="3"/>
  <c r="Y29" i="3"/>
  <c r="M41" i="2"/>
  <c r="AB19" i="3"/>
  <c r="AG26" i="3"/>
  <c r="L18" i="3"/>
  <c r="S19" i="3"/>
  <c r="W17" i="3"/>
  <c r="Y42" i="3"/>
  <c r="AJ21" i="3"/>
  <c r="D53" i="2"/>
  <c r="U107" i="2"/>
  <c r="J42" i="3"/>
  <c r="AB12" i="3"/>
  <c r="AK7" i="3"/>
  <c r="H31" i="3"/>
  <c r="AD29" i="3"/>
  <c r="C77" i="2"/>
  <c r="AM22" i="3"/>
  <c r="C27" i="3"/>
  <c r="K34" i="3"/>
  <c r="C69" i="2"/>
  <c r="C29" i="3"/>
  <c r="AH22" i="3"/>
  <c r="J21" i="3"/>
  <c r="V32" i="3"/>
  <c r="AI8" i="3"/>
  <c r="T65" i="2"/>
  <c r="AP18" i="3"/>
  <c r="Q42" i="3"/>
  <c r="AL35" i="3"/>
  <c r="N72" i="2"/>
  <c r="AK31" i="3"/>
  <c r="O16" i="3"/>
  <c r="AE41" i="3"/>
  <c r="AL28" i="3"/>
  <c r="K7" i="3"/>
  <c r="N31" i="3"/>
  <c r="W25" i="3"/>
  <c r="AP67" i="3"/>
  <c r="AP40" i="3"/>
  <c r="AO29" i="3"/>
  <c r="U27" i="3"/>
  <c r="S14" i="3"/>
  <c r="W68" i="2"/>
  <c r="C19" i="3"/>
  <c r="AG20" i="3"/>
  <c r="AG14" i="3"/>
  <c r="D67" i="2"/>
  <c r="AL42" i="3"/>
  <c r="AL19" i="3"/>
  <c r="N50" i="2"/>
  <c r="N40" i="2"/>
  <c r="C62" i="2"/>
  <c r="V93" i="2"/>
  <c r="Q60" i="2"/>
  <c r="E95" i="2"/>
  <c r="F70" i="2"/>
  <c r="M53" i="2"/>
  <c r="F95" i="2"/>
  <c r="T40" i="2"/>
  <c r="D79" i="2"/>
  <c r="S93" i="2"/>
  <c r="F61" i="2"/>
  <c r="M109" i="2"/>
  <c r="I51" i="2"/>
  <c r="K77" i="2"/>
  <c r="M47" i="2"/>
  <c r="M48" i="2"/>
  <c r="T88" i="2"/>
  <c r="K76" i="2"/>
  <c r="J65" i="2"/>
  <c r="C71" i="2"/>
  <c r="M99" i="2"/>
  <c r="X113" i="2"/>
  <c r="W66" i="2"/>
  <c r="X89" i="2"/>
  <c r="I43" i="2"/>
  <c r="U59" i="2"/>
  <c r="E113" i="2"/>
  <c r="E87" i="2"/>
  <c r="U40" i="2"/>
  <c r="AB86" i="3"/>
  <c r="AH21" i="3"/>
  <c r="M11" i="3"/>
  <c r="Z35" i="3"/>
  <c r="V34" i="3"/>
  <c r="AG21" i="3"/>
  <c r="H18" i="3"/>
  <c r="V63" i="2"/>
  <c r="O108" i="2"/>
  <c r="AH13" i="3"/>
  <c r="P27" i="3"/>
  <c r="AA41" i="3"/>
  <c r="I33" i="3"/>
  <c r="AG33" i="3"/>
  <c r="N37" i="3"/>
  <c r="K9" i="3"/>
  <c r="K5" i="3"/>
  <c r="AJ19" i="3"/>
  <c r="X23" i="3"/>
  <c r="AB35" i="3"/>
  <c r="X99" i="2"/>
  <c r="D41" i="2"/>
  <c r="AM32" i="3"/>
  <c r="AJ30" i="3"/>
  <c r="AI28" i="3"/>
  <c r="Z7" i="3"/>
  <c r="S29" i="3"/>
  <c r="D49" i="3"/>
  <c r="AE40" i="3"/>
  <c r="Y21" i="3"/>
  <c r="W24" i="3"/>
  <c r="AH32" i="3"/>
  <c r="N112" i="2"/>
  <c r="F85" i="2"/>
  <c r="H20" i="3"/>
  <c r="AN37" i="3"/>
  <c r="W31" i="3"/>
  <c r="I20" i="3"/>
  <c r="AG24" i="3"/>
  <c r="N71" i="2"/>
  <c r="O74" i="2"/>
  <c r="P58" i="2"/>
  <c r="AB49" i="3"/>
  <c r="X14" i="3"/>
  <c r="AQ9" i="3"/>
  <c r="M38" i="3"/>
  <c r="C20" i="3"/>
  <c r="AK32" i="3"/>
  <c r="U32" i="3"/>
  <c r="AG40" i="3"/>
  <c r="AO5" i="3"/>
  <c r="T70" i="2"/>
  <c r="AQ26" i="3"/>
  <c r="AB32" i="3"/>
  <c r="AK18" i="3"/>
  <c r="H71" i="2"/>
  <c r="Q24" i="3"/>
  <c r="U81" i="2"/>
  <c r="H63" i="2"/>
  <c r="AP65" i="3"/>
  <c r="AA34" i="3"/>
  <c r="X16" i="3"/>
  <c r="L26" i="3"/>
  <c r="P23" i="3"/>
  <c r="C14" i="3"/>
  <c r="AM28" i="3"/>
  <c r="N11" i="3"/>
  <c r="H29" i="3"/>
  <c r="L41" i="3"/>
  <c r="V23" i="3"/>
  <c r="I24" i="3"/>
  <c r="S8" i="3"/>
  <c r="AC15" i="3"/>
  <c r="N81" i="2"/>
  <c r="H6" i="3"/>
  <c r="S6" i="3"/>
  <c r="M18" i="3"/>
  <c r="W105" i="2"/>
  <c r="F98" i="2"/>
  <c r="H55" i="2"/>
  <c r="W28" i="3"/>
  <c r="X35" i="3"/>
  <c r="J18" i="3"/>
  <c r="P16" i="3"/>
  <c r="X21" i="3"/>
  <c r="AD26" i="3"/>
  <c r="G33" i="3"/>
  <c r="J28" i="3"/>
  <c r="O40" i="3"/>
  <c r="T36" i="3"/>
  <c r="I5" i="3"/>
  <c r="AA27" i="3"/>
  <c r="I22" i="3"/>
  <c r="AQ23" i="3"/>
  <c r="AN21" i="3"/>
  <c r="AC40" i="3"/>
  <c r="AG35" i="3"/>
  <c r="AN30" i="3"/>
  <c r="T43" i="2"/>
  <c r="H28" i="3"/>
  <c r="Z38" i="3"/>
  <c r="L10" i="3"/>
  <c r="W87" i="2"/>
  <c r="S12" i="3"/>
  <c r="AP27" i="3"/>
  <c r="I27" i="3"/>
  <c r="K13" i="3"/>
  <c r="AD32" i="3"/>
  <c r="AE23" i="3"/>
  <c r="L40" i="3"/>
  <c r="S63" i="2"/>
  <c r="AK5" i="3"/>
  <c r="L33" i="3"/>
  <c r="Y30" i="3"/>
  <c r="P19" i="3"/>
  <c r="U10" i="3"/>
  <c r="O34" i="3"/>
  <c r="P55" i="2"/>
  <c r="U110" i="2"/>
  <c r="AB72" i="3"/>
  <c r="AK37" i="3"/>
  <c r="AB34" i="3"/>
  <c r="AP14" i="3"/>
  <c r="Z37" i="3"/>
  <c r="J5" i="3"/>
  <c r="C10" i="3"/>
  <c r="AP87" i="3"/>
  <c r="AI9" i="3"/>
  <c r="AQ37" i="3"/>
  <c r="AI20" i="3"/>
  <c r="Z17" i="3"/>
  <c r="M83" i="2"/>
  <c r="K14" i="3"/>
  <c r="AH8" i="3"/>
  <c r="R22" i="3"/>
  <c r="P18" i="3"/>
  <c r="AH39" i="3"/>
  <c r="AH7" i="3"/>
  <c r="H10" i="3"/>
  <c r="Y9" i="3"/>
  <c r="AB91" i="3"/>
  <c r="AC26" i="3"/>
  <c r="K64" i="2"/>
  <c r="O22" i="3"/>
  <c r="O42" i="3"/>
  <c r="AI42" i="3"/>
  <c r="G38" i="3"/>
  <c r="W23" i="3"/>
  <c r="J39" i="3"/>
  <c r="W30" i="3"/>
  <c r="AM17" i="3"/>
  <c r="J24" i="3"/>
  <c r="W93" i="2"/>
  <c r="N53" i="2"/>
  <c r="L42" i="2"/>
  <c r="AB75" i="3"/>
  <c r="L14" i="3"/>
  <c r="AG9" i="3"/>
  <c r="AM42" i="3"/>
  <c r="H76" i="2"/>
  <c r="AA8" i="3"/>
  <c r="G99" i="2"/>
  <c r="V71" i="2"/>
  <c r="P43" i="2"/>
  <c r="K89" i="2"/>
  <c r="R45" i="2"/>
  <c r="E106" i="2"/>
  <c r="F40" i="2"/>
  <c r="F99" i="2"/>
  <c r="H84" i="2"/>
  <c r="W83" i="2"/>
  <c r="I56" i="2"/>
  <c r="N52" i="2"/>
  <c r="M81" i="2"/>
  <c r="G56" i="2"/>
  <c r="O91" i="2"/>
  <c r="U85" i="2"/>
  <c r="AB81" i="3"/>
  <c r="I108" i="2"/>
  <c r="N88" i="2"/>
  <c r="J50" i="2"/>
  <c r="W73" i="2"/>
  <c r="K82" i="2"/>
  <c r="I107" i="2"/>
  <c r="D76" i="2"/>
  <c r="M94" i="2"/>
  <c r="Q79" i="2"/>
  <c r="G105" i="2"/>
  <c r="D104" i="2"/>
  <c r="R107" i="2"/>
  <c r="G70" i="2"/>
  <c r="N47" i="2"/>
  <c r="AP49" i="3"/>
  <c r="AE31" i="3"/>
  <c r="X34" i="3"/>
  <c r="AG27" i="3"/>
  <c r="AN23" i="3"/>
  <c r="AE8" i="3"/>
  <c r="Y24" i="3"/>
  <c r="M75" i="2"/>
  <c r="AB61" i="3"/>
  <c r="G37" i="3"/>
  <c r="Y38" i="3"/>
  <c r="AK13" i="3"/>
  <c r="AD36" i="3"/>
  <c r="Y10" i="3"/>
  <c r="AJ37" i="3"/>
  <c r="AP38" i="3"/>
  <c r="AJ29" i="3"/>
  <c r="L34" i="3"/>
  <c r="V19" i="3"/>
  <c r="P7" i="3"/>
  <c r="J79" i="2"/>
  <c r="R50" i="2"/>
  <c r="N15" i="3"/>
  <c r="V18" i="3"/>
  <c r="O7" i="3"/>
  <c r="AD47" i="3"/>
  <c r="R34" i="3"/>
  <c r="T38" i="3"/>
  <c r="P12" i="3"/>
  <c r="AK28" i="3"/>
  <c r="AQ12" i="3"/>
  <c r="AB28" i="3"/>
  <c r="J82" i="2"/>
  <c r="H45" i="2"/>
  <c r="AI12" i="3"/>
  <c r="O18" i="3"/>
  <c r="AC14" i="3"/>
  <c r="AL18" i="3"/>
  <c r="AM36" i="3"/>
  <c r="Y28" i="3"/>
  <c r="D63" i="2"/>
  <c r="N54" i="2"/>
  <c r="T23" i="3"/>
  <c r="M23" i="3"/>
  <c r="Q5" i="3"/>
  <c r="AN5" i="3"/>
  <c r="P37" i="3"/>
  <c r="W20" i="3"/>
  <c r="AH9" i="3"/>
  <c r="AN15" i="3"/>
  <c r="M40" i="3"/>
  <c r="P34" i="3"/>
  <c r="AA39" i="3"/>
  <c r="V14" i="3"/>
  <c r="AA24" i="3"/>
  <c r="T91" i="2"/>
  <c r="AC34" i="3"/>
  <c r="F51" i="2"/>
  <c r="H88" i="2"/>
  <c r="AB97" i="3"/>
  <c r="U19" i="3"/>
  <c r="AA40" i="3"/>
  <c r="G48" i="3"/>
  <c r="AA33" i="3"/>
  <c r="J6" i="3"/>
  <c r="O14" i="3"/>
  <c r="N17" i="3"/>
  <c r="X18" i="3"/>
  <c r="AL11" i="3"/>
  <c r="AP21" i="3"/>
  <c r="AO12" i="3"/>
  <c r="AA18" i="3"/>
  <c r="AD31" i="3"/>
  <c r="L64" i="2"/>
  <c r="L6" i="3"/>
  <c r="K27" i="3"/>
  <c r="V67" i="2"/>
  <c r="W61" i="2"/>
  <c r="U86" i="2"/>
  <c r="AP93" i="3"/>
  <c r="AJ22" i="3"/>
  <c r="AC22" i="3"/>
  <c r="AJ15" i="3"/>
  <c r="AM20" i="3"/>
  <c r="AM29" i="3"/>
  <c r="AB7" i="3"/>
  <c r="AM31" i="3"/>
  <c r="V5" i="3"/>
  <c r="N33" i="3"/>
  <c r="U8" i="3"/>
  <c r="AI14" i="3"/>
  <c r="AA35" i="3"/>
  <c r="J41" i="3"/>
  <c r="AG38" i="3"/>
  <c r="N23" i="3"/>
  <c r="AN26" i="3"/>
  <c r="AD39" i="3"/>
  <c r="AD23" i="3"/>
  <c r="R72" i="2"/>
  <c r="V31" i="3"/>
  <c r="Q21" i="3"/>
  <c r="U40" i="3"/>
  <c r="N90" i="2"/>
  <c r="F66" i="2"/>
  <c r="AO20" i="3"/>
  <c r="AP9" i="3"/>
  <c r="M24" i="3"/>
  <c r="X19" i="3"/>
  <c r="P14" i="3"/>
  <c r="T39" i="3"/>
  <c r="I66" i="2"/>
  <c r="O109" i="2"/>
  <c r="W40" i="3"/>
  <c r="T26" i="3"/>
  <c r="AE16" i="3"/>
  <c r="R74" i="2"/>
  <c r="N77" i="2"/>
  <c r="S31" i="3"/>
  <c r="AP37" i="3"/>
  <c r="Y19" i="3"/>
  <c r="AG6" i="3"/>
  <c r="J29" i="3"/>
  <c r="U29" i="3"/>
  <c r="I11" i="3"/>
  <c r="K25" i="3"/>
  <c r="J40" i="2"/>
  <c r="H38" i="3"/>
  <c r="I14" i="3"/>
  <c r="Z21" i="3"/>
  <c r="T18" i="3"/>
  <c r="AG25" i="3"/>
  <c r="J98" i="2"/>
  <c r="AO7" i="3"/>
  <c r="C30" i="3"/>
  <c r="H33" i="3"/>
  <c r="U91" i="2"/>
  <c r="AB96" i="3"/>
  <c r="M28" i="3"/>
  <c r="AN13" i="3"/>
  <c r="K26" i="3"/>
  <c r="AH17" i="3"/>
  <c r="M6" i="3"/>
  <c r="P38" i="3"/>
  <c r="J45" i="2"/>
  <c r="P26" i="3"/>
  <c r="O86" i="2"/>
  <c r="U31" i="3"/>
  <c r="Q8" i="3"/>
  <c r="K22" i="3"/>
  <c r="E85" i="2"/>
  <c r="V79" i="2"/>
  <c r="AA30" i="3"/>
  <c r="AB6" i="3"/>
  <c r="P31" i="3"/>
  <c r="G98" i="2"/>
  <c r="L106" i="2"/>
  <c r="AP97" i="3"/>
  <c r="AM21" i="3"/>
  <c r="Z22" i="3"/>
  <c r="AO42" i="3"/>
  <c r="Q25" i="3"/>
  <c r="U89" i="2"/>
  <c r="J12" i="3"/>
  <c r="T7" i="3"/>
  <c r="AA29" i="3"/>
  <c r="AM38" i="3"/>
  <c r="C53" i="2"/>
  <c r="W33" i="3"/>
  <c r="AK33" i="3"/>
  <c r="Q20" i="3"/>
  <c r="AG22" i="3"/>
  <c r="D60" i="2"/>
  <c r="AN8" i="3"/>
  <c r="AH37" i="3"/>
  <c r="P35" i="3"/>
  <c r="AH25" i="3"/>
  <c r="T37" i="3"/>
  <c r="AQ10" i="3"/>
  <c r="U20" i="3"/>
  <c r="C104" i="2"/>
  <c r="L105" i="2"/>
  <c r="AP36" i="3"/>
  <c r="AN14" i="3"/>
  <c r="P15" i="3"/>
  <c r="AL32" i="3"/>
  <c r="AH18" i="3"/>
  <c r="AH26" i="3"/>
  <c r="F107" i="2"/>
  <c r="J95" i="2"/>
  <c r="G42" i="3"/>
  <c r="O10" i="3"/>
  <c r="AQ5" i="3"/>
  <c r="AM15" i="3"/>
  <c r="W32" i="3"/>
  <c r="O62" i="2"/>
  <c r="Y13" i="3"/>
  <c r="AA23" i="3"/>
  <c r="H30" i="3"/>
  <c r="AB15" i="3"/>
  <c r="J63" i="2"/>
  <c r="F88" i="2"/>
  <c r="AE34" i="3"/>
  <c r="AI22" i="3"/>
  <c r="AA20" i="3"/>
  <c r="R5" i="3"/>
  <c r="F57" i="2"/>
  <c r="U87" i="2"/>
  <c r="G50" i="2"/>
  <c r="N91" i="2"/>
  <c r="N110" i="2"/>
  <c r="D109" i="2"/>
  <c r="U84" i="2"/>
  <c r="D108" i="2"/>
  <c r="T90" i="2"/>
  <c r="W59" i="2"/>
  <c r="T68" i="2"/>
  <c r="U109" i="2"/>
  <c r="J97" i="2"/>
  <c r="O79" i="2"/>
  <c r="M56" i="2"/>
  <c r="W52" i="2"/>
  <c r="AB57" i="3"/>
  <c r="E46" i="2"/>
  <c r="T84" i="2"/>
  <c r="R95" i="2"/>
  <c r="S86" i="2"/>
  <c r="J47" i="2"/>
  <c r="S108" i="2"/>
  <c r="E99" i="2"/>
  <c r="U83" i="2"/>
  <c r="K84" i="2"/>
  <c r="O65" i="2"/>
  <c r="N79" i="2"/>
  <c r="E97" i="2"/>
  <c r="N70" i="2"/>
  <c r="AB68" i="3"/>
  <c r="AG39" i="3"/>
  <c r="S36" i="3"/>
  <c r="O5" i="3"/>
  <c r="AN35" i="3"/>
  <c r="J27" i="3"/>
  <c r="R14" i="3"/>
  <c r="K94" i="2"/>
  <c r="X91" i="2"/>
  <c r="AB87" i="3"/>
  <c r="AJ41" i="3"/>
  <c r="J17" i="3"/>
  <c r="AA10" i="3"/>
  <c r="L13" i="3"/>
  <c r="V21" i="3"/>
  <c r="AK23" i="3"/>
  <c r="AA26" i="3"/>
  <c r="AA14" i="3"/>
  <c r="V10" i="3"/>
  <c r="AO40" i="3"/>
  <c r="R19" i="3"/>
  <c r="L98" i="2"/>
  <c r="F67" i="2"/>
  <c r="AA25" i="3"/>
  <c r="T30" i="3"/>
  <c r="AE5" i="3"/>
  <c r="AB36" i="3"/>
  <c r="M42" i="3"/>
  <c r="V42" i="3"/>
  <c r="AG13" i="3"/>
  <c r="AH6" i="3"/>
  <c r="V59" i="2"/>
  <c r="AP24" i="3"/>
  <c r="U63" i="2"/>
  <c r="F62" i="2"/>
  <c r="M34" i="3"/>
  <c r="Q19" i="3"/>
  <c r="AH34" i="3"/>
  <c r="AG5" i="3"/>
  <c r="M14" i="3"/>
  <c r="AC28" i="3"/>
  <c r="L77" i="2"/>
  <c r="Q44" i="2"/>
  <c r="AH31" i="3"/>
  <c r="X15" i="3"/>
  <c r="AO25" i="3"/>
  <c r="R39" i="3"/>
  <c r="V22" i="3"/>
  <c r="AG12" i="3"/>
  <c r="AO19" i="3"/>
  <c r="L21" i="3"/>
  <c r="V20" i="3"/>
  <c r="AL8" i="3"/>
  <c r="C35" i="3"/>
  <c r="AK25" i="3"/>
  <c r="AE15" i="3"/>
  <c r="K63" i="2"/>
  <c r="P50" i="2"/>
  <c r="M112" i="2"/>
  <c r="N67" i="2"/>
  <c r="H34" i="3"/>
  <c r="P30" i="3"/>
  <c r="I15" i="3"/>
  <c r="AH29" i="3"/>
  <c r="AD33" i="3"/>
  <c r="Q12" i="3"/>
  <c r="Z5" i="3"/>
  <c r="S15" i="3"/>
  <c r="AB31" i="3"/>
  <c r="AC24" i="3"/>
  <c r="X52" i="2"/>
  <c r="I40" i="2"/>
  <c r="AG10" i="3"/>
  <c r="P13" i="3"/>
  <c r="AQ14" i="3"/>
  <c r="AI25" i="3"/>
  <c r="AH30" i="3"/>
  <c r="C82" i="2"/>
  <c r="AB11" i="3"/>
  <c r="AA89" i="3"/>
  <c r="AM71" i="3"/>
  <c r="W85" i="3"/>
  <c r="N93" i="3"/>
  <c r="AI77" i="3"/>
  <c r="N92" i="3"/>
  <c r="X62" i="3"/>
  <c r="AA58" i="3"/>
  <c r="N96" i="3"/>
  <c r="AH74" i="3"/>
  <c r="I68" i="3"/>
  <c r="M93" i="3"/>
  <c r="AG84" i="3"/>
  <c r="S82" i="3"/>
  <c r="AL86" i="3"/>
  <c r="AL57" i="3"/>
  <c r="AJ64" i="3"/>
  <c r="V88" i="3"/>
  <c r="M82" i="3"/>
  <c r="I75" i="3"/>
  <c r="T78" i="3"/>
  <c r="N68" i="3"/>
  <c r="Q80" i="3"/>
  <c r="AK76" i="3"/>
  <c r="P75" i="3"/>
  <c r="S78" i="3"/>
  <c r="R73" i="3"/>
  <c r="AG48" i="3"/>
  <c r="AG50" i="3"/>
  <c r="AL75" i="3"/>
  <c r="AK97" i="3"/>
  <c r="K58" i="3"/>
  <c r="S71" i="3"/>
  <c r="Y64" i="3"/>
  <c r="T73" i="3"/>
  <c r="Q85" i="3"/>
  <c r="M47" i="3"/>
  <c r="AJ97" i="3"/>
  <c r="AH57" i="3"/>
  <c r="X70" i="3"/>
  <c r="K59" i="3"/>
  <c r="O59" i="3"/>
  <c r="AA79" i="3"/>
  <c r="U77" i="3"/>
  <c r="S49" i="3"/>
  <c r="K82" i="3"/>
  <c r="AG54" i="3"/>
  <c r="P97" i="3"/>
  <c r="P70" i="3"/>
  <c r="AL84" i="3"/>
  <c r="P48" i="3"/>
  <c r="M73" i="3"/>
  <c r="O93" i="3"/>
  <c r="N75" i="3"/>
  <c r="U82" i="3"/>
  <c r="Y57" i="3"/>
  <c r="W88" i="3"/>
  <c r="AN47" i="3"/>
  <c r="H48" i="3"/>
  <c r="AQ47" i="3"/>
  <c r="AJ91" i="3"/>
  <c r="AG87" i="3"/>
  <c r="P90" i="3"/>
  <c r="S64" i="3"/>
  <c r="U57" i="3"/>
  <c r="AA95" i="3"/>
  <c r="X56" i="3"/>
  <c r="J68" i="3"/>
  <c r="AA93" i="3"/>
  <c r="AN70" i="3"/>
  <c r="AH83" i="3"/>
  <c r="Z88" i="3"/>
  <c r="AG75" i="3"/>
  <c r="P78" i="3"/>
  <c r="Q63" i="3"/>
  <c r="M49" i="3"/>
  <c r="S56" i="3"/>
  <c r="K56" i="3"/>
  <c r="AL59" i="3"/>
  <c r="AA66" i="3"/>
  <c r="S77" i="3"/>
  <c r="N95" i="3"/>
  <c r="AO62" i="3"/>
  <c r="AM56" i="3"/>
  <c r="AN92" i="3"/>
  <c r="M65" i="3"/>
  <c r="AC59" i="3"/>
  <c r="AI72" i="3"/>
  <c r="AN50" i="3"/>
  <c r="S62" i="3"/>
  <c r="H60" i="3"/>
  <c r="N86" i="3"/>
  <c r="K54" i="3"/>
  <c r="AK60" i="3"/>
  <c r="Z93" i="3"/>
  <c r="Z47" i="3"/>
  <c r="K86" i="3"/>
  <c r="Y56" i="3"/>
  <c r="AQ57" i="3"/>
  <c r="AN63" i="3"/>
  <c r="AM74" i="3"/>
  <c r="J79" i="3"/>
  <c r="AJ60" i="3"/>
  <c r="T69" i="3"/>
  <c r="U91" i="3"/>
  <c r="AC63" i="3"/>
  <c r="T94" i="3"/>
  <c r="AI50" i="3"/>
  <c r="AA82" i="3"/>
  <c r="AC81" i="3"/>
  <c r="T76" i="3"/>
  <c r="M54" i="3"/>
  <c r="R66" i="3"/>
  <c r="U78" i="3"/>
  <c r="I73" i="3"/>
  <c r="AN85" i="3"/>
  <c r="AQ76" i="3"/>
  <c r="Q91" i="3"/>
  <c r="AL81" i="3"/>
  <c r="Y72" i="3"/>
  <c r="X74" i="3"/>
  <c r="Q94" i="3"/>
  <c r="K85" i="3"/>
  <c r="AI69" i="3"/>
  <c r="V61" i="3"/>
  <c r="H49" i="3"/>
  <c r="AI70" i="3"/>
  <c r="AC56" i="3"/>
  <c r="AG67" i="3"/>
  <c r="Y70" i="3"/>
  <c r="AQ80" i="3"/>
  <c r="Z81" i="3"/>
  <c r="AM69" i="3"/>
  <c r="AN54" i="3"/>
  <c r="AO93" i="3"/>
  <c r="U76" i="3"/>
  <c r="T92" i="3"/>
  <c r="V48" i="3"/>
  <c r="J78" i="3"/>
  <c r="AO90" i="3"/>
  <c r="AI86" i="3"/>
  <c r="V62" i="3"/>
  <c r="Z62" i="3"/>
  <c r="V93" i="3"/>
  <c r="AN68" i="3"/>
  <c r="J58" i="3"/>
  <c r="AG77" i="3"/>
  <c r="Q77" i="3"/>
  <c r="AO54" i="3"/>
  <c r="P68" i="3"/>
  <c r="M50" i="3"/>
  <c r="AL67" i="3"/>
  <c r="AN81" i="3"/>
  <c r="AM70" i="3"/>
  <c r="AH55" i="3"/>
  <c r="AA87" i="3"/>
  <c r="N89" i="3"/>
  <c r="AI89" i="3"/>
  <c r="T55" i="3"/>
  <c r="AG93" i="3"/>
  <c r="Y62" i="3"/>
  <c r="AQ86" i="3"/>
  <c r="AC94" i="3"/>
  <c r="AM50" i="3"/>
  <c r="AJ87" i="3"/>
  <c r="X78" i="3"/>
  <c r="V60" i="3"/>
  <c r="U87" i="3"/>
  <c r="T70" i="3"/>
  <c r="AQ65" i="3"/>
  <c r="AJ80" i="3"/>
  <c r="T72" i="3"/>
  <c r="Y55" i="3"/>
  <c r="N48" i="3"/>
  <c r="Q74" i="3"/>
  <c r="AH87" i="3"/>
  <c r="M80" i="3"/>
  <c r="AN79" i="3"/>
  <c r="R58" i="3"/>
  <c r="M68" i="3"/>
  <c r="X89" i="3"/>
  <c r="Y83" i="3"/>
  <c r="H76" i="3"/>
  <c r="J90" i="3"/>
  <c r="H93" i="3"/>
  <c r="P71" i="3"/>
  <c r="X91" i="3"/>
  <c r="W77" i="3"/>
  <c r="AN57" i="3"/>
  <c r="Y78" i="3"/>
  <c r="V81" i="3"/>
  <c r="AC93" i="3"/>
  <c r="AI73" i="3"/>
  <c r="Z90" i="3"/>
  <c r="K48" i="3"/>
  <c r="S61" i="3"/>
  <c r="H95" i="3"/>
  <c r="AK95" i="3"/>
  <c r="AA97" i="3"/>
  <c r="AJ57" i="3"/>
  <c r="U74" i="3"/>
  <c r="R86" i="3"/>
  <c r="P76" i="3"/>
  <c r="U79" i="3"/>
  <c r="AK49" i="3"/>
  <c r="H73" i="3"/>
  <c r="AA72" i="3"/>
  <c r="AG59" i="3"/>
  <c r="AQ73" i="3"/>
  <c r="R82" i="3"/>
  <c r="Y82" i="3"/>
  <c r="AI61" i="3"/>
  <c r="M78" i="3"/>
  <c r="U80" i="3"/>
  <c r="P85" i="3"/>
  <c r="AH60" i="3"/>
  <c r="AH59" i="3"/>
  <c r="AQ63" i="3"/>
  <c r="N69" i="3"/>
  <c r="AN65" i="3"/>
  <c r="M58" i="3"/>
  <c r="O49" i="3"/>
  <c r="R60" i="3"/>
  <c r="W91" i="3"/>
  <c r="Y47" i="3"/>
  <c r="AM89" i="3"/>
  <c r="P55" i="3"/>
  <c r="AC75" i="3"/>
  <c r="N49" i="3"/>
  <c r="Q57" i="3"/>
  <c r="X47" i="3"/>
  <c r="U65" i="3"/>
  <c r="R70" i="3"/>
  <c r="X88" i="3"/>
  <c r="Y58" i="3"/>
  <c r="AK81" i="3"/>
  <c r="J47" i="3"/>
  <c r="Z60" i="3"/>
  <c r="AG60" i="3"/>
  <c r="AQ61" i="3"/>
  <c r="R71" i="3"/>
  <c r="AQ77" i="3"/>
  <c r="AI79" i="3"/>
  <c r="O56" i="3"/>
  <c r="Y97" i="3"/>
  <c r="AO61" i="3"/>
  <c r="M84" i="3"/>
  <c r="AG79" i="3"/>
  <c r="U90" i="3"/>
  <c r="T89" i="3"/>
  <c r="J93" i="3"/>
  <c r="AQ74" i="3"/>
  <c r="S68" i="3"/>
  <c r="V73" i="3"/>
  <c r="AG81" i="3"/>
  <c r="AG92" i="3"/>
  <c r="M71" i="3"/>
  <c r="N65" i="3"/>
  <c r="AG78" i="3"/>
  <c r="AM88" i="3"/>
  <c r="AH64" i="3"/>
  <c r="Q89" i="3"/>
  <c r="N94" i="3"/>
  <c r="AO66" i="3"/>
  <c r="Z92" i="3"/>
  <c r="U47" i="3"/>
  <c r="I64" i="3"/>
  <c r="AA80" i="3"/>
  <c r="Y85" i="3"/>
  <c r="AK61" i="3"/>
  <c r="AJ63" i="3"/>
  <c r="M83" i="3"/>
  <c r="AG64" i="3"/>
  <c r="AQ79" i="3"/>
  <c r="R72" i="3"/>
  <c r="M85" i="3"/>
  <c r="AI90" i="3"/>
  <c r="Z73" i="3"/>
  <c r="AG86" i="3"/>
  <c r="Q81" i="3"/>
  <c r="AL85" i="3"/>
  <c r="V85" i="3"/>
  <c r="P94" i="3"/>
  <c r="H72" i="3"/>
  <c r="T96" i="3"/>
  <c r="R90" i="3"/>
  <c r="I62" i="3"/>
  <c r="P54" i="3"/>
  <c r="AJ89" i="3"/>
  <c r="M74" i="3"/>
  <c r="K47" i="3"/>
  <c r="AQ85" i="3"/>
  <c r="V84" i="3"/>
  <c r="AA70" i="3"/>
  <c r="K49" i="3"/>
  <c r="Z85" i="3"/>
  <c r="AO94" i="3"/>
  <c r="Q96" i="3"/>
  <c r="AO65" i="3"/>
  <c r="AK66" i="3"/>
  <c r="AK64" i="3"/>
  <c r="AL88" i="3"/>
  <c r="AH96" i="3"/>
  <c r="AM58" i="3"/>
  <c r="AK96" i="3"/>
  <c r="Z48" i="3"/>
  <c r="AM64" i="3"/>
  <c r="AM47" i="3"/>
  <c r="AC97" i="3"/>
  <c r="AH72" i="3"/>
  <c r="K61" i="3"/>
  <c r="H86" i="3"/>
  <c r="AO72" i="3"/>
  <c r="T57" i="3"/>
  <c r="I69" i="3"/>
  <c r="AA64" i="3"/>
  <c r="AN73" i="3"/>
  <c r="P89" i="3"/>
  <c r="AJ56" i="3"/>
  <c r="I89" i="3"/>
  <c r="AH63" i="3"/>
  <c r="I72" i="3"/>
  <c r="T71" i="3"/>
  <c r="Q78" i="3"/>
  <c r="AC60" i="3"/>
  <c r="AK63" i="3"/>
  <c r="O80" i="3"/>
  <c r="AO91" i="3"/>
  <c r="AO96" i="3"/>
  <c r="AQ67" i="3"/>
  <c r="X73" i="3"/>
  <c r="I88" i="3"/>
  <c r="Z66" i="3"/>
  <c r="Y87" i="3"/>
  <c r="J80" i="3"/>
  <c r="P69" i="3"/>
  <c r="R83" i="3"/>
  <c r="AM59" i="3"/>
  <c r="M67" i="3"/>
  <c r="Y54" i="3"/>
  <c r="AJ85" i="3"/>
  <c r="S81" i="3"/>
  <c r="Q48" i="3"/>
  <c r="AN69" i="3"/>
  <c r="H66" i="3"/>
  <c r="AJ93" i="3"/>
  <c r="AO74" i="3"/>
  <c r="AG66" i="3"/>
  <c r="W70" i="3"/>
  <c r="AO47" i="3"/>
  <c r="AQ83" i="3"/>
  <c r="AC83" i="3"/>
  <c r="AA55" i="3"/>
  <c r="W82" i="3"/>
  <c r="AC73" i="3"/>
  <c r="Z55" i="3"/>
  <c r="V49" i="3"/>
  <c r="J83" i="3"/>
  <c r="AN82" i="3"/>
  <c r="W67" i="3"/>
  <c r="AN91" i="3"/>
  <c r="AQ70" i="3"/>
  <c r="X60" i="3"/>
  <c r="V77" i="3"/>
  <c r="H90" i="3"/>
  <c r="T93" i="3"/>
  <c r="V50" i="3"/>
  <c r="AG80" i="3"/>
  <c r="P73" i="3"/>
  <c r="N61" i="3"/>
  <c r="X92" i="3"/>
  <c r="AA50" i="3"/>
  <c r="K67" i="3"/>
  <c r="M89" i="3"/>
  <c r="W90" i="3"/>
  <c r="AJ71" i="3"/>
  <c r="AO84" i="3"/>
  <c r="V47" i="3"/>
  <c r="AL89" i="3"/>
  <c r="AG70" i="3"/>
  <c r="O70" i="3"/>
  <c r="AC78" i="3"/>
  <c r="W57" i="3"/>
  <c r="AO83" i="3"/>
  <c r="AO67" i="3"/>
  <c r="AQ84" i="3"/>
  <c r="P93" i="3"/>
  <c r="W69" i="3"/>
  <c r="X82" i="3"/>
  <c r="AQ64" i="3"/>
  <c r="AC70" i="3"/>
  <c r="AQ55" i="3"/>
  <c r="O79" i="3"/>
  <c r="AN80" i="3"/>
  <c r="S86" i="3"/>
  <c r="AL49" i="3"/>
  <c r="AH88" i="3"/>
  <c r="H94" i="3"/>
  <c r="AM77" i="3"/>
  <c r="Z83" i="3"/>
  <c r="AG69" i="3"/>
  <c r="AA73" i="3"/>
  <c r="R67" i="3"/>
  <c r="R77" i="3"/>
  <c r="I47" i="3"/>
  <c r="AM93" i="3"/>
  <c r="V65" i="3"/>
  <c r="K50" i="3"/>
  <c r="Y66" i="3"/>
  <c r="K64" i="3"/>
  <c r="AO49" i="3"/>
  <c r="M88" i="3"/>
  <c r="V56" i="3"/>
  <c r="N78" i="3"/>
  <c r="AO48" i="3"/>
  <c r="AJ83" i="3"/>
  <c r="U61" i="3"/>
  <c r="AQ96" i="3"/>
  <c r="H61" i="3"/>
  <c r="O91" i="3"/>
  <c r="W68" i="3"/>
  <c r="X55" i="3"/>
  <c r="R76" i="3"/>
  <c r="N72" i="3"/>
  <c r="AM82" i="3"/>
  <c r="W49" i="3"/>
  <c r="U97" i="3"/>
  <c r="V72" i="3"/>
  <c r="W89" i="3"/>
  <c r="S54" i="3"/>
  <c r="R89" i="3"/>
  <c r="Z78" i="3"/>
  <c r="AC61" i="3"/>
  <c r="M55" i="3"/>
  <c r="T56" i="3"/>
  <c r="AH69" i="3"/>
  <c r="K92" i="3"/>
  <c r="AC86" i="3"/>
  <c r="X65" i="3"/>
  <c r="P92" i="3"/>
  <c r="Q70" i="3"/>
  <c r="AC55" i="3"/>
  <c r="U96" i="3"/>
  <c r="AC95" i="3"/>
  <c r="S88" i="3"/>
  <c r="AL62" i="3"/>
  <c r="O67" i="3"/>
  <c r="N58" i="3"/>
  <c r="AA61" i="3"/>
  <c r="AH86" i="3"/>
  <c r="S89" i="3"/>
  <c r="AH81" i="3"/>
  <c r="P83" i="3"/>
  <c r="O73" i="3"/>
  <c r="AG72" i="3"/>
  <c r="Q65" i="3"/>
  <c r="AL64" i="3"/>
  <c r="AA54" i="3"/>
  <c r="Y67" i="3"/>
  <c r="AM76" i="3"/>
  <c r="AA94" i="3"/>
  <c r="AL74" i="3"/>
  <c r="AL56" i="3"/>
  <c r="AJ67" i="3"/>
  <c r="S55" i="3"/>
  <c r="N88" i="3"/>
  <c r="O72" i="3"/>
  <c r="Z58" i="3"/>
  <c r="U69" i="3"/>
  <c r="AA57" i="3"/>
  <c r="AK55" i="3"/>
  <c r="AL80" i="3"/>
  <c r="J74" i="3"/>
  <c r="U94" i="3"/>
  <c r="O54" i="3"/>
  <c r="AO59" i="3"/>
  <c r="V80" i="3"/>
  <c r="R63" i="3"/>
  <c r="I96" i="3"/>
  <c r="T86" i="3"/>
  <c r="W60" i="3"/>
  <c r="Y95" i="3"/>
  <c r="J61" i="3"/>
  <c r="V82" i="3"/>
  <c r="AJ86" i="3"/>
  <c r="AQ69" i="3"/>
  <c r="W54" i="3"/>
  <c r="Z95" i="3"/>
  <c r="AG89" i="3"/>
  <c r="AI94" i="3"/>
  <c r="AK89" i="3"/>
  <c r="AI87" i="3"/>
  <c r="S60" i="3"/>
  <c r="O60" i="3"/>
  <c r="M87" i="3"/>
  <c r="N83" i="3"/>
  <c r="V55" i="3"/>
  <c r="X57" i="3"/>
  <c r="Z87" i="3"/>
  <c r="Q62" i="3"/>
  <c r="AC50" i="3"/>
  <c r="AC91" i="3"/>
  <c r="W93" i="3"/>
  <c r="AC47" i="3"/>
  <c r="O82" i="3"/>
  <c r="X96" i="3"/>
  <c r="H83" i="3"/>
  <c r="AA62" i="3"/>
  <c r="I61" i="3"/>
  <c r="U55" i="3"/>
  <c r="X64" i="3"/>
  <c r="H56" i="3"/>
  <c r="U70" i="3"/>
  <c r="V75" i="3"/>
  <c r="M81" i="3"/>
  <c r="Q95" i="3"/>
  <c r="AQ94" i="3"/>
  <c r="S76" i="3"/>
  <c r="I55" i="3"/>
  <c r="N91" i="3"/>
  <c r="U93" i="3"/>
  <c r="O96" i="3"/>
  <c r="H82" i="3"/>
  <c r="W55" i="3"/>
  <c r="X67" i="3"/>
  <c r="AQ88" i="3"/>
  <c r="O75" i="3"/>
  <c r="AL91" i="3"/>
  <c r="AM66" i="3"/>
  <c r="M62" i="3"/>
  <c r="AG65" i="3"/>
  <c r="Q79" i="3"/>
  <c r="AL76" i="3"/>
  <c r="V91" i="3"/>
  <c r="AL72" i="3"/>
  <c r="V68" i="3"/>
  <c r="AH78" i="3"/>
  <c r="V58" i="3"/>
  <c r="AK73" i="3"/>
  <c r="Q71" i="3"/>
  <c r="AQ82" i="3"/>
  <c r="AM83" i="3"/>
  <c r="Q87" i="3"/>
  <c r="AJ94" i="3"/>
  <c r="V92" i="3"/>
  <c r="U86" i="3"/>
  <c r="T67" i="3"/>
  <c r="R62" i="3"/>
  <c r="T74" i="3"/>
  <c r="AC74" i="3"/>
  <c r="Q47" i="3"/>
  <c r="AH62" i="3"/>
  <c r="I60" i="3"/>
  <c r="T90" i="3"/>
  <c r="K66" i="3"/>
  <c r="O68" i="3"/>
  <c r="AG57" i="3"/>
  <c r="O85" i="3"/>
  <c r="T85" i="3"/>
  <c r="T83" i="3"/>
  <c r="V76" i="3"/>
  <c r="W63" i="3"/>
  <c r="AA88" i="3"/>
  <c r="AO78" i="3"/>
  <c r="X80" i="3"/>
  <c r="AG91" i="3"/>
  <c r="AI84" i="3"/>
  <c r="N71" i="3"/>
  <c r="AL93" i="3"/>
  <c r="K89" i="3"/>
  <c r="AI97" i="3"/>
  <c r="J81" i="3"/>
  <c r="M57" i="3"/>
  <c r="P61" i="3"/>
  <c r="AG95" i="3"/>
  <c r="AO92" i="3"/>
  <c r="AN90" i="3"/>
  <c r="AA76" i="3"/>
  <c r="AH71" i="3"/>
  <c r="AH77" i="3"/>
  <c r="AN62" i="3"/>
  <c r="AI95" i="3"/>
  <c r="P62" i="3"/>
  <c r="O62" i="3"/>
  <c r="AM96" i="3"/>
  <c r="S75" i="3"/>
  <c r="AL94" i="3"/>
  <c r="Z82" i="3"/>
  <c r="P66" i="3"/>
  <c r="AN67" i="3"/>
  <c r="AJ82" i="3"/>
  <c r="AA81" i="3"/>
  <c r="R79" i="3"/>
  <c r="AQ95" i="3"/>
  <c r="W94" i="3"/>
  <c r="Z63" i="3"/>
  <c r="N70" i="3"/>
  <c r="H81" i="3"/>
  <c r="T49" i="3"/>
  <c r="AK48" i="3"/>
  <c r="K63" i="3"/>
  <c r="T54" i="3"/>
  <c r="W50" i="3"/>
  <c r="AK80" i="3"/>
  <c r="AJ70" i="3"/>
  <c r="Q60" i="3"/>
  <c r="N84" i="3"/>
  <c r="V64" i="3"/>
  <c r="AN72" i="3"/>
  <c r="W80" i="3"/>
  <c r="AK59" i="3"/>
  <c r="H65" i="3"/>
  <c r="W62" i="3"/>
  <c r="H50" i="3"/>
  <c r="AO95" i="3"/>
  <c r="Y93" i="3"/>
  <c r="M66" i="3"/>
  <c r="Y92" i="3"/>
  <c r="AC92" i="3"/>
  <c r="AL54" i="3"/>
  <c r="I79" i="3"/>
  <c r="P57" i="3"/>
  <c r="AQ49" i="3"/>
  <c r="AG76" i="3"/>
  <c r="AC72" i="3"/>
  <c r="K84" i="3"/>
  <c r="AH54" i="3"/>
  <c r="T77" i="3"/>
  <c r="Z75" i="3"/>
  <c r="T66" i="3"/>
  <c r="T60" i="3"/>
  <c r="AI55" i="3"/>
  <c r="AC88" i="3"/>
  <c r="N50" i="3"/>
  <c r="AJ50" i="3"/>
  <c r="AG73" i="3"/>
  <c r="AI88" i="3"/>
  <c r="O90" i="3"/>
  <c r="AC65" i="3"/>
  <c r="AJ54" i="3"/>
  <c r="H91" i="3"/>
  <c r="AJ76" i="3"/>
  <c r="J73" i="3"/>
  <c r="Q93" i="3"/>
  <c r="AQ97" i="3"/>
  <c r="R55" i="3"/>
  <c r="AJ79" i="3"/>
  <c r="AH61" i="3"/>
  <c r="AN66" i="3"/>
  <c r="AQ50" i="3"/>
  <c r="AQ75" i="3"/>
  <c r="R92" i="3"/>
  <c r="R54" i="3"/>
  <c r="K77" i="3"/>
  <c r="N82" i="3"/>
  <c r="W58" i="3"/>
  <c r="R96" i="3"/>
  <c r="AI93" i="3"/>
  <c r="S65" i="3"/>
  <c r="V95" i="3"/>
  <c r="AL73" i="3"/>
  <c r="H64" i="3"/>
  <c r="AM63" i="3"/>
  <c r="W66" i="3"/>
  <c r="N81" i="3"/>
  <c r="AJ75" i="3"/>
  <c r="X54" i="3"/>
  <c r="N54" i="3"/>
  <c r="X69" i="3"/>
  <c r="AC68" i="3"/>
  <c r="S94" i="3"/>
  <c r="J82" i="3"/>
  <c r="P82" i="3"/>
  <c r="AA96" i="3"/>
  <c r="AK82" i="3"/>
  <c r="R75" i="3"/>
  <c r="AK50" i="3"/>
  <c r="AM94" i="3"/>
  <c r="X95" i="3"/>
  <c r="Z59" i="3"/>
  <c r="U72" i="3"/>
  <c r="AN87" i="3"/>
  <c r="AO87" i="3"/>
  <c r="AJ69" i="3"/>
  <c r="Z76" i="3"/>
  <c r="Y91" i="3"/>
  <c r="S83" i="3"/>
  <c r="P86" i="3"/>
  <c r="AM86" i="3"/>
  <c r="S97" i="3"/>
  <c r="AL58" i="3"/>
  <c r="AM97" i="3"/>
  <c r="O77" i="3"/>
  <c r="Q54" i="3"/>
  <c r="V78" i="3"/>
  <c r="AK87" i="3"/>
  <c r="K87" i="3"/>
  <c r="T88" i="3"/>
  <c r="AM57" i="3"/>
  <c r="AK47" i="3"/>
  <c r="H57" i="3"/>
  <c r="AH47" i="3"/>
  <c r="AN56" i="3"/>
  <c r="AA67" i="3"/>
  <c r="R81" i="3"/>
  <c r="AO57" i="3"/>
  <c r="Z91" i="3"/>
  <c r="AC49" i="3"/>
  <c r="N56" i="3"/>
  <c r="AH49" i="3"/>
  <c r="K93" i="3"/>
  <c r="S93" i="3"/>
  <c r="Q90" i="3"/>
  <c r="AA65" i="3"/>
  <c r="Q82" i="3"/>
  <c r="N59" i="3"/>
  <c r="AL60" i="3"/>
  <c r="X93" i="3"/>
  <c r="T62" i="3"/>
  <c r="AQ54" i="3"/>
  <c r="W71" i="3"/>
  <c r="AC54" i="3"/>
  <c r="J55" i="3"/>
  <c r="Z94" i="3"/>
  <c r="AM65" i="3"/>
  <c r="AA78" i="3"/>
  <c r="X66" i="3"/>
  <c r="Y50" i="3"/>
  <c r="AC89" i="3"/>
  <c r="O63" i="3"/>
  <c r="AI49" i="3"/>
  <c r="AK77" i="3"/>
  <c r="M96" i="3"/>
  <c r="Z80" i="3"/>
  <c r="AG61" i="3"/>
  <c r="AQ87" i="3"/>
  <c r="R80" i="3"/>
  <c r="S80" i="3"/>
  <c r="AI82" i="3"/>
  <c r="T95" i="3"/>
  <c r="AG96" i="3"/>
  <c r="Y76" i="3"/>
  <c r="S67" i="3"/>
  <c r="AH80" i="3"/>
  <c r="AK78" i="3"/>
  <c r="AI81" i="3"/>
  <c r="S92" i="3"/>
  <c r="V90" i="3"/>
  <c r="AC80" i="3"/>
  <c r="AA75" i="3"/>
  <c r="AL48" i="3"/>
  <c r="AQ93" i="3"/>
  <c r="S47" i="3"/>
  <c r="O64" i="3"/>
  <c r="M60" i="3"/>
  <c r="Y48" i="3"/>
  <c r="O66" i="3"/>
  <c r="M95" i="3"/>
  <c r="M48" i="3"/>
  <c r="S73" i="3"/>
  <c r="AO71" i="3"/>
  <c r="AM81" i="3"/>
  <c r="AG85" i="3"/>
  <c r="M72" i="3"/>
  <c r="W56" i="3"/>
  <c r="AJ48" i="3"/>
  <c r="AI75" i="3"/>
  <c r="X63" i="3"/>
  <c r="AL96" i="3"/>
  <c r="Y94" i="3"/>
  <c r="V97" i="3"/>
  <c r="AJ74" i="3"/>
  <c r="O57" i="3"/>
  <c r="Z97" i="3"/>
  <c r="U84" i="3"/>
  <c r="Z72" i="3"/>
  <c r="X86" i="3"/>
  <c r="J70" i="3"/>
  <c r="H67" i="3"/>
  <c r="AN89" i="3"/>
  <c r="H55" i="3"/>
  <c r="AH79" i="3"/>
  <c r="Z96" i="3"/>
  <c r="AG83" i="3"/>
  <c r="AA92" i="3"/>
  <c r="AH58" i="3"/>
  <c r="O95" i="3"/>
  <c r="N85" i="3"/>
  <c r="J66" i="3"/>
  <c r="AH76" i="3"/>
  <c r="U66" i="3"/>
  <c r="AO81" i="3"/>
  <c r="H79" i="3"/>
  <c r="O84" i="3"/>
  <c r="AM75" i="3"/>
  <c r="S59" i="3"/>
  <c r="AL50" i="3"/>
  <c r="V71" i="3"/>
  <c r="AA74" i="3"/>
  <c r="AJ55" i="3"/>
  <c r="AC87" i="3"/>
  <c r="P67" i="3"/>
  <c r="I84" i="3"/>
  <c r="I74" i="3"/>
  <c r="W61" i="3"/>
  <c r="K78" i="3"/>
  <c r="Y71" i="3"/>
  <c r="N47" i="3"/>
  <c r="Y49" i="3"/>
  <c r="U59" i="3"/>
  <c r="M75" i="3"/>
  <c r="M90" i="3"/>
  <c r="I80" i="3"/>
  <c r="J85" i="3"/>
  <c r="V79" i="3"/>
  <c r="Y96" i="3"/>
  <c r="Q86" i="3"/>
  <c r="K55" i="3"/>
  <c r="AH56" i="3"/>
  <c r="AK68" i="3"/>
  <c r="AH73" i="3"/>
  <c r="AI57" i="3"/>
  <c r="O48" i="3"/>
  <c r="AG90" i="3"/>
  <c r="AQ92" i="3"/>
  <c r="P56" i="3"/>
  <c r="Z57" i="3"/>
  <c r="S84" i="3"/>
  <c r="AI64" i="3"/>
  <c r="AL68" i="3"/>
  <c r="V96" i="3"/>
  <c r="AI63" i="3"/>
  <c r="U67" i="3"/>
  <c r="Z89" i="3"/>
  <c r="AN77" i="3"/>
  <c r="H74" i="3"/>
  <c r="J77" i="3"/>
  <c r="Z56" i="3"/>
  <c r="U92" i="3"/>
  <c r="AL47" i="3"/>
  <c r="H62" i="3"/>
  <c r="T97" i="3"/>
  <c r="AJ96" i="3"/>
  <c r="AA68" i="3"/>
  <c r="R69" i="3"/>
  <c r="I63" i="3"/>
  <c r="O89" i="3"/>
  <c r="Q83" i="3"/>
  <c r="K95" i="3"/>
  <c r="AH97" i="3"/>
  <c r="J76" i="3"/>
  <c r="AL82" i="3"/>
  <c r="AO68" i="3"/>
  <c r="AO79" i="3"/>
  <c r="AL78" i="3"/>
  <c r="AK79" i="3"/>
  <c r="V83" i="3"/>
  <c r="AK71" i="3"/>
  <c r="AL79" i="3"/>
  <c r="N87" i="3"/>
  <c r="Z61" i="3"/>
  <c r="U63" i="3"/>
  <c r="I58" i="3"/>
  <c r="AL65" i="3"/>
  <c r="AK90" i="3"/>
  <c r="AK54" i="3"/>
  <c r="AG49" i="3"/>
  <c r="AA86" i="3"/>
  <c r="N62" i="3"/>
  <c r="Y73" i="3"/>
  <c r="J54" i="3"/>
  <c r="AK74" i="3"/>
  <c r="AA90" i="3"/>
  <c r="AL92" i="3"/>
  <c r="P91" i="3"/>
  <c r="K81" i="3"/>
  <c r="AK75" i="3"/>
  <c r="J62" i="3"/>
  <c r="I82" i="3"/>
  <c r="AH92" i="3"/>
  <c r="J67" i="3"/>
  <c r="Q68" i="3"/>
  <c r="AJ58" i="3"/>
  <c r="Y84" i="3"/>
  <c r="K94" i="3"/>
  <c r="H63" i="3"/>
  <c r="H89" i="3"/>
  <c r="J87" i="3"/>
  <c r="T80" i="3"/>
  <c r="U62" i="3"/>
  <c r="T59" i="3"/>
  <c r="U88" i="3"/>
  <c r="O97" i="3"/>
  <c r="Q69" i="3"/>
  <c r="N76" i="3"/>
  <c r="Q50" i="3"/>
  <c r="AH91" i="3"/>
  <c r="AH65" i="3"/>
  <c r="U75" i="3"/>
  <c r="AA77" i="3"/>
  <c r="AH75" i="3"/>
  <c r="AN55" i="3"/>
  <c r="AJ68" i="3"/>
  <c r="AJ90" i="3"/>
  <c r="J63" i="3"/>
  <c r="AJ92" i="3"/>
  <c r="Q49" i="3"/>
  <c r="AC64" i="3"/>
  <c r="K65" i="3"/>
  <c r="AJ47" i="3"/>
  <c r="Q88" i="3"/>
  <c r="O47" i="3"/>
  <c r="Q97" i="3"/>
  <c r="P72" i="3"/>
  <c r="O81" i="3"/>
  <c r="AM78" i="3"/>
  <c r="S66" i="3"/>
  <c r="AL87" i="3"/>
  <c r="AM68" i="3"/>
  <c r="AA60" i="3"/>
  <c r="J89" i="3"/>
  <c r="V70" i="3"/>
  <c r="AM90" i="3"/>
  <c r="K68" i="3"/>
  <c r="T61" i="3"/>
  <c r="AM49" i="3"/>
  <c r="P74" i="3"/>
  <c r="AM54" i="3"/>
  <c r="P65" i="3"/>
  <c r="U89" i="3"/>
  <c r="O83" i="3"/>
  <c r="H75" i="3"/>
  <c r="H97" i="3"/>
  <c r="AO97" i="3"/>
  <c r="V54" i="3"/>
  <c r="W78" i="3"/>
  <c r="AN49" i="3"/>
  <c r="I92" i="3"/>
  <c r="N67" i="3"/>
  <c r="H87" i="3"/>
  <c r="X58" i="3"/>
  <c r="U73" i="3"/>
  <c r="R59" i="3"/>
  <c r="I95" i="3"/>
  <c r="AK91" i="3"/>
  <c r="I70" i="3"/>
  <c r="Z69" i="3"/>
  <c r="U49" i="3"/>
  <c r="W79" i="3"/>
  <c r="M92" i="3"/>
  <c r="J56" i="3"/>
  <c r="H96" i="3"/>
  <c r="AM80" i="3"/>
  <c r="AN60" i="3"/>
  <c r="O58" i="3"/>
  <c r="Z65" i="3"/>
  <c r="AJ95" i="3"/>
  <c r="AA59" i="3"/>
  <c r="AH66" i="3"/>
  <c r="R47" i="3"/>
  <c r="I57" i="3"/>
  <c r="S95" i="3"/>
  <c r="Y61" i="3"/>
  <c r="Y69" i="3"/>
  <c r="AI96" i="3"/>
  <c r="AH84" i="3"/>
  <c r="V69" i="3"/>
  <c r="AG71" i="3"/>
  <c r="AN75" i="3"/>
  <c r="Z49" i="3"/>
  <c r="Y80" i="3"/>
  <c r="AN76" i="3"/>
  <c r="Q55" i="3"/>
  <c r="AC58" i="3"/>
  <c r="Z86" i="3"/>
  <c r="X68" i="3"/>
  <c r="AQ48" i="3"/>
  <c r="M79" i="3"/>
  <c r="AM61" i="3"/>
  <c r="T87" i="3"/>
  <c r="O65" i="3"/>
  <c r="I90" i="3"/>
  <c r="AK84" i="3"/>
  <c r="AQ89" i="3"/>
  <c r="AJ62" i="3"/>
  <c r="R57" i="3"/>
  <c r="AA84" i="3"/>
  <c r="I83" i="3"/>
  <c r="P50" i="3"/>
  <c r="AJ59" i="3"/>
  <c r="AN59" i="3"/>
  <c r="P84" i="3"/>
  <c r="J97" i="3"/>
  <c r="O87" i="3"/>
  <c r="U68" i="3"/>
  <c r="AQ56" i="3"/>
  <c r="R61" i="3"/>
  <c r="K97" i="3"/>
  <c r="N79" i="3"/>
  <c r="Y81" i="3"/>
  <c r="AI48" i="3"/>
  <c r="S50" i="3"/>
  <c r="K57" i="3"/>
  <c r="AO80" i="3"/>
  <c r="J95" i="3"/>
  <c r="AL83" i="3"/>
  <c r="AO69" i="3"/>
  <c r="Q67" i="3"/>
  <c r="W92" i="3"/>
  <c r="M56" i="3"/>
  <c r="M70" i="3"/>
  <c r="AL97" i="3"/>
  <c r="AC66" i="3"/>
  <c r="AK93" i="3"/>
  <c r="AO50" i="3"/>
  <c r="W75" i="3"/>
  <c r="M94" i="3"/>
  <c r="W96" i="3"/>
  <c r="AC69" i="3"/>
  <c r="W81" i="3"/>
  <c r="Z54" i="3"/>
  <c r="AJ81" i="3"/>
  <c r="I86" i="3"/>
  <c r="AN96" i="3"/>
  <c r="Q76" i="3"/>
  <c r="H77" i="3"/>
  <c r="H80" i="3"/>
  <c r="I66" i="3"/>
  <c r="AA56" i="3"/>
  <c r="AN84" i="3"/>
  <c r="AI65" i="3"/>
  <c r="Y75" i="3"/>
  <c r="I65" i="3"/>
  <c r="R87" i="3"/>
  <c r="AQ60" i="3"/>
  <c r="W64" i="3"/>
  <c r="X84" i="3"/>
  <c r="K69" i="3"/>
  <c r="AI91" i="3"/>
  <c r="AM85" i="3"/>
  <c r="H78" i="3"/>
  <c r="AG97" i="3"/>
  <c r="AH68" i="3"/>
  <c r="I78" i="3"/>
  <c r="Z84" i="3"/>
  <c r="S57" i="3"/>
  <c r="S90" i="3"/>
  <c r="S70" i="3"/>
  <c r="AQ58" i="3"/>
  <c r="AG94" i="3"/>
  <c r="O69" i="3"/>
  <c r="AM92" i="3"/>
  <c r="I56" i="3"/>
  <c r="AK58" i="3"/>
  <c r="AK83" i="3"/>
  <c r="T64" i="3"/>
  <c r="AH67" i="3"/>
  <c r="AC96" i="3"/>
  <c r="I94" i="3"/>
  <c r="P49" i="3"/>
  <c r="AQ90" i="3"/>
  <c r="AM95" i="3"/>
  <c r="P81" i="3"/>
  <c r="X87" i="3"/>
  <c r="AQ78" i="3"/>
  <c r="AQ91" i="3"/>
  <c r="H47" i="3"/>
  <c r="J75" i="3"/>
  <c r="AI76" i="3"/>
  <c r="P60" i="3"/>
  <c r="S72" i="3"/>
  <c r="AG88" i="3"/>
  <c r="AQ62" i="3"/>
  <c r="R95" i="3"/>
  <c r="AL71" i="3"/>
  <c r="AK67" i="3"/>
  <c r="AI66" i="3"/>
  <c r="Z67" i="3"/>
  <c r="AL70" i="3"/>
  <c r="Y65" i="3"/>
  <c r="AO55" i="3"/>
  <c r="S74" i="3"/>
  <c r="AI62" i="3"/>
  <c r="AN93" i="3"/>
  <c r="K71" i="3"/>
  <c r="R85" i="3"/>
  <c r="N55" i="3"/>
  <c r="AC62" i="3"/>
  <c r="AH93" i="3"/>
  <c r="AK88" i="3"/>
  <c r="AO85" i="3"/>
  <c r="Y77" i="3"/>
  <c r="U58" i="3"/>
  <c r="O76" i="3"/>
  <c r="S58" i="3"/>
  <c r="AN88" i="3"/>
  <c r="AI78" i="3"/>
  <c r="O78" i="3"/>
  <c r="AO86" i="3"/>
  <c r="U64" i="3"/>
  <c r="T50" i="3"/>
  <c r="U54" i="3"/>
  <c r="J49" i="3"/>
  <c r="J88" i="3"/>
  <c r="AA47" i="3"/>
  <c r="J64" i="3"/>
  <c r="AH82" i="3"/>
  <c r="U71" i="3"/>
  <c r="R68" i="3"/>
  <c r="AJ73" i="3"/>
  <c r="P63" i="3"/>
  <c r="U50" i="3"/>
  <c r="P77" i="3"/>
  <c r="X75" i="3"/>
  <c r="O86" i="3"/>
  <c r="V67" i="3"/>
  <c r="J91" i="3"/>
  <c r="W86" i="3"/>
  <c r="X59" i="3"/>
  <c r="R93" i="3"/>
  <c r="Q72" i="3"/>
  <c r="K60" i="3"/>
  <c r="AM87" i="3"/>
  <c r="Y59" i="3"/>
  <c r="J57" i="3"/>
  <c r="AL95" i="3"/>
  <c r="O61" i="3"/>
  <c r="K96" i="3"/>
  <c r="AI59" i="3"/>
  <c r="P64" i="3"/>
  <c r="AL55" i="3"/>
  <c r="AM55" i="3"/>
  <c r="N80" i="3"/>
  <c r="AQ71" i="3"/>
  <c r="X72" i="3"/>
  <c r="I48" i="3"/>
  <c r="S69" i="3"/>
  <c r="AL61" i="3"/>
  <c r="AN94" i="3"/>
  <c r="AK69" i="3"/>
  <c r="H58" i="3"/>
  <c r="M59" i="3"/>
  <c r="S87" i="3"/>
  <c r="AQ72" i="3"/>
  <c r="AG56" i="3"/>
  <c r="H85" i="3"/>
  <c r="K91" i="3"/>
  <c r="AO88" i="3"/>
  <c r="P88" i="3"/>
  <c r="AJ61" i="3"/>
  <c r="AJ72" i="3"/>
  <c r="K80" i="3"/>
  <c r="S79" i="3"/>
  <c r="M69" i="3"/>
  <c r="AJ65" i="3"/>
  <c r="Y63" i="3"/>
  <c r="P87" i="3"/>
  <c r="T75" i="3"/>
  <c r="AC71" i="3"/>
  <c r="R78" i="3"/>
  <c r="I93" i="3"/>
  <c r="Z68" i="3"/>
  <c r="I87" i="3"/>
  <c r="N64" i="3"/>
  <c r="X90" i="3"/>
  <c r="AL66" i="3"/>
  <c r="X97" i="3"/>
  <c r="O92" i="3"/>
  <c r="R50" i="3"/>
  <c r="Q64" i="3"/>
  <c r="Q75" i="3"/>
  <c r="AK56" i="3"/>
  <c r="M61" i="3"/>
  <c r="J48" i="3"/>
  <c r="U60" i="3"/>
  <c r="R84" i="3"/>
  <c r="I81" i="3"/>
  <c r="AH48" i="3"/>
  <c r="AI47" i="3"/>
  <c r="P79" i="3"/>
  <c r="U85" i="3"/>
  <c r="AG47" i="3"/>
  <c r="Y89" i="3"/>
  <c r="AQ81" i="3"/>
  <c r="Y79" i="3"/>
  <c r="AI83" i="3"/>
  <c r="P80" i="3"/>
  <c r="U83" i="3"/>
  <c r="O55" i="3"/>
  <c r="AG55" i="3"/>
  <c r="AH90" i="3"/>
  <c r="AC85" i="3"/>
  <c r="T91" i="3"/>
  <c r="AI60" i="3"/>
  <c r="V74" i="3"/>
  <c r="AJ66" i="3"/>
  <c r="AN64" i="3"/>
  <c r="N77" i="3"/>
  <c r="AM48" i="3"/>
  <c r="S91" i="3"/>
  <c r="I77" i="3"/>
  <c r="H69" i="3"/>
  <c r="AG82" i="3"/>
  <c r="AH94" i="3"/>
  <c r="O71" i="3"/>
  <c r="AA91" i="3"/>
  <c r="AH50" i="3"/>
  <c r="T47" i="3"/>
  <c r="AO76" i="3"/>
  <c r="M64" i="3"/>
  <c r="AI58" i="3"/>
  <c r="K79" i="3"/>
  <c r="W84" i="3"/>
  <c r="X71" i="3"/>
  <c r="Z50" i="3"/>
  <c r="J86" i="3"/>
  <c r="H71" i="3"/>
  <c r="N90" i="3"/>
  <c r="R94" i="3"/>
  <c r="W73" i="3"/>
  <c r="AJ49" i="3"/>
  <c r="AG62" i="3"/>
  <c r="AK72" i="3"/>
  <c r="Q92" i="3"/>
  <c r="X49" i="3"/>
  <c r="AO77" i="3"/>
  <c r="AA71" i="3"/>
  <c r="AO56" i="3"/>
  <c r="AK65" i="3"/>
  <c r="AM91" i="3"/>
  <c r="AI85" i="3"/>
  <c r="O88" i="3"/>
  <c r="AG68" i="3"/>
  <c r="AN95" i="3"/>
  <c r="V63" i="3"/>
  <c r="Q56" i="3"/>
  <c r="Z77" i="3"/>
  <c r="Z79" i="3"/>
  <c r="AO70" i="3"/>
  <c r="AO75" i="3"/>
  <c r="P95" i="3"/>
  <c r="N74" i="3"/>
  <c r="X48" i="3"/>
  <c r="I91" i="3"/>
  <c r="W72" i="3"/>
  <c r="AC57" i="3"/>
  <c r="S63" i="3"/>
  <c r="S85" i="3"/>
  <c r="R49" i="3"/>
  <c r="M97" i="3"/>
  <c r="J72" i="3"/>
  <c r="AC84" i="3"/>
  <c r="R88" i="3"/>
  <c r="I59" i="3"/>
  <c r="T48" i="3"/>
  <c r="R56" i="3"/>
  <c r="AK62" i="3"/>
  <c r="Q59" i="3"/>
  <c r="J71" i="3"/>
  <c r="AH85" i="3"/>
  <c r="AK86" i="3"/>
  <c r="AK57" i="3"/>
  <c r="AI71" i="3"/>
  <c r="V57" i="3"/>
  <c r="AI80" i="3"/>
  <c r="N57" i="3"/>
  <c r="X85" i="3"/>
  <c r="I50" i="3"/>
  <c r="X94" i="3"/>
  <c r="AM60" i="3"/>
  <c r="AJ84" i="3"/>
  <c r="J96" i="3"/>
  <c r="AH95" i="3"/>
  <c r="J60" i="3"/>
  <c r="X79" i="3"/>
  <c r="AG63" i="3"/>
  <c r="AM73" i="3"/>
  <c r="AJ88" i="3"/>
  <c r="AH70" i="3"/>
  <c r="AM84" i="3"/>
  <c r="AI74" i="3"/>
  <c r="R48" i="3"/>
  <c r="AL63" i="3"/>
  <c r="R91" i="3"/>
  <c r="M86" i="3"/>
  <c r="J50" i="3"/>
  <c r="K74" i="3"/>
  <c r="I71" i="3"/>
  <c r="I85" i="3"/>
  <c r="AK70" i="3"/>
  <c r="K88" i="3"/>
  <c r="N60" i="3"/>
  <c r="AJ78" i="3"/>
  <c r="V59" i="3"/>
  <c r="AA85" i="3"/>
  <c r="H92" i="3"/>
  <c r="H70" i="3"/>
  <c r="Y60" i="3"/>
  <c r="H88" i="3"/>
  <c r="AC82" i="3"/>
  <c r="W87" i="3"/>
  <c r="AN86" i="3"/>
  <c r="AQ59" i="3"/>
  <c r="Y86" i="3"/>
  <c r="T79" i="3"/>
  <c r="AI92" i="3"/>
  <c r="AC90" i="3"/>
  <c r="K73" i="3"/>
  <c r="Q84" i="3"/>
  <c r="M63" i="3"/>
  <c r="AN61" i="3"/>
  <c r="V89" i="3"/>
  <c r="H59" i="3"/>
  <c r="T81" i="3"/>
  <c r="T82" i="3"/>
  <c r="N63" i="3"/>
  <c r="K76" i="3"/>
  <c r="Z71" i="3"/>
  <c r="AQ68" i="3"/>
  <c r="W95" i="3"/>
  <c r="V94" i="3"/>
  <c r="H84" i="3"/>
  <c r="I49" i="3"/>
  <c r="X83" i="3"/>
  <c r="AO58" i="3"/>
  <c r="X76" i="3"/>
  <c r="H68" i="3"/>
  <c r="T63" i="3"/>
  <c r="AC77" i="3"/>
  <c r="I97" i="3"/>
  <c r="I76" i="3"/>
  <c r="N73" i="3"/>
  <c r="AO64" i="3"/>
  <c r="X77" i="3"/>
  <c r="U81" i="3"/>
  <c r="R64" i="3"/>
  <c r="I67" i="3"/>
  <c r="W83" i="3"/>
  <c r="AK92" i="3"/>
  <c r="J65" i="3"/>
  <c r="R65" i="3"/>
  <c r="AN97" i="3"/>
  <c r="V87" i="3"/>
  <c r="I54" i="3"/>
  <c r="J84" i="3"/>
  <c r="P59" i="3"/>
  <c r="O50" i="3"/>
  <c r="U48" i="3"/>
  <c r="S96" i="3"/>
  <c r="K90" i="3"/>
  <c r="AG74" i="3"/>
  <c r="AH89" i="3"/>
  <c r="AM72" i="3"/>
  <c r="K83" i="3"/>
  <c r="AO60" i="3"/>
  <c r="AA69" i="3"/>
  <c r="H54" i="3"/>
  <c r="M77" i="3"/>
  <c r="AM79" i="3"/>
  <c r="AI67" i="3"/>
  <c r="Y68" i="3"/>
  <c r="K70" i="3"/>
  <c r="T68" i="3"/>
  <c r="R97" i="3"/>
  <c r="K62" i="3"/>
  <c r="S48" i="3"/>
  <c r="J92" i="3"/>
  <c r="AA63" i="3"/>
  <c r="AN71" i="3"/>
  <c r="W59" i="3"/>
  <c r="Z70" i="3"/>
  <c r="Z64" i="3"/>
  <c r="R74" i="3"/>
  <c r="Q73" i="3"/>
  <c r="AM67" i="3"/>
  <c r="AQ66" i="3"/>
  <c r="P58" i="3"/>
  <c r="AN78" i="3"/>
  <c r="AK85" i="3"/>
  <c r="K72" i="3"/>
  <c r="T58" i="3"/>
  <c r="W65" i="3"/>
  <c r="AI56" i="3"/>
  <c r="AA83" i="3"/>
  <c r="M76" i="3"/>
  <c r="N97" i="3"/>
  <c r="V66" i="3"/>
  <c r="AN48" i="3"/>
  <c r="W76" i="3"/>
  <c r="AI54" i="3"/>
  <c r="P47" i="3"/>
  <c r="Y74" i="3"/>
  <c r="AI68" i="3"/>
  <c r="AC79" i="3"/>
  <c r="U95" i="3"/>
  <c r="Q66" i="3"/>
  <c r="Y90" i="3"/>
  <c r="J59" i="3"/>
  <c r="Q58" i="3"/>
  <c r="M91" i="3"/>
  <c r="W48" i="3"/>
  <c r="AC76" i="3"/>
  <c r="J69" i="3"/>
  <c r="X81" i="3"/>
  <c r="T84" i="3"/>
  <c r="W74" i="3"/>
  <c r="AN83" i="3"/>
  <c r="Y88" i="3"/>
  <c r="AN58" i="3"/>
  <c r="AA48" i="3"/>
  <c r="AC48" i="3"/>
  <c r="X50" i="3"/>
  <c r="AL69" i="3"/>
  <c r="AA49" i="3"/>
  <c r="Z74" i="3"/>
  <c r="AJ77" i="3"/>
  <c r="AG58" i="3"/>
  <c r="T65" i="3"/>
  <c r="AM62" i="3"/>
  <c r="AC67" i="3"/>
  <c r="N66" i="3"/>
  <c r="AL90" i="3"/>
  <c r="U56" i="3"/>
  <c r="AE73" i="3" l="1"/>
  <c r="AE81" i="3"/>
  <c r="AE94" i="3"/>
  <c r="AE62" i="3"/>
  <c r="AE97" i="3"/>
  <c r="AE83" i="3"/>
  <c r="AE96" i="3"/>
  <c r="AE48" i="3"/>
  <c r="AE70" i="3"/>
  <c r="AE50" i="3"/>
  <c r="AE66" i="3"/>
  <c r="AE86" i="3"/>
  <c r="AE65" i="3"/>
  <c r="AE54" i="3"/>
  <c r="AE63" i="3"/>
  <c r="AE92" i="3"/>
  <c r="AE85" i="3"/>
  <c r="AE77" i="3"/>
  <c r="AE61" i="3"/>
  <c r="AE95" i="3"/>
  <c r="AE91" i="3"/>
  <c r="AE79" i="3"/>
  <c r="AE87" i="3"/>
  <c r="AE68" i="3"/>
  <c r="AE67" i="3"/>
  <c r="AE69" i="3"/>
  <c r="AE49" i="3"/>
  <c r="AE78" i="3"/>
  <c r="AE58" i="3"/>
  <c r="AE56" i="3"/>
  <c r="AE80" i="3"/>
  <c r="AE71" i="3"/>
  <c r="AE55" i="3"/>
  <c r="AE72" i="3"/>
  <c r="AE89" i="3"/>
  <c r="AE82" i="3"/>
  <c r="AE60" i="3"/>
  <c r="AE57" i="3"/>
  <c r="AE84" i="3"/>
  <c r="AE76" i="3"/>
  <c r="AE75" i="3"/>
  <c r="AE88" i="3"/>
  <c r="AE59" i="3"/>
  <c r="AE90" i="3"/>
  <c r="AO73" i="3"/>
  <c r="K75" i="3"/>
  <c r="J94" i="3"/>
  <c r="L57" i="3"/>
  <c r="L47" i="3"/>
  <c r="L83" i="3"/>
  <c r="L95" i="3"/>
  <c r="L73" i="3"/>
  <c r="L82" i="3"/>
  <c r="L49" i="3"/>
  <c r="L91" i="3"/>
  <c r="L70" i="3"/>
  <c r="L78" i="3"/>
  <c r="L97" i="3"/>
  <c r="L81" i="3"/>
  <c r="L92" i="3"/>
  <c r="L65" i="3"/>
  <c r="L61" i="3"/>
  <c r="L74" i="3"/>
  <c r="L69" i="3"/>
  <c r="L54" i="3"/>
  <c r="L84" i="3"/>
  <c r="L62" i="3"/>
  <c r="L80" i="3"/>
  <c r="L85" i="3"/>
  <c r="L87" i="3"/>
  <c r="L90" i="3"/>
  <c r="L75" i="3"/>
  <c r="L48" i="3"/>
  <c r="L64" i="3"/>
  <c r="L56" i="3"/>
  <c r="L77" i="3"/>
  <c r="L67" i="3"/>
  <c r="L72" i="3"/>
  <c r="L71" i="3"/>
  <c r="L68" i="3"/>
  <c r="L55" i="3"/>
  <c r="L79" i="3"/>
  <c r="L94" i="3"/>
  <c r="L66" i="3"/>
  <c r="L93" i="3"/>
  <c r="L58" i="3"/>
  <c r="L76" i="3"/>
  <c r="L50" i="3"/>
  <c r="L88" i="3"/>
  <c r="L86" i="3"/>
  <c r="L96" i="3"/>
  <c r="L59" i="3"/>
  <c r="L63" i="3"/>
  <c r="L89" i="3"/>
  <c r="W97" i="3"/>
  <c r="AE93" i="3"/>
  <c r="AE74" i="3"/>
  <c r="AE47" i="3"/>
  <c r="L60" i="3"/>
  <c r="W47" i="3"/>
  <c r="AO82" i="3"/>
  <c r="AK94" i="3"/>
  <c r="AL77" i="3"/>
  <c r="O74" i="3"/>
  <c r="AO89" i="3"/>
  <c r="X61" i="3"/>
  <c r="AN74" i="3"/>
  <c r="Q61" i="3"/>
  <c r="AO63" i="3"/>
  <c r="V86" i="3"/>
  <c r="O94" i="3"/>
  <c r="P96" i="3"/>
  <c r="AE64" i="3"/>
  <c r="BH15" i="1"/>
  <c r="BO36" i="1"/>
  <c r="BW23" i="1"/>
  <c r="BM13" i="1"/>
  <c r="W151" i="1"/>
  <c r="AY24" i="1"/>
  <c r="AW14" i="1"/>
  <c r="BN39" i="1"/>
  <c r="AO24" i="1"/>
  <c r="AN45" i="1"/>
  <c r="M137" i="1"/>
  <c r="L73" i="1"/>
  <c r="O149" i="1"/>
  <c r="J132" i="1"/>
  <c r="BK24" i="1"/>
  <c r="BQ36" i="1"/>
  <c r="AI46" i="1"/>
  <c r="BB9" i="1"/>
  <c r="AR22" i="1"/>
  <c r="BM14" i="1"/>
  <c r="BU36" i="1"/>
  <c r="BD24" i="1"/>
  <c r="K145" i="1"/>
  <c r="K180" i="1" s="1"/>
  <c r="BI32" i="1"/>
  <c r="AS23" i="1"/>
  <c r="BN45" i="1"/>
  <c r="AS45" i="1"/>
  <c r="T132" i="1"/>
  <c r="BN8" i="1"/>
  <c r="BB51" i="1"/>
  <c r="AS51" i="1"/>
  <c r="BG36" i="1"/>
  <c r="E137" i="1"/>
  <c r="BB13" i="1"/>
  <c r="BG23" i="1"/>
  <c r="BG47" i="1"/>
  <c r="BQ35" i="1"/>
  <c r="BB22" i="1"/>
  <c r="BG13" i="1"/>
  <c r="AP21" i="1"/>
  <c r="BH152" i="1"/>
  <c r="BI152" i="1" s="1"/>
  <c r="AX23" i="1"/>
  <c r="BT46" i="1"/>
  <c r="BH131" i="1"/>
  <c r="M146" i="1"/>
  <c r="T164" i="1"/>
  <c r="R79" i="1"/>
  <c r="I124" i="1"/>
  <c r="R135" i="1"/>
  <c r="R131" i="1" s="1"/>
  <c r="Q171" i="1"/>
  <c r="BH118" i="1"/>
  <c r="BI118" i="1" s="1"/>
  <c r="V151" i="1"/>
  <c r="L127" i="1"/>
  <c r="N146" i="1"/>
  <c r="S136" i="1"/>
  <c r="C79" i="1"/>
  <c r="M67" i="1"/>
  <c r="F149" i="1"/>
  <c r="T126" i="1"/>
  <c r="T154" i="1" s="1"/>
  <c r="E155" i="1"/>
  <c r="BG9" i="1"/>
  <c r="BK45" i="1"/>
  <c r="I132" i="1"/>
  <c r="BH24" i="1"/>
  <c r="BG35" i="1"/>
  <c r="BS24" i="1"/>
  <c r="AU13" i="1"/>
  <c r="AM51" i="1"/>
  <c r="I171" i="1"/>
  <c r="E78" i="1"/>
  <c r="BN47" i="1"/>
  <c r="BN25" i="1"/>
  <c r="AV24" i="1"/>
  <c r="BT23" i="1"/>
  <c r="B63" i="1"/>
  <c r="BA9" i="1"/>
  <c r="BW13" i="1"/>
  <c r="BN36" i="1"/>
  <c r="AV46" i="1"/>
  <c r="AW9" i="1"/>
  <c r="BG39" i="1"/>
  <c r="AP14" i="1"/>
  <c r="AW36" i="1"/>
  <c r="BU51" i="1"/>
  <c r="BS22" i="1"/>
  <c r="K77" i="1"/>
  <c r="BH8" i="1"/>
  <c r="BH231" i="1" s="1"/>
  <c r="U146" i="1"/>
  <c r="D170" i="1"/>
  <c r="N135" i="1"/>
  <c r="N131" i="1" s="1"/>
  <c r="AV47" i="1"/>
  <c r="I122" i="1"/>
  <c r="AS8" i="1"/>
  <c r="AS231" i="1" s="1"/>
  <c r="BN21" i="1"/>
  <c r="AQ47" i="1"/>
  <c r="AS32" i="1"/>
  <c r="AS194" i="1" s="1"/>
  <c r="BH163" i="1"/>
  <c r="BI163" i="1" s="1"/>
  <c r="BM36" i="1"/>
  <c r="AZ25" i="1"/>
  <c r="BF22" i="1"/>
  <c r="AO23" i="1"/>
  <c r="AQ36" i="1"/>
  <c r="AO15" i="1"/>
  <c r="BA39" i="1"/>
  <c r="AP39" i="1"/>
  <c r="BM8" i="1"/>
  <c r="M145" i="1"/>
  <c r="M180" i="1" s="1"/>
  <c r="BK20" i="1"/>
  <c r="AZ47" i="1"/>
  <c r="AV23" i="1"/>
  <c r="BU9" i="1"/>
  <c r="AW22" i="1"/>
  <c r="Q142" i="1"/>
  <c r="BJ35" i="1"/>
  <c r="BT47" i="1"/>
  <c r="AT35" i="1"/>
  <c r="BG46" i="1"/>
  <c r="BO23" i="1"/>
  <c r="BS39" i="1"/>
  <c r="BS9" i="1"/>
  <c r="BP24" i="1"/>
  <c r="T135" i="1"/>
  <c r="T131" i="1" s="1"/>
  <c r="U137" i="1"/>
  <c r="AR8" i="1"/>
  <c r="AR231" i="1" s="1"/>
  <c r="K133" i="1"/>
  <c r="BG25" i="1"/>
  <c r="BU14" i="1"/>
  <c r="BV22" i="1"/>
  <c r="BR15" i="1"/>
  <c r="BD25" i="1"/>
  <c r="AT21" i="1"/>
  <c r="AU23" i="1"/>
  <c r="AP8" i="1"/>
  <c r="AP231" i="1" s="1"/>
  <c r="E150" i="1"/>
  <c r="BI45" i="1"/>
  <c r="BB23" i="1"/>
  <c r="AV45" i="1"/>
  <c r="BT24" i="1"/>
  <c r="BC9" i="1"/>
  <c r="AS35" i="1"/>
  <c r="AZ35" i="1"/>
  <c r="M153" i="1"/>
  <c r="M183" i="1" s="1"/>
  <c r="C132" i="1"/>
  <c r="BE32" i="1"/>
  <c r="BE194" i="1" s="1"/>
  <c r="BR25" i="1"/>
  <c r="BI23" i="1"/>
  <c r="AU25" i="1"/>
  <c r="BO14" i="1"/>
  <c r="G122" i="1"/>
  <c r="BH32" i="1"/>
  <c r="BH194" i="1" s="1"/>
  <c r="BW14" i="1"/>
  <c r="BQ32" i="1"/>
  <c r="BQ194" i="1" s="1"/>
  <c r="AV14" i="1"/>
  <c r="AX45" i="1"/>
  <c r="BB25" i="1"/>
  <c r="AT24" i="1"/>
  <c r="Q149" i="1"/>
  <c r="I146" i="1"/>
  <c r="AR45" i="1"/>
  <c r="BP39" i="1"/>
  <c r="BE13" i="1"/>
  <c r="L159" i="1"/>
  <c r="BT35" i="1"/>
  <c r="BD45" i="1"/>
  <c r="BV73" i="1"/>
  <c r="M124" i="1"/>
  <c r="Q78" i="1"/>
  <c r="C63" i="1"/>
  <c r="P146" i="1"/>
  <c r="C144" i="1"/>
  <c r="C179" i="1" s="1"/>
  <c r="H78" i="1"/>
  <c r="V143" i="1"/>
  <c r="I149" i="1"/>
  <c r="H79" i="1"/>
  <c r="BH144" i="1"/>
  <c r="T170" i="1"/>
  <c r="F127" i="1"/>
  <c r="M151" i="1"/>
  <c r="H127" i="1"/>
  <c r="V164" i="1"/>
  <c r="D77" i="1"/>
  <c r="Q122" i="1"/>
  <c r="O119" i="1"/>
  <c r="U140" i="1"/>
  <c r="G144" i="1"/>
  <c r="G179" i="1" s="1"/>
  <c r="BS51" i="1"/>
  <c r="AR23" i="1"/>
  <c r="K118" i="1"/>
  <c r="V172" i="1"/>
  <c r="BS21" i="1"/>
  <c r="BC35" i="1"/>
  <c r="BO51" i="1"/>
  <c r="AU51" i="1"/>
  <c r="J133" i="1"/>
  <c r="BI47" i="1"/>
  <c r="BH154" i="1"/>
  <c r="BI154" i="1" s="1"/>
  <c r="AN13" i="1"/>
  <c r="AV25" i="1"/>
  <c r="AQ23" i="1"/>
  <c r="L164" i="1"/>
  <c r="BF21" i="1"/>
  <c r="BO9" i="1"/>
  <c r="BV152" i="1"/>
  <c r="BW152" i="1" s="1"/>
  <c r="AI13" i="1"/>
  <c r="BV23" i="1"/>
  <c r="BH45" i="1"/>
  <c r="BH135" i="1"/>
  <c r="BI135" i="1" s="1"/>
  <c r="T67" i="1"/>
  <c r="AU45" i="1"/>
  <c r="BA13" i="1"/>
  <c r="R132" i="1"/>
  <c r="BK35" i="1"/>
  <c r="AY14" i="1"/>
  <c r="V126" i="1"/>
  <c r="V154" i="1" s="1"/>
  <c r="AR13" i="1"/>
  <c r="AN32" i="1"/>
  <c r="AN33" i="1" s="1"/>
  <c r="S119" i="1"/>
  <c r="BM46" i="1"/>
  <c r="BT22" i="1"/>
  <c r="BW35" i="1"/>
  <c r="AP32" i="1"/>
  <c r="BJ47" i="1"/>
  <c r="BD22" i="1"/>
  <c r="AV20" i="1"/>
  <c r="AP25" i="1"/>
  <c r="BD46" i="1"/>
  <c r="BC32" i="1"/>
  <c r="BC194" i="1" s="1"/>
  <c r="AS25" i="1"/>
  <c r="AY8" i="1"/>
  <c r="AN8" i="1"/>
  <c r="BI24" i="1"/>
  <c r="BB35" i="1"/>
  <c r="AN39" i="1"/>
  <c r="AT15" i="1"/>
  <c r="BS32" i="1"/>
  <c r="BS194" i="1" s="1"/>
  <c r="AI23" i="1"/>
  <c r="AV35" i="1"/>
  <c r="AR47" i="1"/>
  <c r="BD20" i="1"/>
  <c r="BG45" i="1"/>
  <c r="BV150" i="1"/>
  <c r="BW150" i="1" s="1"/>
  <c r="G132" i="1"/>
  <c r="G140" i="1"/>
  <c r="BQ25" i="1"/>
  <c r="BW47" i="1"/>
  <c r="AI9" i="1"/>
  <c r="BD23" i="1"/>
  <c r="BH73" i="1"/>
  <c r="M140" i="1"/>
  <c r="AO9" i="1"/>
  <c r="AN9" i="1"/>
  <c r="E170" i="1"/>
  <c r="M73" i="1"/>
  <c r="BE22" i="1"/>
  <c r="AJ73" i="1"/>
  <c r="AY39" i="1"/>
  <c r="BO32" i="1"/>
  <c r="BO194" i="1" s="1"/>
  <c r="C117" i="1"/>
  <c r="BH46" i="1"/>
  <c r="BD35" i="1"/>
  <c r="N79" i="1"/>
  <c r="U132" i="1"/>
  <c r="AN25" i="1"/>
  <c r="BM22" i="1"/>
  <c r="BB45" i="1"/>
  <c r="BF46" i="1"/>
  <c r="AS15" i="1"/>
  <c r="BN22" i="1"/>
  <c r="D126" i="1"/>
  <c r="D154" i="1" s="1"/>
  <c r="D74" i="1"/>
  <c r="H119" i="1"/>
  <c r="W74" i="1"/>
  <c r="B140" i="1"/>
  <c r="J144" i="1"/>
  <c r="J179" i="1" s="1"/>
  <c r="L125" i="1"/>
  <c r="L124" i="1"/>
  <c r="J145" i="1"/>
  <c r="J180" i="1" s="1"/>
  <c r="H150" i="1"/>
  <c r="R172" i="1"/>
  <c r="C146" i="1"/>
  <c r="E171" i="1"/>
  <c r="D171" i="1"/>
  <c r="U172" i="1"/>
  <c r="B131" i="1"/>
  <c r="M149" i="1"/>
  <c r="BR51" i="1"/>
  <c r="C137" i="1"/>
  <c r="BM23" i="1"/>
  <c r="BM9" i="1"/>
  <c r="V136" i="1"/>
  <c r="AY23" i="1"/>
  <c r="BU39" i="1"/>
  <c r="BC36" i="1"/>
  <c r="BR32" i="1"/>
  <c r="AU20" i="1"/>
  <c r="M142" i="1"/>
  <c r="BR46" i="1"/>
  <c r="AW51" i="1"/>
  <c r="BV25" i="1"/>
  <c r="AP22" i="1"/>
  <c r="AI39" i="1"/>
  <c r="AQ45" i="1"/>
  <c r="B145" i="1"/>
  <c r="B180" i="1" s="1"/>
  <c r="BJ39" i="1"/>
  <c r="BH14" i="1"/>
  <c r="AP51" i="1"/>
  <c r="T78" i="1"/>
  <c r="BP22" i="1"/>
  <c r="BE51" i="1"/>
  <c r="BC21" i="1"/>
  <c r="AR25" i="1"/>
  <c r="BM47" i="1"/>
  <c r="L117" i="1"/>
  <c r="BE39" i="1"/>
  <c r="AX36" i="1"/>
  <c r="V122" i="1"/>
  <c r="BM39" i="1"/>
  <c r="BU15" i="1"/>
  <c r="G172" i="1"/>
  <c r="L140" i="1"/>
  <c r="BC23" i="1"/>
  <c r="BD15" i="1"/>
  <c r="BA47" i="1"/>
  <c r="I143" i="1"/>
  <c r="BR47" i="1"/>
  <c r="AZ24" i="1"/>
  <c r="AT14" i="1"/>
  <c r="BP47" i="1"/>
  <c r="BN23" i="1"/>
  <c r="BH151" i="1"/>
  <c r="BI151" i="1" s="1"/>
  <c r="BW45" i="1"/>
  <c r="BK46" i="1"/>
  <c r="AV15" i="1"/>
  <c r="BG22" i="1"/>
  <c r="BE36" i="1"/>
  <c r="BV144" i="1"/>
  <c r="AX15" i="1"/>
  <c r="BA46" i="1"/>
  <c r="BU23" i="1"/>
  <c r="BA22" i="1"/>
  <c r="O172" i="1"/>
  <c r="BN9" i="1"/>
  <c r="BS8" i="1"/>
  <c r="BS231" i="1" s="1"/>
  <c r="BP13" i="1"/>
  <c r="BB47" i="1"/>
  <c r="W160" i="1"/>
  <c r="D136" i="1"/>
  <c r="D131" i="1"/>
  <c r="BF23" i="1"/>
  <c r="BA35" i="1"/>
  <c r="AU36" i="1"/>
  <c r="AY15" i="1"/>
  <c r="R151" i="1"/>
  <c r="BI15" i="1"/>
  <c r="BE47" i="1"/>
  <c r="AZ14" i="1"/>
  <c r="BF36" i="1"/>
  <c r="B151" i="1"/>
  <c r="BE46" i="1"/>
  <c r="AO46" i="1"/>
  <c r="AZ32" i="1"/>
  <c r="BV35" i="1"/>
  <c r="E145" i="1"/>
  <c r="E180" i="1" s="1"/>
  <c r="F136" i="1"/>
  <c r="AX14" i="1"/>
  <c r="AN47" i="1"/>
  <c r="AP45" i="1"/>
  <c r="BW8" i="1"/>
  <c r="BJ74" i="1"/>
  <c r="K164" i="1"/>
  <c r="L132" i="1"/>
  <c r="V78" i="1"/>
  <c r="BO39" i="1"/>
  <c r="BC20" i="1"/>
  <c r="AU21" i="1"/>
  <c r="BO8" i="1"/>
  <c r="R153" i="1"/>
  <c r="R183" i="1" s="1"/>
  <c r="H74" i="1"/>
  <c r="BR23" i="1"/>
  <c r="AQ15" i="1"/>
  <c r="AO14" i="1"/>
  <c r="BC46" i="1"/>
  <c r="BV140" i="1"/>
  <c r="BW140" i="1" s="1"/>
  <c r="BX202" i="1" s="1"/>
  <c r="W144" i="1"/>
  <c r="C131" i="1"/>
  <c r="AO51" i="1"/>
  <c r="BP51" i="1"/>
  <c r="BP35" i="1"/>
  <c r="AI35" i="1"/>
  <c r="F147" i="1"/>
  <c r="N160" i="1"/>
  <c r="AQ9" i="1"/>
  <c r="AI15" i="1"/>
  <c r="BV74" i="1"/>
  <c r="AI47" i="1"/>
  <c r="BK14" i="1"/>
  <c r="BJ45" i="1"/>
  <c r="BF47" i="1"/>
  <c r="BT36" i="1"/>
  <c r="I125" i="1"/>
  <c r="AP13" i="1"/>
  <c r="BW36" i="1"/>
  <c r="BJ73" i="1"/>
  <c r="BH21" i="1"/>
  <c r="BT15" i="1"/>
  <c r="AW24" i="1"/>
  <c r="BK9" i="1"/>
  <c r="BQ14" i="1"/>
  <c r="O135" i="1"/>
  <c r="O131" i="1" s="1"/>
  <c r="S149" i="1"/>
  <c r="BQ23" i="1"/>
  <c r="BH20" i="1"/>
  <c r="BB8" i="1"/>
  <c r="AR46" i="1"/>
  <c r="AO21" i="1"/>
  <c r="AW8" i="1"/>
  <c r="AV8" i="1"/>
  <c r="AV231" i="1" s="1"/>
  <c r="BF45" i="1"/>
  <c r="BH143" i="1"/>
  <c r="BI143" i="1" s="1"/>
  <c r="I119" i="1"/>
  <c r="BI35" i="1"/>
  <c r="BC14" i="1"/>
  <c r="BV147" i="1"/>
  <c r="BW147" i="1" s="1"/>
  <c r="D135" i="1"/>
  <c r="AM46" i="1"/>
  <c r="AZ8" i="1"/>
  <c r="AM45" i="1"/>
  <c r="BJ51" i="1"/>
  <c r="BD21" i="1"/>
  <c r="BC45" i="1"/>
  <c r="AS46" i="1"/>
  <c r="B160" i="1"/>
  <c r="BQ20" i="1"/>
  <c r="AW13" i="1"/>
  <c r="BF8" i="1"/>
  <c r="BH47" i="1"/>
  <c r="BB36" i="1"/>
  <c r="AQ35" i="1"/>
  <c r="BC24" i="1"/>
  <c r="BE8" i="1"/>
  <c r="BE231" i="1" s="1"/>
  <c r="AS13" i="1"/>
  <c r="O125" i="1"/>
  <c r="T160" i="1"/>
  <c r="P136" i="1"/>
  <c r="B142" i="1"/>
  <c r="G73" i="1"/>
  <c r="N117" i="1"/>
  <c r="S67" i="1"/>
  <c r="S155" i="1"/>
  <c r="P142" i="1"/>
  <c r="C140" i="1"/>
  <c r="F67" i="1"/>
  <c r="D63" i="1"/>
  <c r="E117" i="1"/>
  <c r="J163" i="1"/>
  <c r="B150" i="1"/>
  <c r="V77" i="1"/>
  <c r="J126" i="1"/>
  <c r="J154" i="1" s="1"/>
  <c r="BV39" i="1"/>
  <c r="AX13" i="1"/>
  <c r="AU39" i="1"/>
  <c r="AS20" i="1"/>
  <c r="BR21" i="1"/>
  <c r="AN46" i="1"/>
  <c r="B164" i="1"/>
  <c r="L155" i="1"/>
  <c r="AS14" i="1"/>
  <c r="BE25" i="1"/>
  <c r="BV154" i="1"/>
  <c r="BW154" i="1" s="1"/>
  <c r="R142" i="1"/>
  <c r="V79" i="1"/>
  <c r="AX24" i="1"/>
  <c r="BW9" i="1"/>
  <c r="AI20" i="1"/>
  <c r="BV20" i="1"/>
  <c r="M163" i="1"/>
  <c r="BG32" i="1"/>
  <c r="BG194" i="1" s="1"/>
  <c r="BC15" i="1"/>
  <c r="AY25" i="1"/>
  <c r="BM15" i="1"/>
  <c r="AY51" i="1"/>
  <c r="BH159" i="1"/>
  <c r="BW20" i="1"/>
  <c r="AQ21" i="1"/>
  <c r="AW20" i="1"/>
  <c r="L142" i="1"/>
  <c r="AW21" i="1"/>
  <c r="BQ8" i="1"/>
  <c r="BU47" i="1"/>
  <c r="BD9" i="1"/>
  <c r="BA51" i="1"/>
  <c r="BE24" i="1"/>
  <c r="BT51" i="1"/>
  <c r="BW24" i="1"/>
  <c r="BK25" i="1"/>
  <c r="BI9" i="1"/>
  <c r="B127" i="1"/>
  <c r="O132" i="1"/>
  <c r="BP32" i="1"/>
  <c r="BB24" i="1"/>
  <c r="AT36" i="1"/>
  <c r="BM20" i="1"/>
  <c r="BE14" i="1"/>
  <c r="AV51" i="1"/>
  <c r="BR45" i="1"/>
  <c r="F164" i="1"/>
  <c r="AW25" i="1"/>
  <c r="BO47" i="1"/>
  <c r="AN20" i="1"/>
  <c r="AN15" i="1"/>
  <c r="BH127" i="1"/>
  <c r="BI127" i="1" s="1"/>
  <c r="F132" i="1"/>
  <c r="AW46" i="1"/>
  <c r="AW45" i="1"/>
  <c r="AP47" i="1"/>
  <c r="BG24" i="1"/>
  <c r="BF39" i="1"/>
  <c r="BH145" i="1"/>
  <c r="J73" i="1"/>
  <c r="S160" i="1"/>
  <c r="BW15" i="1"/>
  <c r="AY9" i="1"/>
  <c r="BA25" i="1"/>
  <c r="BU21" i="1"/>
  <c r="AZ46" i="1"/>
  <c r="AU35" i="1"/>
  <c r="S147" i="1"/>
  <c r="AW47" i="1"/>
  <c r="AZ21" i="1"/>
  <c r="D160" i="1"/>
  <c r="H159" i="1"/>
  <c r="T145" i="1"/>
  <c r="T180" i="1" s="1"/>
  <c r="E136" i="1"/>
  <c r="D137" i="1"/>
  <c r="I147" i="1"/>
  <c r="C149" i="1"/>
  <c r="L67" i="1"/>
  <c r="S122" i="1"/>
  <c r="I163" i="1"/>
  <c r="S118" i="1"/>
  <c r="E74" i="1"/>
  <c r="H163" i="1"/>
  <c r="J164" i="1"/>
  <c r="Q119" i="1"/>
  <c r="F151" i="1"/>
  <c r="U143" i="1"/>
  <c r="AO8" i="1"/>
  <c r="BH22" i="1"/>
  <c r="BH140" i="1"/>
  <c r="BI140" i="1" s="1"/>
  <c r="BJ202" i="1" s="1"/>
  <c r="T119" i="1"/>
  <c r="S79" i="1"/>
  <c r="AU46" i="1"/>
  <c r="T142" i="1"/>
  <c r="AR35" i="1"/>
  <c r="N124" i="1"/>
  <c r="BN14" i="1"/>
  <c r="AX20" i="1"/>
  <c r="BC13" i="1"/>
  <c r="BB14" i="1"/>
  <c r="C78" i="1"/>
  <c r="BA20" i="1"/>
  <c r="AS22" i="1"/>
  <c r="AZ51" i="1"/>
  <c r="BH36" i="1"/>
  <c r="BH252" i="1" s="1"/>
  <c r="BI8" i="1"/>
  <c r="BI231" i="1" s="1"/>
  <c r="AI73" i="1"/>
  <c r="F146" i="1"/>
  <c r="BV131" i="1"/>
  <c r="BD51" i="1"/>
  <c r="AP46" i="1"/>
  <c r="BF25" i="1"/>
  <c r="BA24" i="1"/>
  <c r="BQ24" i="1"/>
  <c r="AY32" i="1"/>
  <c r="AY194" i="1" s="1"/>
  <c r="AY36" i="1"/>
  <c r="AT20" i="1"/>
  <c r="AX9" i="1"/>
  <c r="U122" i="1"/>
  <c r="W164" i="1"/>
  <c r="AW15" i="1"/>
  <c r="BW21" i="1"/>
  <c r="AV39" i="1"/>
  <c r="BS46" i="1"/>
  <c r="Q164" i="1"/>
  <c r="BA21" i="1"/>
  <c r="BN32" i="1"/>
  <c r="P159" i="1"/>
  <c r="P161" i="1" s="1"/>
  <c r="Q209" i="1" s="1"/>
  <c r="BV46" i="1"/>
  <c r="AQ14" i="1"/>
  <c r="BC51" i="1"/>
  <c r="BC22" i="1"/>
  <c r="BH122" i="1"/>
  <c r="BI122" i="1" s="1"/>
  <c r="T77" i="1"/>
  <c r="V147" i="1"/>
  <c r="AI25" i="1"/>
  <c r="BW32" i="1"/>
  <c r="BW194" i="1" s="1"/>
  <c r="AZ20" i="1"/>
  <c r="S73" i="1"/>
  <c r="K150" i="1"/>
  <c r="AS47" i="1"/>
  <c r="BO24" i="1"/>
  <c r="W126" i="1"/>
  <c r="W154" i="1" s="1"/>
  <c r="W127" i="1"/>
  <c r="S117" i="1"/>
  <c r="G117" i="1"/>
  <c r="O126" i="1"/>
  <c r="O154" i="1" s="1"/>
  <c r="N153" i="1"/>
  <c r="N183" i="1" s="1"/>
  <c r="U78" i="1"/>
  <c r="V125" i="1"/>
  <c r="P124" i="1"/>
  <c r="C159" i="1"/>
  <c r="F163" i="1"/>
  <c r="K147" i="1"/>
  <c r="Q147" i="1"/>
  <c r="J171" i="1"/>
  <c r="B163" i="1"/>
  <c r="D151" i="1"/>
  <c r="R74" i="1"/>
  <c r="D78" i="1"/>
  <c r="C153" i="1"/>
  <c r="C183" i="1" s="1"/>
  <c r="K135" i="1"/>
  <c r="K131" i="1" s="1"/>
  <c r="AX22" i="1"/>
  <c r="AK74" i="1"/>
  <c r="BV15" i="1"/>
  <c r="AW35" i="1"/>
  <c r="BS47" i="1"/>
  <c r="BN20" i="1"/>
  <c r="BV13" i="1"/>
  <c r="BH149" i="1"/>
  <c r="O122" i="1"/>
  <c r="F133" i="1"/>
  <c r="S127" i="1"/>
  <c r="I118" i="1"/>
  <c r="I136" i="1"/>
  <c r="H135" i="1"/>
  <c r="H131" i="1" s="1"/>
  <c r="O117" i="1"/>
  <c r="Q125" i="1"/>
  <c r="P170" i="1"/>
  <c r="S144" i="1"/>
  <c r="S179" i="1" s="1"/>
  <c r="BM45" i="1"/>
  <c r="AO25" i="1"/>
  <c r="AR36" i="1"/>
  <c r="AR252" i="1" s="1"/>
  <c r="BH124" i="1"/>
  <c r="W122" i="1"/>
  <c r="N149" i="1"/>
  <c r="D73" i="1"/>
  <c r="M74" i="1"/>
  <c r="Q144" i="1"/>
  <c r="Q179" i="1" s="1"/>
  <c r="R163" i="1"/>
  <c r="J118" i="1"/>
  <c r="E126" i="1"/>
  <c r="E154" i="1" s="1"/>
  <c r="L144" i="1"/>
  <c r="L179" i="1" s="1"/>
  <c r="V132" i="1"/>
  <c r="S145" i="1"/>
  <c r="S180" i="1" s="1"/>
  <c r="Q137" i="1"/>
  <c r="BI22" i="1"/>
  <c r="BU25" i="1"/>
  <c r="BK39" i="1"/>
  <c r="AO45" i="1"/>
  <c r="BT45" i="1"/>
  <c r="BH25" i="1"/>
  <c r="AQ46" i="1"/>
  <c r="AU22" i="1"/>
  <c r="BV118" i="1"/>
  <c r="BW118" i="1" s="1"/>
  <c r="T79" i="1"/>
  <c r="Q136" i="1"/>
  <c r="U79" i="1"/>
  <c r="V160" i="1"/>
  <c r="D64" i="1"/>
  <c r="F73" i="1"/>
  <c r="Q170" i="1"/>
  <c r="T127" i="1"/>
  <c r="P137" i="1"/>
  <c r="K151" i="1"/>
  <c r="J146" i="1"/>
  <c r="F145" i="1"/>
  <c r="F180" i="1" s="1"/>
  <c r="U144" i="1"/>
  <c r="P77" i="1"/>
  <c r="K142" i="1"/>
  <c r="V74" i="1"/>
  <c r="C164" i="1"/>
  <c r="W163" i="1"/>
  <c r="I73" i="1"/>
  <c r="K159" i="1"/>
  <c r="J78" i="1"/>
  <c r="BB32" i="1"/>
  <c r="AV32" i="1"/>
  <c r="AV194" i="1" s="1"/>
  <c r="BV51" i="1"/>
  <c r="BU35" i="1"/>
  <c r="AU8" i="1"/>
  <c r="BM24" i="1"/>
  <c r="BO22" i="1"/>
  <c r="BE21" i="1"/>
  <c r="BH74" i="1"/>
  <c r="L118" i="1"/>
  <c r="P150" i="1"/>
  <c r="C171" i="1"/>
  <c r="I74" i="1"/>
  <c r="F172" i="1"/>
  <c r="R143" i="1"/>
  <c r="O146" i="1"/>
  <c r="G74" i="1"/>
  <c r="W140" i="1"/>
  <c r="BK32" i="1"/>
  <c r="AT39" i="1"/>
  <c r="BN46" i="1"/>
  <c r="BB39" i="1"/>
  <c r="AP36" i="1"/>
  <c r="AZ45" i="1"/>
  <c r="BS36" i="1"/>
  <c r="BP21" i="1"/>
  <c r="BV137" i="1"/>
  <c r="BW137" i="1" s="1"/>
  <c r="U171" i="1"/>
  <c r="H146" i="1"/>
  <c r="P73" i="1"/>
  <c r="T149" i="1"/>
  <c r="P125" i="1"/>
  <c r="C163" i="1"/>
  <c r="S170" i="1"/>
  <c r="B143" i="1"/>
  <c r="S150" i="1"/>
  <c r="K78" i="1"/>
  <c r="S143" i="1"/>
  <c r="AR51" i="1"/>
  <c r="BI20" i="1"/>
  <c r="AN36" i="1"/>
  <c r="BV47" i="1"/>
  <c r="AY20" i="1"/>
  <c r="BV127" i="1"/>
  <c r="BW127" i="1" s="1"/>
  <c r="W136" i="1"/>
  <c r="P147" i="1"/>
  <c r="C145" i="1"/>
  <c r="C180" i="1" s="1"/>
  <c r="L145" i="1"/>
  <c r="L180" i="1" s="1"/>
  <c r="O153" i="1"/>
  <c r="O183" i="1" s="1"/>
  <c r="N119" i="1"/>
  <c r="H140" i="1"/>
  <c r="E67" i="1"/>
  <c r="M170" i="1"/>
  <c r="R126" i="1"/>
  <c r="R154" i="1" s="1"/>
  <c r="P122" i="1"/>
  <c r="D142" i="1"/>
  <c r="B78" i="1"/>
  <c r="M147" i="1"/>
  <c r="B133" i="1"/>
  <c r="O160" i="1"/>
  <c r="W145" i="1"/>
  <c r="BP15" i="1"/>
  <c r="BV163" i="1"/>
  <c r="BW163" i="1" s="1"/>
  <c r="D140" i="1"/>
  <c r="AS21" i="1"/>
  <c r="BA45" i="1"/>
  <c r="AW32" i="1"/>
  <c r="AW194" i="1" s="1"/>
  <c r="BP45" i="1"/>
  <c r="AS36" i="1"/>
  <c r="BV142" i="1"/>
  <c r="BW142" i="1" s="1"/>
  <c r="O67" i="1"/>
  <c r="J153" i="1"/>
  <c r="J183" i="1" s="1"/>
  <c r="BO25" i="1"/>
  <c r="BF24" i="1"/>
  <c r="BO21" i="1"/>
  <c r="BQ47" i="1"/>
  <c r="BA36" i="1"/>
  <c r="AR32" i="1"/>
  <c r="AR194" i="1" s="1"/>
  <c r="AX46" i="1"/>
  <c r="BH137" i="1"/>
  <c r="BI137" i="1" s="1"/>
  <c r="S171" i="1"/>
  <c r="BT13" i="1"/>
  <c r="AQ32" i="1"/>
  <c r="BR35" i="1"/>
  <c r="AI14" i="1"/>
  <c r="G145" i="1"/>
  <c r="G180" i="1" s="1"/>
  <c r="BW22" i="1"/>
  <c r="BA32" i="1"/>
  <c r="AS24" i="1"/>
  <c r="BV119" i="1"/>
  <c r="J143" i="1"/>
  <c r="R127" i="1"/>
  <c r="R164" i="1"/>
  <c r="D127" i="1"/>
  <c r="W150" i="1"/>
  <c r="J137" i="1"/>
  <c r="I155" i="1"/>
  <c r="E140" i="1"/>
  <c r="H164" i="1"/>
  <c r="W149" i="1"/>
  <c r="W143" i="1"/>
  <c r="L172" i="1"/>
  <c r="T74" i="1"/>
  <c r="U136" i="1"/>
  <c r="Q143" i="1"/>
  <c r="B172" i="1"/>
  <c r="U124" i="1"/>
  <c r="M119" i="1"/>
  <c r="J142" i="1"/>
  <c r="S125" i="1"/>
  <c r="N126" i="1"/>
  <c r="N154" i="1" s="1"/>
  <c r="V159" i="1"/>
  <c r="C122" i="1"/>
  <c r="F124" i="1"/>
  <c r="K172" i="1"/>
  <c r="L170" i="1"/>
  <c r="S151" i="1"/>
  <c r="J140" i="1"/>
  <c r="K122" i="1"/>
  <c r="O124" i="1"/>
  <c r="B118" i="1"/>
  <c r="C67" i="1"/>
  <c r="Q127" i="1"/>
  <c r="Q135" i="1"/>
  <c r="Q131" i="1" s="1"/>
  <c r="E149" i="1"/>
  <c r="BF51" i="1"/>
  <c r="AX35" i="1"/>
  <c r="BQ9" i="1"/>
  <c r="BD36" i="1"/>
  <c r="BC8" i="1"/>
  <c r="BC231" i="1" s="1"/>
  <c r="AR9" i="1"/>
  <c r="BQ39" i="1"/>
  <c r="BU22" i="1"/>
  <c r="BJ46" i="1"/>
  <c r="BH160" i="1"/>
  <c r="N137" i="1"/>
  <c r="I145" i="1"/>
  <c r="I180" i="1" s="1"/>
  <c r="L119" i="1"/>
  <c r="D164" i="1"/>
  <c r="W118" i="1"/>
  <c r="Q73" i="1"/>
  <c r="Q132" i="1"/>
  <c r="B137" i="1"/>
  <c r="B117" i="1"/>
  <c r="F140" i="1"/>
  <c r="O164" i="1"/>
  <c r="BV21" i="1"/>
  <c r="BN51" i="1"/>
  <c r="BJ32" i="1"/>
  <c r="BJ253" i="1" s="1"/>
  <c r="BV143" i="1"/>
  <c r="BW143" i="1" s="1"/>
  <c r="U145" i="1"/>
  <c r="U180" i="1" s="1"/>
  <c r="G137" i="1"/>
  <c r="L146" i="1"/>
  <c r="D149" i="1"/>
  <c r="B77" i="1"/>
  <c r="I144" i="1"/>
  <c r="I179" i="1" s="1"/>
  <c r="V171" i="1"/>
  <c r="I159" i="1"/>
  <c r="I160" i="1"/>
  <c r="I127" i="1"/>
  <c r="S133" i="1"/>
  <c r="K170" i="1"/>
  <c r="U77" i="1"/>
  <c r="BT32" i="1"/>
  <c r="BR14" i="1"/>
  <c r="BQ13" i="1"/>
  <c r="BN13" i="1"/>
  <c r="AI51" i="1"/>
  <c r="BP23" i="1"/>
  <c r="BG51" i="1"/>
  <c r="BS23" i="1"/>
  <c r="BK23" i="1"/>
  <c r="BH126" i="1"/>
  <c r="BI126" i="1" s="1"/>
  <c r="W170" i="1"/>
  <c r="J117" i="1"/>
  <c r="S172" i="1"/>
  <c r="G124" i="1"/>
  <c r="E153" i="1"/>
  <c r="E183" i="1" s="1"/>
  <c r="R73" i="1"/>
  <c r="U119" i="1"/>
  <c r="J135" i="1"/>
  <c r="J131" i="1" s="1"/>
  <c r="F142" i="1"/>
  <c r="T163" i="1"/>
  <c r="G142" i="1"/>
  <c r="Q145" i="1"/>
  <c r="Q180" i="1" s="1"/>
  <c r="M78" i="1"/>
  <c r="N144" i="1"/>
  <c r="I78" i="1"/>
  <c r="O170" i="1"/>
  <c r="L77" i="1"/>
  <c r="BB46" i="1"/>
  <c r="BE23" i="1"/>
  <c r="BW51" i="1"/>
  <c r="BI36" i="1"/>
  <c r="BP20" i="1"/>
  <c r="BJ9" i="1"/>
  <c r="BJ10" i="1" s="1"/>
  <c r="BJ16" i="1" s="1"/>
  <c r="BK13" i="1"/>
  <c r="AX39" i="1"/>
  <c r="BV160" i="1"/>
  <c r="P143" i="1"/>
  <c r="F118" i="1"/>
  <c r="N151" i="1"/>
  <c r="R125" i="1"/>
  <c r="S146" i="1"/>
  <c r="O142" i="1"/>
  <c r="D119" i="1"/>
  <c r="N143" i="1"/>
  <c r="T153" i="1"/>
  <c r="T183" i="1" s="1"/>
  <c r="U118" i="1"/>
  <c r="BS35" i="1"/>
  <c r="BV24" i="1"/>
  <c r="BR13" i="1"/>
  <c r="AV9" i="1"/>
  <c r="BN24" i="1"/>
  <c r="BB20" i="1"/>
  <c r="T150" i="1"/>
  <c r="V133" i="1"/>
  <c r="M159" i="1"/>
  <c r="K143" i="1"/>
  <c r="G143" i="1"/>
  <c r="Q159" i="1"/>
  <c r="J124" i="1"/>
  <c r="U160" i="1"/>
  <c r="H153" i="1"/>
  <c r="H183" i="1" s="1"/>
  <c r="H125" i="1"/>
  <c r="H133" i="1"/>
  <c r="BR39" i="1"/>
  <c r="BU45" i="1"/>
  <c r="AY46" i="1"/>
  <c r="B79" i="1"/>
  <c r="C77" i="1"/>
  <c r="V144" i="1"/>
  <c r="V179" i="1" s="1"/>
  <c r="B159" i="1"/>
  <c r="P117" i="1"/>
  <c r="N170" i="1"/>
  <c r="V119" i="1"/>
  <c r="T144" i="1"/>
  <c r="T179" i="1" s="1"/>
  <c r="Q117" i="1"/>
  <c r="M126" i="1"/>
  <c r="B153" i="1"/>
  <c r="B183" i="1" s="1"/>
  <c r="T171" i="1"/>
  <c r="Q163" i="1"/>
  <c r="G149" i="1"/>
  <c r="U151" i="1"/>
  <c r="H151" i="1"/>
  <c r="I142" i="1"/>
  <c r="S74" i="1"/>
  <c r="K132" i="1"/>
  <c r="O171" i="1"/>
  <c r="G170" i="1"/>
  <c r="D146" i="1"/>
  <c r="K149" i="1"/>
  <c r="W172" i="1"/>
  <c r="K73" i="1"/>
  <c r="H147" i="1"/>
  <c r="H77" i="1"/>
  <c r="C160" i="1"/>
  <c r="BK21" i="1"/>
  <c r="AO22" i="1"/>
  <c r="BK51" i="1"/>
  <c r="AN22" i="1"/>
  <c r="BV45" i="1"/>
  <c r="AO47" i="1"/>
  <c r="AT23" i="1"/>
  <c r="AO32" i="1"/>
  <c r="AO194" i="1" s="1"/>
  <c r="BN35" i="1"/>
  <c r="BV145" i="1"/>
  <c r="E172" i="1"/>
  <c r="K137" i="1"/>
  <c r="F135" i="1"/>
  <c r="F131" i="1" s="1"/>
  <c r="H67" i="1"/>
  <c r="D147" i="1"/>
  <c r="H126" i="1"/>
  <c r="H154" i="1" s="1"/>
  <c r="D172" i="1"/>
  <c r="J125" i="1"/>
  <c r="G127" i="1"/>
  <c r="V118" i="1"/>
  <c r="B124" i="1"/>
  <c r="K117" i="1"/>
  <c r="E118" i="1"/>
  <c r="R119" i="1"/>
  <c r="I140" i="1"/>
  <c r="M122" i="1"/>
  <c r="T147" i="1"/>
  <c r="R147" i="1"/>
  <c r="AZ15" i="1"/>
  <c r="BI21" i="1"/>
  <c r="AX8" i="1"/>
  <c r="AI36" i="1"/>
  <c r="AS39" i="1"/>
  <c r="BF13" i="1"/>
  <c r="BH155" i="1"/>
  <c r="BI155" i="1" s="1"/>
  <c r="S132" i="1"/>
  <c r="C136" i="1"/>
  <c r="E127" i="1"/>
  <c r="S164" i="1"/>
  <c r="R78" i="1"/>
  <c r="T137" i="1"/>
  <c r="T124" i="1"/>
  <c r="D117" i="1"/>
  <c r="Q146" i="1"/>
  <c r="F143" i="1"/>
  <c r="F78" i="1"/>
  <c r="AZ9" i="1"/>
  <c r="BM25" i="1"/>
  <c r="AO39" i="1"/>
  <c r="AT13" i="1"/>
  <c r="AZ36" i="1"/>
  <c r="BH147" i="1"/>
  <c r="BI147" i="1" s="1"/>
  <c r="L79" i="1"/>
  <c r="V146" i="1"/>
  <c r="W135" i="1"/>
  <c r="W131" i="1" s="1"/>
  <c r="G147" i="1"/>
  <c r="R117" i="1"/>
  <c r="M171" i="1"/>
  <c r="R122" i="1"/>
  <c r="W171" i="1"/>
  <c r="G126" i="1"/>
  <c r="G154" i="1" s="1"/>
  <c r="C64" i="1"/>
  <c r="E147" i="1"/>
  <c r="D159" i="1"/>
  <c r="P119" i="1"/>
  <c r="V124" i="1"/>
  <c r="J147" i="1"/>
  <c r="O140" i="1"/>
  <c r="F122" i="1"/>
  <c r="T118" i="1"/>
  <c r="BF9" i="1"/>
  <c r="BB15" i="1"/>
  <c r="AI45" i="1"/>
  <c r="BM32" i="1"/>
  <c r="BO20" i="1"/>
  <c r="BV132" i="1"/>
  <c r="BH142" i="1"/>
  <c r="V73" i="1"/>
  <c r="O127" i="1"/>
  <c r="O155" i="1"/>
  <c r="M135" i="1"/>
  <c r="M131" i="1" s="1"/>
  <c r="Q172" i="1"/>
  <c r="T143" i="1"/>
  <c r="F155" i="1"/>
  <c r="Q155" i="1"/>
  <c r="N155" i="1"/>
  <c r="H117" i="1"/>
  <c r="P79" i="1"/>
  <c r="W77" i="1"/>
  <c r="I153" i="1"/>
  <c r="I183" i="1" s="1"/>
  <c r="AM73" i="1"/>
  <c r="AT32" i="1"/>
  <c r="AT194" i="1" s="1"/>
  <c r="BA8" i="1"/>
  <c r="BA231" i="1" s="1"/>
  <c r="AX51" i="1"/>
  <c r="BG21" i="1"/>
  <c r="BS15" i="1"/>
  <c r="BV14" i="1"/>
  <c r="H172" i="1"/>
  <c r="B67" i="1"/>
  <c r="N147" i="1"/>
  <c r="K163" i="1"/>
  <c r="D155" i="1"/>
  <c r="U153" i="1"/>
  <c r="U183" i="1" s="1"/>
  <c r="O73" i="1"/>
  <c r="E164" i="1"/>
  <c r="W155" i="1"/>
  <c r="L126" i="1"/>
  <c r="L154" i="1" s="1"/>
  <c r="M136" i="1"/>
  <c r="F79" i="1"/>
  <c r="G119" i="1"/>
  <c r="BF35" i="1"/>
  <c r="BM35" i="1"/>
  <c r="BH153" i="1"/>
  <c r="B171" i="1"/>
  <c r="D143" i="1"/>
  <c r="I135" i="1"/>
  <c r="I131" i="1" s="1"/>
  <c r="L78" i="1"/>
  <c r="J67" i="1"/>
  <c r="I77" i="1"/>
  <c r="O147" i="1"/>
  <c r="M117" i="1"/>
  <c r="T125" i="1"/>
  <c r="M127" i="1"/>
  <c r="F159" i="1"/>
  <c r="U155" i="1"/>
  <c r="U73" i="1"/>
  <c r="B135" i="1"/>
  <c r="U135" i="1"/>
  <c r="U131" i="1" s="1"/>
  <c r="P151" i="1"/>
  <c r="W133" i="1"/>
  <c r="L149" i="1"/>
  <c r="E160" i="1"/>
  <c r="E161" i="1" s="1"/>
  <c r="F209" i="1" s="1"/>
  <c r="O74" i="1"/>
  <c r="BQ51" i="1"/>
  <c r="AQ20" i="1"/>
  <c r="BU8" i="1"/>
  <c r="BU231" i="1" s="1"/>
  <c r="BB21" i="1"/>
  <c r="BT25" i="1"/>
  <c r="BI14" i="1"/>
  <c r="BQ46" i="1"/>
  <c r="AT51" i="1"/>
  <c r="AT25" i="1"/>
  <c r="BV149" i="1"/>
  <c r="BW149" i="1" s="1"/>
  <c r="AP23" i="1"/>
  <c r="BI13" i="1"/>
  <c r="AT8" i="1"/>
  <c r="BA23" i="1"/>
  <c r="AU15" i="1"/>
  <c r="BI25" i="1"/>
  <c r="D145" i="1"/>
  <c r="D180" i="1" s="1"/>
  <c r="P118" i="1"/>
  <c r="P144" i="1"/>
  <c r="P179" i="1" s="1"/>
  <c r="AY13" i="1"/>
  <c r="BR8" i="1"/>
  <c r="BR231" i="1" s="1"/>
  <c r="AP24" i="1"/>
  <c r="BT9" i="1"/>
  <c r="G79" i="1"/>
  <c r="BF20" i="1"/>
  <c r="AY22" i="1"/>
  <c r="AY35" i="1"/>
  <c r="BD8" i="1"/>
  <c r="AR24" i="1"/>
  <c r="BU20" i="1"/>
  <c r="BH13" i="1"/>
  <c r="BE15" i="1"/>
  <c r="F137" i="1"/>
  <c r="Q74" i="1"/>
  <c r="R77" i="1"/>
  <c r="BK8" i="1"/>
  <c r="BP8" i="1"/>
  <c r="BP231" i="1" s="1"/>
  <c r="AZ39" i="1"/>
  <c r="AP15" i="1"/>
  <c r="AN14" i="1"/>
  <c r="BS25" i="1"/>
  <c r="BI46" i="1"/>
  <c r="AR21" i="1"/>
  <c r="BE35" i="1"/>
  <c r="BD13" i="1"/>
  <c r="O151" i="1"/>
  <c r="BQ45" i="1"/>
  <c r="AQ51" i="1"/>
  <c r="AY21" i="1"/>
  <c r="BH35" i="1"/>
  <c r="AV36" i="1"/>
  <c r="AI32" i="1"/>
  <c r="AI194" i="1" s="1"/>
  <c r="T133" i="1"/>
  <c r="M132" i="1"/>
  <c r="E122" i="1"/>
  <c r="L136" i="1"/>
  <c r="W78" i="1"/>
  <c r="E119" i="1"/>
  <c r="V137" i="1"/>
  <c r="G146" i="1"/>
  <c r="H124" i="1"/>
  <c r="E142" i="1"/>
  <c r="G171" i="1"/>
  <c r="H144" i="1"/>
  <c r="K171" i="1"/>
  <c r="T155" i="1"/>
  <c r="S135" i="1"/>
  <c r="S131" i="1" s="1"/>
  <c r="G118" i="1"/>
  <c r="I126" i="1"/>
  <c r="I154" i="1" s="1"/>
  <c r="K127" i="1"/>
  <c r="L135" i="1"/>
  <c r="L131" i="1" s="1"/>
  <c r="W79" i="1"/>
  <c r="J151" i="1"/>
  <c r="N136" i="1"/>
  <c r="N171" i="1"/>
  <c r="R124" i="1"/>
  <c r="P78" i="1"/>
  <c r="D153" i="1"/>
  <c r="D183" i="1" s="1"/>
  <c r="J150" i="1"/>
  <c r="T136" i="1"/>
  <c r="O136" i="1"/>
  <c r="J149" i="1"/>
  <c r="N145" i="1"/>
  <c r="N180" i="1" s="1"/>
  <c r="BS13" i="1"/>
  <c r="BR36" i="1"/>
  <c r="BE9" i="1"/>
  <c r="BD47" i="1"/>
  <c r="BE20" i="1"/>
  <c r="BF15" i="1"/>
  <c r="BV125" i="1"/>
  <c r="BW125" i="1" s="1"/>
  <c r="W73" i="1"/>
  <c r="F126" i="1"/>
  <c r="F154" i="1" s="1"/>
  <c r="E146" i="1"/>
  <c r="N67" i="1"/>
  <c r="C135" i="1"/>
  <c r="E163" i="1"/>
  <c r="E77" i="1"/>
  <c r="K125" i="1"/>
  <c r="J79" i="1"/>
  <c r="I172" i="1"/>
  <c r="G67" i="1"/>
  <c r="AQ13" i="1"/>
  <c r="AQ8" i="1"/>
  <c r="AQ231" i="1" s="1"/>
  <c r="AN51" i="1"/>
  <c r="BV8" i="1"/>
  <c r="BV231" i="1" s="1"/>
  <c r="BW25" i="1"/>
  <c r="BH146" i="1"/>
  <c r="BI146" i="1" s="1"/>
  <c r="H143" i="1"/>
  <c r="F144" i="1"/>
  <c r="F179" i="1" s="1"/>
  <c r="J160" i="1"/>
  <c r="Q140" i="1"/>
  <c r="M77" i="1"/>
  <c r="R140" i="1"/>
  <c r="W142" i="1"/>
  <c r="P126" i="1"/>
  <c r="P154" i="1" s="1"/>
  <c r="S137" i="1"/>
  <c r="R145" i="1"/>
  <c r="R180" i="1" s="1"/>
  <c r="D67" i="1"/>
  <c r="M150" i="1"/>
  <c r="AO36" i="1"/>
  <c r="AT9" i="1"/>
  <c r="BF32" i="1"/>
  <c r="BF194" i="1" s="1"/>
  <c r="BC25" i="1"/>
  <c r="AU32" i="1"/>
  <c r="AU194" i="1" s="1"/>
  <c r="AP20" i="1"/>
  <c r="BV153" i="1"/>
  <c r="BV117" i="1"/>
  <c r="F160" i="1"/>
  <c r="T73" i="1"/>
  <c r="D79" i="1"/>
  <c r="R136" i="1"/>
  <c r="K67" i="1"/>
  <c r="P171" i="1"/>
  <c r="P145" i="1"/>
  <c r="P180" i="1" s="1"/>
  <c r="B170" i="1"/>
  <c r="D132" i="1"/>
  <c r="R137" i="1"/>
  <c r="J74" i="1"/>
  <c r="E125" i="1"/>
  <c r="C151" i="1"/>
  <c r="R160" i="1"/>
  <c r="L153" i="1"/>
  <c r="L183" i="1" s="1"/>
  <c r="P164" i="1"/>
  <c r="BK47" i="1"/>
  <c r="BW46" i="1"/>
  <c r="AR14" i="1"/>
  <c r="BJ36" i="1"/>
  <c r="BJ252" i="1" s="1"/>
  <c r="AZ22" i="1"/>
  <c r="AZ23" i="1"/>
  <c r="AI21" i="1"/>
  <c r="BS14" i="1"/>
  <c r="BM21" i="1"/>
  <c r="BR9" i="1"/>
  <c r="BH133" i="1"/>
  <c r="BV133" i="1"/>
  <c r="C127" i="1"/>
  <c r="V67" i="1"/>
  <c r="J136" i="1"/>
  <c r="B64" i="1"/>
  <c r="B155" i="1"/>
  <c r="B119" i="1"/>
  <c r="T122" i="1"/>
  <c r="G135" i="1"/>
  <c r="G131" i="1" s="1"/>
  <c r="R155" i="1"/>
  <c r="U170" i="1"/>
  <c r="AN24" i="1"/>
  <c r="AJ74" i="1"/>
  <c r="BP9" i="1"/>
  <c r="BK15" i="1"/>
  <c r="BW39" i="1"/>
  <c r="AI22" i="1"/>
  <c r="BV126" i="1"/>
  <c r="BW126" i="1" s="1"/>
  <c r="U164" i="1"/>
  <c r="C74" i="1"/>
  <c r="L133" i="1"/>
  <c r="O163" i="1"/>
  <c r="I170" i="1"/>
  <c r="P133" i="1"/>
  <c r="N122" i="1"/>
  <c r="H132" i="1"/>
  <c r="U150" i="1"/>
  <c r="D163" i="1"/>
  <c r="B149" i="1"/>
  <c r="P74" i="1"/>
  <c r="AN35" i="1"/>
  <c r="AU47" i="1"/>
  <c r="BH39" i="1"/>
  <c r="AM74" i="1"/>
  <c r="AU9" i="1"/>
  <c r="AW39" i="1"/>
  <c r="BG14" i="1"/>
  <c r="AO35" i="1"/>
  <c r="BV164" i="1"/>
  <c r="BW164" i="1" s="1"/>
  <c r="D118" i="1"/>
  <c r="W153" i="1"/>
  <c r="F170" i="1"/>
  <c r="R159" i="1"/>
  <c r="R161" i="1" s="1"/>
  <c r="G151" i="1"/>
  <c r="R149" i="1"/>
  <c r="K140" i="1"/>
  <c r="O159" i="1"/>
  <c r="Q118" i="1"/>
  <c r="N159" i="1"/>
  <c r="P67" i="1"/>
  <c r="E143" i="1"/>
  <c r="M118" i="1"/>
  <c r="U117" i="1"/>
  <c r="F171" i="1"/>
  <c r="B144" i="1"/>
  <c r="B179" i="1" s="1"/>
  <c r="M172" i="1"/>
  <c r="K79" i="1"/>
  <c r="P172" i="1"/>
  <c r="Q150" i="1"/>
  <c r="L160" i="1"/>
  <c r="L122" i="1"/>
  <c r="O78" i="1"/>
  <c r="D133" i="1"/>
  <c r="U159" i="1"/>
  <c r="H160" i="1"/>
  <c r="C147" i="1"/>
  <c r="BV9" i="1"/>
  <c r="AO13" i="1"/>
  <c r="BH51" i="1"/>
  <c r="AU24" i="1"/>
  <c r="BI39" i="1"/>
  <c r="BA15" i="1"/>
  <c r="AK73" i="1"/>
  <c r="O145" i="1"/>
  <c r="O180" i="1" s="1"/>
  <c r="P135" i="1"/>
  <c r="P131" i="1" s="1"/>
  <c r="U127" i="1"/>
  <c r="K146" i="1"/>
  <c r="V153" i="1"/>
  <c r="V183" i="1" s="1"/>
  <c r="N77" i="1"/>
  <c r="P132" i="1"/>
  <c r="U163" i="1"/>
  <c r="O144" i="1"/>
  <c r="O179" i="1" s="1"/>
  <c r="BT39" i="1"/>
  <c r="BO45" i="1"/>
  <c r="BG8" i="1"/>
  <c r="AS9" i="1"/>
  <c r="AT45" i="1"/>
  <c r="BH9" i="1"/>
  <c r="BH132" i="1"/>
  <c r="BH119" i="1"/>
  <c r="L137" i="1"/>
  <c r="L150" i="1"/>
  <c r="W125" i="1"/>
  <c r="C73" i="1"/>
  <c r="C126" i="1"/>
  <c r="C154" i="1" s="1"/>
  <c r="W67" i="1"/>
  <c r="N164" i="1"/>
  <c r="J122" i="1"/>
  <c r="Q160" i="1"/>
  <c r="W159" i="1"/>
  <c r="N125" i="1"/>
  <c r="G78" i="1"/>
  <c r="BG20" i="1"/>
  <c r="AY47" i="1"/>
  <c r="AQ25" i="1"/>
  <c r="AV22" i="1"/>
  <c r="BA14" i="1"/>
  <c r="AM47" i="1"/>
  <c r="AT47" i="1"/>
  <c r="BV159" i="1"/>
  <c r="B132" i="1"/>
  <c r="F150" i="1"/>
  <c r="R67" i="1"/>
  <c r="N133" i="1"/>
  <c r="S126" i="1"/>
  <c r="S154" i="1" s="1"/>
  <c r="U149" i="1"/>
  <c r="U67" i="1"/>
  <c r="E151" i="1"/>
  <c r="P163" i="1"/>
  <c r="R150" i="1"/>
  <c r="O143" i="1"/>
  <c r="O150" i="1"/>
  <c r="S78" i="1"/>
  <c r="M144" i="1"/>
  <c r="M179" i="1" s="1"/>
  <c r="K74" i="1"/>
  <c r="V140" i="1"/>
  <c r="O137" i="1"/>
  <c r="N163" i="1"/>
  <c r="H137" i="1"/>
  <c r="T146" i="1"/>
  <c r="J159" i="1"/>
  <c r="AU14" i="1"/>
  <c r="BU46" i="1"/>
  <c r="BS45" i="1"/>
  <c r="AV21" i="1"/>
  <c r="BD39" i="1"/>
  <c r="BR24" i="1"/>
  <c r="BV32" i="1"/>
  <c r="BV194" i="1" s="1"/>
  <c r="BT14" i="1"/>
  <c r="BK22" i="1"/>
  <c r="BD14" i="1"/>
  <c r="AX25" i="1"/>
  <c r="B126" i="1"/>
  <c r="B154" i="1" s="1"/>
  <c r="P149" i="1"/>
  <c r="W119" i="1"/>
  <c r="N150" i="1"/>
  <c r="W124" i="1"/>
  <c r="I151" i="1"/>
  <c r="I117" i="1"/>
  <c r="C172" i="1"/>
  <c r="F119" i="1"/>
  <c r="BP25" i="1"/>
  <c r="AI8" i="1"/>
  <c r="AQ22" i="1"/>
  <c r="AR20" i="1"/>
  <c r="AT22" i="1"/>
  <c r="BQ21" i="1"/>
  <c r="BK36" i="1"/>
  <c r="BC47" i="1"/>
  <c r="BV122" i="1"/>
  <c r="BW122" i="1" s="1"/>
  <c r="BV151" i="1"/>
  <c r="BW151" i="1" s="1"/>
  <c r="M155" i="1"/>
  <c r="C119" i="1"/>
  <c r="C133" i="1"/>
  <c r="Q124" i="1"/>
  <c r="K144" i="1"/>
  <c r="K179" i="1" s="1"/>
  <c r="L163" i="1"/>
  <c r="Q79" i="1"/>
  <c r="D124" i="1"/>
  <c r="F74" i="1"/>
  <c r="U126" i="1"/>
  <c r="U154" i="1" s="1"/>
  <c r="H136" i="1"/>
  <c r="T151" i="1"/>
  <c r="AP9" i="1"/>
  <c r="AQ24" i="1"/>
  <c r="BT8" i="1"/>
  <c r="BO13" i="1"/>
  <c r="BO15" i="1"/>
  <c r="AV13" i="1"/>
  <c r="BH125" i="1"/>
  <c r="BI125" i="1" s="1"/>
  <c r="J77" i="1"/>
  <c r="R118" i="1"/>
  <c r="B147" i="1"/>
  <c r="I133" i="1"/>
  <c r="L143" i="1"/>
  <c r="L151" i="1"/>
  <c r="U125" i="1"/>
  <c r="K124" i="1"/>
  <c r="S153" i="1"/>
  <c r="S183" i="1" s="1"/>
  <c r="P140" i="1"/>
  <c r="E132" i="1"/>
  <c r="Q151" i="1"/>
  <c r="T172" i="1"/>
  <c r="N73" i="1"/>
  <c r="V150" i="1"/>
  <c r="I79" i="1"/>
  <c r="N118" i="1"/>
  <c r="T117" i="1"/>
  <c r="B125" i="1"/>
  <c r="D144" i="1"/>
  <c r="D179" i="1" s="1"/>
  <c r="E124" i="1"/>
  <c r="F117" i="1"/>
  <c r="H118" i="1"/>
  <c r="E73" i="1"/>
  <c r="N132" i="1"/>
  <c r="S159" i="1"/>
  <c r="C142" i="1"/>
  <c r="T159" i="1"/>
  <c r="C170" i="1"/>
  <c r="O133" i="1"/>
  <c r="H171" i="1"/>
  <c r="G77" i="1"/>
  <c r="D150" i="1"/>
  <c r="Q133" i="1"/>
  <c r="U147" i="1"/>
  <c r="M133" i="1"/>
  <c r="BH23" i="1"/>
  <c r="AW23" i="1"/>
  <c r="BG15" i="1"/>
  <c r="BR22" i="1"/>
  <c r="AI24" i="1"/>
  <c r="AR39" i="1"/>
  <c r="BH164" i="1"/>
  <c r="BI164" i="1" s="1"/>
  <c r="R133" i="1"/>
  <c r="D125" i="1"/>
  <c r="S140" i="1"/>
  <c r="L171" i="1"/>
  <c r="V117" i="1"/>
  <c r="M79" i="1"/>
  <c r="Q126" i="1"/>
  <c r="Q154" i="1" s="1"/>
  <c r="R146" i="1"/>
  <c r="H145" i="1"/>
  <c r="H180" i="1" s="1"/>
  <c r="O118" i="1"/>
  <c r="U142" i="1"/>
  <c r="H170" i="1"/>
  <c r="E79" i="1"/>
  <c r="N74" i="1"/>
  <c r="BJ22" i="1"/>
  <c r="BJ26" i="1" s="1"/>
  <c r="BR20" i="1"/>
  <c r="BN15" i="1"/>
  <c r="AY45" i="1"/>
  <c r="AQ39" i="1"/>
  <c r="BQ22" i="1"/>
  <c r="BS20" i="1"/>
  <c r="BH117" i="1"/>
  <c r="BH150" i="1"/>
  <c r="BI150" i="1" s="1"/>
  <c r="I137" i="1"/>
  <c r="I150" i="1"/>
  <c r="G136" i="1"/>
  <c r="H122" i="1"/>
  <c r="O79" i="1"/>
  <c r="W146" i="1"/>
  <c r="F125" i="1"/>
  <c r="Q67" i="1"/>
  <c r="Q77" i="1"/>
  <c r="V155" i="1"/>
  <c r="G133" i="1"/>
  <c r="BT20" i="1"/>
  <c r="BO46" i="1"/>
  <c r="BU13" i="1"/>
  <c r="BT21" i="1"/>
  <c r="BI51" i="1"/>
  <c r="AR15" i="1"/>
  <c r="BU24" i="1"/>
  <c r="BV124" i="1"/>
  <c r="BW124" i="1" s="1"/>
  <c r="K160" i="1"/>
  <c r="S163" i="1"/>
  <c r="J155" i="1"/>
  <c r="S77" i="1"/>
  <c r="K155" i="1"/>
  <c r="B122" i="1"/>
  <c r="V127" i="1"/>
  <c r="L74" i="1"/>
  <c r="V145" i="1"/>
  <c r="V180" i="1" s="1"/>
  <c r="C155" i="1"/>
  <c r="M160" i="1"/>
  <c r="R170" i="1"/>
  <c r="J172" i="1"/>
  <c r="G150" i="1"/>
  <c r="U74" i="1"/>
  <c r="F77" i="1"/>
  <c r="N127" i="1"/>
  <c r="BP46" i="1"/>
  <c r="AP35" i="1"/>
  <c r="AX32" i="1"/>
  <c r="AX194" i="1" s="1"/>
  <c r="AX21" i="1"/>
  <c r="BC39" i="1"/>
  <c r="BV155" i="1"/>
  <c r="BW155" i="1" s="1"/>
  <c r="V135" i="1"/>
  <c r="V131" i="1" s="1"/>
  <c r="F153" i="1"/>
  <c r="F183" i="1" s="1"/>
  <c r="E133" i="1"/>
  <c r="S124" i="1"/>
  <c r="E135" i="1"/>
  <c r="E131" i="1" s="1"/>
  <c r="E134" i="1" s="1"/>
  <c r="V163" i="1"/>
  <c r="T140" i="1"/>
  <c r="U202" i="1" s="1"/>
  <c r="N78" i="1"/>
  <c r="K153" i="1"/>
  <c r="K183" i="1" s="1"/>
  <c r="BU32" i="1"/>
  <c r="BP14" i="1"/>
  <c r="BO35" i="1"/>
  <c r="AT46" i="1"/>
  <c r="BE45" i="1"/>
  <c r="AO20" i="1"/>
  <c r="BP36" i="1"/>
  <c r="BV36" i="1"/>
  <c r="BV135" i="1"/>
  <c r="BW135" i="1" s="1"/>
  <c r="BV146" i="1"/>
  <c r="BW146" i="1" s="1"/>
  <c r="R171" i="1"/>
  <c r="G155" i="1"/>
  <c r="C143" i="1"/>
  <c r="B136" i="1"/>
  <c r="R144" i="1"/>
  <c r="R179" i="1" s="1"/>
  <c r="V170" i="1"/>
  <c r="I67" i="1"/>
  <c r="V142" i="1"/>
  <c r="M125" i="1"/>
  <c r="S142" i="1"/>
  <c r="K136" i="1"/>
  <c r="C125" i="1"/>
  <c r="L147" i="1"/>
  <c r="G159" i="1"/>
  <c r="H155" i="1"/>
  <c r="G164" i="1"/>
  <c r="AZ13" i="1"/>
  <c r="AX47" i="1"/>
  <c r="BQ15" i="1"/>
  <c r="BF14" i="1"/>
  <c r="BD32" i="1"/>
  <c r="BD194" i="1" s="1"/>
  <c r="AN23" i="1"/>
  <c r="BM51" i="1"/>
  <c r="AN21" i="1"/>
  <c r="C118" i="1"/>
  <c r="B146" i="1"/>
  <c r="W147" i="1"/>
  <c r="J170" i="1"/>
  <c r="M164" i="1"/>
  <c r="H73" i="1"/>
  <c r="M143" i="1"/>
  <c r="H149" i="1"/>
  <c r="E144" i="1"/>
  <c r="E179" i="1" s="1"/>
  <c r="O77" i="1"/>
  <c r="I164" i="1"/>
  <c r="U133" i="1"/>
  <c r="V149" i="1"/>
  <c r="N172" i="1"/>
  <c r="W137" i="1"/>
  <c r="N142" i="1"/>
  <c r="H142" i="1"/>
  <c r="K119" i="1"/>
  <c r="N140" i="1"/>
  <c r="G160" i="1"/>
  <c r="G125" i="1"/>
  <c r="K126" i="1"/>
  <c r="K154" i="1" s="1"/>
  <c r="C150" i="1"/>
  <c r="J127" i="1"/>
  <c r="G161" i="1"/>
  <c r="H179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V133" i="1"/>
  <c r="BP159" i="1"/>
  <c r="AN150" i="1"/>
  <c r="AO150" i="1" s="1"/>
  <c r="AN160" i="1"/>
  <c r="AV164" i="1"/>
  <c r="AW164" i="1" s="1"/>
  <c r="AN126" i="1"/>
  <c r="AO126" i="1" s="1"/>
  <c r="BB131" i="1"/>
  <c r="AV73" i="1"/>
  <c r="AU73" i="1"/>
  <c r="AV153" i="1"/>
  <c r="AT149" i="1"/>
  <c r="AU149" i="1" s="1"/>
  <c r="AT153" i="1"/>
  <c r="BO74" i="1"/>
  <c r="BT140" i="1"/>
  <c r="AP133" i="1"/>
  <c r="BF150" i="1"/>
  <c r="BG150" i="1" s="1"/>
  <c r="BN73" i="1"/>
  <c r="AV160" i="1"/>
  <c r="BP149" i="1"/>
  <c r="BQ149" i="1" s="1"/>
  <c r="AV151" i="1"/>
  <c r="AW151" i="1" s="1"/>
  <c r="BT127" i="1"/>
  <c r="BU12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24" i="1"/>
  <c r="BD73" i="1"/>
  <c r="AP153" i="1"/>
  <c r="BP133" i="1"/>
  <c r="AN147" i="1"/>
  <c r="AO147" i="1" s="1"/>
  <c r="BI74" i="1"/>
  <c r="AS74" i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V152" i="1"/>
  <c r="AW152" i="1" s="1"/>
  <c r="BQ73" i="1"/>
  <c r="BS74" i="1"/>
  <c r="AP73" i="1"/>
  <c r="BR124" i="1"/>
  <c r="BS124" i="1" s="1"/>
  <c r="AV142" i="1"/>
  <c r="AW142" i="1" s="1"/>
  <c r="AN143" i="1"/>
  <c r="AO143" i="1" s="1"/>
  <c r="AN132" i="1"/>
  <c r="AV145" i="1"/>
  <c r="AN142" i="1"/>
  <c r="AX153" i="1"/>
  <c r="BB73" i="1"/>
  <c r="AZ146" i="1"/>
  <c r="BA146" i="1" s="1"/>
  <c r="BD159" i="1"/>
  <c r="BR154" i="1"/>
  <c r="BS154" i="1" s="1"/>
  <c r="BT132" i="1"/>
  <c r="AX117" i="1"/>
  <c r="AX154" i="1"/>
  <c r="AY154" i="1" s="1"/>
  <c r="BB125" i="1"/>
  <c r="BC125" i="1" s="1"/>
  <c r="BF144" i="1"/>
  <c r="BT125" i="1"/>
  <c r="BU125" i="1" s="1"/>
  <c r="AX124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P159" i="1"/>
  <c r="AP147" i="1"/>
  <c r="AQ147" i="1" s="1"/>
  <c r="AN153" i="1"/>
  <c r="AV155" i="1"/>
  <c r="AW155" i="1" s="1"/>
  <c r="AP131" i="1"/>
  <c r="BD132" i="1"/>
  <c r="AN144" i="1"/>
  <c r="AV119" i="1"/>
  <c r="BT149" i="1"/>
  <c r="BU149" i="1" s="1"/>
  <c r="AN149" i="1"/>
  <c r="AO149" i="1" s="1"/>
  <c r="AP154" i="1"/>
  <c r="AQ154" i="1" s="1"/>
  <c r="AN127" i="1"/>
  <c r="AO127" i="1" s="1"/>
  <c r="AN155" i="1"/>
  <c r="AO155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B137" i="1"/>
  <c r="BC137" i="1" s="1"/>
  <c r="BT143" i="1"/>
  <c r="BB143" i="1"/>
  <c r="BF143" i="1"/>
  <c r="AX143" i="1"/>
  <c r="BD143" i="1"/>
  <c r="AZ143" i="1"/>
  <c r="BR143" i="1"/>
  <c r="BN143" i="1"/>
  <c r="BQ252" i="1"/>
  <c r="BQ231" i="1"/>
  <c r="BN231" i="1"/>
  <c r="BM231" i="1"/>
  <c r="BP194" i="1"/>
  <c r="BM252" i="1"/>
  <c r="BI194" i="1"/>
  <c r="AS253" i="1"/>
  <c r="CQ134" i="1"/>
  <c r="DB77" i="1"/>
  <c r="CY65" i="1"/>
  <c r="CZ63" i="1"/>
  <c r="AP252" i="1" l="1"/>
  <c r="AN252" i="1"/>
  <c r="U134" i="1"/>
  <c r="K120" i="1"/>
  <c r="R134" i="1"/>
  <c r="F134" i="1"/>
  <c r="C202" i="1"/>
  <c r="S161" i="1"/>
  <c r="T209" i="1" s="1"/>
  <c r="U179" i="1"/>
  <c r="V202" i="1"/>
  <c r="M161" i="1"/>
  <c r="N209" i="1" s="1"/>
  <c r="Q173" i="1"/>
  <c r="H120" i="1"/>
  <c r="T120" i="1"/>
  <c r="C173" i="1"/>
  <c r="M148" i="1"/>
  <c r="M182" i="1" s="1"/>
  <c r="M181" i="1" s="1"/>
  <c r="D161" i="1"/>
  <c r="M202" i="1"/>
  <c r="N173" i="1"/>
  <c r="D65" i="1"/>
  <c r="D107" i="1" s="1"/>
  <c r="K128" i="1"/>
  <c r="J161" i="1"/>
  <c r="G120" i="1"/>
  <c r="N202" i="1"/>
  <c r="E173" i="1"/>
  <c r="D202" i="1"/>
  <c r="C161" i="1"/>
  <c r="R148" i="1"/>
  <c r="H156" i="1"/>
  <c r="H185" i="1" s="1"/>
  <c r="H184" i="1" s="1"/>
  <c r="H128" i="1"/>
  <c r="P128" i="1"/>
  <c r="G173" i="1"/>
  <c r="O202" i="1"/>
  <c r="T148" i="1"/>
  <c r="E128" i="1"/>
  <c r="P120" i="1"/>
  <c r="J173" i="1"/>
  <c r="H202" i="1"/>
  <c r="V120" i="1"/>
  <c r="Q128" i="1"/>
  <c r="K156" i="1"/>
  <c r="J156" i="1"/>
  <c r="U156" i="1"/>
  <c r="J202" i="1"/>
  <c r="I202" i="1"/>
  <c r="U173" i="1"/>
  <c r="X202" i="1"/>
  <c r="W202" i="1"/>
  <c r="M154" i="1"/>
  <c r="M156" i="1" s="1"/>
  <c r="I156" i="1"/>
  <c r="AX179" i="1"/>
  <c r="AT180" i="1"/>
  <c r="AU180" i="1" s="1"/>
  <c r="BK73" i="1"/>
  <c r="BN183" i="1"/>
  <c r="BO183" i="1" s="1"/>
  <c r="BT180" i="1"/>
  <c r="BU180" i="1" s="1"/>
  <c r="BD183" i="1"/>
  <c r="BE183" i="1" s="1"/>
  <c r="AP179" i="1"/>
  <c r="AQ179" i="1" s="1"/>
  <c r="AP183" i="1"/>
  <c r="AQ183" i="1" s="1"/>
  <c r="AX183" i="1"/>
  <c r="AY183" i="1" s="1"/>
  <c r="BK74" i="1"/>
  <c r="AP10" i="1"/>
  <c r="AI183" i="1"/>
  <c r="AI185" i="1"/>
  <c r="AI182" i="1"/>
  <c r="AO253" i="1"/>
  <c r="BA10" i="1"/>
  <c r="BM37" i="1"/>
  <c r="AL98" i="1"/>
  <c r="AL99" i="1" s="1"/>
  <c r="AL104" i="1" s="1"/>
  <c r="AT252" i="1"/>
  <c r="BI10" i="1"/>
  <c r="AI180" i="1"/>
  <c r="AT253" i="1"/>
  <c r="BM253" i="1"/>
  <c r="BM203" i="1"/>
  <c r="BM201" i="1" s="1"/>
  <c r="BM33" i="1"/>
  <c r="BM194" i="1"/>
  <c r="BP253" i="1"/>
  <c r="BQ253" i="1"/>
  <c r="BK98" i="1"/>
  <c r="BK99" i="1" s="1"/>
  <c r="BK104" i="1" s="1"/>
  <c r="AX253" i="1"/>
  <c r="BU194" i="1"/>
  <c r="BK231" i="1"/>
  <c r="BM98" i="1"/>
  <c r="BM99" i="1" s="1"/>
  <c r="AN10" i="1"/>
  <c r="AN231" i="1"/>
  <c r="AN98" i="1"/>
  <c r="AN99" i="1" s="1"/>
  <c r="AO98" i="1"/>
  <c r="AO99" i="1" s="1"/>
  <c r="AP98" i="1"/>
  <c r="AP99" i="1" s="1"/>
  <c r="BN33" i="1"/>
  <c r="BN194" i="1"/>
  <c r="BI253" i="1"/>
  <c r="AX231" i="1"/>
  <c r="AX10" i="1"/>
  <c r="BT231" i="1"/>
  <c r="BT10" i="1"/>
  <c r="AO231" i="1"/>
  <c r="AO10" i="1"/>
  <c r="AI179" i="1"/>
  <c r="AI231" i="1"/>
  <c r="BB26" i="1"/>
  <c r="AR142" i="1"/>
  <c r="AS142" i="1" s="1"/>
  <c r="AR152" i="1"/>
  <c r="AS152" i="1" s="1"/>
  <c r="AR153" i="1"/>
  <c r="AR160" i="1"/>
  <c r="AR73" i="1"/>
  <c r="AR144" i="1"/>
  <c r="AR179" i="1" s="1"/>
  <c r="AS179" i="1" s="1"/>
  <c r="AR147" i="1"/>
  <c r="AS147" i="1" s="1"/>
  <c r="AR125" i="1"/>
  <c r="AS125" i="1" s="1"/>
  <c r="AR131" i="1"/>
  <c r="AR164" i="1"/>
  <c r="AS164" i="1" s="1"/>
  <c r="AR117" i="1"/>
  <c r="AR137" i="1"/>
  <c r="AS137" i="1" s="1"/>
  <c r="AR127" i="1"/>
  <c r="AS127" i="1" s="1"/>
  <c r="AR149" i="1"/>
  <c r="AS149" i="1" s="1"/>
  <c r="AR140" i="1"/>
  <c r="AS140" i="1" s="1"/>
  <c r="AR132" i="1"/>
  <c r="AR10" i="1"/>
  <c r="AR146" i="1"/>
  <c r="AS146" i="1" s="1"/>
  <c r="AR74" i="1"/>
  <c r="AR150" i="1"/>
  <c r="AS150" i="1" s="1"/>
  <c r="AR135" i="1"/>
  <c r="AS135" i="1" s="1"/>
  <c r="AR159" i="1"/>
  <c r="AR145" i="1"/>
  <c r="N161" i="1"/>
  <c r="O209" i="1" s="1"/>
  <c r="BH98" i="1"/>
  <c r="BH99" i="1" s="1"/>
  <c r="BH103" i="1" s="1"/>
  <c r="BG26" i="1"/>
  <c r="B128" i="1"/>
  <c r="H173" i="1"/>
  <c r="AR143" i="1"/>
  <c r="AS143" i="1" s="1"/>
  <c r="AR119" i="1"/>
  <c r="AR154" i="1"/>
  <c r="AS154" i="1" s="1"/>
  <c r="AR118" i="1"/>
  <c r="AS118" i="1" s="1"/>
  <c r="AR124" i="1"/>
  <c r="AR163" i="1"/>
  <c r="AS163" i="1" s="1"/>
  <c r="AR126" i="1"/>
  <c r="AS126" i="1" s="1"/>
  <c r="AR133" i="1"/>
  <c r="AR155" i="1"/>
  <c r="AS155" i="1" s="1"/>
  <c r="AR151" i="1"/>
  <c r="AS151" i="1" s="1"/>
  <c r="BH202" i="1"/>
  <c r="BH180" i="1"/>
  <c r="BI180" i="1" s="1"/>
  <c r="BH179" i="1"/>
  <c r="BI179" i="1" s="1"/>
  <c r="BU253" i="1"/>
  <c r="BH183" i="1"/>
  <c r="BI183" i="1" s="1"/>
  <c r="BI202" i="1"/>
  <c r="BH134" i="1"/>
  <c r="BH138" i="1" s="1"/>
  <c r="T134" i="1"/>
  <c r="T33" i="1" s="1"/>
  <c r="I134" i="1"/>
  <c r="M134" i="1"/>
  <c r="K134" i="1"/>
  <c r="W134" i="1"/>
  <c r="H134" i="1"/>
  <c r="AY10" i="1"/>
  <c r="B161" i="1"/>
  <c r="C209" i="1" s="1"/>
  <c r="W173" i="1"/>
  <c r="B120" i="1"/>
  <c r="O148" i="1"/>
  <c r="F120" i="1"/>
  <c r="D128" i="1"/>
  <c r="AQ26" i="1"/>
  <c r="T173" i="1"/>
  <c r="BH26" i="1"/>
  <c r="F128" i="1"/>
  <c r="F37" i="1" s="1"/>
  <c r="BW128" i="1"/>
  <c r="V134" i="1"/>
  <c r="V173" i="1"/>
  <c r="C128" i="1"/>
  <c r="C37" i="1" s="1"/>
  <c r="AN26" i="1"/>
  <c r="D120" i="1"/>
  <c r="L120" i="1"/>
  <c r="O161" i="1"/>
  <c r="P209" i="1" s="1"/>
  <c r="U161" i="1"/>
  <c r="V209" i="1" s="1"/>
  <c r="B65" i="1"/>
  <c r="B107" i="1" s="1"/>
  <c r="Q202" i="1"/>
  <c r="M120" i="1"/>
  <c r="M54" i="1" s="1"/>
  <c r="U148" i="1"/>
  <c r="U182" i="1" s="1"/>
  <c r="U181" i="1" s="1"/>
  <c r="V161" i="1"/>
  <c r="W209" i="1" s="1"/>
  <c r="S173" i="1"/>
  <c r="T161" i="1"/>
  <c r="U209" i="1" s="1"/>
  <c r="C134" i="1"/>
  <c r="C138" i="1" s="1"/>
  <c r="J134" i="1"/>
  <c r="J138" i="1" s="1"/>
  <c r="K202" i="1"/>
  <c r="H161" i="1"/>
  <c r="I209" i="1" s="1"/>
  <c r="F161" i="1"/>
  <c r="G209" i="1" s="1"/>
  <c r="G134" i="1"/>
  <c r="L202" i="1"/>
  <c r="K148" i="1"/>
  <c r="F148" i="1"/>
  <c r="G148" i="1"/>
  <c r="G182" i="1" s="1"/>
  <c r="G181" i="1" s="1"/>
  <c r="W128" i="1"/>
  <c r="C156" i="1"/>
  <c r="E202" i="1"/>
  <c r="J148" i="1"/>
  <c r="J120" i="1"/>
  <c r="N156" i="1"/>
  <c r="N185" i="1" s="1"/>
  <c r="N184" i="1" s="1"/>
  <c r="I128" i="1"/>
  <c r="Q134" i="1"/>
  <c r="Q120" i="1"/>
  <c r="P173" i="1"/>
  <c r="E148" i="1"/>
  <c r="E182" i="1" s="1"/>
  <c r="E181" i="1" s="1"/>
  <c r="L173" i="1"/>
  <c r="K173" i="1"/>
  <c r="N128" i="1"/>
  <c r="O173" i="1"/>
  <c r="B148" i="1"/>
  <c r="P134" i="1"/>
  <c r="P33" i="1" s="1"/>
  <c r="G128" i="1"/>
  <c r="D156" i="1"/>
  <c r="F173" i="1"/>
  <c r="L161" i="1"/>
  <c r="I173" i="1"/>
  <c r="N179" i="1"/>
  <c r="N148" i="1"/>
  <c r="T156" i="1"/>
  <c r="E156" i="1"/>
  <c r="G156" i="1"/>
  <c r="L156" i="1"/>
  <c r="G202" i="1"/>
  <c r="F202" i="1"/>
  <c r="Q156" i="1"/>
  <c r="V156" i="1"/>
  <c r="R156" i="1"/>
  <c r="BP179" i="1"/>
  <c r="BQ179" i="1" s="1"/>
  <c r="AV179" i="1"/>
  <c r="AW179" i="1" s="1"/>
  <c r="AZ180" i="1"/>
  <c r="BA180" i="1" s="1"/>
  <c r="BT179" i="1"/>
  <c r="BU179" i="1" s="1"/>
  <c r="BR179" i="1"/>
  <c r="BS179" i="1" s="1"/>
  <c r="BT183" i="1"/>
  <c r="BU183" i="1" s="1"/>
  <c r="BP180" i="1"/>
  <c r="BQ180" i="1" s="1"/>
  <c r="AT179" i="1"/>
  <c r="AU179" i="1" s="1"/>
  <c r="BR180" i="1"/>
  <c r="BS180" i="1" s="1"/>
  <c r="AZ179" i="1"/>
  <c r="BA179" i="1" s="1"/>
  <c r="AR183" i="1"/>
  <c r="AR122" i="1"/>
  <c r="AS122" i="1" s="1"/>
  <c r="AV183" i="1"/>
  <c r="AT183" i="1"/>
  <c r="AU183" i="1" s="1"/>
  <c r="BB180" i="1"/>
  <c r="BC180" i="1" s="1"/>
  <c r="BB183" i="1"/>
  <c r="BP183" i="1"/>
  <c r="BQ183" i="1" s="1"/>
  <c r="BF180" i="1"/>
  <c r="BG180" i="1" s="1"/>
  <c r="BF183" i="1"/>
  <c r="BG183" i="1" s="1"/>
  <c r="BD180" i="1"/>
  <c r="BE180" i="1" s="1"/>
  <c r="AV163" i="1"/>
  <c r="AW163" i="1" s="1"/>
  <c r="AV180" i="1"/>
  <c r="AW180" i="1" s="1"/>
  <c r="BF179" i="1"/>
  <c r="BG179" i="1" s="1"/>
  <c r="BR140" i="1"/>
  <c r="BD179" i="1"/>
  <c r="BE179" i="1" s="1"/>
  <c r="BB179" i="1"/>
  <c r="BC179" i="1" s="1"/>
  <c r="AP180" i="1"/>
  <c r="AQ180" i="1" s="1"/>
  <c r="BR183" i="1"/>
  <c r="BS183" i="1" s="1"/>
  <c r="AN180" i="1"/>
  <c r="AO180" i="1" s="1"/>
  <c r="AN183" i="1"/>
  <c r="AO183" i="1" s="1"/>
  <c r="AN179" i="1"/>
  <c r="AO179" i="1" s="1"/>
  <c r="BH161" i="1"/>
  <c r="BI142" i="1"/>
  <c r="BI149" i="1"/>
  <c r="BI124" i="1"/>
  <c r="BH128" i="1"/>
  <c r="BT137" i="1"/>
  <c r="BU137" i="1" s="1"/>
  <c r="AI37" i="1"/>
  <c r="BV161" i="1"/>
  <c r="BW209" i="1" s="1"/>
  <c r="BK252" i="1"/>
  <c r="BO26" i="1"/>
  <c r="BI252" i="1"/>
  <c r="BU26" i="1"/>
  <c r="BD26" i="1"/>
  <c r="BK10" i="1"/>
  <c r="AT231" i="1"/>
  <c r="AP194" i="1"/>
  <c r="AP253" i="1"/>
  <c r="AM48" i="1"/>
  <c r="BO252" i="1"/>
  <c r="BR26" i="1"/>
  <c r="BW26" i="1"/>
  <c r="BF252" i="1"/>
  <c r="BI117" i="1"/>
  <c r="BH120" i="1"/>
  <c r="BH92" i="1" s="1"/>
  <c r="BH96" i="1" s="1"/>
  <c r="AY252" i="1"/>
  <c r="AW10" i="1"/>
  <c r="AW16" i="1" s="1"/>
  <c r="BN253" i="1"/>
  <c r="AN194" i="1"/>
  <c r="AW26" i="1"/>
  <c r="AU26" i="1"/>
  <c r="BN98" i="1"/>
  <c r="BN99" i="1" s="1"/>
  <c r="BM10" i="1"/>
  <c r="BW253" i="1"/>
  <c r="BR98" i="1"/>
  <c r="BR99" i="1" s="1"/>
  <c r="BP252" i="1"/>
  <c r="BQ10" i="1"/>
  <c r="BS98" i="1"/>
  <c r="BS99" i="1" s="1"/>
  <c r="BB194" i="1"/>
  <c r="BB253" i="1"/>
  <c r="BO98" i="1"/>
  <c r="BO99" i="1" s="1"/>
  <c r="BO102" i="1" s="1"/>
  <c r="BP98" i="1"/>
  <c r="BP99" i="1" s="1"/>
  <c r="BU252" i="1"/>
  <c r="BU10" i="1"/>
  <c r="F138" i="1"/>
  <c r="F33" i="1"/>
  <c r="R138" i="1"/>
  <c r="R33" i="1"/>
  <c r="BD10" i="1"/>
  <c r="BD253" i="1"/>
  <c r="BD231" i="1"/>
  <c r="AI203" i="1"/>
  <c r="AI201" i="1" s="1"/>
  <c r="BV253" i="1"/>
  <c r="BJ27" i="1"/>
  <c r="BV10" i="1"/>
  <c r="BV16" i="1" s="1"/>
  <c r="BO10" i="1"/>
  <c r="BK37" i="1"/>
  <c r="AR253" i="1"/>
  <c r="BU98" i="1"/>
  <c r="BU99" i="1" s="1"/>
  <c r="BW98" i="1"/>
  <c r="BW99" i="1" s="1"/>
  <c r="AY253" i="1"/>
  <c r="AT10" i="1"/>
  <c r="AZ26" i="1"/>
  <c r="BO231" i="1"/>
  <c r="AS252" i="1"/>
  <c r="BA26" i="1"/>
  <c r="AZ252" i="1"/>
  <c r="BR10" i="1"/>
  <c r="BD252" i="1"/>
  <c r="BI26" i="1"/>
  <c r="AS10" i="1"/>
  <c r="BP26" i="1"/>
  <c r="BT253" i="1"/>
  <c r="BV179" i="1"/>
  <c r="BW179" i="1" s="1"/>
  <c r="BX98" i="1"/>
  <c r="BX99" i="1" s="1"/>
  <c r="BV98" i="1"/>
  <c r="BV99" i="1" s="1"/>
  <c r="AT98" i="1"/>
  <c r="AT99" i="1" s="1"/>
  <c r="BT98" i="1"/>
  <c r="BT99" i="1" s="1"/>
  <c r="AW253" i="1"/>
  <c r="BS252" i="1"/>
  <c r="AX252" i="1"/>
  <c r="AO252" i="1"/>
  <c r="BP10" i="1"/>
  <c r="BF26" i="1"/>
  <c r="AY231" i="1"/>
  <c r="BV252" i="1"/>
  <c r="BQ98" i="1"/>
  <c r="BQ99" i="1" s="1"/>
  <c r="BQ102" i="1" s="1"/>
  <c r="BV183" i="1"/>
  <c r="BE10" i="1"/>
  <c r="BY98" i="1"/>
  <c r="BY99" i="1" s="1"/>
  <c r="BE252" i="1"/>
  <c r="BL98" i="1"/>
  <c r="BL99" i="1" s="1"/>
  <c r="BT252" i="1"/>
  <c r="BC10" i="1"/>
  <c r="BV180" i="1"/>
  <c r="BW180" i="1" s="1"/>
  <c r="BF253" i="1"/>
  <c r="BD98" i="1"/>
  <c r="BD99" i="1" s="1"/>
  <c r="AI33" i="1"/>
  <c r="BH10" i="1"/>
  <c r="AR98" i="1"/>
  <c r="AR99" i="1" s="1"/>
  <c r="AQ252" i="1"/>
  <c r="AS98" i="1"/>
  <c r="AS99" i="1" s="1"/>
  <c r="AQ10" i="1"/>
  <c r="BT194" i="1"/>
  <c r="BW117" i="1"/>
  <c r="BV120" i="1"/>
  <c r="BK253" i="1"/>
  <c r="BK194" i="1"/>
  <c r="BK33" i="1"/>
  <c r="BK203" i="1"/>
  <c r="BK201" i="1" s="1"/>
  <c r="BO253" i="1"/>
  <c r="BF98" i="1"/>
  <c r="BF99" i="1" s="1"/>
  <c r="BF10" i="1"/>
  <c r="AV10" i="1"/>
  <c r="AY98" i="1"/>
  <c r="AY99" i="1" s="1"/>
  <c r="AV252" i="1"/>
  <c r="BW10" i="1"/>
  <c r="BW231" i="1"/>
  <c r="BZ98" i="1"/>
  <c r="BZ99" i="1" s="1"/>
  <c r="AO26" i="1"/>
  <c r="BR252" i="1"/>
  <c r="BN10" i="1"/>
  <c r="BB231" i="1"/>
  <c r="BM26" i="1"/>
  <c r="BF231" i="1"/>
  <c r="BE98" i="1"/>
  <c r="BE99" i="1" s="1"/>
  <c r="BE104" i="1" s="1"/>
  <c r="BC252" i="1"/>
  <c r="AV253" i="1"/>
  <c r="BC253" i="1"/>
  <c r="BE253" i="1"/>
  <c r="AQ98" i="1"/>
  <c r="AQ99" i="1" s="1"/>
  <c r="AQ104" i="1" s="1"/>
  <c r="BV156" i="1"/>
  <c r="BV185" i="1" s="1"/>
  <c r="BB252" i="1"/>
  <c r="BV26" i="1"/>
  <c r="BC26" i="1"/>
  <c r="AZ253" i="1"/>
  <c r="AZ194" i="1"/>
  <c r="BA253" i="1"/>
  <c r="BA194" i="1"/>
  <c r="AW252" i="1"/>
  <c r="AW231" i="1"/>
  <c r="BA98" i="1"/>
  <c r="BA99" i="1" s="1"/>
  <c r="BS253" i="1"/>
  <c r="BW202" i="1"/>
  <c r="BJ28" i="1"/>
  <c r="BJ17" i="1"/>
  <c r="BQ26" i="1"/>
  <c r="S156" i="1"/>
  <c r="S185" i="1" s="1"/>
  <c r="S184" i="1" s="1"/>
  <c r="AP26" i="1"/>
  <c r="AP27" i="1" s="1"/>
  <c r="R202" i="1"/>
  <c r="L134" i="1"/>
  <c r="L33" i="1" s="1"/>
  <c r="AR26" i="1"/>
  <c r="B173" i="1"/>
  <c r="F156" i="1"/>
  <c r="F185" i="1" s="1"/>
  <c r="V128" i="1"/>
  <c r="V37" i="1" s="1"/>
  <c r="V148" i="1"/>
  <c r="V196" i="1" s="1"/>
  <c r="T128" i="1"/>
  <c r="R120" i="1"/>
  <c r="R175" i="1" s="1"/>
  <c r="J128" i="1"/>
  <c r="M128" i="1"/>
  <c r="Q161" i="1"/>
  <c r="U120" i="1"/>
  <c r="R128" i="1"/>
  <c r="R37" i="1" s="1"/>
  <c r="U128" i="1"/>
  <c r="AQ253" i="1"/>
  <c r="BA252" i="1"/>
  <c r="B134" i="1"/>
  <c r="B33" i="1" s="1"/>
  <c r="M173" i="1"/>
  <c r="H148" i="1"/>
  <c r="P156" i="1"/>
  <c r="P185" i="1" s="1"/>
  <c r="P184" i="1" s="1"/>
  <c r="AX98" i="1"/>
  <c r="AX99" i="1" s="1"/>
  <c r="K161" i="1"/>
  <c r="O120" i="1"/>
  <c r="O175" i="1" s="1"/>
  <c r="O156" i="1"/>
  <c r="P197" i="1" s="1"/>
  <c r="AT26" i="1"/>
  <c r="S120" i="1"/>
  <c r="O134" i="1"/>
  <c r="BE26" i="1"/>
  <c r="L148" i="1"/>
  <c r="AI26" i="1"/>
  <c r="AS26" i="1"/>
  <c r="B156" i="1"/>
  <c r="B185" i="1" s="1"/>
  <c r="B184" i="1" s="1"/>
  <c r="P148" i="1"/>
  <c r="AZ98" i="1"/>
  <c r="AZ99" i="1" s="1"/>
  <c r="AZ102" i="1" s="1"/>
  <c r="I120" i="1"/>
  <c r="BW252" i="1"/>
  <c r="D134" i="1"/>
  <c r="I148" i="1"/>
  <c r="I182" i="1" s="1"/>
  <c r="I181" i="1" s="1"/>
  <c r="BR253" i="1"/>
  <c r="D173" i="1"/>
  <c r="L128" i="1"/>
  <c r="L37" i="1" s="1"/>
  <c r="C120" i="1"/>
  <c r="D207" i="1" s="1"/>
  <c r="AI10" i="1"/>
  <c r="AV26" i="1"/>
  <c r="C65" i="1"/>
  <c r="C108" i="1" s="1"/>
  <c r="BT26" i="1"/>
  <c r="BS10" i="1"/>
  <c r="BK26" i="1"/>
  <c r="BK27" i="1" s="1"/>
  <c r="N134" i="1"/>
  <c r="N138" i="1" s="1"/>
  <c r="BN252" i="1"/>
  <c r="BN26" i="1"/>
  <c r="BS26" i="1"/>
  <c r="AX26" i="1"/>
  <c r="BB10" i="1"/>
  <c r="AY26" i="1"/>
  <c r="BV134" i="1"/>
  <c r="S134" i="1"/>
  <c r="BV148" i="1"/>
  <c r="BV182" i="1" s="1"/>
  <c r="F175" i="1"/>
  <c r="F54" i="1"/>
  <c r="O248" i="1"/>
  <c r="O54" i="1"/>
  <c r="I175" i="1"/>
  <c r="C107" i="1"/>
  <c r="C66" i="1"/>
  <c r="C68" i="1" s="1"/>
  <c r="S33" i="1"/>
  <c r="S138" i="1"/>
  <c r="U249" i="1"/>
  <c r="U251" i="1" s="1"/>
  <c r="R54" i="1"/>
  <c r="BG231" i="1"/>
  <c r="AQ194" i="1"/>
  <c r="AU253" i="1"/>
  <c r="AU10" i="1"/>
  <c r="AT16" i="1"/>
  <c r="BG98" i="1"/>
  <c r="BG99" i="1" s="1"/>
  <c r="BG103" i="1" s="1"/>
  <c r="O128" i="1"/>
  <c r="S148" i="1"/>
  <c r="S182" i="1" s="1"/>
  <c r="S181" i="1" s="1"/>
  <c r="T202" i="1"/>
  <c r="BG252" i="1"/>
  <c r="BH253" i="1"/>
  <c r="AN253" i="1"/>
  <c r="AW98" i="1"/>
  <c r="AW99" i="1" s="1"/>
  <c r="AU231" i="1"/>
  <c r="BV128" i="1"/>
  <c r="BH156" i="1"/>
  <c r="BH185" i="1" s="1"/>
  <c r="R173" i="1"/>
  <c r="Q148" i="1"/>
  <c r="C148" i="1"/>
  <c r="I161" i="1"/>
  <c r="E120" i="1"/>
  <c r="AU252" i="1"/>
  <c r="BJ194" i="1"/>
  <c r="BR194" i="1"/>
  <c r="C33" i="1"/>
  <c r="BC98" i="1"/>
  <c r="BC99" i="1" s="1"/>
  <c r="BC102" i="1" s="1"/>
  <c r="AZ10" i="1"/>
  <c r="AZ16" i="1" s="1"/>
  <c r="D148" i="1"/>
  <c r="S202" i="1"/>
  <c r="N120" i="1"/>
  <c r="BB98" i="1"/>
  <c r="BB99" i="1" s="1"/>
  <c r="BG10" i="1"/>
  <c r="BG253" i="1"/>
  <c r="BJ98" i="1"/>
  <c r="BJ99" i="1" s="1"/>
  <c r="BJ102" i="1" s="1"/>
  <c r="AZ231" i="1"/>
  <c r="AU98" i="1"/>
  <c r="AU99" i="1" s="1"/>
  <c r="BH148" i="1"/>
  <c r="BH182" i="1" s="1"/>
  <c r="AZ183" i="1"/>
  <c r="BA183" i="1" s="1"/>
  <c r="S128" i="1"/>
  <c r="S37" i="1" s="1"/>
  <c r="P202" i="1"/>
  <c r="BI98" i="1"/>
  <c r="BI99" i="1" s="1"/>
  <c r="BI103" i="1" s="1"/>
  <c r="AV98" i="1"/>
  <c r="AV99" i="1" s="1"/>
  <c r="BD161" i="1"/>
  <c r="BE209" i="1" s="1"/>
  <c r="E33" i="1"/>
  <c r="E138" i="1"/>
  <c r="K54" i="1"/>
  <c r="K175" i="1"/>
  <c r="D66" i="1"/>
  <c r="D108" i="1"/>
  <c r="S209" i="1"/>
  <c r="K197" i="1"/>
  <c r="J185" i="1"/>
  <c r="AN161" i="1"/>
  <c r="AO209" i="1" s="1"/>
  <c r="R182" i="1"/>
  <c r="R181" i="1" s="1"/>
  <c r="P175" i="1"/>
  <c r="AV161" i="1"/>
  <c r="AW209" i="1" s="1"/>
  <c r="BN161" i="1"/>
  <c r="BO209" i="1" s="1"/>
  <c r="BR134" i="1"/>
  <c r="AX161" i="1"/>
  <c r="AY209" i="1" s="1"/>
  <c r="BS128" i="1"/>
  <c r="P129" i="1"/>
  <c r="P55" i="1" s="1"/>
  <c r="P168" i="1"/>
  <c r="P109" i="1" s="1"/>
  <c r="P37" i="1"/>
  <c r="H209" i="1"/>
  <c r="G248" i="1"/>
  <c r="T182" i="1"/>
  <c r="E168" i="1"/>
  <c r="E109" i="1" s="1"/>
  <c r="E37" i="1"/>
  <c r="P54" i="1"/>
  <c r="P248" i="1"/>
  <c r="V54" i="1"/>
  <c r="V175" i="1"/>
  <c r="Q37" i="1"/>
  <c r="K185" i="1"/>
  <c r="U185" i="1"/>
  <c r="AZ134" i="1"/>
  <c r="BP134" i="1"/>
  <c r="BT161" i="1"/>
  <c r="BU209" i="1" s="1"/>
  <c r="BP161" i="1"/>
  <c r="BQ209" i="1" s="1"/>
  <c r="BB161" i="1"/>
  <c r="AZ161" i="1"/>
  <c r="BA209" i="1" s="1"/>
  <c r="BE128" i="1"/>
  <c r="AQ140" i="1"/>
  <c r="AW140" i="1"/>
  <c r="AX202" i="1" s="1"/>
  <c r="AQ142" i="1"/>
  <c r="AP148" i="1"/>
  <c r="AP182" i="1" s="1"/>
  <c r="AU117" i="1"/>
  <c r="AT120" i="1"/>
  <c r="AT92" i="1" s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57" i="1"/>
  <c r="M185" i="1"/>
  <c r="AU142" i="1"/>
  <c r="AT148" i="1"/>
  <c r="BC117" i="1"/>
  <c r="BB120" i="1"/>
  <c r="BB92" i="1" s="1"/>
  <c r="AO124" i="1"/>
  <c r="AO128" i="1" s="1"/>
  <c r="AN128" i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U124" i="1"/>
  <c r="BU128" i="1" s="1"/>
  <c r="BT128" i="1"/>
  <c r="AO140" i="1"/>
  <c r="AN202" i="1"/>
  <c r="BS117" i="1"/>
  <c r="BR120" i="1"/>
  <c r="BR92" i="1" s="1"/>
  <c r="BF202" i="1"/>
  <c r="AQ128" i="1"/>
  <c r="AI186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BN120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I184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C202" i="1"/>
  <c r="BD202" i="1"/>
  <c r="BG202" i="1"/>
  <c r="CQ138" i="1"/>
  <c r="CR32" i="1"/>
  <c r="AE77" i="1"/>
  <c r="AB125" i="1"/>
  <c r="AB128" i="1" s="1"/>
  <c r="AB249" i="1" s="1"/>
  <c r="AD142" i="1"/>
  <c r="CZ65" i="1"/>
  <c r="DA63" i="1"/>
  <c r="BE27" i="1" l="1"/>
  <c r="M207" i="1"/>
  <c r="H54" i="1"/>
  <c r="H175" i="1"/>
  <c r="H248" i="1"/>
  <c r="M248" i="1"/>
  <c r="B66" i="1"/>
  <c r="B69" i="1" s="1"/>
  <c r="B87" i="1" s="1"/>
  <c r="B108" i="1"/>
  <c r="T54" i="1"/>
  <c r="T175" i="1"/>
  <c r="U33" i="1"/>
  <c r="U138" i="1"/>
  <c r="E209" i="1"/>
  <c r="D248" i="1"/>
  <c r="K209" i="1"/>
  <c r="G175" i="1"/>
  <c r="G54" i="1"/>
  <c r="H207" i="1"/>
  <c r="K196" i="1"/>
  <c r="J182" i="1"/>
  <c r="J181" i="1" s="1"/>
  <c r="H168" i="1"/>
  <c r="H109" i="1" s="1"/>
  <c r="H129" i="1"/>
  <c r="H55" i="1" s="1"/>
  <c r="H37" i="1"/>
  <c r="F249" i="1"/>
  <c r="F251" i="1" s="1"/>
  <c r="H249" i="1"/>
  <c r="H251" i="1" s="1"/>
  <c r="G206" i="1"/>
  <c r="G249" i="1"/>
  <c r="G251" i="1" s="1"/>
  <c r="L185" i="1"/>
  <c r="L184" i="1" s="1"/>
  <c r="B175" i="1"/>
  <c r="B54" i="1"/>
  <c r="B248" i="1"/>
  <c r="T37" i="1"/>
  <c r="T129" i="1"/>
  <c r="T55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L207" i="1"/>
  <c r="C168" i="1"/>
  <c r="C109" i="1" s="1"/>
  <c r="D209" i="1"/>
  <c r="W249" i="1"/>
  <c r="W251" i="1" s="1"/>
  <c r="W37" i="1"/>
  <c r="X249" i="1"/>
  <c r="X251" i="1" s="1"/>
  <c r="X206" i="1"/>
  <c r="U248" i="1"/>
  <c r="U175" i="1"/>
  <c r="S207" i="1"/>
  <c r="S54" i="1"/>
  <c r="Q182" i="1"/>
  <c r="Q181" i="1" s="1"/>
  <c r="R196" i="1"/>
  <c r="H182" i="1"/>
  <c r="I196" i="1"/>
  <c r="J157" i="1"/>
  <c r="K182" i="1"/>
  <c r="K181" i="1" s="1"/>
  <c r="K157" i="1"/>
  <c r="D182" i="1"/>
  <c r="D181" i="1" s="1"/>
  <c r="D157" i="1"/>
  <c r="I37" i="1"/>
  <c r="I206" i="1"/>
  <c r="J206" i="1"/>
  <c r="Q54" i="1"/>
  <c r="Q175" i="1"/>
  <c r="D185" i="1"/>
  <c r="E197" i="1"/>
  <c r="R248" i="1"/>
  <c r="V207" i="1"/>
  <c r="V248" i="1"/>
  <c r="N196" i="1"/>
  <c r="O196" i="1"/>
  <c r="Q207" i="1"/>
  <c r="L182" i="1"/>
  <c r="C185" i="1"/>
  <c r="O182" i="1"/>
  <c r="O181" i="1" s="1"/>
  <c r="I249" i="1"/>
  <c r="I251" i="1" s="1"/>
  <c r="G129" i="1"/>
  <c r="G55" i="1" s="1"/>
  <c r="U157" i="1"/>
  <c r="AX184" i="1"/>
  <c r="AT202" i="1"/>
  <c r="AS202" i="1"/>
  <c r="M175" i="1"/>
  <c r="BA16" i="1"/>
  <c r="U196" i="1"/>
  <c r="O168" i="1"/>
  <c r="O109" i="1" s="1"/>
  <c r="I168" i="1"/>
  <c r="I109" i="1" s="1"/>
  <c r="E206" i="1"/>
  <c r="E196" i="1"/>
  <c r="E198" i="1" s="1"/>
  <c r="E199" i="1" s="1"/>
  <c r="C249" i="1"/>
  <c r="C251" i="1" s="1"/>
  <c r="D249" i="1"/>
  <c r="D251" i="1" s="1"/>
  <c r="F168" i="1"/>
  <c r="F109" i="1" s="1"/>
  <c r="D129" i="1"/>
  <c r="D55" i="1" s="1"/>
  <c r="D37" i="1"/>
  <c r="D206" i="1"/>
  <c r="AR134" i="1"/>
  <c r="AR138" i="1" s="1"/>
  <c r="F248" i="1"/>
  <c r="F129" i="1"/>
  <c r="F55" i="1" s="1"/>
  <c r="D168" i="1"/>
  <c r="D109" i="1" s="1"/>
  <c r="D110" i="1" s="1"/>
  <c r="D113" i="1" s="1"/>
  <c r="G207" i="1"/>
  <c r="J37" i="1"/>
  <c r="U207" i="1"/>
  <c r="U54" i="1"/>
  <c r="R207" i="1"/>
  <c r="R209" i="1"/>
  <c r="D33" i="1"/>
  <c r="D138" i="1"/>
  <c r="D203" i="1" s="1"/>
  <c r="D201" i="1" s="1"/>
  <c r="L209" i="1"/>
  <c r="K248" i="1"/>
  <c r="C248" i="1"/>
  <c r="G37" i="1"/>
  <c r="G168" i="1"/>
  <c r="G109" i="1" s="1"/>
  <c r="Q249" i="1"/>
  <c r="Q251" i="1" s="1"/>
  <c r="Q206" i="1"/>
  <c r="I197" i="1"/>
  <c r="I185" i="1"/>
  <c r="J197" i="1"/>
  <c r="T157" i="1"/>
  <c r="F206" i="1"/>
  <c r="N129" i="1"/>
  <c r="N55" i="1" s="1"/>
  <c r="N37" i="1"/>
  <c r="N168" i="1"/>
  <c r="N109" i="1" s="1"/>
  <c r="B182" i="1"/>
  <c r="M209" i="1"/>
  <c r="L248" i="1"/>
  <c r="V129" i="1"/>
  <c r="V55" i="1" s="1"/>
  <c r="Q129" i="1"/>
  <c r="Q55" i="1" s="1"/>
  <c r="L197" i="1"/>
  <c r="N182" i="1"/>
  <c r="N157" i="1"/>
  <c r="E185" i="1"/>
  <c r="E157" i="1"/>
  <c r="M37" i="1"/>
  <c r="M129" i="1"/>
  <c r="M55" i="1" s="1"/>
  <c r="O58" i="1"/>
  <c r="BF103" i="1"/>
  <c r="BF104" i="1"/>
  <c r="BF102" i="1"/>
  <c r="BK12" i="1"/>
  <c r="BL12" i="1"/>
  <c r="BK16" i="1"/>
  <c r="AP225" i="1"/>
  <c r="AQ12" i="1"/>
  <c r="AY16" i="1"/>
  <c r="AP16" i="1"/>
  <c r="AP11" i="1"/>
  <c r="BQ27" i="1"/>
  <c r="AQ188" i="1"/>
  <c r="BM27" i="1"/>
  <c r="BQ11" i="1"/>
  <c r="BM225" i="1"/>
  <c r="BM11" i="1"/>
  <c r="BU11" i="1"/>
  <c r="BQ16" i="1"/>
  <c r="BQ28" i="1" s="1"/>
  <c r="BQ12" i="1"/>
  <c r="BO103" i="1"/>
  <c r="BO104" i="1"/>
  <c r="BP103" i="1"/>
  <c r="BP104" i="1"/>
  <c r="BP102" i="1"/>
  <c r="BU27" i="1"/>
  <c r="BU16" i="1"/>
  <c r="BU104" i="1"/>
  <c r="BU103" i="1"/>
  <c r="BM16" i="1"/>
  <c r="BM12" i="1"/>
  <c r="BA11" i="1"/>
  <c r="BH27" i="1"/>
  <c r="AS16" i="1"/>
  <c r="AW11" i="1"/>
  <c r="BJ11" i="1"/>
  <c r="BF16" i="1"/>
  <c r="BF28" i="1" s="1"/>
  <c r="BJ30" i="1" s="1"/>
  <c r="N244" i="1"/>
  <c r="BV27" i="1"/>
  <c r="BC27" i="1"/>
  <c r="BT225" i="1"/>
  <c r="AY179" i="1"/>
  <c r="AS183" i="1"/>
  <c r="BY11" i="1"/>
  <c r="BU188" i="1"/>
  <c r="F246" i="1"/>
  <c r="F244" i="1"/>
  <c r="J244" i="1"/>
  <c r="R244" i="1"/>
  <c r="R246" i="1"/>
  <c r="BE12" i="1"/>
  <c r="BH11" i="1"/>
  <c r="BD16" i="1"/>
  <c r="BD27" i="1"/>
  <c r="BG102" i="1"/>
  <c r="BV12" i="1"/>
  <c r="BV188" i="1"/>
  <c r="BO11" i="1"/>
  <c r="BP12" i="1"/>
  <c r="BO27" i="1"/>
  <c r="BO16" i="1"/>
  <c r="BR225" i="1"/>
  <c r="V58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S27" i="1"/>
  <c r="BW11" i="1"/>
  <c r="BK103" i="1"/>
  <c r="BK102" i="1"/>
  <c r="AY12" i="1"/>
  <c r="AI181" i="1"/>
  <c r="AN27" i="1"/>
  <c r="AP12" i="1"/>
  <c r="BJ12" i="1"/>
  <c r="AL102" i="1"/>
  <c r="AL103" i="1"/>
  <c r="AN102" i="1"/>
  <c r="AN103" i="1"/>
  <c r="AN104" i="1"/>
  <c r="BM104" i="1"/>
  <c r="BM102" i="1"/>
  <c r="BM103" i="1"/>
  <c r="AP188" i="1"/>
  <c r="BX11" i="1"/>
  <c r="BT16" i="1"/>
  <c r="AX16" i="1"/>
  <c r="BH104" i="1"/>
  <c r="BH102" i="1"/>
  <c r="AR188" i="1"/>
  <c r="BB104" i="1"/>
  <c r="BB103" i="1"/>
  <c r="BB102" i="1"/>
  <c r="AO11" i="1"/>
  <c r="AO188" i="1"/>
  <c r="AO16" i="1"/>
  <c r="AO27" i="1"/>
  <c r="CB188" i="1"/>
  <c r="X58" i="1"/>
  <c r="BW16" i="1"/>
  <c r="BZ244" i="1"/>
  <c r="CA11" i="1"/>
  <c r="BZ225" i="1"/>
  <c r="BX12" i="1"/>
  <c r="AV16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BA104" i="1"/>
  <c r="BA102" i="1"/>
  <c r="BA103" i="1"/>
  <c r="BG27" i="1"/>
  <c r="BJ225" i="1"/>
  <c r="BH12" i="1"/>
  <c r="BG16" i="1"/>
  <c r="AP102" i="1"/>
  <c r="AP104" i="1"/>
  <c r="AP103" i="1"/>
  <c r="AO102" i="1"/>
  <c r="AO104" i="1"/>
  <c r="AO103" i="1"/>
  <c r="BW27" i="1"/>
  <c r="BG11" i="1"/>
  <c r="AV11" i="1"/>
  <c r="AQ27" i="1"/>
  <c r="BJ29" i="1"/>
  <c r="BJ34" i="1"/>
  <c r="BJ38" i="1" s="1"/>
  <c r="BJ232" i="1"/>
  <c r="BJ233" i="1" s="1"/>
  <c r="F184" i="1"/>
  <c r="BV92" i="1"/>
  <c r="BV129" i="1"/>
  <c r="L157" i="1"/>
  <c r="Q248" i="1"/>
  <c r="T248" i="1"/>
  <c r="F182" i="1"/>
  <c r="G196" i="1"/>
  <c r="F196" i="1"/>
  <c r="J168" i="1"/>
  <c r="J109" i="1" s="1"/>
  <c r="J249" i="1"/>
  <c r="J251" i="1" s="1"/>
  <c r="D197" i="1"/>
  <c r="H206" i="1"/>
  <c r="S197" i="1"/>
  <c r="T185" i="1"/>
  <c r="T184" i="1" s="1"/>
  <c r="U197" i="1"/>
  <c r="T249" i="1"/>
  <c r="T251" i="1" s="1"/>
  <c r="O37" i="1"/>
  <c r="M168" i="1"/>
  <c r="M109" i="1" s="1"/>
  <c r="V185" i="1"/>
  <c r="V157" i="1"/>
  <c r="V197" i="1"/>
  <c r="AR161" i="1"/>
  <c r="AS209" i="1" s="1"/>
  <c r="AS124" i="1"/>
  <c r="AS128" i="1" s="1"/>
  <c r="AR128" i="1"/>
  <c r="AS117" i="1"/>
  <c r="AR120" i="1"/>
  <c r="M197" i="1"/>
  <c r="N197" i="1"/>
  <c r="R185" i="1"/>
  <c r="R157" i="1"/>
  <c r="AR180" i="1"/>
  <c r="AS180" i="1" s="1"/>
  <c r="AR148" i="1"/>
  <c r="AR182" i="1" s="1"/>
  <c r="AR156" i="1"/>
  <c r="AU103" i="1"/>
  <c r="AU104" i="1"/>
  <c r="AU102" i="1"/>
  <c r="AZ12" i="1"/>
  <c r="BJ103" i="1"/>
  <c r="BJ104" i="1"/>
  <c r="BA12" i="1"/>
  <c r="AI27" i="1"/>
  <c r="AY188" i="1"/>
  <c r="BD11" i="1"/>
  <c r="BD188" i="1"/>
  <c r="J248" i="1"/>
  <c r="H197" i="1"/>
  <c r="J175" i="1"/>
  <c r="J207" i="1"/>
  <c r="G157" i="1"/>
  <c r="AM119" i="1"/>
  <c r="AM120" i="1" s="1"/>
  <c r="AM129" i="1" s="1"/>
  <c r="AM66" i="1"/>
  <c r="AM69" i="1" s="1"/>
  <c r="BV248" i="1"/>
  <c r="BI134" i="1"/>
  <c r="BH184" i="1"/>
  <c r="J129" i="1"/>
  <c r="J55" i="1" s="1"/>
  <c r="K207" i="1"/>
  <c r="J54" i="1"/>
  <c r="R197" i="1"/>
  <c r="G185" i="1"/>
  <c r="AM193" i="1"/>
  <c r="AM195" i="1" s="1"/>
  <c r="BX206" i="1"/>
  <c r="BW206" i="1"/>
  <c r="BI33" i="1"/>
  <c r="Q185" i="1"/>
  <c r="AM52" i="1"/>
  <c r="J246" i="1"/>
  <c r="BX249" i="1"/>
  <c r="BV168" i="1"/>
  <c r="BV181" i="1"/>
  <c r="S203" i="1"/>
  <c r="J33" i="1"/>
  <c r="BI128" i="1"/>
  <c r="T138" i="1"/>
  <c r="T246" i="1" s="1"/>
  <c r="H138" i="1"/>
  <c r="H33" i="1"/>
  <c r="G138" i="1"/>
  <c r="G33" i="1"/>
  <c r="I33" i="1"/>
  <c r="I138" i="1"/>
  <c r="BS140" i="1"/>
  <c r="BR202" i="1"/>
  <c r="BT184" i="1"/>
  <c r="BP184" i="1"/>
  <c r="BR184" i="1"/>
  <c r="BN103" i="1"/>
  <c r="BN104" i="1"/>
  <c r="BR103" i="1"/>
  <c r="BS102" i="1"/>
  <c r="BS104" i="1"/>
  <c r="M138" i="1"/>
  <c r="M33" i="1"/>
  <c r="K33" i="1"/>
  <c r="K138" i="1"/>
  <c r="W138" i="1"/>
  <c r="W33" i="1"/>
  <c r="Q33" i="1"/>
  <c r="Q138" i="1"/>
  <c r="V138" i="1"/>
  <c r="V33" i="1"/>
  <c r="AP181" i="1"/>
  <c r="R165" i="1"/>
  <c r="AT184" i="1"/>
  <c r="BP181" i="1"/>
  <c r="BN102" i="1"/>
  <c r="BR102" i="1"/>
  <c r="BR104" i="1"/>
  <c r="BS103" i="1"/>
  <c r="D175" i="1"/>
  <c r="D54" i="1"/>
  <c r="L54" i="1"/>
  <c r="L175" i="1"/>
  <c r="M206" i="1"/>
  <c r="M205" i="1" s="1"/>
  <c r="P138" i="1"/>
  <c r="P244" i="1" s="1"/>
  <c r="BL188" i="1"/>
  <c r="BH186" i="1"/>
  <c r="BL189" i="1" s="1"/>
  <c r="I207" i="1"/>
  <c r="N33" i="1"/>
  <c r="L138" i="1"/>
  <c r="T207" i="1"/>
  <c r="C175" i="1"/>
  <c r="S186" i="1"/>
  <c r="R129" i="1"/>
  <c r="R55" i="1" s="1"/>
  <c r="T168" i="1"/>
  <c r="T109" i="1" s="1"/>
  <c r="P196" i="1"/>
  <c r="V249" i="1"/>
  <c r="V251" i="1" s="1"/>
  <c r="R168" i="1"/>
  <c r="R109" i="1" s="1"/>
  <c r="C157" i="1"/>
  <c r="C165" i="1" s="1"/>
  <c r="J196" i="1"/>
  <c r="T196" i="1"/>
  <c r="Q196" i="1"/>
  <c r="C182" i="1"/>
  <c r="C181" i="1" s="1"/>
  <c r="D196" i="1"/>
  <c r="P182" i="1"/>
  <c r="P157" i="1"/>
  <c r="S196" i="1"/>
  <c r="C197" i="1"/>
  <c r="O157" i="1"/>
  <c r="I129" i="1"/>
  <c r="I55" i="1" s="1"/>
  <c r="U206" i="1"/>
  <c r="U168" i="1"/>
  <c r="U109" i="1" s="1"/>
  <c r="U37" i="1"/>
  <c r="U129" i="1"/>
  <c r="U55" i="1" s="1"/>
  <c r="V206" i="1"/>
  <c r="S248" i="1"/>
  <c r="S175" i="1"/>
  <c r="R249" i="1"/>
  <c r="R251" i="1" s="1"/>
  <c r="H196" i="1"/>
  <c r="H157" i="1"/>
  <c r="I157" i="1"/>
  <c r="Q157" i="1"/>
  <c r="Q197" i="1"/>
  <c r="P206" i="1"/>
  <c r="N206" i="1"/>
  <c r="L206" i="1"/>
  <c r="P207" i="1"/>
  <c r="B157" i="1"/>
  <c r="C196" i="1"/>
  <c r="O138" i="1"/>
  <c r="O33" i="1"/>
  <c r="R206" i="1"/>
  <c r="BB184" i="1"/>
  <c r="BH206" i="1"/>
  <c r="BF184" i="1"/>
  <c r="AV184" i="1"/>
  <c r="BH129" i="1"/>
  <c r="AZ27" i="1"/>
  <c r="C69" i="1"/>
  <c r="BH94" i="1"/>
  <c r="BH95" i="1"/>
  <c r="AW27" i="1"/>
  <c r="AS12" i="1"/>
  <c r="AT12" i="1"/>
  <c r="AT27" i="1"/>
  <c r="AY27" i="1"/>
  <c r="BA27" i="1"/>
  <c r="BS16" i="1"/>
  <c r="BT12" i="1"/>
  <c r="BS188" i="1"/>
  <c r="BX188" i="1"/>
  <c r="BW183" i="1"/>
  <c r="BV184" i="1"/>
  <c r="BE16" i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H188" i="1"/>
  <c r="AZ28" i="1"/>
  <c r="BF27" i="1"/>
  <c r="BR16" i="1"/>
  <c r="BV18" i="1" s="1"/>
  <c r="AX225" i="1"/>
  <c r="BF225" i="1"/>
  <c r="AV188" i="1"/>
  <c r="BF188" i="1"/>
  <c r="BS11" i="1"/>
  <c r="BR12" i="1"/>
  <c r="BT188" i="1"/>
  <c r="BI225" i="1"/>
  <c r="BG12" i="1"/>
  <c r="AZ17" i="1"/>
  <c r="BW249" i="1"/>
  <c r="BH168" i="1"/>
  <c r="BP27" i="1"/>
  <c r="AR27" i="1"/>
  <c r="BW103" i="1"/>
  <c r="BZ11" i="1"/>
  <c r="BZ188" i="1"/>
  <c r="BY103" i="1"/>
  <c r="AZ104" i="1"/>
  <c r="BH225" i="1"/>
  <c r="AR225" i="1"/>
  <c r="S58" i="1"/>
  <c r="W58" i="1"/>
  <c r="AV225" i="1"/>
  <c r="AS27" i="1"/>
  <c r="AZ103" i="1"/>
  <c r="AS188" i="1"/>
  <c r="BU102" i="1"/>
  <c r="Q58" i="1"/>
  <c r="BE103" i="1"/>
  <c r="BV225" i="1"/>
  <c r="BA225" i="1"/>
  <c r="AZ188" i="1"/>
  <c r="AU11" i="1"/>
  <c r="AY225" i="1"/>
  <c r="AU188" i="1"/>
  <c r="BP11" i="1"/>
  <c r="BT27" i="1"/>
  <c r="BQ103" i="1"/>
  <c r="BQ104" i="1"/>
  <c r="BI27" i="1"/>
  <c r="AX27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R102" i="1"/>
  <c r="AR103" i="1"/>
  <c r="AR104" i="1"/>
  <c r="U58" i="1"/>
  <c r="BE225" i="1"/>
  <c r="BQ225" i="1"/>
  <c r="BO12" i="1"/>
  <c r="AQ102" i="1"/>
  <c r="BB27" i="1"/>
  <c r="BU12" i="1"/>
  <c r="BY188" i="1"/>
  <c r="BW225" i="1"/>
  <c r="AX188" i="1"/>
  <c r="AX12" i="1"/>
  <c r="BB11" i="1"/>
  <c r="AZ225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AX11" i="1"/>
  <c r="BC12" i="1"/>
  <c r="BP225" i="1"/>
  <c r="BC225" i="1"/>
  <c r="BO225" i="1"/>
  <c r="AS11" i="1"/>
  <c r="BI209" i="1"/>
  <c r="BH248" i="1"/>
  <c r="BX244" i="1"/>
  <c r="CA188" i="1"/>
  <c r="BW12" i="1"/>
  <c r="BY225" i="1"/>
  <c r="BX225" i="1"/>
  <c r="AV27" i="1"/>
  <c r="AW188" i="1"/>
  <c r="AW12" i="1"/>
  <c r="BA188" i="1"/>
  <c r="AV12" i="1"/>
  <c r="BN27" i="1"/>
  <c r="BC188" i="1"/>
  <c r="BB225" i="1"/>
  <c r="BO188" i="1"/>
  <c r="BN225" i="1"/>
  <c r="BW188" i="1"/>
  <c r="BV138" i="1"/>
  <c r="BW33" i="1"/>
  <c r="BW134" i="1"/>
  <c r="AW102" i="1"/>
  <c r="AW104" i="1"/>
  <c r="AW103" i="1"/>
  <c r="BF11" i="1"/>
  <c r="BV28" i="1"/>
  <c r="BD12" i="1"/>
  <c r="AN188" i="1"/>
  <c r="BG104" i="1"/>
  <c r="BG225" i="1"/>
  <c r="G197" i="1"/>
  <c r="L168" i="1"/>
  <c r="L109" i="1" s="1"/>
  <c r="L196" i="1"/>
  <c r="W206" i="1"/>
  <c r="Q168" i="1"/>
  <c r="Q109" i="1" s="1"/>
  <c r="C54" i="1"/>
  <c r="S168" i="1"/>
  <c r="S109" i="1" s="1"/>
  <c r="T206" i="1"/>
  <c r="M249" i="1"/>
  <c r="M251" i="1" s="1"/>
  <c r="O197" i="1"/>
  <c r="F197" i="1"/>
  <c r="L249" i="1"/>
  <c r="L251" i="1" s="1"/>
  <c r="N249" i="1"/>
  <c r="N251" i="1" s="1"/>
  <c r="L129" i="1"/>
  <c r="L55" i="1" s="1"/>
  <c r="S129" i="1"/>
  <c r="S55" i="1" s="1"/>
  <c r="V182" i="1"/>
  <c r="V181" i="1" s="1"/>
  <c r="T197" i="1"/>
  <c r="S157" i="1"/>
  <c r="S165" i="1" s="1"/>
  <c r="S166" i="1" s="1"/>
  <c r="V168" i="1"/>
  <c r="V109" i="1" s="1"/>
  <c r="I54" i="1"/>
  <c r="B138" i="1"/>
  <c r="C203" i="1" s="1"/>
  <c r="C201" i="1" s="1"/>
  <c r="O185" i="1"/>
  <c r="M196" i="1"/>
  <c r="F157" i="1"/>
  <c r="F165" i="1" s="1"/>
  <c r="C207" i="1"/>
  <c r="C129" i="1"/>
  <c r="C55" i="1" s="1"/>
  <c r="BV157" i="1"/>
  <c r="BV186" i="1"/>
  <c r="BZ189" i="1" s="1"/>
  <c r="S244" i="1"/>
  <c r="O249" i="1"/>
  <c r="O251" i="1" s="1"/>
  <c r="E207" i="1"/>
  <c r="E54" i="1"/>
  <c r="BJ244" i="1"/>
  <c r="BK188" i="1"/>
  <c r="BH157" i="1"/>
  <c r="BH165" i="1" s="1"/>
  <c r="AZ184" i="1"/>
  <c r="J209" i="1"/>
  <c r="I248" i="1"/>
  <c r="N207" i="1"/>
  <c r="N54" i="1"/>
  <c r="N175" i="1"/>
  <c r="BC103" i="1"/>
  <c r="BK11" i="1"/>
  <c r="E129" i="1"/>
  <c r="E55" i="1" s="1"/>
  <c r="O129" i="1"/>
  <c r="O55" i="1" s="1"/>
  <c r="S206" i="1"/>
  <c r="S249" i="1"/>
  <c r="S251" i="1" s="1"/>
  <c r="E175" i="1"/>
  <c r="O207" i="1"/>
  <c r="BI104" i="1"/>
  <c r="N246" i="1"/>
  <c r="BC104" i="1"/>
  <c r="P249" i="1"/>
  <c r="P251" i="1" s="1"/>
  <c r="O206" i="1"/>
  <c r="N248" i="1"/>
  <c r="BI102" i="1"/>
  <c r="BG188" i="1"/>
  <c r="BU202" i="1"/>
  <c r="S246" i="1"/>
  <c r="F207" i="1"/>
  <c r="BR249" i="1"/>
  <c r="AW202" i="1"/>
  <c r="E244" i="1"/>
  <c r="E246" i="1"/>
  <c r="F203" i="1"/>
  <c r="F201" i="1" s="1"/>
  <c r="D69" i="1"/>
  <c r="D68" i="1"/>
  <c r="AR202" i="1"/>
  <c r="AQ202" i="1"/>
  <c r="BB168" i="1"/>
  <c r="J184" i="1"/>
  <c r="AV168" i="1"/>
  <c r="BS33" i="1"/>
  <c r="BS134" i="1"/>
  <c r="BR138" i="1"/>
  <c r="AQ249" i="1"/>
  <c r="AN92" i="1"/>
  <c r="AN95" i="1" s="1"/>
  <c r="AN248" i="1"/>
  <c r="AV249" i="1"/>
  <c r="AO134" i="1"/>
  <c r="AO33" i="1"/>
  <c r="AN138" i="1"/>
  <c r="AN246" i="1" s="1"/>
  <c r="BC33" i="1"/>
  <c r="BB138" i="1"/>
  <c r="BC134" i="1"/>
  <c r="AV206" i="1"/>
  <c r="BT129" i="1"/>
  <c r="K184" i="1"/>
  <c r="U184" i="1"/>
  <c r="U186" i="1"/>
  <c r="BN168" i="1"/>
  <c r="BN129" i="1"/>
  <c r="BC206" i="1"/>
  <c r="BC249" i="1"/>
  <c r="T186" i="1"/>
  <c r="T181" i="1"/>
  <c r="BB129" i="1"/>
  <c r="AT248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N184" i="1"/>
  <c r="BS28" i="1"/>
  <c r="BS17" i="1"/>
  <c r="AT95" i="1"/>
  <c r="AT96" i="1"/>
  <c r="AT94" i="1"/>
  <c r="BR96" i="1"/>
  <c r="BR94" i="1"/>
  <c r="BR95" i="1"/>
  <c r="BH246" i="1"/>
  <c r="BH244" i="1"/>
  <c r="AQ28" i="1"/>
  <c r="AQ18" i="1"/>
  <c r="AQ17" i="1"/>
  <c r="BB17" i="1"/>
  <c r="BB28" i="1"/>
  <c r="CR194" i="1"/>
  <c r="CR132" i="1"/>
  <c r="CQ203" i="1"/>
  <c r="CQ201" i="1" s="1"/>
  <c r="AB206" i="1"/>
  <c r="DB63" i="1"/>
  <c r="DB65" i="1" s="1"/>
  <c r="DA65" i="1"/>
  <c r="B68" i="1" l="1"/>
  <c r="J165" i="1"/>
  <c r="BA19" i="1"/>
  <c r="BE18" i="1"/>
  <c r="D205" i="1"/>
  <c r="AS134" i="1"/>
  <c r="AS138" i="1" s="1"/>
  <c r="BV96" i="1"/>
  <c r="BV94" i="1"/>
  <c r="BH17" i="1"/>
  <c r="AX19" i="1"/>
  <c r="BH19" i="1"/>
  <c r="AN18" i="1"/>
  <c r="AV28" i="1"/>
  <c r="AZ18" i="1"/>
  <c r="X59" i="1"/>
  <c r="BT28" i="1"/>
  <c r="BT17" i="1"/>
  <c r="AO18" i="1"/>
  <c r="O59" i="1"/>
  <c r="P59" i="1"/>
  <c r="AR19" i="1"/>
  <c r="BB19" i="1"/>
  <c r="BJ40" i="1"/>
  <c r="M198" i="1"/>
  <c r="M199" i="1" s="1"/>
  <c r="F166" i="1"/>
  <c r="C205" i="1"/>
  <c r="E205" i="1"/>
  <c r="S205" i="1"/>
  <c r="U198" i="1"/>
  <c r="U199" i="1" s="1"/>
  <c r="F205" i="1"/>
  <c r="D111" i="1"/>
  <c r="D114" i="1" s="1"/>
  <c r="H205" i="1"/>
  <c r="K198" i="1"/>
  <c r="K199" i="1" s="1"/>
  <c r="F198" i="1"/>
  <c r="F199" i="1" s="1"/>
  <c r="U165" i="1"/>
  <c r="U246" i="1"/>
  <c r="U244" i="1"/>
  <c r="D165" i="1"/>
  <c r="E165" i="1"/>
  <c r="V198" i="1"/>
  <c r="V199" i="1" s="1"/>
  <c r="B110" i="1"/>
  <c r="B113" i="1" s="1"/>
  <c r="B111" i="1"/>
  <c r="B114" i="1" s="1"/>
  <c r="C110" i="1"/>
  <c r="C113" i="1" s="1"/>
  <c r="C111" i="1"/>
  <c r="C114" i="1" s="1"/>
  <c r="E203" i="1"/>
  <c r="E201" i="1" s="1"/>
  <c r="L181" i="1"/>
  <c r="L186" i="1"/>
  <c r="H181" i="1"/>
  <c r="H186" i="1"/>
  <c r="D184" i="1"/>
  <c r="D186" i="1"/>
  <c r="Q205" i="1"/>
  <c r="I198" i="1"/>
  <c r="I199" i="1" s="1"/>
  <c r="N198" i="1"/>
  <c r="N199" i="1" s="1"/>
  <c r="B186" i="1"/>
  <c r="B181" i="1"/>
  <c r="O198" i="1"/>
  <c r="O199" i="1" s="1"/>
  <c r="J186" i="1"/>
  <c r="L198" i="1"/>
  <c r="L199" i="1" s="1"/>
  <c r="C184" i="1"/>
  <c r="K186" i="1"/>
  <c r="B86" i="1"/>
  <c r="BV95" i="1"/>
  <c r="BL18" i="1"/>
  <c r="AX28" i="1"/>
  <c r="BG18" i="1"/>
  <c r="BG28" i="1"/>
  <c r="AN28" i="1"/>
  <c r="AN19" i="1"/>
  <c r="AV17" i="1"/>
  <c r="BW17" i="1"/>
  <c r="CA18" i="1"/>
  <c r="BW28" i="1"/>
  <c r="BX18" i="1"/>
  <c r="AY19" i="1"/>
  <c r="AO28" i="1"/>
  <c r="R59" i="1"/>
  <c r="B85" i="1"/>
  <c r="BH28" i="1"/>
  <c r="AX17" i="1"/>
  <c r="AX18" i="1"/>
  <c r="BG17" i="1"/>
  <c r="BK18" i="1"/>
  <c r="AO19" i="1"/>
  <c r="AN17" i="1"/>
  <c r="AW19" i="1"/>
  <c r="BW19" i="1"/>
  <c r="BX19" i="1"/>
  <c r="BU19" i="1"/>
  <c r="AO17" i="1"/>
  <c r="AS18" i="1"/>
  <c r="BF18" i="1"/>
  <c r="BJ41" i="1"/>
  <c r="AS33" i="1"/>
  <c r="T244" i="1"/>
  <c r="T165" i="1"/>
  <c r="T166" i="1" s="1"/>
  <c r="AR181" i="1"/>
  <c r="G205" i="1"/>
  <c r="U203" i="1"/>
  <c r="U201" i="1" s="1"/>
  <c r="U213" i="1" s="1"/>
  <c r="F181" i="1"/>
  <c r="F186" i="1"/>
  <c r="H246" i="1"/>
  <c r="H244" i="1"/>
  <c r="AR206" i="1"/>
  <c r="AR249" i="1"/>
  <c r="V184" i="1"/>
  <c r="AS206" i="1"/>
  <c r="AS249" i="1"/>
  <c r="AR168" i="1"/>
  <c r="AS37" i="1" s="1"/>
  <c r="AR129" i="1"/>
  <c r="AR92" i="1"/>
  <c r="AR185" i="1"/>
  <c r="AR157" i="1"/>
  <c r="BV34" i="1"/>
  <c r="BV38" i="1" s="1"/>
  <c r="BZ30" i="1"/>
  <c r="BV29" i="1"/>
  <c r="BV232" i="1"/>
  <c r="BV233" i="1" s="1"/>
  <c r="BW138" i="1"/>
  <c r="BX33" i="1"/>
  <c r="BV244" i="1"/>
  <c r="BV246" i="1"/>
  <c r="BA17" i="1"/>
  <c r="BA28" i="1"/>
  <c r="N165" i="1"/>
  <c r="N166" i="1" s="1"/>
  <c r="I184" i="1"/>
  <c r="I186" i="1"/>
  <c r="E184" i="1"/>
  <c r="E186" i="1"/>
  <c r="N186" i="1"/>
  <c r="N181" i="1"/>
  <c r="O186" i="1"/>
  <c r="O184" i="1"/>
  <c r="AR246" i="1"/>
  <c r="AR165" i="1"/>
  <c r="AR34" i="1"/>
  <c r="AR38" i="1" s="1"/>
  <c r="BI19" i="1"/>
  <c r="AP19" i="1"/>
  <c r="BL19" i="1"/>
  <c r="BK17" i="1"/>
  <c r="BK28" i="1"/>
  <c r="BK19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AU18" i="1"/>
  <c r="Q59" i="1"/>
  <c r="BF29" i="1"/>
  <c r="BF34" i="1"/>
  <c r="BF38" i="1" s="1"/>
  <c r="BF232" i="1"/>
  <c r="BF233" i="1" s="1"/>
  <c r="BO28" i="1"/>
  <c r="BP19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30" i="1"/>
  <c r="AW232" i="1"/>
  <c r="AW233" i="1" s="1"/>
  <c r="AW29" i="1"/>
  <c r="AW34" i="1"/>
  <c r="AW38" i="1" s="1"/>
  <c r="AU19" i="1"/>
  <c r="AV19" i="1"/>
  <c r="AU28" i="1"/>
  <c r="AY18" i="1"/>
  <c r="AU17" i="1"/>
  <c r="AQ19" i="1"/>
  <c r="BH18" i="1"/>
  <c r="BB18" i="1"/>
  <c r="BN18" i="1"/>
  <c r="BR18" i="1"/>
  <c r="BN28" i="1"/>
  <c r="U59" i="1"/>
  <c r="BN17" i="1"/>
  <c r="BN19" i="1"/>
  <c r="AR232" i="1"/>
  <c r="AR233" i="1" s="1"/>
  <c r="BO19" i="1"/>
  <c r="BG19" i="1"/>
  <c r="T59" i="1"/>
  <c r="AR18" i="1"/>
  <c r="AV18" i="1"/>
  <c r="BT18" i="1"/>
  <c r="R203" i="1"/>
  <c r="L244" i="1"/>
  <c r="S201" i="1"/>
  <c r="T203" i="1"/>
  <c r="T201" i="1" s="1"/>
  <c r="V165" i="1"/>
  <c r="V166" i="1" s="1"/>
  <c r="L203" i="1"/>
  <c r="L201" i="1" s="1"/>
  <c r="K203" i="1"/>
  <c r="K201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N203" i="1"/>
  <c r="N201" i="1" s="1"/>
  <c r="M203" i="1"/>
  <c r="M201" i="1" s="1"/>
  <c r="M244" i="1"/>
  <c r="M246" i="1"/>
  <c r="K165" i="1"/>
  <c r="K166" i="1" s="1"/>
  <c r="C198" i="1"/>
  <c r="C199" i="1" s="1"/>
  <c r="AR248" i="1"/>
  <c r="AR244" i="1"/>
  <c r="BT202" i="1"/>
  <c r="BS202" i="1"/>
  <c r="AT249" i="1"/>
  <c r="AT206" i="1"/>
  <c r="C244" i="1"/>
  <c r="C166" i="1"/>
  <c r="AT33" i="1"/>
  <c r="BI206" i="1"/>
  <c r="Q186" i="1"/>
  <c r="Q184" i="1"/>
  <c r="G184" i="1"/>
  <c r="C85" i="1"/>
  <c r="B89" i="1"/>
  <c r="AM54" i="1"/>
  <c r="AM92" i="1"/>
  <c r="AM85" i="1"/>
  <c r="BV109" i="1"/>
  <c r="BJ33" i="1"/>
  <c r="BI138" i="1"/>
  <c r="BJ203" i="1" s="1"/>
  <c r="BJ201" i="1" s="1"/>
  <c r="BV165" i="1"/>
  <c r="BV166" i="1" s="1"/>
  <c r="K205" i="1"/>
  <c r="J166" i="1"/>
  <c r="G198" i="1"/>
  <c r="G199" i="1" s="1"/>
  <c r="X203" i="1"/>
  <c r="X201" i="1" s="1"/>
  <c r="W203" i="1"/>
  <c r="W201" i="1" s="1"/>
  <c r="J205" i="1"/>
  <c r="G165" i="1"/>
  <c r="G166" i="1" s="1"/>
  <c r="Q165" i="1"/>
  <c r="Q166" i="1" s="1"/>
  <c r="R198" i="1"/>
  <c r="R199" i="1" s="1"/>
  <c r="D70" i="1"/>
  <c r="G186" i="1"/>
  <c r="C87" i="1"/>
  <c r="C70" i="1"/>
  <c r="C86" i="1"/>
  <c r="AM207" i="1"/>
  <c r="AM205" i="1" s="1"/>
  <c r="AM55" i="1"/>
  <c r="AM86" i="1"/>
  <c r="AM87" i="1"/>
  <c r="BW37" i="1"/>
  <c r="BJ206" i="1"/>
  <c r="BI249" i="1"/>
  <c r="BJ249" i="1"/>
  <c r="M165" i="1"/>
  <c r="M166" i="1" s="1"/>
  <c r="K244" i="1"/>
  <c r="K246" i="1"/>
  <c r="V203" i="1"/>
  <c r="V201" i="1" s="1"/>
  <c r="V244" i="1"/>
  <c r="V246" i="1"/>
  <c r="Q246" i="1"/>
  <c r="Q244" i="1"/>
  <c r="Q203" i="1"/>
  <c r="Q201" i="1" s="1"/>
  <c r="O246" i="1"/>
  <c r="P203" i="1"/>
  <c r="P201" i="1" s="1"/>
  <c r="O203" i="1"/>
  <c r="O201" i="1" s="1"/>
  <c r="O244" i="1"/>
  <c r="L246" i="1"/>
  <c r="I205" i="1"/>
  <c r="T198" i="1"/>
  <c r="T199" i="1" s="1"/>
  <c r="T213" i="1" s="1"/>
  <c r="B165" i="1"/>
  <c r="R201" i="1"/>
  <c r="P246" i="1"/>
  <c r="BH166" i="1"/>
  <c r="R166" i="1"/>
  <c r="P165" i="1"/>
  <c r="P166" i="1" s="1"/>
  <c r="N205" i="1"/>
  <c r="T205" i="1"/>
  <c r="D198" i="1"/>
  <c r="D199" i="1" s="1"/>
  <c r="U205" i="1"/>
  <c r="J198" i="1"/>
  <c r="J199" i="1" s="1"/>
  <c r="V205" i="1"/>
  <c r="R205" i="1"/>
  <c r="I165" i="1"/>
  <c r="I166" i="1" s="1"/>
  <c r="L165" i="1"/>
  <c r="L166" i="1" s="1"/>
  <c r="P198" i="1"/>
  <c r="P199" i="1" s="1"/>
  <c r="U166" i="1"/>
  <c r="S198" i="1"/>
  <c r="S199" i="1" s="1"/>
  <c r="H165" i="1"/>
  <c r="H166" i="1" s="1"/>
  <c r="H198" i="1"/>
  <c r="H199" i="1" s="1"/>
  <c r="Q198" i="1"/>
  <c r="Q199" i="1" s="1"/>
  <c r="L205" i="1"/>
  <c r="P205" i="1"/>
  <c r="C186" i="1"/>
  <c r="P186" i="1"/>
  <c r="P181" i="1"/>
  <c r="O165" i="1"/>
  <c r="BE28" i="1"/>
  <c r="BE17" i="1"/>
  <c r="BF19" i="1"/>
  <c r="BC19" i="1"/>
  <c r="BT19" i="1"/>
  <c r="BW18" i="1"/>
  <c r="V59" i="1"/>
  <c r="BS18" i="1"/>
  <c r="BD19" i="1"/>
  <c r="S59" i="1"/>
  <c r="BC28" i="1"/>
  <c r="BC17" i="1"/>
  <c r="BC18" i="1"/>
  <c r="BH109" i="1"/>
  <c r="BI37" i="1"/>
  <c r="BR28" i="1"/>
  <c r="BR19" i="1"/>
  <c r="BR17" i="1"/>
  <c r="AZ29" i="1"/>
  <c r="AZ232" i="1"/>
  <c r="AZ233" i="1" s="1"/>
  <c r="AZ34" i="1"/>
  <c r="AZ38" i="1" s="1"/>
  <c r="BV189" i="1"/>
  <c r="V186" i="1"/>
  <c r="V189" i="1" s="1"/>
  <c r="V190" i="1" s="1"/>
  <c r="O205" i="1"/>
  <c r="E166" i="1"/>
  <c r="D244" i="1"/>
  <c r="D166" i="1"/>
  <c r="F213" i="1"/>
  <c r="F210" i="1"/>
  <c r="F211" i="1" s="1"/>
  <c r="E210" i="1"/>
  <c r="E211" i="1" s="1"/>
  <c r="E213" i="1"/>
  <c r="AW37" i="1"/>
  <c r="AV109" i="1"/>
  <c r="BS138" i="1"/>
  <c r="BT33" i="1"/>
  <c r="BR246" i="1"/>
  <c r="BR244" i="1"/>
  <c r="AP33" i="1"/>
  <c r="AO138" i="1"/>
  <c r="AN94" i="1"/>
  <c r="AN96" i="1"/>
  <c r="J189" i="1"/>
  <c r="J190" i="1" s="1"/>
  <c r="BR165" i="1"/>
  <c r="BR166" i="1" s="1"/>
  <c r="BB109" i="1"/>
  <c r="BC37" i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AS203" i="1"/>
  <c r="AS201" i="1" s="1"/>
  <c r="AT203" i="1"/>
  <c r="AT201" i="1" s="1"/>
  <c r="BT250" i="1"/>
  <c r="BT251" i="1" s="1"/>
  <c r="BS34" i="1"/>
  <c r="BS38" i="1" s="1"/>
  <c r="BS29" i="1"/>
  <c r="BS232" i="1"/>
  <c r="BS233" i="1" s="1"/>
  <c r="BT31" i="1"/>
  <c r="BV40" i="1"/>
  <c r="BV41" i="1"/>
  <c r="BB226" i="1"/>
  <c r="R60" i="1"/>
  <c r="AV34" i="1"/>
  <c r="AZ30" i="1"/>
  <c r="AV29" i="1"/>
  <c r="AV232" i="1"/>
  <c r="AV233" i="1" s="1"/>
  <c r="AW250" i="1"/>
  <c r="AW251" i="1" s="1"/>
  <c r="AW31" i="1"/>
  <c r="BG29" i="1"/>
  <c r="BG250" i="1"/>
  <c r="BG251" i="1" s="1"/>
  <c r="BG34" i="1"/>
  <c r="BG232" i="1"/>
  <c r="BG233" i="1" s="1"/>
  <c r="BH31" i="1"/>
  <c r="BG31" i="1"/>
  <c r="BL30" i="1"/>
  <c r="BH29" i="1"/>
  <c r="BH34" i="1"/>
  <c r="BH38" i="1" s="1"/>
  <c r="BH232" i="1"/>
  <c r="BH233" i="1" s="1"/>
  <c r="BH250" i="1"/>
  <c r="BH25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AV30" i="1"/>
  <c r="BJ234" i="1"/>
  <c r="BJ42" i="1"/>
  <c r="BJ245" i="1" s="1"/>
  <c r="BJ48" i="1"/>
  <c r="BQ40" i="1"/>
  <c r="BQ41" i="1"/>
  <c r="AW40" i="1"/>
  <c r="AW41" i="1"/>
  <c r="AT41" i="1"/>
  <c r="AT40" i="1"/>
  <c r="CR134" i="1"/>
  <c r="AE142" i="1"/>
  <c r="AC124" i="1"/>
  <c r="BA34" i="1" l="1"/>
  <c r="BA38" i="1" s="1"/>
  <c r="BA232" i="1"/>
  <c r="BA233" i="1" s="1"/>
  <c r="BA29" i="1"/>
  <c r="BA250" i="1"/>
  <c r="BA251" i="1" s="1"/>
  <c r="BA31" i="1"/>
  <c r="I189" i="1"/>
  <c r="I190" i="1" s="1"/>
  <c r="C189" i="1"/>
  <c r="C190" i="1" s="1"/>
  <c r="D189" i="1"/>
  <c r="D190" i="1" s="1"/>
  <c r="O189" i="1"/>
  <c r="O190" i="1" s="1"/>
  <c r="N189" i="1"/>
  <c r="N190" i="1" s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I232" i="1"/>
  <c r="BI233" i="1" s="1"/>
  <c r="BI34" i="1"/>
  <c r="BI29" i="1"/>
  <c r="BL226" i="1"/>
  <c r="BJ31" i="1"/>
  <c r="BJ250" i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O60" i="1"/>
  <c r="AP31" i="1"/>
  <c r="BD34" i="1"/>
  <c r="BD38" i="1" s="1"/>
  <c r="BD29" i="1"/>
  <c r="BD232" i="1"/>
  <c r="BD233" i="1" s="1"/>
  <c r="BF41" i="1"/>
  <c r="BF40" i="1"/>
  <c r="BO29" i="1"/>
  <c r="BO34" i="1"/>
  <c r="BO38" i="1" s="1"/>
  <c r="BO232" i="1"/>
  <c r="BO233" i="1" s="1"/>
  <c r="BP31" i="1"/>
  <c r="BP250" i="1"/>
  <c r="BP251" i="1" s="1"/>
  <c r="AX226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AQ226" i="1"/>
  <c r="BV226" i="1"/>
  <c r="BN112" i="1"/>
  <c r="BN226" i="1"/>
  <c r="AX112" i="1"/>
  <c r="AY112" i="1"/>
  <c r="AY226" i="1"/>
  <c r="AY31" i="1"/>
  <c r="AY250" i="1"/>
  <c r="AY251" i="1" s="1"/>
  <c r="AZ112" i="1"/>
  <c r="BV112" i="1"/>
  <c r="AQ112" i="1"/>
  <c r="AR226" i="1"/>
  <c r="AP226" i="1"/>
  <c r="AP112" i="1"/>
  <c r="BK226" i="1"/>
  <c r="AV112" i="1"/>
  <c r="Q60" i="1"/>
  <c r="T60" i="1"/>
  <c r="BJ112" i="1"/>
  <c r="BI250" i="1"/>
  <c r="BI31" i="1"/>
  <c r="BQ112" i="1"/>
  <c r="BO31" i="1"/>
  <c r="BO250" i="1"/>
  <c r="BO251" i="1" s="1"/>
  <c r="BN30" i="1"/>
  <c r="BO112" i="1"/>
  <c r="BA112" i="1"/>
  <c r="AP250" i="1"/>
  <c r="AP251" i="1" s="1"/>
  <c r="BX112" i="1"/>
  <c r="BN34" i="1"/>
  <c r="BO226" i="1"/>
  <c r="BN232" i="1"/>
  <c r="BN233" i="1" s="1"/>
  <c r="BP112" i="1"/>
  <c r="BI226" i="1"/>
  <c r="BI112" i="1"/>
  <c r="BJ226" i="1"/>
  <c r="BH30" i="1"/>
  <c r="BP226" i="1"/>
  <c r="BN29" i="1"/>
  <c r="BN31" i="1"/>
  <c r="BN250" i="1"/>
  <c r="BN251" i="1" s="1"/>
  <c r="BQ226" i="1"/>
  <c r="P213" i="1"/>
  <c r="I213" i="1"/>
  <c r="N213" i="1"/>
  <c r="M213" i="1"/>
  <c r="K213" i="1"/>
  <c r="M210" i="1"/>
  <c r="M211" i="1" s="1"/>
  <c r="C210" i="1"/>
  <c r="C211" i="1" s="1"/>
  <c r="C213" i="1"/>
  <c r="V213" i="1"/>
  <c r="L213" i="1"/>
  <c r="O166" i="1"/>
  <c r="T210" i="1"/>
  <c r="T211" i="1" s="1"/>
  <c r="U210" i="1"/>
  <c r="U211" i="1" s="1"/>
  <c r="J213" i="1"/>
  <c r="D210" i="1"/>
  <c r="D211" i="1" s="1"/>
  <c r="D213" i="1"/>
  <c r="H210" i="1"/>
  <c r="H211" i="1" s="1"/>
  <c r="S213" i="1"/>
  <c r="S210" i="1"/>
  <c r="S211" i="1" s="1"/>
  <c r="Q213" i="1"/>
  <c r="Q210" i="1"/>
  <c r="Q211" i="1" s="1"/>
  <c r="I210" i="1"/>
  <c r="I211" i="1" s="1"/>
  <c r="P210" i="1"/>
  <c r="P211" i="1" s="1"/>
  <c r="J210" i="1"/>
  <c r="J211" i="1" s="1"/>
  <c r="H213" i="1"/>
  <c r="K210" i="1"/>
  <c r="K211" i="1" s="1"/>
  <c r="N210" i="1"/>
  <c r="N211" i="1" s="1"/>
  <c r="G210" i="1"/>
  <c r="G211" i="1" s="1"/>
  <c r="G213" i="1"/>
  <c r="O213" i="1"/>
  <c r="H189" i="1"/>
  <c r="H190" i="1" s="1"/>
  <c r="G189" i="1"/>
  <c r="G190" i="1" s="1"/>
  <c r="R189" i="1"/>
  <c r="R190" i="1" s="1"/>
  <c r="AM94" i="1"/>
  <c r="AM95" i="1"/>
  <c r="AM96" i="1"/>
  <c r="BV110" i="1"/>
  <c r="BV111" i="1"/>
  <c r="BI203" i="1"/>
  <c r="BI201" i="1" s="1"/>
  <c r="BI251" i="1"/>
  <c r="B166" i="1"/>
  <c r="B244" i="1"/>
  <c r="V210" i="1"/>
  <c r="V211" i="1" s="1"/>
  <c r="Q189" i="1"/>
  <c r="Q190" i="1" s="1"/>
  <c r="O210" i="1"/>
  <c r="O211" i="1" s="1"/>
  <c r="R210" i="1"/>
  <c r="R211" i="1" s="1"/>
  <c r="R213" i="1"/>
  <c r="L210" i="1"/>
  <c r="L211" i="1" s="1"/>
  <c r="P189" i="1"/>
  <c r="P190" i="1" s="1"/>
  <c r="S60" i="1"/>
  <c r="BF250" i="1"/>
  <c r="BF251" i="1" s="1"/>
  <c r="BE30" i="1"/>
  <c r="BD250" i="1"/>
  <c r="BD251" i="1" s="1"/>
  <c r="BE31" i="1"/>
  <c r="BE250" i="1"/>
  <c r="BE251" i="1" s="1"/>
  <c r="BI30" i="1"/>
  <c r="BE232" i="1"/>
  <c r="BE233" i="1" s="1"/>
  <c r="BE29" i="1"/>
  <c r="BE34" i="1"/>
  <c r="BE38" i="1" s="1"/>
  <c r="BF31" i="1"/>
  <c r="BH110" i="1"/>
  <c r="BH111" i="1"/>
  <c r="BC31" i="1"/>
  <c r="BD31" i="1"/>
  <c r="BG30" i="1"/>
  <c r="BC34" i="1"/>
  <c r="BC29" i="1"/>
  <c r="BC232" i="1"/>
  <c r="BC233" i="1" s="1"/>
  <c r="BF226" i="1"/>
  <c r="BC30" i="1"/>
  <c r="BS112" i="1"/>
  <c r="AZ40" i="1"/>
  <c r="BR250" i="1"/>
  <c r="BR251" i="1" s="1"/>
  <c r="BR29" i="1"/>
  <c r="BR31" i="1"/>
  <c r="V60" i="1"/>
  <c r="BR232" i="1"/>
  <c r="BR233" i="1" s="1"/>
  <c r="BR112" i="1"/>
  <c r="BD226" i="1"/>
  <c r="BC226" i="1"/>
  <c r="BH226" i="1"/>
  <c r="BG112" i="1"/>
  <c r="BH112" i="1"/>
  <c r="BD112" i="1"/>
  <c r="BC250" i="1"/>
  <c r="BC251" i="1" s="1"/>
  <c r="BE226" i="1"/>
  <c r="BU112" i="1"/>
  <c r="BS250" i="1"/>
  <c r="BS251" i="1" s="1"/>
  <c r="BF112" i="1"/>
  <c r="BV30" i="1"/>
  <c r="BT226" i="1"/>
  <c r="AZ41" i="1"/>
  <c r="BS31" i="1"/>
  <c r="BR226" i="1"/>
  <c r="BR34" i="1"/>
  <c r="BT112" i="1"/>
  <c r="BC112" i="1"/>
  <c r="BG226" i="1"/>
  <c r="BR30" i="1"/>
  <c r="BE112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AO41" i="1"/>
  <c r="AR42" i="1"/>
  <c r="AR245" i="1" s="1"/>
  <c r="AR48" i="1"/>
  <c r="AR234" i="1"/>
  <c r="AX38" i="1"/>
  <c r="BV42" i="1"/>
  <c r="BV245" i="1" s="1"/>
  <c r="BV48" i="1"/>
  <c r="BV234" i="1"/>
  <c r="BZ43" i="1"/>
  <c r="BH41" i="1"/>
  <c r="BH40" i="1"/>
  <c r="AQ38" i="1"/>
  <c r="BZ55" i="1"/>
  <c r="BW38" i="1"/>
  <c r="BB38" i="1"/>
  <c r="BB55" i="1"/>
  <c r="AN55" i="1"/>
  <c r="AN38" i="1"/>
  <c r="AV38" i="1"/>
  <c r="BT38" i="1"/>
  <c r="BT55" i="1"/>
  <c r="BY55" i="1"/>
  <c r="BZ113" i="1"/>
  <c r="BZ114" i="1"/>
  <c r="BG38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AW48" i="1"/>
  <c r="AW234" i="1"/>
  <c r="AW42" i="1"/>
  <c r="AW245" i="1" s="1"/>
  <c r="CR138" i="1"/>
  <c r="CS32" i="1"/>
  <c r="BF114" i="1" l="1"/>
  <c r="BF113" i="1"/>
  <c r="BK40" i="1"/>
  <c r="AY40" i="1"/>
  <c r="AY41" i="1"/>
  <c r="AP40" i="1"/>
  <c r="AP41" i="1"/>
  <c r="AP43" i="1" s="1"/>
  <c r="AS40" i="1"/>
  <c r="AS41" i="1"/>
  <c r="AS44" i="1" s="1"/>
  <c r="BM40" i="1"/>
  <c r="BM41" i="1"/>
  <c r="BF234" i="1"/>
  <c r="BF42" i="1"/>
  <c r="BF245" i="1" s="1"/>
  <c r="BF48" i="1"/>
  <c r="BJ43" i="1"/>
  <c r="BD40" i="1"/>
  <c r="BD41" i="1"/>
  <c r="BO41" i="1"/>
  <c r="BO40" i="1"/>
  <c r="AL113" i="1"/>
  <c r="AI38" i="1"/>
  <c r="AL55" i="1"/>
  <c r="AU41" i="1"/>
  <c r="AU40" i="1"/>
  <c r="AZ234" i="1"/>
  <c r="AZ48" i="1"/>
  <c r="AZ42" i="1"/>
  <c r="AZ245" i="1" s="1"/>
  <c r="BR38" i="1"/>
  <c r="AR55" i="1"/>
  <c r="AP55" i="1"/>
  <c r="AZ55" i="1"/>
  <c r="BN38" i="1"/>
  <c r="AT55" i="1"/>
  <c r="BX55" i="1"/>
  <c r="AV55" i="1"/>
  <c r="AX55" i="1"/>
  <c r="BJ113" i="1"/>
  <c r="BJ114" i="1"/>
  <c r="BN55" i="1"/>
  <c r="BJ55" i="1"/>
  <c r="BU41" i="1"/>
  <c r="BY43" i="1" s="1"/>
  <c r="BU40" i="1"/>
  <c r="AL114" i="1"/>
  <c r="BA40" i="1"/>
  <c r="BA41" i="1"/>
  <c r="BJ251" i="1"/>
  <c r="AV113" i="1"/>
  <c r="AV114" i="1"/>
  <c r="BN114" i="1"/>
  <c r="BN113" i="1"/>
  <c r="BP113" i="1"/>
  <c r="BP114" i="1"/>
  <c r="BP40" i="1"/>
  <c r="BP41" i="1"/>
  <c r="BQ44" i="1" s="1"/>
  <c r="BI38" i="1"/>
  <c r="BL55" i="1"/>
  <c r="BV55" i="1"/>
  <c r="BX113" i="1"/>
  <c r="BX114" i="1"/>
  <c r="BR55" i="1"/>
  <c r="BP55" i="1"/>
  <c r="BV114" i="1"/>
  <c r="BV113" i="1"/>
  <c r="BR113" i="1"/>
  <c r="BR114" i="1"/>
  <c r="BE40" i="1"/>
  <c r="BD55" i="1"/>
  <c r="BF55" i="1"/>
  <c r="BC38" i="1"/>
  <c r="BE41" i="1"/>
  <c r="BH113" i="1"/>
  <c r="BH114" i="1"/>
  <c r="BH55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CS194" i="1"/>
  <c r="CS132" i="1"/>
  <c r="CR203" i="1"/>
  <c r="CR201" i="1" s="1"/>
  <c r="AC125" i="1"/>
  <c r="AC128" i="1" s="1"/>
  <c r="AC249" i="1" s="1"/>
  <c r="BA44" i="1" l="1"/>
  <c r="BA234" i="1"/>
  <c r="BA48" i="1"/>
  <c r="BA43" i="1"/>
  <c r="BA42" i="1"/>
  <c r="BA245" i="1" s="1"/>
  <c r="BP44" i="1"/>
  <c r="BE48" i="1"/>
  <c r="BE234" i="1"/>
  <c r="BF44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CS134" i="1"/>
  <c r="AC206" i="1"/>
  <c r="CA226" i="1"/>
  <c r="CB226" i="1"/>
  <c r="BU226" i="1"/>
  <c r="BA119" i="1" l="1"/>
  <c r="BA120" i="1" s="1"/>
  <c r="BA66" i="1"/>
  <c r="BA193" i="1"/>
  <c r="BA195" i="1" s="1"/>
  <c r="BA52" i="1"/>
  <c r="BE66" i="1"/>
  <c r="BE193" i="1"/>
  <c r="BE195" i="1" s="1"/>
  <c r="BE52" i="1"/>
  <c r="BE119" i="1"/>
  <c r="BE120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AW95" i="1"/>
  <c r="AW94" i="1"/>
  <c r="AW96" i="1"/>
  <c r="CS138" i="1"/>
  <c r="CT32" i="1"/>
  <c r="AD124" i="1"/>
  <c r="W59" i="1"/>
  <c r="BE54" i="1" l="1"/>
  <c r="BA129" i="1"/>
  <c r="BA55" i="1" s="1"/>
  <c r="BB207" i="1"/>
  <c r="BB205" i="1" s="1"/>
  <c r="BA207" i="1"/>
  <c r="BA205" i="1" s="1"/>
  <c r="BA92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A96" i="1" l="1"/>
  <c r="BA94" i="1"/>
  <c r="BA95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6" i="1"/>
  <c r="CU152" i="1"/>
  <c r="CU153" i="1"/>
  <c r="CU144" i="1"/>
  <c r="CU145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10" i="1"/>
  <c r="CY231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6" i="1"/>
  <c r="CY153" i="1"/>
  <c r="CY144" i="1"/>
  <c r="CY145" i="1"/>
  <c r="CY152" i="1"/>
  <c r="CY26" i="1"/>
  <c r="CY23" i="1" s="1"/>
  <c r="CY16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6" i="1" l="1"/>
  <c r="CY148" i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Z197" i="1" l="1"/>
  <c r="CY157" i="1"/>
  <c r="CK54" i="1"/>
  <c r="CK92" i="1"/>
  <c r="CY250" i="1"/>
  <c r="CY251" i="1" s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N87" i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N86" i="1" l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L89" i="1" l="1"/>
  <c r="CP72" i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V65" i="1"/>
  <c r="V66" i="1"/>
  <c r="V69" i="1"/>
  <c r="V87" i="1"/>
  <c r="U63" i="1"/>
  <c r="T63" i="1"/>
  <c r="S63" i="1"/>
  <c r="R63" i="1"/>
  <c r="Q63" i="1"/>
  <c r="P63" i="1"/>
  <c r="O63" i="1"/>
  <c r="N63" i="1"/>
  <c r="M63" i="1"/>
  <c r="L63" i="1"/>
  <c r="L65" i="1"/>
  <c r="L107" i="1"/>
  <c r="L110" i="1"/>
  <c r="K63" i="1"/>
  <c r="J63" i="1"/>
  <c r="I63" i="1"/>
  <c r="H63" i="1"/>
  <c r="G63" i="1"/>
  <c r="F63" i="1"/>
  <c r="E63" i="1"/>
  <c r="E65" i="1"/>
  <c r="E99" i="1"/>
  <c r="E102" i="1"/>
  <c r="K65" i="1"/>
  <c r="K108" i="1"/>
  <c r="K111" i="1"/>
  <c r="V92" i="1"/>
  <c r="V96" i="1"/>
  <c r="O65" i="1"/>
  <c r="O108" i="1"/>
  <c r="O111" i="1"/>
  <c r="E103" i="1"/>
  <c r="I65" i="1"/>
  <c r="I99" i="1"/>
  <c r="I102" i="1"/>
  <c r="J65" i="1"/>
  <c r="J99" i="1"/>
  <c r="J104" i="1"/>
  <c r="V68" i="1"/>
  <c r="T65" i="1"/>
  <c r="T92" i="1"/>
  <c r="T94" i="1"/>
  <c r="L99" i="1"/>
  <c r="L102" i="1"/>
  <c r="W65" i="1"/>
  <c r="W99" i="1"/>
  <c r="W102" i="1"/>
  <c r="Q65" i="1"/>
  <c r="Q66" i="1"/>
  <c r="Q69" i="1"/>
  <c r="E66" i="1"/>
  <c r="E69" i="1"/>
  <c r="E87" i="1"/>
  <c r="Q107" i="1"/>
  <c r="Q110" i="1"/>
  <c r="E108" i="1"/>
  <c r="E111" i="1"/>
  <c r="E114" i="1"/>
  <c r="I103" i="1"/>
  <c r="Q68" i="1"/>
  <c r="M65" i="1"/>
  <c r="M66" i="1"/>
  <c r="M69" i="1"/>
  <c r="L89" i="1"/>
  <c r="P65" i="1"/>
  <c r="P107" i="1"/>
  <c r="P110" i="1"/>
  <c r="T108" i="1"/>
  <c r="T111" i="1"/>
  <c r="P113" i="1"/>
  <c r="S65" i="1"/>
  <c r="S66" i="1"/>
  <c r="S69" i="1"/>
  <c r="S85" i="1"/>
  <c r="T114" i="1"/>
  <c r="S70" i="1"/>
  <c r="G65" i="1"/>
  <c r="G108" i="1"/>
  <c r="G111" i="1"/>
  <c r="G114" i="1"/>
  <c r="AB65" i="1"/>
  <c r="AB99" i="1"/>
  <c r="AB103" i="1"/>
  <c r="W107" i="1"/>
  <c r="W110" i="1"/>
  <c r="J92" i="1"/>
  <c r="J95" i="1"/>
  <c r="U65" i="1"/>
  <c r="U99" i="1"/>
  <c r="U104" i="1"/>
  <c r="S87" i="1"/>
  <c r="S86" i="1"/>
  <c r="O114" i="1"/>
  <c r="T107" i="1"/>
  <c r="T110" i="1"/>
  <c r="T113" i="1"/>
  <c r="K114" i="1"/>
  <c r="M87" i="1"/>
  <c r="P108" i="1"/>
  <c r="P111" i="1"/>
  <c r="P114" i="1"/>
  <c r="O92" i="1"/>
  <c r="O96" i="1"/>
  <c r="O95" i="1"/>
  <c r="P89" i="1"/>
  <c r="Q85" i="1"/>
  <c r="S107" i="1"/>
  <c r="S110" i="1"/>
  <c r="S113" i="1"/>
  <c r="AC63" i="1"/>
  <c r="AD63" i="1"/>
  <c r="AE63" i="1"/>
  <c r="AE65" i="1"/>
  <c r="AE108" i="1"/>
  <c r="AE111" i="1"/>
  <c r="AE114" i="1"/>
  <c r="AB104" i="1"/>
  <c r="AB108" i="1"/>
  <c r="AB111" i="1"/>
  <c r="AB114" i="1"/>
  <c r="AB102" i="1"/>
  <c r="L103" i="1"/>
  <c r="W104" i="1"/>
  <c r="V99" i="1"/>
  <c r="V104" i="1"/>
  <c r="AC65" i="1"/>
  <c r="AC99" i="1"/>
  <c r="AC104" i="1"/>
  <c r="E70" i="1"/>
  <c r="H65" i="1"/>
  <c r="H92" i="1"/>
  <c r="H96" i="1"/>
  <c r="AC103" i="1"/>
  <c r="P92" i="1"/>
  <c r="P95" i="1"/>
  <c r="I107" i="1"/>
  <c r="I110" i="1"/>
  <c r="I113" i="1"/>
  <c r="U92" i="1"/>
  <c r="U94" i="1"/>
  <c r="P94" i="1"/>
  <c r="V70" i="1"/>
  <c r="M85" i="1"/>
  <c r="M86" i="1"/>
  <c r="V86" i="1"/>
  <c r="Q70" i="1"/>
  <c r="X65" i="1"/>
  <c r="X99" i="1"/>
  <c r="X102" i="1"/>
  <c r="X104" i="1"/>
  <c r="L104" i="1"/>
  <c r="Q87" i="1"/>
  <c r="W108" i="1"/>
  <c r="W111" i="1"/>
  <c r="W114" i="1"/>
  <c r="S99" i="1"/>
  <c r="S103" i="1"/>
  <c r="P96" i="1"/>
  <c r="M99" i="1"/>
  <c r="M104" i="1"/>
  <c r="H108" i="1"/>
  <c r="H111" i="1"/>
  <c r="H114" i="1"/>
  <c r="W103" i="1"/>
  <c r="W113" i="1"/>
  <c r="K66" i="1"/>
  <c r="K68" i="1"/>
  <c r="X103" i="1"/>
  <c r="O107" i="1"/>
  <c r="O110" i="1"/>
  <c r="O113" i="1"/>
  <c r="H94" i="1"/>
  <c r="S102" i="1"/>
  <c r="U95" i="1"/>
  <c r="R65" i="1"/>
  <c r="R108" i="1"/>
  <c r="R111" i="1"/>
  <c r="AC92" i="1"/>
  <c r="AC94" i="1"/>
  <c r="N65" i="1"/>
  <c r="N107" i="1"/>
  <c r="N110" i="1"/>
  <c r="U89" i="1"/>
  <c r="F65" i="1"/>
  <c r="F107" i="1"/>
  <c r="F110" i="1"/>
  <c r="I66" i="1"/>
  <c r="I69" i="1"/>
  <c r="I85" i="1"/>
  <c r="E86" i="1"/>
  <c r="Q108" i="1"/>
  <c r="Q111" i="1"/>
  <c r="AB92" i="1"/>
  <c r="AB96" i="1"/>
  <c r="T95" i="1"/>
  <c r="V94" i="1"/>
  <c r="L113" i="1"/>
  <c r="I86" i="1"/>
  <c r="AC102" i="1"/>
  <c r="X66" i="1"/>
  <c r="X69" i="1"/>
  <c r="W89" i="1"/>
  <c r="I108" i="1"/>
  <c r="I111" i="1"/>
  <c r="I114" i="1"/>
  <c r="W92" i="1"/>
  <c r="W94" i="1"/>
  <c r="D89" i="1"/>
  <c r="U102" i="1"/>
  <c r="AB107" i="1"/>
  <c r="AB110" i="1"/>
  <c r="AB113" i="1"/>
  <c r="J94" i="1"/>
  <c r="P99" i="1"/>
  <c r="P103" i="1"/>
  <c r="U96" i="1"/>
  <c r="M70" i="1"/>
  <c r="F113" i="1"/>
  <c r="W95" i="1"/>
  <c r="Q86" i="1"/>
  <c r="Q113" i="1"/>
  <c r="R89" i="1"/>
  <c r="V85" i="1"/>
  <c r="AB94" i="1"/>
  <c r="O94" i="1"/>
  <c r="R114" i="1"/>
  <c r="N113" i="1"/>
  <c r="M68" i="1"/>
  <c r="Y65" i="1"/>
  <c r="Y92" i="1"/>
  <c r="Y96" i="1"/>
  <c r="Y95" i="1"/>
  <c r="W96" i="1"/>
  <c r="Q114" i="1"/>
  <c r="Y94" i="1"/>
  <c r="J96" i="1"/>
  <c r="S92" i="1"/>
  <c r="S96" i="1"/>
  <c r="E85" i="1"/>
  <c r="AC66" i="1"/>
  <c r="AC69" i="1"/>
  <c r="AC86" i="1"/>
  <c r="J108" i="1"/>
  <c r="J111" i="1"/>
  <c r="V108" i="1"/>
  <c r="V111" i="1"/>
  <c r="R107" i="1"/>
  <c r="R110" i="1"/>
  <c r="R113" i="1"/>
  <c r="M107" i="1"/>
  <c r="M110" i="1"/>
  <c r="M113" i="1"/>
  <c r="T99" i="1"/>
  <c r="T103" i="1"/>
  <c r="S95" i="1"/>
  <c r="V102" i="1"/>
  <c r="M92" i="1"/>
  <c r="M94" i="1"/>
  <c r="I92" i="1"/>
  <c r="I95" i="1"/>
  <c r="AE107" i="1"/>
  <c r="AE110" i="1"/>
  <c r="AE113" i="1"/>
  <c r="M95" i="1"/>
  <c r="V107" i="1"/>
  <c r="V110" i="1"/>
  <c r="V113" i="1"/>
  <c r="X70" i="1"/>
  <c r="H89" i="1"/>
  <c r="H95" i="1"/>
  <c r="AC70" i="1"/>
  <c r="AB89" i="1"/>
  <c r="I96" i="1"/>
  <c r="I94" i="1"/>
  <c r="Z65" i="1"/>
  <c r="Z66" i="1"/>
  <c r="Z69" i="1"/>
  <c r="Y89" i="1"/>
  <c r="V103" i="1"/>
  <c r="K99" i="1"/>
  <c r="K104" i="1"/>
  <c r="Z86" i="1"/>
  <c r="AC96" i="1"/>
  <c r="Z85" i="1"/>
  <c r="P104" i="1"/>
  <c r="U103" i="1"/>
  <c r="S104" i="1"/>
  <c r="P102" i="1"/>
  <c r="X87" i="1"/>
  <c r="M103" i="1"/>
  <c r="X85" i="1"/>
  <c r="AC87" i="1"/>
  <c r="S94" i="1"/>
  <c r="T102" i="1"/>
  <c r="AC95" i="1"/>
  <c r="Z70" i="1"/>
  <c r="AC68" i="1"/>
  <c r="X68" i="1"/>
  <c r="T104" i="1"/>
  <c r="E68" i="1"/>
  <c r="I68" i="1"/>
  <c r="I70" i="1"/>
  <c r="AC85" i="1"/>
  <c r="I87" i="1"/>
  <c r="K102" i="1"/>
  <c r="Z87" i="1"/>
  <c r="M102" i="1"/>
  <c r="X86" i="1"/>
  <c r="F108" i="1"/>
  <c r="F111" i="1"/>
  <c r="F114" i="1"/>
  <c r="M96" i="1"/>
  <c r="J114" i="1"/>
  <c r="K103" i="1"/>
  <c r="V114" i="1"/>
  <c r="AA65" i="1"/>
  <c r="AA66" i="1"/>
  <c r="AA69" i="1"/>
  <c r="AA70" i="1"/>
  <c r="AA86" i="1"/>
  <c r="AA85" i="1"/>
  <c r="AA107" i="1"/>
  <c r="AA110" i="1"/>
  <c r="AA113" i="1"/>
  <c r="AA87" i="1"/>
  <c r="AA108" i="1"/>
  <c r="AA111" i="1"/>
  <c r="AA114" i="1"/>
  <c r="AA92" i="1"/>
  <c r="AA99" i="1"/>
  <c r="AA96" i="1"/>
  <c r="AA95" i="1"/>
  <c r="AA94" i="1"/>
  <c r="AA102" i="1"/>
  <c r="AA104" i="1"/>
  <c r="AA103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108" i="1"/>
  <c r="Z111" i="1"/>
  <c r="Z114" i="1"/>
  <c r="Z99" i="1"/>
  <c r="Z107" i="1"/>
  <c r="Z110" i="1"/>
  <c r="Z113" i="1"/>
  <c r="Z92" i="1"/>
  <c r="AD65" i="1"/>
  <c r="Y108" i="1"/>
  <c r="Y111" i="1"/>
  <c r="Y114" i="1"/>
  <c r="Y107" i="1"/>
  <c r="Y110" i="1"/>
  <c r="Y113" i="1"/>
  <c r="Y99" i="1"/>
  <c r="Y66" i="1"/>
  <c r="AE92" i="1"/>
  <c r="AD66" i="1"/>
  <c r="AC108" i="1"/>
  <c r="Y102" i="1"/>
  <c r="Y69" i="1"/>
  <c r="Y86" i="1"/>
  <c r="G66" i="1"/>
  <c r="G69" i="1"/>
  <c r="G70" i="1"/>
  <c r="N66" i="1"/>
  <c r="N69" i="1"/>
  <c r="Y85" i="1"/>
  <c r="O66" i="1"/>
  <c r="O69" i="1"/>
  <c r="O85" i="1"/>
  <c r="Z96" i="1"/>
  <c r="Z94" i="1"/>
  <c r="AD107" i="1"/>
  <c r="G92" i="1"/>
  <c r="S108" i="1"/>
  <c r="N92" i="1"/>
  <c r="G107" i="1"/>
  <c r="N85" i="1"/>
  <c r="G86" i="1"/>
  <c r="AE99" i="1"/>
  <c r="Y68" i="1"/>
  <c r="Y70" i="1"/>
  <c r="F99" i="1"/>
  <c r="R66" i="1"/>
  <c r="R69" i="1"/>
  <c r="R70" i="1"/>
  <c r="N99" i="1"/>
  <c r="F102" i="1"/>
  <c r="AB66" i="1"/>
  <c r="Y87" i="1"/>
  <c r="AD110" i="1"/>
  <c r="H107" i="1"/>
  <c r="H110" i="1"/>
  <c r="H113" i="1"/>
  <c r="J66" i="1"/>
  <c r="J69" i="1"/>
  <c r="J87" i="1"/>
  <c r="K92" i="1"/>
  <c r="K94" i="1"/>
  <c r="J107" i="1"/>
  <c r="J110" i="1"/>
  <c r="J113" i="1"/>
  <c r="X92" i="1"/>
  <c r="X96" i="1"/>
  <c r="S68" i="1"/>
  <c r="M108" i="1"/>
  <c r="M111" i="1"/>
  <c r="M114" i="1"/>
  <c r="AD69" i="1"/>
  <c r="AD68" i="1"/>
  <c r="I89" i="1"/>
  <c r="AD113" i="1"/>
  <c r="N96" i="1"/>
  <c r="N89" i="1"/>
  <c r="N87" i="1"/>
  <c r="O87" i="1"/>
  <c r="O86" i="1"/>
  <c r="Z103" i="1"/>
  <c r="AC89" i="1"/>
  <c r="AD87" i="1"/>
  <c r="U66" i="1"/>
  <c r="U69" i="1"/>
  <c r="U86" i="1"/>
  <c r="F92" i="1"/>
  <c r="Q89" i="1"/>
  <c r="G95" i="1"/>
  <c r="J86" i="1"/>
  <c r="AD99" i="1"/>
  <c r="R92" i="1"/>
  <c r="N108" i="1"/>
  <c r="N111" i="1"/>
  <c r="N114" i="1"/>
  <c r="G94" i="1"/>
  <c r="W66" i="1"/>
  <c r="W69" i="1"/>
  <c r="W86" i="1"/>
  <c r="L66" i="1"/>
  <c r="L69" i="1"/>
  <c r="K89" i="1"/>
  <c r="U107" i="1"/>
  <c r="U110" i="1"/>
  <c r="AE66" i="1"/>
  <c r="AE69" i="1"/>
  <c r="AE87" i="1"/>
  <c r="N86" i="1"/>
  <c r="F103" i="1"/>
  <c r="F66" i="1"/>
  <c r="F69" i="1"/>
  <c r="F87" i="1"/>
  <c r="T66" i="1"/>
  <c r="T69" i="1"/>
  <c r="P66" i="1"/>
  <c r="P69" i="1"/>
  <c r="P85" i="1"/>
  <c r="H99" i="1"/>
  <c r="H102" i="1"/>
  <c r="O99" i="1"/>
  <c r="O104" i="1"/>
  <c r="K69" i="1"/>
  <c r="K85" i="1"/>
  <c r="W68" i="1"/>
  <c r="I104" i="1"/>
  <c r="X95" i="1"/>
  <c r="R99" i="1"/>
  <c r="E107" i="1"/>
  <c r="E110" i="1"/>
  <c r="V89" i="1"/>
  <c r="K95" i="1"/>
  <c r="J102" i="1"/>
  <c r="L108" i="1"/>
  <c r="L111" i="1"/>
  <c r="G110" i="1"/>
  <c r="G113" i="1"/>
  <c r="V95" i="1"/>
  <c r="F70" i="1"/>
  <c r="AC107" i="1"/>
  <c r="AC110" i="1"/>
  <c r="AC113" i="1"/>
  <c r="R85" i="1"/>
  <c r="AE85" i="1"/>
  <c r="S111" i="1"/>
  <c r="Q99" i="1"/>
  <c r="Q104" i="1"/>
  <c r="L85" i="1"/>
  <c r="AC111" i="1"/>
  <c r="N95" i="1"/>
  <c r="G85" i="1"/>
  <c r="N103" i="1"/>
  <c r="AE102" i="1"/>
  <c r="L70" i="1"/>
  <c r="K96" i="1"/>
  <c r="AB69" i="1"/>
  <c r="G99" i="1"/>
  <c r="G103" i="1"/>
  <c r="F96" i="1"/>
  <c r="E104" i="1"/>
  <c r="L92" i="1"/>
  <c r="P87" i="1"/>
  <c r="R95" i="1"/>
  <c r="W87" i="1"/>
  <c r="Q92" i="1"/>
  <c r="Q95" i="1"/>
  <c r="AB68" i="1"/>
  <c r="X108" i="1"/>
  <c r="X111" i="1"/>
  <c r="X114" i="1"/>
  <c r="U108" i="1"/>
  <c r="U111" i="1"/>
  <c r="U114" i="1"/>
  <c r="J103" i="1"/>
  <c r="T70" i="1"/>
  <c r="AB86" i="1"/>
  <c r="G104" i="1"/>
  <c r="G102" i="1"/>
  <c r="Q103" i="1"/>
  <c r="AE103" i="1"/>
  <c r="F86" i="1"/>
  <c r="E92" i="1"/>
  <c r="E96" i="1"/>
  <c r="AB95" i="1"/>
  <c r="K107" i="1"/>
  <c r="K110" i="1"/>
  <c r="AD92" i="1"/>
  <c r="X107" i="1"/>
  <c r="X110" i="1"/>
  <c r="X113" i="1"/>
  <c r="AD104" i="1"/>
  <c r="H66" i="1"/>
  <c r="H69" i="1"/>
  <c r="AD96" i="1"/>
  <c r="T96" i="1"/>
  <c r="AD108" i="1"/>
  <c r="AD111" i="1"/>
  <c r="R86" i="1"/>
  <c r="P86" i="1"/>
  <c r="P68" i="1"/>
  <c r="AE95" i="1"/>
  <c r="AD85" i="1"/>
  <c r="AD70" i="1"/>
  <c r="G87" i="1"/>
  <c r="AE94" i="1"/>
  <c r="K113" i="1"/>
  <c r="O70" i="1"/>
  <c r="Z95" i="1"/>
  <c r="F104" i="1"/>
  <c r="T85" i="1"/>
  <c r="E89" i="1"/>
  <c r="F89" i="1"/>
  <c r="AE96" i="1"/>
  <c r="X89" i="1"/>
  <c r="AE104" i="1"/>
  <c r="H87" i="1"/>
  <c r="O68" i="1"/>
  <c r="G89" i="1"/>
  <c r="R103" i="1"/>
  <c r="L87" i="1"/>
  <c r="S89" i="1"/>
  <c r="Z68" i="1"/>
  <c r="Z102" i="1"/>
  <c r="Y104" i="1"/>
  <c r="L68" i="1"/>
  <c r="U85" i="1"/>
  <c r="AD86" i="1"/>
  <c r="U68" i="1"/>
  <c r="AE68" i="1"/>
  <c r="U87" i="1"/>
  <c r="S114" i="1"/>
  <c r="AB70" i="1"/>
  <c r="AE86" i="1"/>
  <c r="O102" i="1"/>
  <c r="J89" i="1"/>
  <c r="Q96" i="1"/>
  <c r="N94" i="1"/>
  <c r="F95" i="1"/>
  <c r="AD103" i="1"/>
  <c r="G96" i="1"/>
  <c r="E94" i="1"/>
  <c r="H85" i="1"/>
  <c r="X94" i="1"/>
  <c r="L95" i="1"/>
  <c r="AD89" i="1"/>
  <c r="AA89" i="1"/>
  <c r="L86" i="1"/>
  <c r="U113" i="1"/>
  <c r="T89" i="1"/>
  <c r="U70" i="1"/>
  <c r="AD102" i="1"/>
  <c r="E95" i="1"/>
  <c r="K86" i="1"/>
  <c r="Q94" i="1"/>
  <c r="N68" i="1"/>
  <c r="Z89" i="1"/>
  <c r="Z104" i="1"/>
  <c r="R87" i="1"/>
  <c r="J70" i="1"/>
  <c r="Y103" i="1"/>
  <c r="AC114" i="1"/>
  <c r="F68" i="1"/>
  <c r="AB85" i="1"/>
  <c r="K70" i="1"/>
  <c r="F94" i="1"/>
  <c r="R94" i="1"/>
  <c r="F85" i="1"/>
  <c r="L96" i="1"/>
  <c r="H104" i="1"/>
  <c r="AB87" i="1"/>
  <c r="H103" i="1"/>
  <c r="Q102" i="1"/>
  <c r="L94" i="1"/>
  <c r="L114" i="1"/>
  <c r="E113" i="1"/>
  <c r="O89" i="1"/>
  <c r="J85" i="1"/>
  <c r="T68" i="1"/>
  <c r="W70" i="1"/>
  <c r="T87" i="1"/>
  <c r="AE70" i="1"/>
  <c r="P70" i="1"/>
  <c r="AD95" i="1"/>
  <c r="O103" i="1"/>
  <c r="W85" i="1"/>
  <c r="R96" i="1"/>
  <c r="N104" i="1"/>
  <c r="T86" i="1"/>
  <c r="N102" i="1"/>
  <c r="K87" i="1"/>
  <c r="H86" i="1"/>
  <c r="AD94" i="1"/>
  <c r="G68" i="1"/>
  <c r="N70" i="1"/>
  <c r="M89" i="1"/>
  <c r="R104" i="1"/>
  <c r="H70" i="1"/>
  <c r="AD114" i="1"/>
  <c r="H68" i="1"/>
  <c r="J68" i="1"/>
  <c r="R102" i="1"/>
  <c r="R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<sst xmlns="http://schemas.openxmlformats.org/spreadsheetml/2006/main" count="663" uniqueCount="524">
  <si>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</si>
  <si>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</si>
  <si>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</si>
  <si>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</si>
  <si>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</si>
  <si>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</si>
  <si>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</si>
  <si>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</si>
  <si>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</si>
  <si>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</si>
  <si>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</si>
  <si>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</si>
  <si>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</si>
  <si>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</si>
  <si>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</si>
  <si>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</si>
  <si>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</si>
  <si>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</si>
  <si>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</si>
  <si>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</si>
  <si>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</si>
  <si>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</si>
  <si>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</si>
  <si>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</si>
  <si>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</si>
  <si>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</si>
  <si>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</si>
  <si>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</si>
  <si>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</si>
  <si>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</si>
  <si>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</si>
  <si>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</si>
  <si>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</si>
  <si>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</si>
  <si>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</si>
  <si>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</si>
  <si>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</si>
  <si>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</si>
  <si>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</si>
  <si>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</si>
  <si>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</si>
  <si>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</si>
  <si>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</si>
  <si>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</si>
  <si>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</si>
  <si>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</si>
  <si>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</si>
  <si>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</si>
  <si>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</si>
  <si>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</si>
  <si>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</si>
  <si>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</si>
  <si>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</si>
  <si>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</si>
  <si>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</si>
  <si>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</si>
  <si>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</si>
  <si>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</si>
  <si>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</si>
  <si>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</si>
  <si>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</si>
  <si>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</si>
  <si>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</si>
  <si>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</si>
  <si>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</si>
  <si>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</si>
  <si>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</si>
  <si>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</si>
  <si>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</si>
  <si>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</si>
  <si>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</si>
  <si>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</si>
  <si>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</si>
  <si>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</si>
  <si>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</si>
  <si>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</si>
  <si>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</si>
  <si>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</si>
  <si>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</si>
  <si>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</si>
  <si>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</si>
  <si>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</si>
  <si>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</si>
  <si>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</si>
  <si>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</si>
  <si>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</si>
  <si>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</si>
  <si>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</si>
  <si>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</si>
  <si>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</si>
  <si>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</si>
  <si>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</si>
  <si>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</si>
  <si>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</si>
  <si>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</si>
  <si>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</si>
  <si>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</si>
  <si>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</si>
  <si>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</si>
  <si>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</si>
  <si>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</si>
  <si>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</si>
  <si>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</si>
  <si>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</si>
  <si>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</si>
  <si>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</si>
  <si>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</si>
  <si>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</si>
  <si>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</si>
  <si>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</si>
  <si>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</si>
  <si>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</si>
  <si>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</si>
  <si>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</si>
  <si>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</si>
  <si>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</si>
  <si>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</si>
  <si>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</si>
  <si>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</si>
  <si>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</si>
  <si>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</si>
  <si>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</si>
  <si>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</si>
  <si>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</si>
  <si>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</si>
  <si>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</si>
  <si>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</si>
  <si>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</si>
  <si>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</si>
  <si>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</si>
  <si>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</si>
  <si>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</si>
  <si>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</si>
  <si>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</si>
  <si>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</si>
  <si>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</si>
  <si>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</si>
  <si>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</si>
  <si>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</si>
  <si>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</si>
  <si>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</si>
  <si>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</si>
  <si>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</si>
  <si>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</si>
  <si>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</si>
  <si>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</si>
  <si>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</si>
  <si>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</si>
  <si>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</si>
  <si>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</si>
  <si>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</si>
  <si>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</si>
  <si>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</si>
  <si>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</si>
  <si>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</si>
  <si>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</si>
  <si>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</si>
  <si>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</si>
  <si>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</si>
  <si>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</si>
  <si>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</si>
  <si>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</si>
  <si>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</si>
  <si>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</si>
  <si>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</si>
  <si>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</si>
  <si>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</si>
  <si>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</si>
  <si>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</si>
  <si>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</si>
  <si>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</si>
  <si>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</si>
  <si>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</si>
  <si>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</si>
  <si>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</si>
  <si>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</si>
  <si>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</si>
  <si>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</si>
  <si>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</si>
  <si>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</si>
  <si>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</si>
  <si>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</si>
  <si>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</si>
  <si>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</si>
  <si>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</si>
  <si>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</si>
  <si>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</si>
  <si>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</si>
  <si>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</si>
  <si>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</si>
  <si>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</si>
  <si>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</si>
  <si>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</si>
  <si>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</si>
  <si>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</si>
  <si>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</si>
  <si>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</si>
  <si>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</si>
  <si>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</si>
  <si>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</si>
  <si>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</si>
  <si>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</si>
  <si>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</si>
  <si>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</si>
  <si>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</si>
  <si>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</si>
  <si>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</si>
  <si>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</si>
  <si>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</si>
  <si>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</si>
  <si>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</si>
  <si>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</si>
  <si>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</si>
  <si>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</si>
  <si>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</si>
  <si>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</si>
  <si>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</si>
  <si>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</si>
  <si>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</si>
  <si>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</si>
  <si>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</si>
  <si>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</si>
  <si>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</si>
  <si>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</si>
  <si>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</si>
  <si>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</si>
  <si>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</si>
  <si>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</si>
  <si>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</si>
  <si>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</si>
  <si>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</si>
  <si>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</si>
  <si>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</si>
  <si>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</si>
  <si>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</si>
  <si>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</si>
  <si>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</si>
  <si>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</si>
  <si>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</si>
  <si>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</si>
  <si>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</si>
  <si>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</si>
  <si>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</si>
  <si>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</si>
  <si>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</si>
  <si>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</si>
  <si>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</si>
  <si>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</si>
  <si>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</si>
  <si>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</si>
  <si>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</si>
  <si>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</si>
  <si>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</si>
  <si>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</si>
  <si>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</si>
  <si>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</si>
  <si>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</si>
  <si>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</si>
  <si>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</si>
  <si>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</si>
  <si>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</si>
  <si>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</si>
  <si>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</si>
  <si>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</si>
  <si>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</si>
  <si>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</si>
  <si>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</si>
  <si>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</si>
  <si>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</si>
  <si>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</si>
  <si>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</si>
  <si>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</si>
  <si>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</si>
  <si>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</si>
  <si>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</si>
  <si>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</si>
  <si>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</si>
  <si>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</si>
  <si>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</si>
  <si>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</si>
  <si>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</si>
  <si>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</si>
  <si>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</si>
  <si>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</si>
  <si>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</si>
  <si>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</si>
  <si>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</si>
  <si>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</si>
  <si>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</si>
  <si>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</si>
  <si>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</si>
  <si>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</si>
  <si>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</si>
  <si>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</si>
  <si>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</si>
  <si>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</si>
  <si>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</si>
  <si>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</si>
  <si>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</si>
  <si>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</si>
  <si>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</si>
  <si>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</si>
  <si>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</si>
  <si>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</si>
  <si>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</si>
  <si>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</si>
  <si>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</si>
  <si>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</si>
  <si>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</si>
  <si>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</si>
  <si>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</si>
  <si>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</si>
  <si>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</si>
  <si>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</si>
  <si>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</si>
  <si>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</si>
  <si>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</si>
  <si>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</si>
  <si>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</si>
  <si>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</si>
  <si>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</si>
  <si>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</si>
  <si>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</si>
  <si>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</si>
  <si>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</si>
  <si>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</si>
  <si>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</si>
  <si>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</si>
  <si>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</si>
  <si>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</si>
  <si>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</si>
  <si>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</si>
  <si>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</si>
  <si>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</si>
  <si>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</si>
  <si>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</si>
  <si>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</si>
  <si>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</si>
  <si>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</si>
  <si>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</si>
  <si>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</si>
  <si>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</si>
  <si>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</si>
  <si>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</si>
  <si>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</si>
  <si>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</si>
  <si>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</si>
  <si>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</si>
  <si>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</si>
  <si>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</si>
  <si>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</si>
  <si>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</si>
  <si>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</si>
  <si>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</si>
  <si>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</si>
  <si>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</si>
  <si>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</si>
  <si>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</si>
  <si>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</si>
  <si>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</si>
  <si>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</si>
  <si>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</si>
  <si>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</si>
  <si>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</si>
  <si>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</si>
  <si>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</si>
  <si>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</si>
  <si>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</si>
  <si>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</si>
  <si>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</si>
  <si>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</si>
  <si>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</si>
  <si>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</si>
  <si>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</si>
  <si>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</si>
  <si>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</si>
  <si>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</si>
  <si>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</si>
  <si>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</si>
  <si>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</si>
  <si>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</si>
  <si>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</si>
  <si>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</si>
  <si>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</si>
  <si>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</si>
  <si>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</si>
  <si>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</si>
  <si>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</si>
  <si>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</si>
  <si>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</si>
  <si>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</si>
  <si>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</si>
  <si>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</si>
  <si>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</si>
  <si>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</si>
  <si>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</si>
  <si>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</si>
  <si>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</si>
  <si>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</si>
  <si>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</si>
  <si>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</si>
  <si>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</si>
  <si>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</si>
  <si>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</si>
  <si>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</si>
  <si>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</si>
  <si>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</si>
  <si>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</si>
  <si>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</si>
  <si>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</si>
  <si>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</si>
  <si>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</si>
  <si>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</si>
  <si>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</si>
  <si>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</si>
  <si>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</si>
  <si>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</si>
  <si>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</si>
  <si>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</si>
  <si>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</si>
  <si>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</si>
  <si>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</si>
  <si>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</si>
  <si>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</si>
  <si>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</si>
  <si>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</si>
  <si>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</si>
  <si>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</si>
  <si>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</si>
  <si>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</si>
  <si>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</si>
  <si>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</si>
  <si>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</si>
  <si>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</si>
  <si>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</si>
  <si>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</si>
  <si>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</si>
  <si>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</si>
  <si>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</si>
  <si>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</si>
  <si>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</si>
  <si>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</si>
  <si>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</si>
  <si>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</si>
  <si>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</si>
  <si>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</si>
  <si>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</si>
  <si>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</si>
  <si>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</si>
  <si>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</si>
  <si>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</si>
  <si>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</si>
  <si>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</si>
  <si>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</si>
  <si>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</si>
  <si>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</si>
  <si>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</si>
  <si>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</si>
  <si>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</si>
  <si>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</si>
  <si>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</si>
  <si>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</si>
  <si>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</si>
  <si>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</si>
  <si>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</si>
  <si>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</si>
  <si>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</si>
  <si>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</si>
  <si>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</si>
  <si>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</si>
  <si>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</si>
  <si>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</si>
  <si>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</si>
  <si>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</si>
  <si>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</si>
  <si>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</si>
  <si>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</si>
  <si>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</si>
  <si>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</si>
  <si>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</si>
  <si>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</si>
  <si>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</si>
  <si>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</si>
  <si>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</si>
  <si>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</si>
  <si>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</si>
  <si>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</si>
  <si>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</si>
  <si>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</si>
  <si>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</si>
  <si>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</si>
  <si>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</si>
  <si>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</si>
  <si>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</si>
  <si>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</si>
  <si>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</si>
  <si>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</si>
  <si>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</si>
  <si>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</si>
  <si>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</si>
  <si>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</si>
  <si>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</si>
  <si>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</si>
  <si>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</si>
  <si>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</si>
  <si>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</si>
  <si>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</si>
  <si>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</si>
  <si>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</si>
  <si>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</si>
  <si>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</si>
  <si>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</si>
  <si>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</si>
  <si>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</si>
  <si>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</si>
  <si>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Angel One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</si>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</sst>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S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Angel One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6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6"/>
      <c r="CL5" s="156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9.0669000000000004</v>
      </c>
      <c r="J8" s="25">
        <f>'Annual Raw'!K6</f>
        <v>10.6424</v>
      </c>
      <c r="K8" s="25">
        <f>'Annual Raw'!L6</f>
        <v>25.4221</v>
      </c>
      <c r="L8" s="25">
        <f>'Annual Raw'!M6</f>
        <v>24.959099999999999</v>
      </c>
      <c r="M8" s="25">
        <f>'Annual Raw'!N6</f>
        <v>27.248899999999999</v>
      </c>
      <c r="N8" s="25">
        <f>'Annual Raw'!O6</f>
        <v>0</v>
      </c>
      <c r="O8" s="25">
        <f>'Annual Raw'!P6</f>
        <v>328.31615859999999</v>
      </c>
      <c r="P8" s="25">
        <f>'Annual Raw'!Q6</f>
        <v>447.28469960000001</v>
      </c>
      <c r="Q8" s="25">
        <f>'Annual Raw'!R6</f>
        <v>447.73601020000001</v>
      </c>
      <c r="R8" s="25">
        <f>'Annual Raw'!S6</f>
        <v>430.8894621</v>
      </c>
      <c r="S8" s="25">
        <f>'Annual Raw'!T6</f>
        <v>764.84797300000002</v>
      </c>
      <c r="T8" s="25">
        <f>'Annual Raw'!U6</f>
        <v>762.62</v>
      </c>
      <c r="U8" s="25">
        <f>'Annual Raw'!V6</f>
        <v>724.62400000000002</v>
      </c>
      <c r="V8" s="25">
        <f>'Annual Raw'!W6</f>
        <v>1263.684</v>
      </c>
      <c r="W8" s="25">
        <f>'Annual Raw'!X6</f>
        <v>2291.114</v>
      </c>
      <c r="X8" s="25">
        <f>'Annual Raw'!Y6</f>
        <v>3001.585</v>
      </c>
      <c r="Y8" s="25">
        <f>'Annual Raw'!Z6</f>
        <v>4271.6840000000002</v>
      </c>
      <c r="Z8" s="25">
        <f>'Annual Raw'!AA6</f>
        <v>5238.3789999999999</v>
      </c>
      <c r="AA8" s="25">
        <f>'Annual Raw'!AB6</f>
        <v>5136.607</v>
      </c>
      <c r="AB8" s="17">
        <f>+SUM(CM8:CP8)</f>
        <v>5757.3858050468807</v>
      </c>
      <c r="AC8" s="17">
        <f>+SUM(CQ8:CT8)</f>
        <v>6725.8550136212061</v>
      </c>
      <c r="AD8" s="17">
        <f>+SUM(CU8:CX8)</f>
        <v>7888.7554414624819</v>
      </c>
      <c r="AE8" s="17">
        <f>+SUM(CY8:DB8)</f>
        <v>9259.4266616283712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171.81800000000001</v>
      </c>
      <c r="BM8" s="25">
        <f>'QTR Raw'!AG6+'QTR Raw'!AG8</f>
        <v>178.745</v>
      </c>
      <c r="BN8" s="25">
        <f>'QTR Raw'!AH6+'QTR Raw'!AH8</f>
        <v>192.75299999999999</v>
      </c>
      <c r="BO8" s="25">
        <f>'QTR Raw'!AI6+'QTR Raw'!AI8</f>
        <v>238.42400000000001</v>
      </c>
      <c r="BP8" s="25">
        <f>'QTR Raw'!AJ6+'QTR Raw'!AJ8</f>
        <v>309.85500000000002</v>
      </c>
      <c r="BQ8" s="25">
        <f>'QTR Raw'!AK6+'QTR Raw'!AK8</f>
        <v>306.79300000000001</v>
      </c>
      <c r="BR8" s="25">
        <f>'QTR Raw'!AL6+'QTR Raw'!AL8</f>
        <v>408.61200000000002</v>
      </c>
      <c r="BS8" s="25">
        <f>'QTR Raw'!AM6+'QTR Raw'!AM8</f>
        <v>462.66800000000001</v>
      </c>
      <c r="BT8" s="25">
        <f>'QTR Raw'!AN6+'QTR Raw'!AN8</f>
        <v>527.34</v>
      </c>
      <c r="BU8" s="25">
        <f>'QTR Raw'!AO6+'QTR Raw'!AO8</f>
        <v>597.31899999999996</v>
      </c>
      <c r="BV8" s="25">
        <f>'QTR Raw'!AP6+'QTR Raw'!AP8</f>
        <v>680.80899999999997</v>
      </c>
      <c r="BW8" s="25">
        <f>'QTR Raw'!AQ6+'QTR Raw'!AQ8</f>
        <v>682</v>
      </c>
      <c r="BX8" s="25">
        <f>'QTR Raw'!AR6+'QTR Raw'!AR8</f>
        <v>745.3</v>
      </c>
      <c r="BY8" s="25">
        <f>'QTR Raw'!AS6+'QTR Raw'!AS8</f>
        <v>748.6</v>
      </c>
      <c r="BZ8" s="25">
        <f>'QTR Raw'!AT6+'QTR Raw'!AT8</f>
        <v>825.73800000000006</v>
      </c>
      <c r="CA8" s="25">
        <f>'QTR Raw'!AU6+'QTR Raw'!AU8</f>
        <v>807.505</v>
      </c>
      <c r="CB8" s="25">
        <f>'QTR Raw'!AV6+'QTR Raw'!AV8</f>
        <v>1047.867</v>
      </c>
      <c r="CC8" s="25">
        <f>'QTR Raw'!AW6+'QTR Raw'!AW8</f>
        <v>1059.046</v>
      </c>
      <c r="CD8" s="25">
        <f>'QTR Raw'!AX6+'QTR Raw'!AX8</f>
        <v>1357.2760000000001</v>
      </c>
      <c r="CE8" s="25">
        <f>'QTR Raw'!AY6+'QTR Raw'!AY8</f>
        <v>1405.454</v>
      </c>
      <c r="CF8" s="25">
        <f>'QTR Raw'!AZ6+'QTR Raw'!AZ8</f>
        <v>1514.7059999999999</v>
      </c>
      <c r="CG8" s="25">
        <f>'QTR Raw'!BA6+'QTR Raw'!BA8</f>
        <v>1262.2059999999999</v>
      </c>
      <c r="CH8" s="25">
        <f>'QTR Raw'!BB6+'QTR Raw'!BB8</f>
        <v>1056.0129999999999</v>
      </c>
      <c r="CI8" s="25">
        <f>'QTR Raw'!BC6+'QTR Raw'!BC8</f>
        <v>1140.5309999999999</v>
      </c>
      <c r="CJ8" s="25">
        <f>'QTR Raw'!BD6+'QTR Raw'!BD8</f>
        <v>1201.758</v>
      </c>
      <c r="CK8" s="25">
        <f>'QTR Raw'!BE6+'QTR Raw'!BE8</f>
        <v>1334.896</v>
      </c>
      <c r="CL8" s="25">
        <f>'QTR Raw'!BF6+'QTR Raw'!BF8</f>
        <v>1459.422</v>
      </c>
      <c r="CM8" s="17">
        <f t="shared" ref="CM8:DB8" si="33">+CI10+(CM11*CI10)</f>
        <v>1176.0295219818925</v>
      </c>
      <c r="CN8" s="17">
        <f t="shared" si="33"/>
        <v>1305.144991560489</v>
      </c>
      <c r="CO8" s="17">
        <f t="shared" si="33"/>
        <v>1547.396557049083</v>
      </c>
      <c r="CP8" s="17">
        <f t="shared" si="33"/>
        <v>1728.8147344554166</v>
      </c>
      <c r="CQ8" s="17">
        <f t="shared" si="33"/>
        <v>1335.0674771715912</v>
      </c>
      <c r="CR8" s="17">
        <f t="shared" si="33"/>
        <v>1515.6127548410634</v>
      </c>
      <c r="CS8" s="17">
        <f t="shared" si="33"/>
        <v>1826.0325882357295</v>
      </c>
      <c r="CT8" s="17">
        <f t="shared" si="33"/>
        <v>2049.1421933728225</v>
      </c>
      <c r="CU8" s="17">
        <f t="shared" si="33"/>
        <v>1555.9704055650614</v>
      </c>
      <c r="CV8" s="17">
        <f t="shared" si="33"/>
        <v>1777.8429422789413</v>
      </c>
      <c r="CW8" s="17">
        <f t="shared" si="33"/>
        <v>2147.3395498841637</v>
      </c>
      <c r="CX8" s="17">
        <f t="shared" si="33"/>
        <v>2407.6025437343151</v>
      </c>
      <c r="CY8" s="17">
        <f t="shared" si="33"/>
        <v>1824.1310933797774</v>
      </c>
      <c r="CZ8" s="17">
        <f t="shared" si="33"/>
        <v>2087.3001795273685</v>
      </c>
      <c r="DA8" s="17">
        <f t="shared" si="33"/>
        <v>2521.6730807658241</v>
      </c>
      <c r="DB8" s="17">
        <f t="shared" si="33"/>
        <v>2826.3223079554014</v>
      </c>
      <c r="DE8" s="119"/>
      <c r="DF8" s="25">
        <v>5136.607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9.0669000000000004</v>
      </c>
      <c r="J10" s="26">
        <f t="shared" si="34"/>
        <v>10.6424</v>
      </c>
      <c r="K10" s="26">
        <f t="shared" si="34"/>
        <v>25.4221</v>
      </c>
      <c r="L10" s="26">
        <f t="shared" si="34"/>
        <v>24.959099999999999</v>
      </c>
      <c r="M10" s="26">
        <f t="shared" si="34"/>
        <v>27.248899999999999</v>
      </c>
      <c r="N10" s="26">
        <f t="shared" si="34"/>
        <v>0</v>
      </c>
      <c r="O10" s="26">
        <f t="shared" si="34"/>
        <v>328.31615859999999</v>
      </c>
      <c r="P10" s="26">
        <f t="shared" si="34"/>
        <v>447.28469960000001</v>
      </c>
      <c r="Q10" s="26">
        <f t="shared" si="34"/>
        <v>447.73601020000001</v>
      </c>
      <c r="R10" s="26">
        <f t="shared" si="34"/>
        <v>430.8894621</v>
      </c>
      <c r="S10" s="26">
        <f t="shared" si="34"/>
        <v>764.84797300000002</v>
      </c>
      <c r="T10" s="26">
        <f t="shared" si="34"/>
        <v>762.62</v>
      </c>
      <c r="U10" s="26">
        <f t="shared" si="34"/>
        <v>724.62400000000002</v>
      </c>
      <c r="V10" s="26">
        <f t="shared" ref="V10:AA10" si="35">+V8-V9</f>
        <v>1263.684</v>
      </c>
      <c r="W10" s="26">
        <f t="shared" si="35"/>
        <v>2291.114</v>
      </c>
      <c r="X10" s="26">
        <f t="shared" si="35"/>
        <v>3001.585</v>
      </c>
      <c r="Y10" s="26">
        <f t="shared" si="35"/>
        <v>4271.6840000000002</v>
      </c>
      <c r="Z10" s="26">
        <f t="shared" si="35"/>
        <v>5238.3789999999999</v>
      </c>
      <c r="AA10" s="26">
        <f t="shared" si="35"/>
        <v>5136.607</v>
      </c>
      <c r="AB10" s="27">
        <f t="shared" ref="AB10:AD10" si="36">+AB8-AB9</f>
        <v>5757.3858050468807</v>
      </c>
      <c r="AC10" s="27">
        <f t="shared" si="36"/>
        <v>6725.8550136212061</v>
      </c>
      <c r="AD10" s="27">
        <f t="shared" si="36"/>
        <v>7888.7554414624819</v>
      </c>
      <c r="AE10" s="27">
        <f t="shared" ref="AE10" si="37">+AE8-AE9</f>
        <v>9259.4266616283712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0</v>
      </c>
      <c r="BA10" s="26">
        <f t="shared" si="43"/>
        <v>0</v>
      </c>
      <c r="BB10" s="26">
        <f t="shared" si="43"/>
        <v>0</v>
      </c>
      <c r="BC10" s="26">
        <f t="shared" si="43"/>
        <v>0</v>
      </c>
      <c r="BD10" s="26">
        <f t="shared" si="43"/>
        <v>0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0</v>
      </c>
      <c r="BI10" s="26">
        <f t="shared" si="43"/>
        <v>0</v>
      </c>
      <c r="BJ10" s="26">
        <f t="shared" si="43"/>
        <v>0</v>
      </c>
      <c r="BK10" s="26">
        <f t="shared" si="43"/>
        <v>0</v>
      </c>
      <c r="BL10" s="26">
        <f t="shared" si="43"/>
        <v>171.81800000000001</v>
      </c>
      <c r="BM10" s="26">
        <f t="shared" si="43"/>
        <v>178.745</v>
      </c>
      <c r="BN10" s="26">
        <f t="shared" si="43"/>
        <v>192.75299999999999</v>
      </c>
      <c r="BO10" s="26">
        <f t="shared" si="43"/>
        <v>238.42400000000001</v>
      </c>
      <c r="BP10" s="26">
        <f t="shared" si="43"/>
        <v>309.85500000000002</v>
      </c>
      <c r="BQ10" s="26">
        <f t="shared" si="43"/>
        <v>306.79300000000001</v>
      </c>
      <c r="BR10" s="26">
        <f t="shared" si="43"/>
        <v>408.61200000000002</v>
      </c>
      <c r="BS10" s="26">
        <f t="shared" si="43"/>
        <v>462.66800000000001</v>
      </c>
      <c r="BT10" s="26">
        <f t="shared" si="43"/>
        <v>527.34</v>
      </c>
      <c r="BU10" s="26">
        <f t="shared" si="43"/>
        <v>597.31899999999996</v>
      </c>
      <c r="BV10" s="26">
        <f t="shared" si="43"/>
        <v>680.80899999999997</v>
      </c>
      <c r="BW10" s="26">
        <f t="shared" si="43"/>
        <v>682</v>
      </c>
      <c r="BX10" s="26">
        <f t="shared" si="43"/>
        <v>745.3</v>
      </c>
      <c r="BY10" s="26">
        <f t="shared" si="43"/>
        <v>748.6</v>
      </c>
      <c r="BZ10" s="26">
        <f t="shared" si="43"/>
        <v>825.73800000000006</v>
      </c>
      <c r="CA10" s="26">
        <f t="shared" si="43"/>
        <v>807.505</v>
      </c>
      <c r="CB10" s="26">
        <f t="shared" si="43"/>
        <v>1047.867</v>
      </c>
      <c r="CC10" s="26">
        <f t="shared" si="43"/>
        <v>1059.046</v>
      </c>
      <c r="CD10" s="26">
        <f t="shared" si="43"/>
        <v>1357.2760000000001</v>
      </c>
      <c r="CE10" s="26">
        <f t="shared" si="43"/>
        <v>1405.454</v>
      </c>
      <c r="CF10" s="26">
        <f t="shared" si="43"/>
        <v>1514.7059999999999</v>
      </c>
      <c r="CG10" s="26">
        <f t="shared" ref="CG10:CH10" si="44">+CG8-CG9</f>
        <v>1262.2059999999999</v>
      </c>
      <c r="CH10" s="26">
        <f t="shared" si="44"/>
        <v>1056.0129999999999</v>
      </c>
      <c r="CI10" s="26">
        <f t="shared" ref="CI10:CJ10" si="45">+CI8-CI9</f>
        <v>1140.5309999999999</v>
      </c>
      <c r="CJ10" s="26">
        <f t="shared" si="45"/>
        <v>1201.758</v>
      </c>
      <c r="CK10" s="26">
        <f t="shared" ref="CK10:CL10" si="46">+CK8-CK9</f>
        <v>1334.896</v>
      </c>
      <c r="CL10" s="26">
        <f t="shared" si="46"/>
        <v>1459.422</v>
      </c>
      <c r="CM10" s="27">
        <f t="shared" ref="CM10:DB10" si="47">+CM8-CM9</f>
        <v>1176.0295219818925</v>
      </c>
      <c r="CN10" s="27">
        <f t="shared" si="47"/>
        <v>1305.144991560489</v>
      </c>
      <c r="CO10" s="27">
        <f t="shared" si="47"/>
        <v>1547.396557049083</v>
      </c>
      <c r="CP10" s="27">
        <f t="shared" si="47"/>
        <v>1728.8147344554166</v>
      </c>
      <c r="CQ10" s="27">
        <f t="shared" si="47"/>
        <v>1335.0674771715912</v>
      </c>
      <c r="CR10" s="27">
        <f t="shared" si="47"/>
        <v>1515.6127548410634</v>
      </c>
      <c r="CS10" s="27">
        <f t="shared" si="47"/>
        <v>1826.0325882357295</v>
      </c>
      <c r="CT10" s="27">
        <f t="shared" si="47"/>
        <v>2049.1421933728225</v>
      </c>
      <c r="CU10" s="27">
        <f t="shared" si="47"/>
        <v>1555.9704055650614</v>
      </c>
      <c r="CV10" s="27">
        <f t="shared" si="47"/>
        <v>1777.8429422789413</v>
      </c>
      <c r="CW10" s="27">
        <f t="shared" si="47"/>
        <v>2147.3395498841637</v>
      </c>
      <c r="CX10" s="27">
        <f t="shared" si="47"/>
        <v>2407.6025437343151</v>
      </c>
      <c r="CY10" s="27">
        <f t="shared" si="47"/>
        <v>1824.1310933797774</v>
      </c>
      <c r="CZ10" s="27">
        <f t="shared" si="47"/>
        <v>2087.3001795273685</v>
      </c>
      <c r="DA10" s="27">
        <f t="shared" si="47"/>
        <v>2521.6730807658241</v>
      </c>
      <c r="DB10" s="27">
        <f t="shared" si="47"/>
        <v>2826.3223079554014</v>
      </c>
      <c r="DE10" s="121"/>
      <c r="DF10" s="26">
        <v>5136.607</v>
      </c>
    </row>
    <row r="11" spans="1:110" s="39" customFormat="1" x14ac:dyDescent="0.2">
      <c r="A11" s="39" t="s">
        <v>484</v>
      </c>
      <c r="C11" s="39" t="e">
        <f t="shared" ref="C11" si="48">C10/B10-1</f>
        <v>#DIV/0!</v>
      </c>
      <c r="D11" s="39" t="e">
        <f t="shared" ref="D11" si="49">D10/C10-1</f>
        <v>#DIV/0!</v>
      </c>
      <c r="E11" s="39" t="e">
        <f t="shared" ref="E11" si="50">E10/D10-1</f>
        <v>#DIV/0!</v>
      </c>
      <c r="F11" s="39" t="e">
        <f t="shared" ref="F11:R11" si="51">F10/E10-1</f>
        <v>#DIV/0!</v>
      </c>
      <c r="G11" s="39" t="e">
        <f t="shared" si="51"/>
        <v>#DIV/0!</v>
      </c>
      <c r="H11" s="39" t="e">
        <f t="shared" si="51"/>
        <v>#DIV/0!</v>
      </c>
      <c r="I11" s="39" t="e">
        <f t="shared" si="51"/>
        <v>#DIV/0!</v>
      </c>
      <c r="J11" s="39">
        <f t="shared" si="51"/>
        <v>0.17376391048759765</v>
      </c>
      <c r="K11" s="39">
        <f>K10/J10-1</f>
        <v>1.3887562955724273</v>
      </c>
      <c r="L11" s="39">
        <f t="shared" si="51"/>
        <v>-1.8212500147509525E-2</v>
      </c>
      <c r="M11" s="39">
        <f t="shared" si="51"/>
        <v>9.1742090059337089E-2</v>
      </c>
      <c r="N11" s="39">
        <f t="shared" si="51"/>
        <v>-1</v>
      </c>
      <c r="O11" s="39" t="e">
        <f t="shared" si="51"/>
        <v>#DIV/0!</v>
      </c>
      <c r="P11" s="39">
        <f t="shared" si="51"/>
        <v>0.36235968862240475</v>
      </c>
      <c r="Q11" s="39">
        <f t="shared" si="51"/>
        <v>1.0090007559024894E-3</v>
      </c>
      <c r="R11" s="39">
        <f t="shared" si="51"/>
        <v>-3.7626073659955961E-2</v>
      </c>
      <c r="S11" s="39">
        <f t="shared" ref="S11:AA11" si="52">S10/R10-1</f>
        <v>0.77504450740662478</v>
      </c>
      <c r="T11" s="39">
        <f t="shared" si="52"/>
        <v>-2.9129618939318647E-3</v>
      </c>
      <c r="U11" s="39">
        <f t="shared" si="52"/>
        <v>-4.9822978678765284E-2</v>
      </c>
      <c r="V11" s="39">
        <f t="shared" si="52"/>
        <v>0.74391684515003642</v>
      </c>
      <c r="W11" s="39">
        <f t="shared" si="52"/>
        <v>0.81304345073610174</v>
      </c>
      <c r="X11" s="39">
        <f t="shared" si="52"/>
        <v>0.31009849357124963</v>
      </c>
      <c r="Y11" s="39">
        <f t="shared" si="52"/>
        <v>0.42314277290165037</v>
      </c>
      <c r="Z11" s="39">
        <f t="shared" si="52"/>
        <v>0.22630302241457922</v>
      </c>
      <c r="AA11" s="39">
        <f t="shared" si="52"/>
        <v>-1.9428147524262696E-2</v>
      </c>
      <c r="AB11" s="40">
        <f t="shared" ref="AB11" si="53">AB10/AA10-1</f>
        <v>0.12085386424285161</v>
      </c>
      <c r="AC11" s="40">
        <f t="shared" ref="AC11" si="54">AC10/AB10-1</f>
        <v>0.16821335956422656</v>
      </c>
      <c r="AD11" s="40">
        <f t="shared" ref="AD11" si="55">AD10/AC10-1</f>
        <v>0.17290001427122181</v>
      </c>
      <c r="AE11" s="40">
        <f t="shared" ref="AE11" si="56">AE10/AD10-1</f>
        <v>0.17374999520986334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 t="e">
        <f t="shared" si="57"/>
        <v>#DIV/0!</v>
      </c>
      <c r="AX11" s="39" t="e">
        <f t="shared" si="57"/>
        <v>#DIV/0!</v>
      </c>
      <c r="AY11" s="39" t="e">
        <f t="shared" si="57"/>
        <v>#DIV/0!</v>
      </c>
      <c r="AZ11" s="39" t="e">
        <f t="shared" si="57"/>
        <v>#DIV/0!</v>
      </c>
      <c r="BA11" s="39" t="e">
        <f t="shared" si="57"/>
        <v>#DIV/0!</v>
      </c>
      <c r="BB11" s="39" t="e">
        <f t="shared" si="57"/>
        <v>#DIV/0!</v>
      </c>
      <c r="BC11" s="39" t="e">
        <f t="shared" si="57"/>
        <v>#DIV/0!</v>
      </c>
      <c r="BD11" s="39" t="e">
        <f t="shared" si="57"/>
        <v>#DIV/0!</v>
      </c>
      <c r="BE11" s="39" t="e">
        <f t="shared" si="57"/>
        <v>#DIV/0!</v>
      </c>
      <c r="BF11" s="39" t="e">
        <f t="shared" si="57"/>
        <v>#DIV/0!</v>
      </c>
      <c r="BG11" s="39" t="e">
        <f t="shared" si="57"/>
        <v>#DIV/0!</v>
      </c>
      <c r="BH11" s="39" t="e">
        <f t="shared" si="57"/>
        <v>#DIV/0!</v>
      </c>
      <c r="BI11" s="39" t="e">
        <f t="shared" si="57"/>
        <v>#DIV/0!</v>
      </c>
      <c r="BJ11" s="39" t="e">
        <f t="shared" si="57"/>
        <v>#DIV/0!</v>
      </c>
      <c r="BK11" s="39" t="e">
        <f t="shared" si="57"/>
        <v>#DIV/0!</v>
      </c>
      <c r="BL11" s="39" t="e">
        <f t="shared" si="57"/>
        <v>#DIV/0!</v>
      </c>
      <c r="BM11" s="39" t="e">
        <f t="shared" si="57"/>
        <v>#DIV/0!</v>
      </c>
      <c r="BN11" s="39" t="e">
        <f t="shared" si="57"/>
        <v>#DIV/0!</v>
      </c>
      <c r="BO11" s="39" t="e">
        <f t="shared" si="57"/>
        <v>#DIV/0!</v>
      </c>
      <c r="BP11" s="39">
        <f t="shared" si="57"/>
        <v>0.80339079723893891</v>
      </c>
      <c r="BQ11" s="39">
        <f t="shared" si="57"/>
        <v>0.71637248594366265</v>
      </c>
      <c r="BR11" s="39">
        <f t="shared" si="57"/>
        <v>1.1198736206440367</v>
      </c>
      <c r="BS11" s="39">
        <f t="shared" si="57"/>
        <v>0.94052612153138937</v>
      </c>
      <c r="BT11" s="39">
        <f t="shared" si="57"/>
        <v>0.70189282083555216</v>
      </c>
      <c r="BU11" s="39">
        <f t="shared" si="57"/>
        <v>0.94697727783880326</v>
      </c>
      <c r="BV11" s="39">
        <f t="shared" si="57"/>
        <v>0.66615028437735546</v>
      </c>
      <c r="BW11" s="39">
        <f t="shared" si="57"/>
        <v>0.4740591525672837</v>
      </c>
      <c r="BX11" s="39">
        <f t="shared" si="57"/>
        <v>0.41331967990290885</v>
      </c>
      <c r="BY11" s="39">
        <f t="shared" si="57"/>
        <v>0.25326667994823548</v>
      </c>
      <c r="BZ11" s="39">
        <f t="shared" si="57"/>
        <v>0.21287762059549764</v>
      </c>
      <c r="CA11" s="39">
        <f t="shared" si="57"/>
        <v>0.18402492668621706</v>
      </c>
      <c r="CB11" s="39">
        <f t="shared" si="57"/>
        <v>0.40596672480880192</v>
      </c>
      <c r="CC11" s="39">
        <f t="shared" si="57"/>
        <v>0.41470211060646545</v>
      </c>
      <c r="CD11" s="39">
        <f t="shared" si="57"/>
        <v>0.64371265461926175</v>
      </c>
      <c r="CE11" s="39">
        <f t="shared" si="57"/>
        <v>0.74048953257255379</v>
      </c>
      <c r="CF11" s="39">
        <f t="shared" si="57"/>
        <v>0.44551360048555777</v>
      </c>
      <c r="CG11" s="39">
        <f t="shared" si="57"/>
        <v>0.19183302708286498</v>
      </c>
      <c r="CH11" s="39">
        <f t="shared" si="57"/>
        <v>-0.22196148756774603</v>
      </c>
      <c r="CI11" s="39">
        <f t="shared" si="57"/>
        <v>-0.1884963862211072</v>
      </c>
      <c r="CJ11" s="39">
        <f>+IF(CF10&lt;0,1-CJ10/CF10,CJ10/CF10-1)</f>
        <v>-0.20660643055484029</v>
      </c>
      <c r="CK11" s="39">
        <f>+IF(CG10&lt;0,1-CK10/CG10,CK10/CG10-1)</f>
        <v>5.7589648599357002E-2</v>
      </c>
      <c r="CL11" s="39">
        <f>+IF(CH10&lt;0,1-CL10/CH10,CL10/CH10-1)</f>
        <v>0.38201139569304554</v>
      </c>
      <c r="CM11" s="40">
        <f>+AVERAGE(CI11:CL11)+2%</f>
        <v>3.1124556879113762E-2</v>
      </c>
      <c r="CN11" s="40">
        <f t="shared" ref="CN11:CT11" si="58">+AVERAGE(CJ11:CM11)+2%</f>
        <v>8.6029792654169004E-2</v>
      </c>
      <c r="CO11" s="40">
        <f t="shared" si="58"/>
        <v>0.15918884845642131</v>
      </c>
      <c r="CP11" s="40">
        <f t="shared" si="58"/>
        <v>0.1845886484206874</v>
      </c>
      <c r="CQ11" s="40">
        <f t="shared" si="58"/>
        <v>0.13523296160259787</v>
      </c>
      <c r="CR11" s="40">
        <f t="shared" si="58"/>
        <v>0.16126006278346888</v>
      </c>
      <c r="CS11" s="40">
        <f t="shared" si="58"/>
        <v>0.18006763031579384</v>
      </c>
      <c r="CT11" s="40">
        <f t="shared" si="58"/>
        <v>0.18528732578063697</v>
      </c>
      <c r="CU11" s="40">
        <f t="shared" ref="CU11" si="59">+AVERAGE(CQ11:CT11)</f>
        <v>0.1654619951206244</v>
      </c>
      <c r="CV11" s="40">
        <f t="shared" ref="CV11" si="60">+AVERAGE(CR11:CU11)</f>
        <v>0.17301925350013103</v>
      </c>
      <c r="CW11" s="40">
        <f t="shared" ref="CW11" si="61">+AVERAGE(CS11:CV11)</f>
        <v>0.17595905117929656</v>
      </c>
      <c r="CX11" s="40">
        <f t="shared" ref="CX11" si="62">+AVERAGE(CT11:CW11)</f>
        <v>0.17493190639517225</v>
      </c>
      <c r="CY11" s="40">
        <f t="shared" ref="CY11" si="63">+AVERAGE(CU11:CX11)</f>
        <v>0.17234305154880608</v>
      </c>
      <c r="CZ11" s="40">
        <f t="shared" ref="CZ11" si="64">+AVERAGE(CV11:CY11)</f>
        <v>0.17406331565585148</v>
      </c>
      <c r="DA11" s="40">
        <f t="shared" ref="DA11" si="65">+AVERAGE(CW11:CZ11)</f>
        <v>0.17432433119478158</v>
      </c>
      <c r="DB11" s="40">
        <f t="shared" ref="DB11" si="66">+AVERAGE(CX11:DA11)</f>
        <v>0.17391565119865282</v>
      </c>
      <c r="DE11" s="122"/>
      <c r="DF11" s="39">
        <v>-1.9428147524262696E-2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67">+IF(AI10&lt;0,1-AJ10/AI10,AJ10/AI10-1)</f>
        <v>#DIV/0!</v>
      </c>
      <c r="AK12" s="39" t="e">
        <f t="shared" si="67"/>
        <v>#DIV/0!</v>
      </c>
      <c r="AL12" s="39" t="e">
        <f t="shared" si="67"/>
        <v>#DIV/0!</v>
      </c>
      <c r="AM12" s="39" t="e">
        <f t="shared" ref="AM12:CI12" si="68">+IF(AL10&lt;0,1-AM10/AL10,AM10/AL10-1)</f>
        <v>#DIV/0!</v>
      </c>
      <c r="AN12" s="39" t="e">
        <f t="shared" si="68"/>
        <v>#DIV/0!</v>
      </c>
      <c r="AO12" s="39" t="e">
        <f t="shared" si="68"/>
        <v>#DIV/0!</v>
      </c>
      <c r="AP12" s="39" t="e">
        <f t="shared" si="68"/>
        <v>#DIV/0!</v>
      </c>
      <c r="AQ12" s="39" t="e">
        <f t="shared" si="68"/>
        <v>#DIV/0!</v>
      </c>
      <c r="AR12" s="39" t="e">
        <f t="shared" si="68"/>
        <v>#DIV/0!</v>
      </c>
      <c r="AS12" s="39" t="e">
        <f t="shared" si="68"/>
        <v>#DIV/0!</v>
      </c>
      <c r="AT12" s="39" t="e">
        <f t="shared" si="68"/>
        <v>#DIV/0!</v>
      </c>
      <c r="AU12" s="39" t="e">
        <f t="shared" si="68"/>
        <v>#DIV/0!</v>
      </c>
      <c r="AV12" s="39" t="e">
        <f t="shared" si="68"/>
        <v>#DIV/0!</v>
      </c>
      <c r="AW12" s="39" t="e">
        <f t="shared" si="68"/>
        <v>#DIV/0!</v>
      </c>
      <c r="AX12" s="39" t="e">
        <f t="shared" si="68"/>
        <v>#DIV/0!</v>
      </c>
      <c r="AY12" s="39" t="e">
        <f t="shared" si="68"/>
        <v>#DIV/0!</v>
      </c>
      <c r="AZ12" s="39" t="e">
        <f t="shared" si="68"/>
        <v>#DIV/0!</v>
      </c>
      <c r="BA12" s="39" t="e">
        <f t="shared" si="68"/>
        <v>#DIV/0!</v>
      </c>
      <c r="BB12" s="39" t="e">
        <f t="shared" si="68"/>
        <v>#DIV/0!</v>
      </c>
      <c r="BC12" s="39" t="e">
        <f t="shared" si="68"/>
        <v>#DIV/0!</v>
      </c>
      <c r="BD12" s="39" t="e">
        <f t="shared" si="68"/>
        <v>#DIV/0!</v>
      </c>
      <c r="BE12" s="39" t="e">
        <f t="shared" si="68"/>
        <v>#DIV/0!</v>
      </c>
      <c r="BF12" s="39" t="e">
        <f t="shared" si="68"/>
        <v>#DIV/0!</v>
      </c>
      <c r="BG12" s="39" t="e">
        <f t="shared" si="68"/>
        <v>#DIV/0!</v>
      </c>
      <c r="BH12" s="39" t="e">
        <f t="shared" si="68"/>
        <v>#DIV/0!</v>
      </c>
      <c r="BI12" s="39" t="e">
        <f t="shared" si="68"/>
        <v>#DIV/0!</v>
      </c>
      <c r="BJ12" s="39" t="e">
        <f t="shared" si="68"/>
        <v>#DIV/0!</v>
      </c>
      <c r="BK12" s="39" t="e">
        <f t="shared" si="68"/>
        <v>#DIV/0!</v>
      </c>
      <c r="BL12" s="39" t="e">
        <f t="shared" si="68"/>
        <v>#DIV/0!</v>
      </c>
      <c r="BM12" s="39">
        <f t="shared" si="68"/>
        <v>4.0315915678217573E-2</v>
      </c>
      <c r="BN12" s="39">
        <f t="shared" si="68"/>
        <v>7.8368625695823591E-2</v>
      </c>
      <c r="BO12" s="39">
        <f t="shared" si="68"/>
        <v>0.23694054048445423</v>
      </c>
      <c r="BP12" s="39">
        <f t="shared" si="68"/>
        <v>0.29959651712914814</v>
      </c>
      <c r="BQ12" s="39">
        <f t="shared" si="68"/>
        <v>-9.8820416001033085E-3</v>
      </c>
      <c r="BR12" s="39">
        <f t="shared" si="68"/>
        <v>0.33188175740645987</v>
      </c>
      <c r="BS12" s="39">
        <f t="shared" si="68"/>
        <v>0.13229175844077012</v>
      </c>
      <c r="BT12" s="39">
        <f t="shared" si="68"/>
        <v>0.13978057700121904</v>
      </c>
      <c r="BU12" s="39">
        <f t="shared" si="68"/>
        <v>0.13270186217620505</v>
      </c>
      <c r="BV12" s="39">
        <f t="shared" si="68"/>
        <v>0.13977455932257299</v>
      </c>
      <c r="BW12" s="39">
        <f t="shared" si="68"/>
        <v>1.7493893294595608E-3</v>
      </c>
      <c r="BX12" s="39">
        <f t="shared" si="68"/>
        <v>9.2815249266862132E-2</v>
      </c>
      <c r="BY12" s="39">
        <f t="shared" si="68"/>
        <v>4.4277472158862352E-3</v>
      </c>
      <c r="BZ12" s="39">
        <f t="shared" si="68"/>
        <v>0.10304301362543411</v>
      </c>
      <c r="CA12" s="39">
        <f t="shared" si="68"/>
        <v>-2.2080853733266514E-2</v>
      </c>
      <c r="CB12" s="39">
        <f t="shared" si="68"/>
        <v>0.29766007640819558</v>
      </c>
      <c r="CC12" s="39">
        <f t="shared" si="68"/>
        <v>1.0668338634578722E-2</v>
      </c>
      <c r="CD12" s="39">
        <f t="shared" si="68"/>
        <v>0.28160249885274102</v>
      </c>
      <c r="CE12" s="39">
        <f t="shared" si="68"/>
        <v>3.5496096593470972E-2</v>
      </c>
      <c r="CF12" s="39">
        <f t="shared" si="68"/>
        <v>7.7734312186667154E-2</v>
      </c>
      <c r="CG12" s="39">
        <f t="shared" si="68"/>
        <v>-0.16669901617871719</v>
      </c>
      <c r="CH12" s="39">
        <f t="shared" si="68"/>
        <v>-0.16335922979291806</v>
      </c>
      <c r="CI12" s="39">
        <f t="shared" si="68"/>
        <v>8.0034999569134069E-2</v>
      </c>
      <c r="CJ12" s="39">
        <f>+IF(CI10&lt;0,1-CJ10/CI10,CJ10/CI10-1)</f>
        <v>5.3682889811850876E-2</v>
      </c>
      <c r="CK12" s="39">
        <f>+IF(CJ10&lt;0,1-CK10/CJ10,CK10/CJ10-1)</f>
        <v>0.11078603179675106</v>
      </c>
      <c r="CL12" s="39">
        <f>+IF(CK10&lt;0,1-CL10/CK10,CL10/CK10-1)</f>
        <v>9.3285169781016641E-2</v>
      </c>
      <c r="CM12" s="40">
        <f t="shared" ref="CM12" si="69">+CM10/CL10-1</f>
        <v>-0.19418131151792117</v>
      </c>
      <c r="CN12" s="40">
        <f t="shared" ref="CN12" si="70">+CN10/CM10-1</f>
        <v>0.1097893098474314</v>
      </c>
      <c r="CO12" s="40">
        <f t="shared" ref="CO12" si="71">+CO10/CN10-1</f>
        <v>0.18561276107641289</v>
      </c>
      <c r="CP12" s="40">
        <f t="shared" ref="CP12" si="72">+CP10/CO10-1</f>
        <v>0.11724090801410458</v>
      </c>
      <c r="CQ12" s="40">
        <f t="shared" ref="CQ12" si="73">+CQ10/CP10-1</f>
        <v>-0.22775561165485858</v>
      </c>
      <c r="CR12" s="40">
        <f t="shared" ref="CR12" si="74">+CR10/CQ10-1</f>
        <v>0.13523307305183296</v>
      </c>
      <c r="CS12" s="40">
        <f t="shared" ref="CS12" si="75">+CS10/CR10-1</f>
        <v>0.20481474070678329</v>
      </c>
      <c r="CT12" s="40">
        <f t="shared" ref="CT12" si="76">+CT10/CS10-1</f>
        <v>0.1221827072388979</v>
      </c>
      <c r="CU12" s="40">
        <f t="shared" ref="CU12" si="77">+CU10/CT10-1</f>
        <v>-0.24067231127382926</v>
      </c>
      <c r="CV12" s="40">
        <f t="shared" ref="CV12" si="78">+CV10/CU10-1</f>
        <v>0.14259431665302502</v>
      </c>
      <c r="CW12" s="40">
        <f t="shared" ref="CW12" si="79">+CW10/CV10-1</f>
        <v>0.20783422360784032</v>
      </c>
      <c r="CX12" s="40">
        <f t="shared" ref="CX12" si="80">+CX10/CW10-1</f>
        <v>0.12120253355562283</v>
      </c>
      <c r="CY12" s="40">
        <f t="shared" ref="CY12" si="81">+CY10/CX10-1</f>
        <v>-0.24234542029081907</v>
      </c>
      <c r="CZ12" s="40">
        <f t="shared" ref="CZ12" si="82">+CZ10/CY10-1</f>
        <v>0.14427092828070132</v>
      </c>
      <c r="DA12" s="40">
        <f t="shared" ref="DA12" si="83">+DA10/CZ10-1</f>
        <v>0.20810274703124465</v>
      </c>
      <c r="DB12" s="40">
        <f t="shared" ref="DB12" si="84">+DB10/DA10-1</f>
        <v>0.12081234062944279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-27.1711107</v>
      </c>
      <c r="J13" s="23">
        <f>'Annual Raw'!K11</f>
        <v>-31.137548599999999</v>
      </c>
      <c r="K13" s="23">
        <f>'Annual Raw'!L11</f>
        <v>13.3687608</v>
      </c>
      <c r="L13" s="23">
        <f>'Annual Raw'!M11</f>
        <v>34.200713800000003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0.2038616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85">+CM10-CM16</f>
        <v>0</v>
      </c>
      <c r="CN15" s="24">
        <f t="shared" si="85"/>
        <v>0</v>
      </c>
      <c r="CO15" s="24">
        <f t="shared" si="85"/>
        <v>0</v>
      </c>
      <c r="CP15" s="24">
        <f t="shared" si="85"/>
        <v>0</v>
      </c>
      <c r="CQ15" s="24">
        <f t="shared" si="85"/>
        <v>0</v>
      </c>
      <c r="CR15" s="24">
        <f t="shared" si="85"/>
        <v>0</v>
      </c>
      <c r="CS15" s="24">
        <f t="shared" si="85"/>
        <v>0</v>
      </c>
      <c r="CT15" s="24">
        <f t="shared" si="85"/>
        <v>0</v>
      </c>
      <c r="CU15" s="24">
        <f t="shared" si="85"/>
        <v>0</v>
      </c>
      <c r="CV15" s="24">
        <f t="shared" si="85"/>
        <v>0</v>
      </c>
      <c r="CW15" s="24">
        <f t="shared" si="85"/>
        <v>0</v>
      </c>
      <c r="CX15" s="24">
        <f t="shared" si="85"/>
        <v>0</v>
      </c>
      <c r="CY15" s="24">
        <f t="shared" si="85"/>
        <v>0</v>
      </c>
      <c r="CZ15" s="24">
        <f t="shared" si="85"/>
        <v>0</v>
      </c>
      <c r="DA15" s="24">
        <f t="shared" si="85"/>
        <v>0</v>
      </c>
      <c r="DB15" s="24">
        <f t="shared" si="85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86">B10-B13-B15-B14</f>
        <v>0</v>
      </c>
      <c r="C16" s="31">
        <f t="shared" si="86"/>
        <v>0</v>
      </c>
      <c r="D16" s="31">
        <f t="shared" si="86"/>
        <v>0</v>
      </c>
      <c r="E16" s="31">
        <f t="shared" si="86"/>
        <v>0</v>
      </c>
      <c r="F16" s="31">
        <f t="shared" si="86"/>
        <v>0</v>
      </c>
      <c r="G16" s="31">
        <f t="shared" si="86"/>
        <v>0</v>
      </c>
      <c r="H16" s="31">
        <f t="shared" si="86"/>
        <v>0</v>
      </c>
      <c r="I16" s="31">
        <f t="shared" si="86"/>
        <v>36.238010700000004</v>
      </c>
      <c r="J16" s="31">
        <f t="shared" si="86"/>
        <v>41.779948599999997</v>
      </c>
      <c r="K16" s="31">
        <f t="shared" si="86"/>
        <v>12.0533392</v>
      </c>
      <c r="L16" s="31">
        <f t="shared" si="86"/>
        <v>-9.2416138000000032</v>
      </c>
      <c r="M16" s="31">
        <f t="shared" si="86"/>
        <v>27.248899999999999</v>
      </c>
      <c r="N16" s="31">
        <f t="shared" si="86"/>
        <v>0</v>
      </c>
      <c r="O16" s="31">
        <f t="shared" si="86"/>
        <v>328.31615859999999</v>
      </c>
      <c r="P16" s="31">
        <f t="shared" si="86"/>
        <v>447.28469960000001</v>
      </c>
      <c r="Q16" s="31">
        <f t="shared" si="86"/>
        <v>447.73601020000001</v>
      </c>
      <c r="R16" s="31">
        <f t="shared" si="86"/>
        <v>430.8894621</v>
      </c>
      <c r="S16" s="31">
        <f t="shared" si="86"/>
        <v>764.64411140000004</v>
      </c>
      <c r="T16" s="31">
        <f t="shared" si="86"/>
        <v>762.62</v>
      </c>
      <c r="U16" s="31">
        <f t="shared" ref="U16:Z16" si="87">U10-U13-U15-U14</f>
        <v>724.62400000000002</v>
      </c>
      <c r="V16" s="31">
        <f t="shared" si="87"/>
        <v>1263.684</v>
      </c>
      <c r="W16" s="31">
        <f t="shared" si="87"/>
        <v>2291.114</v>
      </c>
      <c r="X16" s="31">
        <f t="shared" si="87"/>
        <v>3001.585</v>
      </c>
      <c r="Y16" s="31">
        <f t="shared" si="87"/>
        <v>4271.6840000000002</v>
      </c>
      <c r="Z16" s="31">
        <f t="shared" si="87"/>
        <v>5238.3789999999999</v>
      </c>
      <c r="AA16" s="31">
        <f t="shared" ref="AA16" si="88">AA10-AA13-AA15-AA14</f>
        <v>5136.607</v>
      </c>
      <c r="AB16" s="32">
        <f t="shared" ref="AB16:AD16" si="89">AB10-AB13-AB15-AB14</f>
        <v>5757.3858050468807</v>
      </c>
      <c r="AC16" s="32">
        <f t="shared" si="89"/>
        <v>6725.8550136212061</v>
      </c>
      <c r="AD16" s="32">
        <f t="shared" si="89"/>
        <v>7888.7554414624819</v>
      </c>
      <c r="AE16" s="32">
        <f t="shared" ref="AE16" si="90">AE10-AE13-AE15-AE14</f>
        <v>9259.4266616283712</v>
      </c>
      <c r="AI16" s="31">
        <f t="shared" ref="AI16" si="91">AI10-AI13-AI15-AI14</f>
        <v>0</v>
      </c>
      <c r="AJ16" s="31">
        <f t="shared" ref="AJ16" si="92">AJ10-AJ13-AJ15-AJ14</f>
        <v>0</v>
      </c>
      <c r="AK16" s="31">
        <f t="shared" ref="AK16:AM16" si="93">AK10-AK13-AK15-AK14</f>
        <v>0</v>
      </c>
      <c r="AL16" s="31">
        <f t="shared" si="93"/>
        <v>0</v>
      </c>
      <c r="AM16" s="31">
        <f t="shared" si="93"/>
        <v>0</v>
      </c>
      <c r="AN16" s="31">
        <f t="shared" ref="AN16:AO16" si="94">AN10-AN13-AN15-AN14</f>
        <v>0</v>
      </c>
      <c r="AO16" s="31">
        <f t="shared" si="94"/>
        <v>0</v>
      </c>
      <c r="AP16" s="31">
        <f t="shared" ref="AP16:CD16" si="95">AP10-AP13-AP15-AP14</f>
        <v>0</v>
      </c>
      <c r="AQ16" s="31">
        <f t="shared" si="95"/>
        <v>0</v>
      </c>
      <c r="AR16" s="31">
        <f t="shared" si="95"/>
        <v>0</v>
      </c>
      <c r="AS16" s="31">
        <f t="shared" si="95"/>
        <v>0</v>
      </c>
      <c r="AT16" s="31">
        <f t="shared" si="95"/>
        <v>0</v>
      </c>
      <c r="AU16" s="31">
        <f t="shared" si="95"/>
        <v>0</v>
      </c>
      <c r="AV16" s="31">
        <f t="shared" si="95"/>
        <v>0</v>
      </c>
      <c r="AW16" s="31">
        <f t="shared" si="95"/>
        <v>0</v>
      </c>
      <c r="AX16" s="31">
        <f t="shared" si="95"/>
        <v>0</v>
      </c>
      <c r="AY16" s="31">
        <f t="shared" si="95"/>
        <v>0</v>
      </c>
      <c r="AZ16" s="31">
        <f t="shared" si="95"/>
        <v>0</v>
      </c>
      <c r="BA16" s="31">
        <f t="shared" si="95"/>
        <v>0</v>
      </c>
      <c r="BB16" s="31">
        <f t="shared" si="95"/>
        <v>0</v>
      </c>
      <c r="BC16" s="31">
        <f t="shared" si="95"/>
        <v>0</v>
      </c>
      <c r="BD16" s="31">
        <f t="shared" si="95"/>
        <v>0</v>
      </c>
      <c r="BE16" s="31">
        <f t="shared" si="95"/>
        <v>0</v>
      </c>
      <c r="BF16" s="31">
        <f t="shared" si="95"/>
        <v>0</v>
      </c>
      <c r="BG16" s="31">
        <f t="shared" si="95"/>
        <v>0</v>
      </c>
      <c r="BH16" s="31">
        <f t="shared" si="95"/>
        <v>0</v>
      </c>
      <c r="BI16" s="31">
        <f t="shared" si="95"/>
        <v>0</v>
      </c>
      <c r="BJ16" s="31">
        <f t="shared" si="95"/>
        <v>0</v>
      </c>
      <c r="BK16" s="31">
        <f t="shared" si="95"/>
        <v>0</v>
      </c>
      <c r="BL16" s="31">
        <f t="shared" si="95"/>
        <v>171.81800000000001</v>
      </c>
      <c r="BM16" s="31">
        <f t="shared" si="95"/>
        <v>178.745</v>
      </c>
      <c r="BN16" s="31">
        <f t="shared" si="95"/>
        <v>192.75299999999999</v>
      </c>
      <c r="BO16" s="31">
        <f t="shared" si="95"/>
        <v>238.42400000000001</v>
      </c>
      <c r="BP16" s="31">
        <f t="shared" si="95"/>
        <v>309.85500000000002</v>
      </c>
      <c r="BQ16" s="31">
        <f t="shared" si="95"/>
        <v>306.79300000000001</v>
      </c>
      <c r="BR16" s="31">
        <f t="shared" si="95"/>
        <v>408.61200000000002</v>
      </c>
      <c r="BS16" s="31">
        <f t="shared" si="95"/>
        <v>462.66800000000001</v>
      </c>
      <c r="BT16" s="31">
        <f t="shared" si="95"/>
        <v>527.34</v>
      </c>
      <c r="BU16" s="31">
        <f t="shared" si="95"/>
        <v>597.31899999999996</v>
      </c>
      <c r="BV16" s="31">
        <f t="shared" si="95"/>
        <v>680.80899999999997</v>
      </c>
      <c r="BW16" s="31">
        <f t="shared" si="95"/>
        <v>682</v>
      </c>
      <c r="BX16" s="31">
        <f t="shared" si="95"/>
        <v>745.3</v>
      </c>
      <c r="BY16" s="31">
        <f t="shared" si="95"/>
        <v>748.6</v>
      </c>
      <c r="BZ16" s="31">
        <f t="shared" si="95"/>
        <v>825.73800000000006</v>
      </c>
      <c r="CA16" s="31">
        <f t="shared" si="95"/>
        <v>807.505</v>
      </c>
      <c r="CB16" s="31">
        <f t="shared" si="95"/>
        <v>1047.867</v>
      </c>
      <c r="CC16" s="31">
        <f t="shared" si="95"/>
        <v>1059.046</v>
      </c>
      <c r="CD16" s="31">
        <f t="shared" si="95"/>
        <v>1357.2760000000001</v>
      </c>
      <c r="CE16" s="31">
        <f t="shared" ref="CE16:CF16" si="96">CE10-CE13-CE15-CE14</f>
        <v>1405.454</v>
      </c>
      <c r="CF16" s="31">
        <f t="shared" si="96"/>
        <v>1514.7059999999999</v>
      </c>
      <c r="CG16" s="31">
        <f t="shared" ref="CG16:CH16" si="97">CG10-CG13-CG15-CG14</f>
        <v>1262.2059999999999</v>
      </c>
      <c r="CH16" s="31">
        <f t="shared" si="97"/>
        <v>1056.0129999999999</v>
      </c>
      <c r="CI16" s="31">
        <f t="shared" ref="CI16:CJ16" si="98">CI10-CI13-CI15-CI14</f>
        <v>1140.5309999999999</v>
      </c>
      <c r="CJ16" s="31">
        <f t="shared" si="98"/>
        <v>1201.758</v>
      </c>
      <c r="CK16" s="31">
        <f t="shared" ref="CK16:CL16" si="99">CK10-CK13-CK15-CK14</f>
        <v>1334.896</v>
      </c>
      <c r="CL16" s="31">
        <f t="shared" si="99"/>
        <v>1459.422</v>
      </c>
      <c r="CM16" s="32">
        <f t="shared" ref="CM16:DB16" si="100">+CM17*CM10</f>
        <v>1176.0295219818925</v>
      </c>
      <c r="CN16" s="32">
        <f t="shared" si="100"/>
        <v>1305.144991560489</v>
      </c>
      <c r="CO16" s="32">
        <f t="shared" si="100"/>
        <v>1547.396557049083</v>
      </c>
      <c r="CP16" s="32">
        <f t="shared" si="100"/>
        <v>1728.8147344554166</v>
      </c>
      <c r="CQ16" s="32">
        <f t="shared" si="100"/>
        <v>1335.0674771715912</v>
      </c>
      <c r="CR16" s="32">
        <f t="shared" si="100"/>
        <v>1515.6127548410634</v>
      </c>
      <c r="CS16" s="32">
        <f t="shared" si="100"/>
        <v>1826.0325882357295</v>
      </c>
      <c r="CT16" s="32">
        <f t="shared" si="100"/>
        <v>2049.1421933728225</v>
      </c>
      <c r="CU16" s="32">
        <f t="shared" si="100"/>
        <v>1555.9704055650614</v>
      </c>
      <c r="CV16" s="32">
        <f t="shared" si="100"/>
        <v>1777.8429422789413</v>
      </c>
      <c r="CW16" s="32">
        <f t="shared" si="100"/>
        <v>2147.3395498841637</v>
      </c>
      <c r="CX16" s="32">
        <f t="shared" si="100"/>
        <v>2407.6025437343151</v>
      </c>
      <c r="CY16" s="32">
        <f t="shared" si="100"/>
        <v>1824.1310933797774</v>
      </c>
      <c r="CZ16" s="32">
        <f t="shared" si="100"/>
        <v>2087.3001795273685</v>
      </c>
      <c r="DA16" s="32">
        <f t="shared" si="100"/>
        <v>2521.6730807658241</v>
      </c>
      <c r="DB16" s="32">
        <f t="shared" si="100"/>
        <v>2826.3223079554014</v>
      </c>
      <c r="DE16" s="124"/>
      <c r="DF16" s="31">
        <v>5136.607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1">C16/C10</f>
        <v>#DIV/0!</v>
      </c>
      <c r="D17" s="41" t="e">
        <f t="shared" si="101"/>
        <v>#DIV/0!</v>
      </c>
      <c r="E17" s="41" t="e">
        <f t="shared" si="101"/>
        <v>#DIV/0!</v>
      </c>
      <c r="F17" s="41" t="e">
        <f t="shared" si="101"/>
        <v>#DIV/0!</v>
      </c>
      <c r="G17" s="41" t="e">
        <f t="shared" si="101"/>
        <v>#DIV/0!</v>
      </c>
      <c r="H17" s="41" t="e">
        <f t="shared" si="101"/>
        <v>#DIV/0!</v>
      </c>
      <c r="I17" s="41">
        <f t="shared" si="101"/>
        <v>3.9967365582503396</v>
      </c>
      <c r="J17" s="41">
        <f t="shared" si="101"/>
        <v>3.9258013793881075</v>
      </c>
      <c r="K17" s="41">
        <f t="shared" si="101"/>
        <v>0.47412838435849125</v>
      </c>
      <c r="L17" s="41">
        <f t="shared" si="101"/>
        <v>-0.37027031423408713</v>
      </c>
      <c r="M17" s="41">
        <f t="shared" si="101"/>
        <v>1</v>
      </c>
      <c r="N17" s="41" t="e">
        <f t="shared" si="101"/>
        <v>#DIV/0!</v>
      </c>
      <c r="O17" s="41">
        <f t="shared" si="101"/>
        <v>1</v>
      </c>
      <c r="P17" s="41">
        <f t="shared" si="101"/>
        <v>1</v>
      </c>
      <c r="Q17" s="41">
        <f t="shared" si="101"/>
        <v>1</v>
      </c>
      <c r="R17" s="41">
        <f t="shared" si="101"/>
        <v>1</v>
      </c>
      <c r="S17" s="41">
        <f t="shared" si="101"/>
        <v>0.99973346127963136</v>
      </c>
      <c r="T17" s="41">
        <f t="shared" si="101"/>
        <v>1</v>
      </c>
      <c r="U17" s="41">
        <f t="shared" si="101"/>
        <v>1</v>
      </c>
      <c r="V17" s="41">
        <f t="shared" ref="V17:AA17" si="102">V16/V10</f>
        <v>1</v>
      </c>
      <c r="W17" s="41">
        <f t="shared" si="102"/>
        <v>1</v>
      </c>
      <c r="X17" s="41">
        <f t="shared" si="102"/>
        <v>1</v>
      </c>
      <c r="Y17" s="41">
        <f t="shared" si="102"/>
        <v>1</v>
      </c>
      <c r="Z17" s="41">
        <f t="shared" si="102"/>
        <v>1</v>
      </c>
      <c r="AA17" s="41">
        <f t="shared" si="102"/>
        <v>1</v>
      </c>
      <c r="AB17" s="42">
        <f t="shared" ref="AB17:AD17" si="103">AB16/AB10</f>
        <v>1</v>
      </c>
      <c r="AC17" s="42">
        <f t="shared" si="103"/>
        <v>1</v>
      </c>
      <c r="AD17" s="42">
        <f t="shared" si="103"/>
        <v>1</v>
      </c>
      <c r="AE17" s="42">
        <f t="shared" ref="AE17" si="104">AE16/AE10</f>
        <v>1</v>
      </c>
      <c r="AI17" s="41" t="e">
        <f t="shared" ref="AI17" si="105">AI16/AI10</f>
        <v>#DIV/0!</v>
      </c>
      <c r="AJ17" s="41" t="e">
        <f t="shared" ref="AJ17" si="106">AJ16/AJ10</f>
        <v>#DIV/0!</v>
      </c>
      <c r="AK17" s="41" t="e">
        <f t="shared" ref="AK17:AM17" si="107">AK16/AK10</f>
        <v>#DIV/0!</v>
      </c>
      <c r="AL17" s="41" t="e">
        <f t="shared" si="107"/>
        <v>#DIV/0!</v>
      </c>
      <c r="AM17" s="41" t="e">
        <f t="shared" si="107"/>
        <v>#DIV/0!</v>
      </c>
      <c r="AN17" s="41" t="e">
        <f t="shared" ref="AN17:AO17" si="108">AN16/AN10</f>
        <v>#DIV/0!</v>
      </c>
      <c r="AO17" s="41" t="e">
        <f t="shared" si="108"/>
        <v>#DIV/0!</v>
      </c>
      <c r="AP17" s="41" t="e">
        <f t="shared" ref="AP17:CD17" si="109">AP16/AP10</f>
        <v>#DIV/0!</v>
      </c>
      <c r="AQ17" s="41" t="e">
        <f t="shared" si="109"/>
        <v>#DIV/0!</v>
      </c>
      <c r="AR17" s="41" t="e">
        <f t="shared" si="109"/>
        <v>#DIV/0!</v>
      </c>
      <c r="AS17" s="41" t="e">
        <f t="shared" si="109"/>
        <v>#DIV/0!</v>
      </c>
      <c r="AT17" s="41" t="e">
        <f t="shared" si="109"/>
        <v>#DIV/0!</v>
      </c>
      <c r="AU17" s="41" t="e">
        <f t="shared" si="109"/>
        <v>#DIV/0!</v>
      </c>
      <c r="AV17" s="41" t="e">
        <f t="shared" si="109"/>
        <v>#DIV/0!</v>
      </c>
      <c r="AW17" s="41" t="e">
        <f t="shared" si="109"/>
        <v>#DIV/0!</v>
      </c>
      <c r="AX17" s="41" t="e">
        <f t="shared" si="109"/>
        <v>#DIV/0!</v>
      </c>
      <c r="AY17" s="41" t="e">
        <f t="shared" si="109"/>
        <v>#DIV/0!</v>
      </c>
      <c r="AZ17" s="41" t="e">
        <f t="shared" si="109"/>
        <v>#DIV/0!</v>
      </c>
      <c r="BA17" s="41" t="e">
        <f t="shared" si="109"/>
        <v>#DIV/0!</v>
      </c>
      <c r="BB17" s="41" t="e">
        <f t="shared" si="109"/>
        <v>#DIV/0!</v>
      </c>
      <c r="BC17" s="41" t="e">
        <f t="shared" si="109"/>
        <v>#DIV/0!</v>
      </c>
      <c r="BD17" s="41" t="e">
        <f t="shared" si="109"/>
        <v>#DIV/0!</v>
      </c>
      <c r="BE17" s="41" t="e">
        <f t="shared" si="109"/>
        <v>#DIV/0!</v>
      </c>
      <c r="BF17" s="41" t="e">
        <f t="shared" si="109"/>
        <v>#DIV/0!</v>
      </c>
      <c r="BG17" s="41" t="e">
        <f t="shared" si="109"/>
        <v>#DIV/0!</v>
      </c>
      <c r="BH17" s="41" t="e">
        <f t="shared" si="109"/>
        <v>#DIV/0!</v>
      </c>
      <c r="BI17" s="41" t="e">
        <f t="shared" si="109"/>
        <v>#DIV/0!</v>
      </c>
      <c r="BJ17" s="41" t="e">
        <f t="shared" si="109"/>
        <v>#DIV/0!</v>
      </c>
      <c r="BK17" s="41" t="e">
        <f t="shared" si="109"/>
        <v>#DIV/0!</v>
      </c>
      <c r="BL17" s="41">
        <f t="shared" si="109"/>
        <v>1</v>
      </c>
      <c r="BM17" s="41">
        <f t="shared" si="109"/>
        <v>1</v>
      </c>
      <c r="BN17" s="41">
        <f t="shared" si="109"/>
        <v>1</v>
      </c>
      <c r="BO17" s="41">
        <f t="shared" si="109"/>
        <v>1</v>
      </c>
      <c r="BP17" s="41">
        <f t="shared" si="109"/>
        <v>1</v>
      </c>
      <c r="BQ17" s="41">
        <f t="shared" si="109"/>
        <v>1</v>
      </c>
      <c r="BR17" s="41">
        <f t="shared" si="109"/>
        <v>1</v>
      </c>
      <c r="BS17" s="41">
        <f t="shared" si="109"/>
        <v>1</v>
      </c>
      <c r="BT17" s="41">
        <f t="shared" si="109"/>
        <v>1</v>
      </c>
      <c r="BU17" s="41">
        <f t="shared" si="109"/>
        <v>1</v>
      </c>
      <c r="BV17" s="41">
        <f t="shared" si="109"/>
        <v>1</v>
      </c>
      <c r="BW17" s="41">
        <f t="shared" si="109"/>
        <v>1</v>
      </c>
      <c r="BX17" s="41">
        <f t="shared" si="109"/>
        <v>1</v>
      </c>
      <c r="BY17" s="41">
        <f t="shared" si="109"/>
        <v>1</v>
      </c>
      <c r="BZ17" s="41">
        <f t="shared" si="109"/>
        <v>1</v>
      </c>
      <c r="CA17" s="41">
        <f t="shared" si="109"/>
        <v>1</v>
      </c>
      <c r="CB17" s="41">
        <f t="shared" si="109"/>
        <v>1</v>
      </c>
      <c r="CC17" s="41">
        <f t="shared" si="109"/>
        <v>1</v>
      </c>
      <c r="CD17" s="41">
        <f t="shared" si="109"/>
        <v>1</v>
      </c>
      <c r="CE17" s="41">
        <f t="shared" ref="CE17:CF17" si="110">CE16/CE10</f>
        <v>1</v>
      </c>
      <c r="CF17" s="41">
        <f t="shared" si="110"/>
        <v>1</v>
      </c>
      <c r="CG17" s="41">
        <f t="shared" ref="CG17:CH17" si="111">CG16/CG10</f>
        <v>1</v>
      </c>
      <c r="CH17" s="41">
        <f t="shared" si="111"/>
        <v>1</v>
      </c>
      <c r="CI17" s="41">
        <f t="shared" ref="CI17:CJ17" si="112">CI16/CI10</f>
        <v>1</v>
      </c>
      <c r="CJ17" s="41">
        <f t="shared" si="112"/>
        <v>1</v>
      </c>
      <c r="CK17" s="41">
        <f t="shared" ref="CK17:CL17" si="113">CK16/CK10</f>
        <v>1</v>
      </c>
      <c r="CL17" s="41">
        <f t="shared" si="113"/>
        <v>1</v>
      </c>
      <c r="CM17" s="42">
        <f t="shared" ref="CM17:DB17" si="114">AVERAGE(CI17:CL17)</f>
        <v>1</v>
      </c>
      <c r="CN17" s="42">
        <f t="shared" si="114"/>
        <v>1</v>
      </c>
      <c r="CO17" s="42">
        <f t="shared" si="114"/>
        <v>1</v>
      </c>
      <c r="CP17" s="42">
        <f t="shared" si="114"/>
        <v>1</v>
      </c>
      <c r="CQ17" s="42">
        <f t="shared" si="114"/>
        <v>1</v>
      </c>
      <c r="CR17" s="42">
        <f t="shared" si="114"/>
        <v>1</v>
      </c>
      <c r="CS17" s="42">
        <f t="shared" si="114"/>
        <v>1</v>
      </c>
      <c r="CT17" s="42">
        <f t="shared" si="114"/>
        <v>1</v>
      </c>
      <c r="CU17" s="42">
        <f t="shared" si="114"/>
        <v>1</v>
      </c>
      <c r="CV17" s="42">
        <f t="shared" si="114"/>
        <v>1</v>
      </c>
      <c r="CW17" s="42">
        <f t="shared" si="114"/>
        <v>1</v>
      </c>
      <c r="CX17" s="42">
        <f t="shared" si="114"/>
        <v>1</v>
      </c>
      <c r="CY17" s="42">
        <f t="shared" si="114"/>
        <v>1</v>
      </c>
      <c r="CZ17" s="42">
        <f t="shared" si="114"/>
        <v>1</v>
      </c>
      <c r="DA17" s="42">
        <f t="shared" si="114"/>
        <v>1</v>
      </c>
      <c r="DB17" s="42">
        <f t="shared" si="114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15">+IF(B16&lt;0,1-C16/B16,C16/B16-1)</f>
        <v>#DIV/0!</v>
      </c>
      <c r="D18" s="39" t="e">
        <f t="shared" si="115"/>
        <v>#DIV/0!</v>
      </c>
      <c r="E18" s="39" t="e">
        <f t="shared" si="115"/>
        <v>#DIV/0!</v>
      </c>
      <c r="F18" s="39" t="e">
        <f t="shared" si="115"/>
        <v>#DIV/0!</v>
      </c>
      <c r="G18" s="39" t="e">
        <f t="shared" si="115"/>
        <v>#DIV/0!</v>
      </c>
      <c r="H18" s="39" t="e">
        <f t="shared" si="115"/>
        <v>#DIV/0!</v>
      </c>
      <c r="I18" s="39" t="e">
        <f t="shared" si="115"/>
        <v>#DIV/0!</v>
      </c>
      <c r="J18" s="39">
        <f t="shared" si="115"/>
        <v>0.15293162601776022</v>
      </c>
      <c r="K18" s="39">
        <f t="shared" si="115"/>
        <v>-0.71150421185534918</v>
      </c>
      <c r="L18" s="39">
        <f t="shared" si="115"/>
        <v>-1.7667264354428855</v>
      </c>
      <c r="M18" s="39">
        <f t="shared" si="115"/>
        <v>3.9485001851083616</v>
      </c>
      <c r="N18" s="39">
        <f t="shared" si="115"/>
        <v>-1</v>
      </c>
      <c r="O18" s="39" t="e">
        <f t="shared" si="115"/>
        <v>#DIV/0!</v>
      </c>
      <c r="P18" s="39">
        <f t="shared" si="115"/>
        <v>0.36235968862240475</v>
      </c>
      <c r="Q18" s="39">
        <f t="shared" si="115"/>
        <v>1.0090007559024894E-3</v>
      </c>
      <c r="R18" s="39">
        <f t="shared" si="115"/>
        <v>-3.7626073659955961E-2</v>
      </c>
      <c r="S18" s="39">
        <f t="shared" si="115"/>
        <v>0.77457138931502323</v>
      </c>
      <c r="T18" s="39">
        <f t="shared" si="115"/>
        <v>-2.647128735869142E-3</v>
      </c>
      <c r="U18" s="39">
        <f t="shared" si="115"/>
        <v>-4.9822978678765284E-2</v>
      </c>
      <c r="V18" s="39">
        <f t="shared" si="115"/>
        <v>0.74391684515003642</v>
      </c>
      <c r="W18" s="39">
        <f t="shared" si="115"/>
        <v>0.81304345073610174</v>
      </c>
      <c r="X18" s="39">
        <f t="shared" si="115"/>
        <v>0.31009849357124963</v>
      </c>
      <c r="Y18" s="39">
        <f t="shared" si="115"/>
        <v>0.42314277290165037</v>
      </c>
      <c r="Z18" s="39">
        <f t="shared" si="115"/>
        <v>0.22630302241457922</v>
      </c>
      <c r="AA18" s="39">
        <f t="shared" si="115"/>
        <v>-1.9428147524262696E-2</v>
      </c>
      <c r="AB18" s="40">
        <f t="shared" si="115"/>
        <v>0.12085386424285161</v>
      </c>
      <c r="AC18" s="40">
        <f t="shared" si="115"/>
        <v>0.16821335956422656</v>
      </c>
      <c r="AD18" s="40">
        <f t="shared" si="115"/>
        <v>0.17290001427122181</v>
      </c>
      <c r="AE18" s="40">
        <f t="shared" si="115"/>
        <v>0.17374999520986334</v>
      </c>
      <c r="AM18" s="39" t="e">
        <f>+IF(AI16&lt;0,1-AM16/AI16,AM16/AI16-1)</f>
        <v>#DIV/0!</v>
      </c>
      <c r="AN18" s="39" t="e">
        <f t="shared" ref="AN18" si="116">+IF(AJ16&lt;0,1-AN16/AJ16,AN16/AJ16-1)</f>
        <v>#DIV/0!</v>
      </c>
      <c r="AO18" s="39" t="e">
        <f t="shared" ref="AO18" si="117">+IF(AK16&lt;0,1-AO16/AK16,AO16/AK16-1)</f>
        <v>#DIV/0!</v>
      </c>
      <c r="AP18" s="39" t="e">
        <f t="shared" ref="AP18" si="118">+IF(AL16&lt;0,1-AP16/AL16,AP16/AL16-1)</f>
        <v>#DIV/0!</v>
      </c>
      <c r="AQ18" s="39" t="e">
        <f t="shared" ref="AQ18" si="119">+IF(AM16&lt;0,1-AQ16/AM16,AQ16/AM16-1)</f>
        <v>#DIV/0!</v>
      </c>
      <c r="AR18" s="39" t="e">
        <f t="shared" ref="AR18" si="120">+IF(AN16&lt;0,1-AR16/AN16,AR16/AN16-1)</f>
        <v>#DIV/0!</v>
      </c>
      <c r="AS18" s="39" t="e">
        <f t="shared" ref="AS18" si="121">+IF(AO16&lt;0,1-AS16/AO16,AS16/AO16-1)</f>
        <v>#DIV/0!</v>
      </c>
      <c r="AT18" s="39" t="e">
        <f t="shared" ref="AT18" si="122">+IF(AP16&lt;0,1-AT16/AP16,AT16/AP16-1)</f>
        <v>#DIV/0!</v>
      </c>
      <c r="AU18" s="39" t="e">
        <f t="shared" ref="AU18" si="123">+IF(AQ16&lt;0,1-AU16/AQ16,AU16/AQ16-1)</f>
        <v>#DIV/0!</v>
      </c>
      <c r="AV18" s="39" t="e">
        <f t="shared" ref="AV18" si="124">+IF(AR16&lt;0,1-AV16/AR16,AV16/AR16-1)</f>
        <v>#DIV/0!</v>
      </c>
      <c r="AW18" s="39" t="e">
        <f t="shared" ref="AW18" si="125">+IF(AS16&lt;0,1-AW16/AS16,AW16/AS16-1)</f>
        <v>#DIV/0!</v>
      </c>
      <c r="AX18" s="39" t="e">
        <f t="shared" ref="AX18" si="126">+IF(AT16&lt;0,1-AX16/AT16,AX16/AT16-1)</f>
        <v>#DIV/0!</v>
      </c>
      <c r="AY18" s="39" t="e">
        <f t="shared" ref="AY18" si="127">+IF(AU16&lt;0,1-AY16/AU16,AY16/AU16-1)</f>
        <v>#DIV/0!</v>
      </c>
      <c r="AZ18" s="39" t="e">
        <f t="shared" ref="AZ18" si="128">+IF(AV16&lt;0,1-AZ16/AV16,AZ16/AV16-1)</f>
        <v>#DIV/0!</v>
      </c>
      <c r="BA18" s="39" t="e">
        <f t="shared" ref="BA18" si="129">+IF(AW16&lt;0,1-BA16/AW16,BA16/AW16-1)</f>
        <v>#DIV/0!</v>
      </c>
      <c r="BB18" s="39" t="e">
        <f t="shared" ref="BB18" si="130">+IF(AX16&lt;0,1-BB16/AX16,BB16/AX16-1)</f>
        <v>#DIV/0!</v>
      </c>
      <c r="BC18" s="39" t="e">
        <f t="shared" ref="BC18" si="131">+IF(AY16&lt;0,1-BC16/AY16,BC16/AY16-1)</f>
        <v>#DIV/0!</v>
      </c>
      <c r="BD18" s="39" t="e">
        <f t="shared" ref="BD18" si="132">+IF(AZ16&lt;0,1-BD16/AZ16,BD16/AZ16-1)</f>
        <v>#DIV/0!</v>
      </c>
      <c r="BE18" s="39" t="e">
        <f t="shared" ref="BE18" si="133">+IF(BA16&lt;0,1-BE16/BA16,BE16/BA16-1)</f>
        <v>#DIV/0!</v>
      </c>
      <c r="BF18" s="39" t="e">
        <f t="shared" ref="BF18" si="134">+IF(BB16&lt;0,1-BF16/BB16,BF16/BB16-1)</f>
        <v>#DIV/0!</v>
      </c>
      <c r="BG18" s="39" t="e">
        <f t="shared" ref="BG18" si="135">+IF(BC16&lt;0,1-BG16/BC16,BG16/BC16-1)</f>
        <v>#DIV/0!</v>
      </c>
      <c r="BH18" s="39" t="e">
        <f t="shared" ref="BH18" si="136">+IF(BD16&lt;0,1-BH16/BD16,BH16/BD16-1)</f>
        <v>#DIV/0!</v>
      </c>
      <c r="BI18" s="39" t="e">
        <f t="shared" ref="BI18" si="137">+IF(BE16&lt;0,1-BI16/BE16,BI16/BE16-1)</f>
        <v>#DIV/0!</v>
      </c>
      <c r="BJ18" s="39" t="e">
        <f t="shared" ref="BJ18" si="138">+IF(BF16&lt;0,1-BJ16/BF16,BJ16/BF16-1)</f>
        <v>#DIV/0!</v>
      </c>
      <c r="BK18" s="39" t="e">
        <f t="shared" ref="BK18" si="139">+IF(BG16&lt;0,1-BK16/BG16,BK16/BG16-1)</f>
        <v>#DIV/0!</v>
      </c>
      <c r="BL18" s="39" t="e">
        <f t="shared" ref="BL18" si="140">+IF(BH16&lt;0,1-BL16/BH16,BL16/BH16-1)</f>
        <v>#DIV/0!</v>
      </c>
      <c r="BM18" s="39" t="e">
        <f t="shared" ref="BM18" si="141">+IF(BI16&lt;0,1-BM16/BI16,BM16/BI16-1)</f>
        <v>#DIV/0!</v>
      </c>
      <c r="BN18" s="39" t="e">
        <f t="shared" ref="BN18" si="142">+IF(BJ16&lt;0,1-BN16/BJ16,BN16/BJ16-1)</f>
        <v>#DIV/0!</v>
      </c>
      <c r="BO18" s="39" t="e">
        <f t="shared" ref="BO18" si="143">+IF(BK16&lt;0,1-BO16/BK16,BO16/BK16-1)</f>
        <v>#DIV/0!</v>
      </c>
      <c r="BP18" s="39">
        <f t="shared" ref="BP18" si="144">+IF(BL16&lt;0,1-BP16/BL16,BP16/BL16-1)</f>
        <v>0.80339079723893891</v>
      </c>
      <c r="BQ18" s="39">
        <f t="shared" ref="BQ18" si="145">+IF(BM16&lt;0,1-BQ16/BM16,BQ16/BM16-1)</f>
        <v>0.71637248594366265</v>
      </c>
      <c r="BR18" s="39">
        <f t="shared" ref="BR18" si="146">+IF(BN16&lt;0,1-BR16/BN16,BR16/BN16-1)</f>
        <v>1.1198736206440367</v>
      </c>
      <c r="BS18" s="39">
        <f t="shared" ref="BS18" si="147">+IF(BO16&lt;0,1-BS16/BO16,BS16/BO16-1)</f>
        <v>0.94052612153138937</v>
      </c>
      <c r="BT18" s="39">
        <f t="shared" ref="BT18" si="148">+IF(BP16&lt;0,1-BT16/BP16,BT16/BP16-1)</f>
        <v>0.70189282083555216</v>
      </c>
      <c r="BU18" s="39">
        <f t="shared" ref="BU18" si="149">+IF(BQ16&lt;0,1-BU16/BQ16,BU16/BQ16-1)</f>
        <v>0.94697727783880326</v>
      </c>
      <c r="BV18" s="39">
        <f t="shared" ref="BV18" si="150">+IF(BR16&lt;0,1-BV16/BR16,BV16/BR16-1)</f>
        <v>0.66615028437735546</v>
      </c>
      <c r="BW18" s="39">
        <f t="shared" ref="BW18" si="151">+IF(BS16&lt;0,1-BW16/BS16,BW16/BS16-1)</f>
        <v>0.4740591525672837</v>
      </c>
      <c r="BX18" s="39">
        <f t="shared" ref="BX18" si="152">+IF(BT16&lt;0,1-BX16/BT16,BX16/BT16-1)</f>
        <v>0.41331967990290885</v>
      </c>
      <c r="BY18" s="39">
        <f t="shared" ref="BY18" si="153">+IF(BU16&lt;0,1-BY16/BU16,BY16/BU16-1)</f>
        <v>0.25326667994823548</v>
      </c>
      <c r="BZ18" s="39">
        <f t="shared" ref="BZ18" si="154">+IF(BV16&lt;0,1-BZ16/BV16,BZ16/BV16-1)</f>
        <v>0.21287762059549764</v>
      </c>
      <c r="CA18" s="39">
        <f t="shared" ref="CA18" si="155">+IF(BW16&lt;0,1-CA16/BW16,CA16/BW16-1)</f>
        <v>0.18402492668621706</v>
      </c>
      <c r="CB18" s="39">
        <f t="shared" ref="CB18" si="156">+IF(BX16&lt;0,1-CB16/BX16,CB16/BX16-1)</f>
        <v>0.40596672480880192</v>
      </c>
      <c r="CC18" s="39">
        <f t="shared" ref="CC18" si="157">+IF(BY16&lt;0,1-CC16/BY16,CC16/BY16-1)</f>
        <v>0.41470211060646545</v>
      </c>
      <c r="CD18" s="39">
        <f t="shared" ref="CD18" si="158">+IF(BZ16&lt;0,1-CD16/BZ16,CD16/BZ16-1)</f>
        <v>0.64371265461926175</v>
      </c>
      <c r="CE18" s="39">
        <f t="shared" ref="CE18" si="159">+IF(CA16&lt;0,1-CE16/CA16,CE16/CA16-1)</f>
        <v>0.74048953257255379</v>
      </c>
      <c r="CF18" s="39">
        <f t="shared" ref="CF18" si="160">+IF(CB16&lt;0,1-CF16/CB16,CF16/CB16-1)</f>
        <v>0.44551360048555777</v>
      </c>
      <c r="CG18" s="39">
        <f t="shared" ref="CG18" si="161">+IF(CC16&lt;0,1-CG16/CC16,CG16/CC16-1)</f>
        <v>0.19183302708286498</v>
      </c>
      <c r="CH18" s="39">
        <f t="shared" ref="CH18:CL18" si="162">+IF(CD16&lt;0,1-CH16/CD16,CH16/CD16-1)</f>
        <v>-0.22196148756774603</v>
      </c>
      <c r="CI18" s="39">
        <f t="shared" si="162"/>
        <v>-0.1884963862211072</v>
      </c>
      <c r="CJ18" s="39">
        <f t="shared" si="162"/>
        <v>-0.20660643055484029</v>
      </c>
      <c r="CK18" s="39">
        <f t="shared" si="162"/>
        <v>5.7589648599357002E-2</v>
      </c>
      <c r="CL18" s="39">
        <f t="shared" si="162"/>
        <v>0.38201139569304554</v>
      </c>
      <c r="CM18" s="40">
        <f t="shared" ref="CM18" si="163">+CM16/CI16-1</f>
        <v>3.1124556879113863E-2</v>
      </c>
      <c r="CN18" s="40">
        <f t="shared" ref="CN18" si="164">+CN16/CJ16-1</f>
        <v>8.6029792654169102E-2</v>
      </c>
      <c r="CO18" s="40">
        <f t="shared" ref="CO18" si="165">+CO16/CK16-1</f>
        <v>0.15918884845642123</v>
      </c>
      <c r="CP18" s="40">
        <f t="shared" ref="CP18" si="166">+CP16/CL16-1</f>
        <v>0.18458864842068756</v>
      </c>
      <c r="CQ18" s="40">
        <f t="shared" ref="CQ18" si="167">+CQ16/CM16-1</f>
        <v>0.13523296160259779</v>
      </c>
      <c r="CR18" s="40">
        <f t="shared" ref="CR18" si="168">+CR16/CN16-1</f>
        <v>0.16126006278346883</v>
      </c>
      <c r="CS18" s="40">
        <f t="shared" ref="CS18" si="169">+CS16/CO16-1</f>
        <v>0.18006763031579376</v>
      </c>
      <c r="CT18" s="40">
        <f t="shared" ref="CT18" si="170">+CT16/CP16-1</f>
        <v>0.18528732578063689</v>
      </c>
      <c r="CU18" s="40">
        <f t="shared" ref="CU18" si="171">+CU16/CQ16-1</f>
        <v>0.16546199512062443</v>
      </c>
      <c r="CV18" s="40">
        <f t="shared" ref="CV18" si="172">+CV16/CR16-1</f>
        <v>0.17301925350013114</v>
      </c>
      <c r="CW18" s="40">
        <f t="shared" ref="CW18" si="173">+CW16/CS16-1</f>
        <v>0.17595905117929656</v>
      </c>
      <c r="CX18" s="40">
        <f t="shared" ref="CX18" si="174">+CX16/CT16-1</f>
        <v>0.1749319063951722</v>
      </c>
      <c r="CY18" s="40">
        <f t="shared" ref="CY18" si="175">+CY16/CU16-1</f>
        <v>0.17234305154880603</v>
      </c>
      <c r="CZ18" s="40">
        <f t="shared" ref="CZ18" si="176">+CZ16/CV16-1</f>
        <v>0.17406331565585154</v>
      </c>
      <c r="DA18" s="40">
        <f t="shared" ref="DA18" si="177">+DA16/CW16-1</f>
        <v>0.17432433119478175</v>
      </c>
      <c r="DB18" s="40">
        <f t="shared" ref="DB18" si="178">+DB16/CX16-1</f>
        <v>0.17391565119865282</v>
      </c>
      <c r="DE18" s="122"/>
      <c r="DF18" s="39">
        <v>-1.9428147524262696E-2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79">+IF(AJ16&lt;0,1-AK16/AJ16,AK16/AJ16-1)</f>
        <v>#DIV/0!</v>
      </c>
      <c r="AL19" s="39" t="e">
        <f t="shared" ref="AL19" si="180">+IF(AK16&lt;0,1-AL16/AK16,AL16/AK16-1)</f>
        <v>#DIV/0!</v>
      </c>
      <c r="AM19" s="39" t="e">
        <f t="shared" ref="AM19" si="181">+IF(AL16&lt;0,1-AM16/AL16,AM16/AL16-1)</f>
        <v>#DIV/0!</v>
      </c>
      <c r="AN19" s="39" t="e">
        <f t="shared" ref="AN19" si="182">+IF(AM16&lt;0,1-AN16/AM16,AN16/AM16-1)</f>
        <v>#DIV/0!</v>
      </c>
      <c r="AO19" s="39" t="e">
        <f t="shared" ref="AO19" si="183">+IF(AN16&lt;0,1-AO16/AN16,AO16/AN16-1)</f>
        <v>#DIV/0!</v>
      </c>
      <c r="AP19" s="39" t="e">
        <f t="shared" ref="AP19" si="184">+IF(AO16&lt;0,1-AP16/AO16,AP16/AO16-1)</f>
        <v>#DIV/0!</v>
      </c>
      <c r="AQ19" s="39" t="e">
        <f t="shared" ref="AQ19" si="185">+IF(AP16&lt;0,1-AQ16/AP16,AQ16/AP16-1)</f>
        <v>#DIV/0!</v>
      </c>
      <c r="AR19" s="39" t="e">
        <f t="shared" ref="AR19" si="186">+IF(AQ16&lt;0,1-AR16/AQ16,AR16/AQ16-1)</f>
        <v>#DIV/0!</v>
      </c>
      <c r="AS19" s="39" t="e">
        <f t="shared" ref="AS19" si="187">+IF(AR16&lt;0,1-AS16/AR16,AS16/AR16-1)</f>
        <v>#DIV/0!</v>
      </c>
      <c r="AT19" s="39" t="e">
        <f t="shared" ref="AT19" si="188">+IF(AS16&lt;0,1-AT16/AS16,AT16/AS16-1)</f>
        <v>#DIV/0!</v>
      </c>
      <c r="AU19" s="39" t="e">
        <f t="shared" ref="AU19" si="189">+IF(AT16&lt;0,1-AU16/AT16,AU16/AT16-1)</f>
        <v>#DIV/0!</v>
      </c>
      <c r="AV19" s="39" t="e">
        <f t="shared" ref="AV19" si="190">+IF(AU16&lt;0,1-AV16/AU16,AV16/AU16-1)</f>
        <v>#DIV/0!</v>
      </c>
      <c r="AW19" s="39" t="e">
        <f t="shared" ref="AW19" si="191">+IF(AV16&lt;0,1-AW16/AV16,AW16/AV16-1)</f>
        <v>#DIV/0!</v>
      </c>
      <c r="AX19" s="39" t="e">
        <f t="shared" ref="AX19" si="192">+IF(AW16&lt;0,1-AX16/AW16,AX16/AW16-1)</f>
        <v>#DIV/0!</v>
      </c>
      <c r="AY19" s="39" t="e">
        <f t="shared" ref="AY19" si="193">+IF(AX16&lt;0,1-AY16/AX16,AY16/AX16-1)</f>
        <v>#DIV/0!</v>
      </c>
      <c r="AZ19" s="39" t="e">
        <f t="shared" ref="AZ19" si="194">+IF(AY16&lt;0,1-AZ16/AY16,AZ16/AY16-1)</f>
        <v>#DIV/0!</v>
      </c>
      <c r="BA19" s="39" t="e">
        <f t="shared" ref="BA19" si="195">+IF(AZ16&lt;0,1-BA16/AZ16,BA16/AZ16-1)</f>
        <v>#DIV/0!</v>
      </c>
      <c r="BB19" s="39" t="e">
        <f t="shared" ref="BB19" si="196">+IF(BA16&lt;0,1-BB16/BA16,BB16/BA16-1)</f>
        <v>#DIV/0!</v>
      </c>
      <c r="BC19" s="39" t="e">
        <f t="shared" ref="BC19" si="197">+IF(BB16&lt;0,1-BC16/BB16,BC16/BB16-1)</f>
        <v>#DIV/0!</v>
      </c>
      <c r="BD19" s="39" t="e">
        <f t="shared" ref="BD19" si="198">+IF(BC16&lt;0,1-BD16/BC16,BD16/BC16-1)</f>
        <v>#DIV/0!</v>
      </c>
      <c r="BE19" s="39" t="e">
        <f t="shared" ref="BE19" si="199">+IF(BD16&lt;0,1-BE16/BD16,BE16/BD16-1)</f>
        <v>#DIV/0!</v>
      </c>
      <c r="BF19" s="39" t="e">
        <f t="shared" ref="BF19" si="200">+IF(BE16&lt;0,1-BF16/BE16,BF16/BE16-1)</f>
        <v>#DIV/0!</v>
      </c>
      <c r="BG19" s="39" t="e">
        <f t="shared" ref="BG19" si="201">+IF(BF16&lt;0,1-BG16/BF16,BG16/BF16-1)</f>
        <v>#DIV/0!</v>
      </c>
      <c r="BH19" s="39" t="e">
        <f t="shared" ref="BH19" si="202">+IF(BG16&lt;0,1-BH16/BG16,BH16/BG16-1)</f>
        <v>#DIV/0!</v>
      </c>
      <c r="BI19" s="39" t="e">
        <f t="shared" ref="BI19" si="203">+IF(BH16&lt;0,1-BI16/BH16,BI16/BH16-1)</f>
        <v>#DIV/0!</v>
      </c>
      <c r="BJ19" s="39" t="e">
        <f t="shared" ref="BJ19" si="204">+IF(BI16&lt;0,1-BJ16/BI16,BJ16/BI16-1)</f>
        <v>#DIV/0!</v>
      </c>
      <c r="BK19" s="39" t="e">
        <f t="shared" ref="BK19" si="205">+IF(BJ16&lt;0,1-BK16/BJ16,BK16/BJ16-1)</f>
        <v>#DIV/0!</v>
      </c>
      <c r="BL19" s="39" t="e">
        <f t="shared" ref="BL19" si="206">+IF(BK16&lt;0,1-BL16/BK16,BL16/BK16-1)</f>
        <v>#DIV/0!</v>
      </c>
      <c r="BM19" s="39">
        <f t="shared" ref="BM19" si="207">+IF(BL16&lt;0,1-BM16/BL16,BM16/BL16-1)</f>
        <v>4.0315915678217573E-2</v>
      </c>
      <c r="BN19" s="39">
        <f t="shared" ref="BN19" si="208">+IF(BM16&lt;0,1-BN16/BM16,BN16/BM16-1)</f>
        <v>7.8368625695823591E-2</v>
      </c>
      <c r="BO19" s="39">
        <f t="shared" ref="BO19" si="209">+IF(BN16&lt;0,1-BO16/BN16,BO16/BN16-1)</f>
        <v>0.23694054048445423</v>
      </c>
      <c r="BP19" s="39">
        <f t="shared" ref="BP19" si="210">+IF(BO16&lt;0,1-BP16/BO16,BP16/BO16-1)</f>
        <v>0.29959651712914814</v>
      </c>
      <c r="BQ19" s="39">
        <f t="shared" ref="BQ19" si="211">+IF(BP16&lt;0,1-BQ16/BP16,BQ16/BP16-1)</f>
        <v>-9.8820416001033085E-3</v>
      </c>
      <c r="BR19" s="39">
        <f t="shared" ref="BR19" si="212">+IF(BQ16&lt;0,1-BR16/BQ16,BR16/BQ16-1)</f>
        <v>0.33188175740645987</v>
      </c>
      <c r="BS19" s="39">
        <f t="shared" ref="BS19" si="213">+IF(BR16&lt;0,1-BS16/BR16,BS16/BR16-1)</f>
        <v>0.13229175844077012</v>
      </c>
      <c r="BT19" s="39">
        <f t="shared" ref="BT19" si="214">+IF(BS16&lt;0,1-BT16/BS16,BT16/BS16-1)</f>
        <v>0.13978057700121904</v>
      </c>
      <c r="BU19" s="39">
        <f t="shared" ref="BU19" si="215">+IF(BT16&lt;0,1-BU16/BT16,BU16/BT16-1)</f>
        <v>0.13270186217620505</v>
      </c>
      <c r="BV19" s="39">
        <f t="shared" ref="BV19" si="216">+IF(BU16&lt;0,1-BV16/BU16,BV16/BU16-1)</f>
        <v>0.13977455932257299</v>
      </c>
      <c r="BW19" s="39">
        <f t="shared" ref="BW19" si="217">+IF(BV16&lt;0,1-BW16/BV16,BW16/BV16-1)</f>
        <v>1.7493893294595608E-3</v>
      </c>
      <c r="BX19" s="39">
        <f t="shared" ref="BX19" si="218">+IF(BW16&lt;0,1-BX16/BW16,BX16/BW16-1)</f>
        <v>9.2815249266862132E-2</v>
      </c>
      <c r="BY19" s="39">
        <f t="shared" ref="BY19" si="219">+IF(BX16&lt;0,1-BY16/BX16,BY16/BX16-1)</f>
        <v>4.4277472158862352E-3</v>
      </c>
      <c r="BZ19" s="39">
        <f t="shared" ref="BZ19" si="220">+IF(BY16&lt;0,1-BZ16/BY16,BZ16/BY16-1)</f>
        <v>0.10304301362543411</v>
      </c>
      <c r="CA19" s="39">
        <f t="shared" ref="CA19" si="221">+IF(BZ16&lt;0,1-CA16/BZ16,CA16/BZ16-1)</f>
        <v>-2.2080853733266514E-2</v>
      </c>
      <c r="CB19" s="39">
        <f t="shared" ref="CB19" si="222">+IF(CA16&lt;0,1-CB16/CA16,CB16/CA16-1)</f>
        <v>0.29766007640819558</v>
      </c>
      <c r="CC19" s="39">
        <f t="shared" ref="CC19" si="223">+IF(CB16&lt;0,1-CC16/CB16,CC16/CB16-1)</f>
        <v>1.0668338634578722E-2</v>
      </c>
      <c r="CD19" s="39">
        <f t="shared" ref="CD19" si="224">+IF(CC16&lt;0,1-CD16/CC16,CD16/CC16-1)</f>
        <v>0.28160249885274102</v>
      </c>
      <c r="CE19" s="39">
        <f t="shared" ref="CE19" si="225">+IF(CD16&lt;0,1-CE16/CD16,CE16/CD16-1)</f>
        <v>3.5496096593470972E-2</v>
      </c>
      <c r="CF19" s="39">
        <f t="shared" ref="CF19" si="226">+IF(CE16&lt;0,1-CF16/CE16,CF16/CE16-1)</f>
        <v>7.7734312186667154E-2</v>
      </c>
      <c r="CG19" s="39">
        <f t="shared" ref="CG19" si="227">+IF(CF16&lt;0,1-CG16/CF16,CG16/CF16-1)</f>
        <v>-0.16669901617871719</v>
      </c>
      <c r="CH19" s="39">
        <f t="shared" ref="CH19:CL19" si="228">+IF(CG16&lt;0,1-CH16/CG16,CH16/CG16-1)</f>
        <v>-0.16335922979291806</v>
      </c>
      <c r="CI19" s="39">
        <f t="shared" si="228"/>
        <v>8.0034999569134069E-2</v>
      </c>
      <c r="CJ19" s="39">
        <f t="shared" si="228"/>
        <v>5.3682889811850876E-2</v>
      </c>
      <c r="CK19" s="39">
        <f t="shared" si="228"/>
        <v>0.11078603179675106</v>
      </c>
      <c r="CL19" s="39">
        <f t="shared" si="228"/>
        <v>9.3285169781016641E-2</v>
      </c>
      <c r="CM19" s="40">
        <f t="shared" ref="CM19" si="229">+CM16/CL16-1</f>
        <v>-0.19418131151792117</v>
      </c>
      <c r="CN19" s="40">
        <f t="shared" ref="CN19" si="230">+CN16/CM16-1</f>
        <v>0.1097893098474314</v>
      </c>
      <c r="CO19" s="40">
        <f t="shared" ref="CO19" si="231">+CO16/CN16-1</f>
        <v>0.18561276107641289</v>
      </c>
      <c r="CP19" s="40">
        <f t="shared" ref="CP19" si="232">+CP16/CO16-1</f>
        <v>0.11724090801410458</v>
      </c>
      <c r="CQ19" s="40">
        <f t="shared" ref="CQ19" si="233">+CQ16/CP16-1</f>
        <v>-0.22775561165485858</v>
      </c>
      <c r="CR19" s="40">
        <f t="shared" ref="CR19" si="234">+CR16/CQ16-1</f>
        <v>0.13523307305183296</v>
      </c>
      <c r="CS19" s="40">
        <f t="shared" ref="CS19" si="235">+CS16/CR16-1</f>
        <v>0.20481474070678329</v>
      </c>
      <c r="CT19" s="40">
        <f t="shared" ref="CT19" si="236">+CT16/CS16-1</f>
        <v>0.1221827072388979</v>
      </c>
      <c r="CU19" s="40">
        <f t="shared" ref="CU19" si="237">+CU16/CT16-1</f>
        <v>-0.24067231127382926</v>
      </c>
      <c r="CV19" s="40">
        <f t="shared" ref="CV19" si="238">+CV16/CU16-1</f>
        <v>0.14259431665302502</v>
      </c>
      <c r="CW19" s="40">
        <f t="shared" ref="CW19" si="239">+CW16/CV16-1</f>
        <v>0.20783422360784032</v>
      </c>
      <c r="CX19" s="40">
        <f t="shared" ref="CX19" si="240">+CX16/CW16-1</f>
        <v>0.12120253355562283</v>
      </c>
      <c r="CY19" s="40">
        <f t="shared" ref="CY19" si="241">+CY16/CX16-1</f>
        <v>-0.24234542029081907</v>
      </c>
      <c r="CZ19" s="40">
        <f t="shared" ref="CZ19" si="242">+CZ16/CY16-1</f>
        <v>0.14427092828070132</v>
      </c>
      <c r="DA19" s="40">
        <f t="shared" ref="DA19" si="243">+DA16/CZ16-1</f>
        <v>0.20810274703124465</v>
      </c>
      <c r="DB19" s="40">
        <f t="shared" ref="DB19" si="244">+DB16/DA16-1</f>
        <v>0.12081234062944279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101.6144427</v>
      </c>
      <c r="P20" s="23">
        <f>'Annual Raw'!Q14</f>
        <v>89.921456899999995</v>
      </c>
      <c r="Q20" s="23">
        <f>'Annual Raw'!R14</f>
        <v>111.5763973</v>
      </c>
      <c r="R20" s="23">
        <f>'Annual Raw'!S14</f>
        <v>135.1411095</v>
      </c>
      <c r="S20" s="23">
        <f>'Annual Raw'!T14</f>
        <v>123.8736608</v>
      </c>
      <c r="T20" s="23">
        <f>'Annual Raw'!U14</f>
        <v>161.73500000000001</v>
      </c>
      <c r="U20" s="23">
        <f>'Annual Raw'!V14</f>
        <v>159.803</v>
      </c>
      <c r="V20" s="23">
        <f>'Annual Raw'!W14</f>
        <v>171.845</v>
      </c>
      <c r="W20" s="23">
        <f>'Annual Raw'!X14</f>
        <v>280.899</v>
      </c>
      <c r="X20" s="23">
        <f>'Annual Raw'!Y14</f>
        <v>397.90199999999999</v>
      </c>
      <c r="Y20" s="23">
        <f>'Annual Raw'!Z14</f>
        <v>556.46199999999999</v>
      </c>
      <c r="Z20" s="23">
        <f>'Annual Raw'!AA14</f>
        <v>855.2</v>
      </c>
      <c r="AA20" s="23">
        <f>'Annual Raw'!AB14</f>
        <v>1067.0450000000001</v>
      </c>
      <c r="AB20" s="76">
        <f t="shared" ref="AB20:AB25" si="245">+SUM(CM20:CP20)</f>
        <v>1141.7381500000001</v>
      </c>
      <c r="AC20" s="76">
        <f t="shared" ref="AC20:AC25" si="246">+SUM(CQ20:CT20)</f>
        <v>1221.6598205000003</v>
      </c>
      <c r="AD20" s="76">
        <f t="shared" ref="AD20:AD25" si="247">+SUM(CU20:CX20)</f>
        <v>1307.1760079350004</v>
      </c>
      <c r="AE20" s="76">
        <f t="shared" ref="AE20:AE25" si="248">+SUM(CY20:DB20)</f>
        <v>1398.6783284904504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42.4</v>
      </c>
      <c r="BM20" s="23">
        <f>'QTR Raw'!AG16</f>
        <v>36.82</v>
      </c>
      <c r="BN20" s="23">
        <f>'QTR Raw'!AH16</f>
        <v>35.914999999999999</v>
      </c>
      <c r="BO20" s="23">
        <f>'QTR Raw'!AI16</f>
        <v>37.31</v>
      </c>
      <c r="BP20" s="23">
        <f>'QTR Raw'!AJ16</f>
        <v>39.719000000000001</v>
      </c>
      <c r="BQ20" s="23">
        <f>'QTR Raw'!AK16</f>
        <v>44.475000000000001</v>
      </c>
      <c r="BR20" s="23">
        <f>'QTR Raw'!AL16</f>
        <v>50.341000000000001</v>
      </c>
      <c r="BS20" s="23">
        <f>'QTR Raw'!AM16</f>
        <v>59.243000000000002</v>
      </c>
      <c r="BT20" s="23">
        <f>'QTR Raw'!AN16</f>
        <v>68.819999999999993</v>
      </c>
      <c r="BU20" s="23">
        <f>'QTR Raw'!AO16</f>
        <v>77.965999999999994</v>
      </c>
      <c r="BV20" s="23">
        <f>'QTR Raw'!AP16</f>
        <v>74.87</v>
      </c>
      <c r="BW20" s="23">
        <f>'QTR Raw'!AQ16</f>
        <v>101.6</v>
      </c>
      <c r="BX20" s="23">
        <f>'QTR Raw'!AR16</f>
        <v>109.5</v>
      </c>
      <c r="BY20" s="23">
        <f>'QTR Raw'!AS16</f>
        <v>111.4</v>
      </c>
      <c r="BZ20" s="23">
        <f>'QTR Raw'!AT16</f>
        <v>75.456000000000003</v>
      </c>
      <c r="CA20" s="23">
        <f>'QTR Raw'!AU16</f>
        <v>123.199</v>
      </c>
      <c r="CB20" s="23">
        <f>'QTR Raw'!AV16</f>
        <v>132.92599999999999</v>
      </c>
      <c r="CC20" s="23">
        <f>'QTR Raw'!AW16</f>
        <v>141.59200000000001</v>
      </c>
      <c r="CD20" s="23">
        <f>'QTR Raw'!AX16</f>
        <v>158.745</v>
      </c>
      <c r="CE20" s="23">
        <f>'QTR Raw'!AY16</f>
        <v>200.96700000000001</v>
      </c>
      <c r="CF20" s="23">
        <f>'QTR Raw'!AZ16</f>
        <v>230.24299999999999</v>
      </c>
      <c r="CG20" s="23">
        <f>'QTR Raw'!BA16</f>
        <v>237.322</v>
      </c>
      <c r="CH20" s="23">
        <f>'QTR Raw'!BB16</f>
        <v>186.66800000000001</v>
      </c>
      <c r="CI20" s="23">
        <f>'QTR Raw'!BC16</f>
        <v>273.92200000000003</v>
      </c>
      <c r="CJ20" s="23">
        <f>'QTR Raw'!BD16</f>
        <v>274.46699999999998</v>
      </c>
      <c r="CK20" s="23">
        <f>'QTR Raw'!BE16</f>
        <v>274.315</v>
      </c>
      <c r="CL20" s="23">
        <f>'QTR Raw'!BF16</f>
        <v>244.34100000000001</v>
      </c>
      <c r="CM20" s="24">
        <f t="shared" ref="CM20:DB20" si="249">CI20*107%</f>
        <v>293.09654000000006</v>
      </c>
      <c r="CN20" s="24">
        <f t="shared" si="249"/>
        <v>293.67968999999999</v>
      </c>
      <c r="CO20" s="24">
        <f t="shared" si="249"/>
        <v>293.51705000000004</v>
      </c>
      <c r="CP20" s="24">
        <f t="shared" si="249"/>
        <v>261.44487000000004</v>
      </c>
      <c r="CQ20" s="24">
        <f t="shared" si="249"/>
        <v>313.61329780000011</v>
      </c>
      <c r="CR20" s="24">
        <f t="shared" si="249"/>
        <v>314.23726830000004</v>
      </c>
      <c r="CS20" s="24">
        <f t="shared" si="249"/>
        <v>314.06324350000006</v>
      </c>
      <c r="CT20" s="24">
        <f t="shared" si="249"/>
        <v>279.74601090000004</v>
      </c>
      <c r="CU20" s="24">
        <f t="shared" si="249"/>
        <v>335.56622864600013</v>
      </c>
      <c r="CV20" s="24">
        <f t="shared" si="249"/>
        <v>336.23387708100006</v>
      </c>
      <c r="CW20" s="24">
        <f t="shared" si="249"/>
        <v>336.04767054500007</v>
      </c>
      <c r="CX20" s="24">
        <f t="shared" si="249"/>
        <v>299.32823166300005</v>
      </c>
      <c r="CY20" s="24">
        <f t="shared" si="249"/>
        <v>359.05586465122013</v>
      </c>
      <c r="CZ20" s="24">
        <f t="shared" si="249"/>
        <v>359.77024847667008</v>
      </c>
      <c r="DA20" s="24">
        <f t="shared" si="249"/>
        <v>359.57100748315008</v>
      </c>
      <c r="DB20" s="24">
        <f t="shared" si="249"/>
        <v>320.28120787941009</v>
      </c>
      <c r="DE20" s="123"/>
      <c r="DF20" s="23">
        <v>1067.0450000000001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29.8401125</v>
      </c>
      <c r="J21" s="23">
        <f>'Annual Raw'!K17</f>
        <v>37.6259747</v>
      </c>
      <c r="K21" s="23">
        <f>'Annual Raw'!L17</f>
        <v>8.8798223000000007</v>
      </c>
      <c r="L21" s="23">
        <f>'Annual Raw'!M17</f>
        <v>0</v>
      </c>
      <c r="M21" s="23">
        <f>'Annual Raw'!N17</f>
        <v>4.5850030999999998</v>
      </c>
      <c r="N21" s="23">
        <f>'Annual Raw'!O17</f>
        <v>0</v>
      </c>
      <c r="O21" s="23">
        <f>'Annual Raw'!P17</f>
        <v>36.966380700000002</v>
      </c>
      <c r="P21" s="23">
        <f>'Annual Raw'!Q17</f>
        <v>37.140002699999997</v>
      </c>
      <c r="Q21" s="23">
        <f>'Annual Raw'!R17</f>
        <v>38.970021199999998</v>
      </c>
      <c r="R21" s="23">
        <f>'Annual Raw'!S17</f>
        <v>40.3764149</v>
      </c>
      <c r="S21" s="23">
        <f>'Annual Raw'!T17</f>
        <v>46.054680099999999</v>
      </c>
      <c r="T21" s="23">
        <f>'Annual Raw'!U17</f>
        <v>46.551000000000002</v>
      </c>
      <c r="U21" s="23">
        <f>'Annual Raw'!V17</f>
        <v>47.423000000000002</v>
      </c>
      <c r="V21" s="23">
        <f>'Annual Raw'!W17</f>
        <v>57.259</v>
      </c>
      <c r="W21" s="23">
        <f>'Annual Raw'!X17</f>
        <v>89.58</v>
      </c>
      <c r="X21" s="23">
        <f>'Annual Raw'!Y17</f>
        <v>79.084999999999994</v>
      </c>
      <c r="Y21" s="23">
        <f>'Annual Raw'!Z17</f>
        <v>106.03700000000001</v>
      </c>
      <c r="Z21" s="23">
        <f>'Annual Raw'!AA17</f>
        <v>158.78800000000001</v>
      </c>
      <c r="AA21" s="23">
        <f>'Annual Raw'!AB17</f>
        <v>117.971</v>
      </c>
      <c r="AB21" s="76">
        <f t="shared" si="245"/>
        <v>0</v>
      </c>
      <c r="AC21" s="76">
        <f t="shared" si="246"/>
        <v>0</v>
      </c>
      <c r="AD21" s="76">
        <f t="shared" si="247"/>
        <v>0</v>
      </c>
      <c r="AE21" s="76">
        <f t="shared" si="248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54.616999999999997</v>
      </c>
      <c r="BM21" s="23">
        <f>'QTR Raw'!AG17</f>
        <v>57.036000000000001</v>
      </c>
      <c r="BN21" s="23">
        <f>'QTR Raw'!AH17</f>
        <v>62.719000000000001</v>
      </c>
      <c r="BO21" s="23">
        <f>'QTR Raw'!AI17</f>
        <v>76.494</v>
      </c>
      <c r="BP21" s="23">
        <f>'QTR Raw'!AJ17</f>
        <v>91.924999999999997</v>
      </c>
      <c r="BQ21" s="23">
        <f>'QTR Raw'!AK17</f>
        <v>88.072000000000003</v>
      </c>
      <c r="BR21" s="23">
        <f>'QTR Raw'!AL17</f>
        <v>106.48699999999999</v>
      </c>
      <c r="BS21" s="23">
        <f>'QTR Raw'!AM17</f>
        <v>117.41200000000001</v>
      </c>
      <c r="BT21" s="23">
        <f>'QTR Raw'!AN17</f>
        <v>132.274</v>
      </c>
      <c r="BU21" s="23">
        <f>'QTR Raw'!AO17</f>
        <v>144.13</v>
      </c>
      <c r="BV21" s="23">
        <f>'QTR Raw'!AP17</f>
        <v>156.42699999999999</v>
      </c>
      <c r="BW21" s="23">
        <f>'QTR Raw'!AQ17</f>
        <v>151.6</v>
      </c>
      <c r="BX21" s="23">
        <f>'QTR Raw'!AR17</f>
        <v>162.69999999999999</v>
      </c>
      <c r="BY21" s="23">
        <f>'QTR Raw'!AS17</f>
        <v>159.19999999999999</v>
      </c>
      <c r="BZ21" s="23">
        <f>'QTR Raw'!AT17</f>
        <v>167.154</v>
      </c>
      <c r="CA21" s="23">
        <f>'QTR Raw'!AU17</f>
        <v>164.15799999999999</v>
      </c>
      <c r="CB21" s="23">
        <f>'QTR Raw'!AV17</f>
        <v>207.09299999999999</v>
      </c>
      <c r="CC21" s="23">
        <f>'QTR Raw'!AW17</f>
        <v>197.649</v>
      </c>
      <c r="CD21" s="23">
        <f>'QTR Raw'!AX17</f>
        <v>241.78800000000001</v>
      </c>
      <c r="CE21" s="23">
        <f>'QTR Raw'!AY17</f>
        <v>241.101</v>
      </c>
      <c r="CF21" s="23">
        <f>'QTR Raw'!AZ17</f>
        <v>242.18899999999999</v>
      </c>
      <c r="CG21" s="23">
        <f>'QTR Raw'!BA17</f>
        <v>194.57599999999999</v>
      </c>
      <c r="CH21" s="23">
        <f>'QTR Raw'!BB17</f>
        <v>146.773</v>
      </c>
      <c r="CI21" s="23">
        <f>'QTR Raw'!BC17</f>
        <v>168.92099999999999</v>
      </c>
      <c r="CJ21" s="23">
        <f>'QTR Raw'!BD17</f>
        <v>170.02</v>
      </c>
      <c r="CK21" s="23">
        <f>'QTR Raw'!BE17</f>
        <v>182.464</v>
      </c>
      <c r="CL21" s="23">
        <f>'QTR Raw'!BF17</f>
        <v>198.83500000000001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117.971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13.8197042</v>
      </c>
      <c r="P22" s="23">
        <f>'Annual Raw'!Q19-'Annual Raw'!Q20</f>
        <v>15.004307499999999</v>
      </c>
      <c r="Q22" s="23">
        <f>'Annual Raw'!R19-'Annual Raw'!R20</f>
        <v>14.5962269</v>
      </c>
      <c r="R22" s="23">
        <f>'Annual Raw'!S19-'Annual Raw'!S20</f>
        <v>10.3882254</v>
      </c>
      <c r="S22" s="23">
        <f>'Annual Raw'!T19-'Annual Raw'!T20</f>
        <v>16.377677899999998</v>
      </c>
      <c r="T22" s="23">
        <f>'Annual Raw'!U19-'Annual Raw'!U20</f>
        <v>27.091000000000001</v>
      </c>
      <c r="U22" s="23">
        <f>'Annual Raw'!V19-'Annual Raw'!V20</f>
        <v>45.808999999999997</v>
      </c>
      <c r="V22" s="23">
        <f>'Annual Raw'!W19-'Annual Raw'!W20</f>
        <v>41.982999999999997</v>
      </c>
      <c r="W22" s="23">
        <f>'Annual Raw'!X19-'Annual Raw'!X20</f>
        <v>14.374000000000001</v>
      </c>
      <c r="X22" s="23">
        <f>'Annual Raw'!Y19-'Annual Raw'!Y20</f>
        <v>43.46</v>
      </c>
      <c r="Y22" s="23">
        <f>'Annual Raw'!Z19-'Annual Raw'!Z20</f>
        <v>96.718000000000004</v>
      </c>
      <c r="Z22" s="23">
        <f>'Annual Raw'!AA19-'Annual Raw'!AA20</f>
        <v>61.15</v>
      </c>
      <c r="AA22" s="23">
        <f>'Annual Raw'!AB19-'Annual Raw'!AB20</f>
        <v>67.281000000000006</v>
      </c>
      <c r="AB22" s="76">
        <f t="shared" si="245"/>
        <v>0</v>
      </c>
      <c r="AC22" s="76">
        <f t="shared" si="246"/>
        <v>0</v>
      </c>
      <c r="AD22" s="76">
        <f t="shared" si="247"/>
        <v>0</v>
      </c>
      <c r="AE22" s="76">
        <f t="shared" si="248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3.9209999999999998</v>
      </c>
      <c r="BM22" s="23">
        <f>+'QTR Raw'!AG21</f>
        <v>3.6760000000000002</v>
      </c>
      <c r="BN22" s="23">
        <f>+'QTR Raw'!AH21</f>
        <v>9.5129999999999999</v>
      </c>
      <c r="BO22" s="23">
        <f>+'QTR Raw'!AI21</f>
        <v>18.977</v>
      </c>
      <c r="BP22" s="23">
        <f>+'QTR Raw'!AJ21</f>
        <v>7.3650000000000002</v>
      </c>
      <c r="BQ22" s="23">
        <f>+'QTR Raw'!AK21</f>
        <v>4.109</v>
      </c>
      <c r="BR22" s="23">
        <f>+'QTR Raw'!AL21</f>
        <v>4.1529999999999996</v>
      </c>
      <c r="BS22" s="23">
        <f>+'QTR Raw'!AM21</f>
        <v>2.9140000000000001</v>
      </c>
      <c r="BT22" s="23">
        <f>+'QTR Raw'!AN21</f>
        <v>1.41</v>
      </c>
      <c r="BU22" s="23">
        <f>+'QTR Raw'!AO21</f>
        <v>0.95599999999999996</v>
      </c>
      <c r="BV22" s="23">
        <f>+'QTR Raw'!AP21</f>
        <v>0.52300000000000002</v>
      </c>
      <c r="BW22" s="23">
        <f>+'QTR Raw'!AQ21</f>
        <v>1.5</v>
      </c>
      <c r="BX22" s="23">
        <f>+'QTR Raw'!AR21</f>
        <v>0.4</v>
      </c>
      <c r="BY22" s="23">
        <f>+'QTR Raw'!AS21</f>
        <v>0.3</v>
      </c>
      <c r="BZ22" s="23">
        <f>+'QTR Raw'!AT21</f>
        <v>1.423</v>
      </c>
      <c r="CA22" s="23">
        <f>+'QTR Raw'!AU21</f>
        <v>1.7709999999999999</v>
      </c>
      <c r="CB22" s="23">
        <f>+'QTR Raw'!AV21</f>
        <v>1.9370000000000001</v>
      </c>
      <c r="CC22" s="23">
        <f>+'QTR Raw'!AW21</f>
        <v>2.0699999999999998</v>
      </c>
      <c r="CD22" s="23">
        <f>+'QTR Raw'!AX21</f>
        <v>3.0830000000000002</v>
      </c>
      <c r="CE22" s="23">
        <f>+'QTR Raw'!AY21</f>
        <v>3.278</v>
      </c>
      <c r="CF22" s="23">
        <f>+'QTR Raw'!AZ21</f>
        <v>-0.89300000000000002</v>
      </c>
      <c r="CG22" s="23">
        <f>+'QTR Raw'!BA21</f>
        <v>-1.9E-2</v>
      </c>
      <c r="CH22" s="23">
        <f>+'QTR Raw'!BB21</f>
        <v>9.9000000000000005E-2</v>
      </c>
      <c r="CI22" s="23">
        <f>+'QTR Raw'!BC21</f>
        <v>-0.496</v>
      </c>
      <c r="CJ22" s="23">
        <f>+'QTR Raw'!BD21</f>
        <v>-0.80800000000000005</v>
      </c>
      <c r="CK22" s="23">
        <f>+'QTR Raw'!BE21</f>
        <v>1.7090000000000001</v>
      </c>
      <c r="CL22" s="23">
        <f>+'QTR Raw'!BF21</f>
        <v>2.71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67.281000000000006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28.6707903</v>
      </c>
      <c r="P23" s="23">
        <f>'Annual Raw'!Q15+'Annual Raw'!Q16</f>
        <v>28.7363143</v>
      </c>
      <c r="Q23" s="23">
        <f>'Annual Raw'!R15+'Annual Raw'!R16</f>
        <v>29.951238400000001</v>
      </c>
      <c r="R23" s="23">
        <f>'Annual Raw'!S15+'Annual Raw'!S16</f>
        <v>35.960922099999998</v>
      </c>
      <c r="S23" s="23">
        <f>'Annual Raw'!T15+'Annual Raw'!T16</f>
        <v>34.469125300000002</v>
      </c>
      <c r="T23" s="23">
        <f>'Annual Raw'!U15+'Annual Raw'!U16</f>
        <v>32.984999999999999</v>
      </c>
      <c r="U23" s="23">
        <f>'Annual Raw'!V15+'Annual Raw'!V16</f>
        <v>29.143000000000001</v>
      </c>
      <c r="V23" s="23">
        <f>'Annual Raw'!W15+'Annual Raw'!W16</f>
        <v>63.180999999999997</v>
      </c>
      <c r="W23" s="23">
        <f>'Annual Raw'!X15+'Annual Raw'!X16</f>
        <v>128.01900000000001</v>
      </c>
      <c r="X23" s="23">
        <f>'Annual Raw'!Y15+'Annual Raw'!Y16</f>
        <v>168.88200000000001</v>
      </c>
      <c r="Y23" s="23">
        <f>'Annual Raw'!Z15+'Annual Raw'!Z16</f>
        <v>268.69799999999998</v>
      </c>
      <c r="Z23" s="23">
        <f>'Annual Raw'!AA15+'Annual Raw'!AA16</f>
        <v>464.01600000000002</v>
      </c>
      <c r="AA23" s="23">
        <f>'Annual Raw'!AB15+'Annual Raw'!AB16</f>
        <v>524.38499999999999</v>
      </c>
      <c r="AB23" s="76">
        <f t="shared" si="245"/>
        <v>2469.1653340771618</v>
      </c>
      <c r="AC23" s="76">
        <f t="shared" si="246"/>
        <v>2977.0273941526825</v>
      </c>
      <c r="AD23" s="76">
        <f t="shared" si="247"/>
        <v>3614.0101174372221</v>
      </c>
      <c r="AE23" s="76">
        <f t="shared" si="248"/>
        <v>4377.029173451685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33.561</v>
      </c>
      <c r="BM23" s="23">
        <f>'QTR Raw'!AG14</f>
        <v>35.380000000000003</v>
      </c>
      <c r="BN23" s="23">
        <f>'QTR Raw'!AH14</f>
        <v>31.943999999999999</v>
      </c>
      <c r="BO23" s="23">
        <f>'QTR Raw'!AI14</f>
        <v>36.039000000000001</v>
      </c>
      <c r="BP23" s="23">
        <f>'QTR Raw'!AJ14</f>
        <v>60.277000000000001</v>
      </c>
      <c r="BQ23" s="23">
        <f>'QTR Raw'!AK14</f>
        <v>64.02</v>
      </c>
      <c r="BR23" s="23">
        <f>'QTR Raw'!AL14</f>
        <v>100.758</v>
      </c>
      <c r="BS23" s="23">
        <f>'QTR Raw'!AM14</f>
        <v>112.2</v>
      </c>
      <c r="BT23" s="23">
        <f>'QTR Raw'!AN14</f>
        <v>131.77699999999999</v>
      </c>
      <c r="BU23" s="23">
        <f>'QTR Raw'!AO14</f>
        <v>138.316</v>
      </c>
      <c r="BV23" s="23">
        <f>'QTR Raw'!AP14</f>
        <v>152.608</v>
      </c>
      <c r="BW23" s="23">
        <f>'QTR Raw'!AQ14</f>
        <v>160.9</v>
      </c>
      <c r="BX23" s="23">
        <f>'QTR Raw'!AR14</f>
        <v>156.30000000000001</v>
      </c>
      <c r="BY23" s="23">
        <f>'QTR Raw'!AS14</f>
        <v>153.4</v>
      </c>
      <c r="BZ23" s="23">
        <f>'QTR Raw'!AT14</f>
        <v>195.977</v>
      </c>
      <c r="CA23" s="23">
        <f>'QTR Raw'!AU14</f>
        <v>197.98599999999999</v>
      </c>
      <c r="CB23" s="23">
        <f>'QTR Raw'!AV14</f>
        <v>262.57100000000003</v>
      </c>
      <c r="CC23" s="23">
        <f>'QTR Raw'!AW14</f>
        <v>319.79599999999999</v>
      </c>
      <c r="CD23" s="23">
        <f>'QTR Raw'!AX14</f>
        <v>423.80799999999999</v>
      </c>
      <c r="CE23" s="23">
        <f>'QTR Raw'!AY14</f>
        <v>489.70600000000002</v>
      </c>
      <c r="CF23" s="23">
        <f>'QTR Raw'!AZ14</f>
        <v>371.33100000000002</v>
      </c>
      <c r="CG23" s="23">
        <f>'QTR Raw'!BA14</f>
        <v>334.40199999999999</v>
      </c>
      <c r="CH23" s="23">
        <f>'QTR Raw'!BB14</f>
        <v>379.75200000000001</v>
      </c>
      <c r="CI23" s="23">
        <f>'QTR Raw'!BC14</f>
        <v>423.512</v>
      </c>
      <c r="CJ23" s="23">
        <f>'QTR Raw'!BD14</f>
        <v>342.67500000000001</v>
      </c>
      <c r="CK23" s="23">
        <f>'QTR Raw'!BE14</f>
        <v>347.07100000000003</v>
      </c>
      <c r="CL23" s="23">
        <f>'QTR Raw'!BF14</f>
        <v>414.94099999999997</v>
      </c>
      <c r="CM23" s="24">
        <f t="shared" ref="CM23:DB23" si="250">CM26-CM20-CM21-CM22-CM24-CM25</f>
        <v>473.32521021503459</v>
      </c>
      <c r="CN23" s="24">
        <f t="shared" si="250"/>
        <v>521.82131545729453</v>
      </c>
      <c r="CO23" s="24">
        <f t="shared" si="250"/>
        <v>661.93897638968076</v>
      </c>
      <c r="CP23" s="24">
        <f t="shared" si="250"/>
        <v>812.07983201515208</v>
      </c>
      <c r="CQ23" s="24">
        <f t="shared" si="250"/>
        <v>525.79658627689673</v>
      </c>
      <c r="CR23" s="24">
        <f t="shared" si="250"/>
        <v>629.98778474871733</v>
      </c>
      <c r="CS23" s="24">
        <f t="shared" si="250"/>
        <v>822.71455953984946</v>
      </c>
      <c r="CT23" s="24">
        <f t="shared" si="250"/>
        <v>998.52846358721899</v>
      </c>
      <c r="CU23" s="24">
        <f t="shared" si="250"/>
        <v>636.17144991790724</v>
      </c>
      <c r="CV23" s="24">
        <f t="shared" si="250"/>
        <v>772.19346303033478</v>
      </c>
      <c r="CW23" s="24">
        <f t="shared" si="250"/>
        <v>1003.0003890148621</v>
      </c>
      <c r="CX23" s="24">
        <f t="shared" si="250"/>
        <v>1202.6448154741181</v>
      </c>
      <c r="CY23" s="24">
        <f t="shared" si="250"/>
        <v>778.93748232485768</v>
      </c>
      <c r="CZ23" s="24">
        <f t="shared" si="250"/>
        <v>942.0544340770964</v>
      </c>
      <c r="DA23" s="24">
        <f t="shared" si="250"/>
        <v>1213.3061424463408</v>
      </c>
      <c r="DB23" s="24">
        <f t="shared" si="250"/>
        <v>1442.7311146033903</v>
      </c>
      <c r="DE23" s="123"/>
      <c r="DF23" s="23">
        <v>524.38499999999999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8.0475671999999996</v>
      </c>
      <c r="P24" s="23">
        <f>'Annual Raw'!Q13</f>
        <v>6.9052154000000003</v>
      </c>
      <c r="Q24" s="23">
        <f>'Annual Raw'!R13</f>
        <v>7.3698090000000001</v>
      </c>
      <c r="R24" s="23">
        <f>'Annual Raw'!S13</f>
        <v>6.4418082999999999</v>
      </c>
      <c r="S24" s="23">
        <f>'Annual Raw'!T13</f>
        <v>5.650798</v>
      </c>
      <c r="T24" s="23">
        <f>'Annual Raw'!U13</f>
        <v>4.7409999999999997</v>
      </c>
      <c r="U24" s="23">
        <f>'Annual Raw'!V13</f>
        <v>4.726</v>
      </c>
      <c r="V24" s="23">
        <f>'Annual Raw'!W13</f>
        <v>1.788</v>
      </c>
      <c r="W24" s="23">
        <f>'Annual Raw'!X13</f>
        <v>1.637</v>
      </c>
      <c r="X24" s="23">
        <f>'Annual Raw'!Y13</f>
        <v>1.385</v>
      </c>
      <c r="Y24" s="23">
        <f>'Annual Raw'!Z13</f>
        <v>1.343</v>
      </c>
      <c r="Z24" s="23">
        <f>'Annual Raw'!AA13</f>
        <v>1.923</v>
      </c>
      <c r="AA24" s="23">
        <f>'Annual Raw'!AB13</f>
        <v>1.58</v>
      </c>
      <c r="AB24" s="76">
        <f t="shared" si="245"/>
        <v>0</v>
      </c>
      <c r="AC24" s="76">
        <f t="shared" si="246"/>
        <v>0</v>
      </c>
      <c r="AD24" s="76">
        <f t="shared" si="247"/>
        <v>0</v>
      </c>
      <c r="AE24" s="76">
        <f t="shared" si="248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1.58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112.17749430000001</v>
      </c>
      <c r="P25" s="23">
        <f>'Annual Raw'!Q18</f>
        <v>161.06263569999999</v>
      </c>
      <c r="Q25" s="23">
        <f>'Annual Raw'!R18</f>
        <v>159.1365874</v>
      </c>
      <c r="R25" s="23">
        <f>'Annual Raw'!S18</f>
        <v>208.7166307</v>
      </c>
      <c r="S25" s="23">
        <f>'Annual Raw'!T18</f>
        <v>289.92944879999999</v>
      </c>
      <c r="T25" s="23">
        <f>'Annual Raw'!U18</f>
        <v>301.84399999999999</v>
      </c>
      <c r="U25" s="23">
        <f>'Annual Raw'!V18</f>
        <v>278.16300000000001</v>
      </c>
      <c r="V25" s="23">
        <f>'Annual Raw'!W18</f>
        <v>491.08300000000003</v>
      </c>
      <c r="W25" s="23">
        <f>'Annual Raw'!X18</f>
        <v>851.27200000000005</v>
      </c>
      <c r="X25" s="23">
        <f>'Annual Raw'!Y18</f>
        <v>1018.5069999999999</v>
      </c>
      <c r="Y25" s="23">
        <f>'Annual Raw'!Z18</f>
        <v>1550.173</v>
      </c>
      <c r="Z25" s="23">
        <f>'Annual Raw'!AA18</f>
        <v>1715.3340000000001</v>
      </c>
      <c r="AA25" s="23">
        <f>'Annual Raw'!AB18</f>
        <v>1539.395</v>
      </c>
      <c r="AB25" s="76">
        <f t="shared" si="245"/>
        <v>0</v>
      </c>
      <c r="AC25" s="76">
        <f t="shared" si="246"/>
        <v>0</v>
      </c>
      <c r="AD25" s="76">
        <f t="shared" si="247"/>
        <v>0</v>
      </c>
      <c r="AE25" s="76">
        <f t="shared" si="248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1539.395</v>
      </c>
    </row>
    <row r="26" spans="1:110" s="22" customFormat="1" x14ac:dyDescent="0.2">
      <c r="A26" s="33" t="s">
        <v>348</v>
      </c>
      <c r="B26" s="22">
        <f t="shared" ref="B26:E26" si="251">+SUM(B20:B25)</f>
        <v>0</v>
      </c>
      <c r="C26" s="22">
        <f t="shared" si="251"/>
        <v>0</v>
      </c>
      <c r="D26" s="22">
        <f t="shared" si="251"/>
        <v>0</v>
      </c>
      <c r="E26" s="22">
        <f t="shared" si="251"/>
        <v>0</v>
      </c>
      <c r="F26" s="22">
        <f t="shared" ref="F26:AE26" si="252">+SUM(F20:F25)</f>
        <v>0</v>
      </c>
      <c r="G26" s="22">
        <f t="shared" si="252"/>
        <v>0</v>
      </c>
      <c r="H26" s="22">
        <f t="shared" si="252"/>
        <v>0</v>
      </c>
      <c r="I26" s="22">
        <f t="shared" si="252"/>
        <v>29.8401125</v>
      </c>
      <c r="J26" s="22">
        <f t="shared" si="252"/>
        <v>37.6259747</v>
      </c>
      <c r="K26" s="22">
        <f t="shared" si="252"/>
        <v>8.8798223000000007</v>
      </c>
      <c r="L26" s="22">
        <f t="shared" si="252"/>
        <v>0</v>
      </c>
      <c r="M26" s="22">
        <f t="shared" si="252"/>
        <v>4.5850030999999998</v>
      </c>
      <c r="N26" s="22">
        <f t="shared" si="252"/>
        <v>0</v>
      </c>
      <c r="O26" s="22">
        <f t="shared" si="252"/>
        <v>301.29637939999998</v>
      </c>
      <c r="P26" s="22">
        <f t="shared" si="252"/>
        <v>338.76993249999998</v>
      </c>
      <c r="Q26" s="22">
        <f t="shared" si="252"/>
        <v>361.60028019999999</v>
      </c>
      <c r="R26" s="22">
        <f t="shared" si="252"/>
        <v>437.02511090000002</v>
      </c>
      <c r="S26" s="22">
        <f t="shared" si="252"/>
        <v>516.35539089999997</v>
      </c>
      <c r="T26" s="22">
        <f t="shared" si="252"/>
        <v>574.947</v>
      </c>
      <c r="U26" s="22">
        <f t="shared" si="252"/>
        <v>565.06700000000001</v>
      </c>
      <c r="V26" s="22">
        <f t="shared" si="252"/>
        <v>827.13900000000001</v>
      </c>
      <c r="W26" s="22">
        <f t="shared" si="252"/>
        <v>1365.7809999999999</v>
      </c>
      <c r="X26" s="22">
        <f t="shared" si="252"/>
        <v>1709.221</v>
      </c>
      <c r="Y26" s="22">
        <f t="shared" si="252"/>
        <v>2579.431</v>
      </c>
      <c r="Z26" s="22">
        <f t="shared" ref="Z26:AA26" si="253">+SUM(Z20:Z25)</f>
        <v>3256.4110000000001</v>
      </c>
      <c r="AA26" s="22">
        <f t="shared" ref="AA26" si="254">+SUM(AA20:AA25)</f>
        <v>3317.6570000000002</v>
      </c>
      <c r="AB26" s="21">
        <f t="shared" si="252"/>
        <v>3610.9034840771619</v>
      </c>
      <c r="AC26" s="21">
        <f t="shared" si="252"/>
        <v>4198.687214652683</v>
      </c>
      <c r="AD26" s="21">
        <f t="shared" si="252"/>
        <v>4921.1861253722227</v>
      </c>
      <c r="AE26" s="21">
        <f t="shared" si="252"/>
        <v>5775.7075019421354</v>
      </c>
      <c r="AI26" s="22">
        <f t="shared" ref="AI26:BN26" si="255">+SUM(AI20:AI25)</f>
        <v>0</v>
      </c>
      <c r="AJ26" s="22">
        <f t="shared" si="255"/>
        <v>0</v>
      </c>
      <c r="AK26" s="22">
        <f t="shared" si="255"/>
        <v>0</v>
      </c>
      <c r="AL26" s="22">
        <f t="shared" si="255"/>
        <v>0</v>
      </c>
      <c r="AM26" s="22">
        <f t="shared" si="255"/>
        <v>0</v>
      </c>
      <c r="AN26" s="22">
        <f t="shared" si="255"/>
        <v>0</v>
      </c>
      <c r="AO26" s="22">
        <f t="shared" si="255"/>
        <v>0</v>
      </c>
      <c r="AP26" s="22">
        <f t="shared" si="255"/>
        <v>0</v>
      </c>
      <c r="AQ26" s="22">
        <f t="shared" si="255"/>
        <v>0</v>
      </c>
      <c r="AR26" s="22">
        <f t="shared" si="255"/>
        <v>0</v>
      </c>
      <c r="AS26" s="22">
        <f t="shared" si="255"/>
        <v>0</v>
      </c>
      <c r="AT26" s="22">
        <f t="shared" si="255"/>
        <v>0</v>
      </c>
      <c r="AU26" s="22">
        <f t="shared" si="255"/>
        <v>0</v>
      </c>
      <c r="AV26" s="22">
        <f t="shared" si="255"/>
        <v>0</v>
      </c>
      <c r="AW26" s="22">
        <f t="shared" si="255"/>
        <v>0</v>
      </c>
      <c r="AX26" s="22">
        <f t="shared" si="255"/>
        <v>0</v>
      </c>
      <c r="AY26" s="22">
        <f t="shared" si="255"/>
        <v>0</v>
      </c>
      <c r="AZ26" s="22">
        <f t="shared" si="255"/>
        <v>0</v>
      </c>
      <c r="BA26" s="22">
        <f t="shared" si="255"/>
        <v>0</v>
      </c>
      <c r="BB26" s="22">
        <f t="shared" si="255"/>
        <v>0</v>
      </c>
      <c r="BC26" s="22">
        <f t="shared" si="255"/>
        <v>0</v>
      </c>
      <c r="BD26" s="22">
        <f t="shared" si="255"/>
        <v>0</v>
      </c>
      <c r="BE26" s="22">
        <f t="shared" si="255"/>
        <v>0</v>
      </c>
      <c r="BF26" s="22">
        <f t="shared" si="255"/>
        <v>0</v>
      </c>
      <c r="BG26" s="22">
        <f t="shared" si="255"/>
        <v>0</v>
      </c>
      <c r="BH26" s="22">
        <f t="shared" si="255"/>
        <v>0</v>
      </c>
      <c r="BI26" s="22">
        <f t="shared" si="255"/>
        <v>0</v>
      </c>
      <c r="BJ26" s="22">
        <f t="shared" si="255"/>
        <v>0</v>
      </c>
      <c r="BK26" s="22">
        <f t="shared" si="255"/>
        <v>0</v>
      </c>
      <c r="BL26" s="22">
        <f t="shared" si="255"/>
        <v>134.499</v>
      </c>
      <c r="BM26" s="22">
        <f t="shared" si="255"/>
        <v>132.91200000000001</v>
      </c>
      <c r="BN26" s="22">
        <f t="shared" si="255"/>
        <v>140.09100000000001</v>
      </c>
      <c r="BO26" s="22">
        <f t="shared" ref="BO26:CH26" si="256">+SUM(BO20:BO25)</f>
        <v>168.82</v>
      </c>
      <c r="BP26" s="22">
        <f t="shared" si="256"/>
        <v>199.286</v>
      </c>
      <c r="BQ26" s="22">
        <f t="shared" si="256"/>
        <v>200.67599999999999</v>
      </c>
      <c r="BR26" s="22">
        <f t="shared" si="256"/>
        <v>261.73899999999998</v>
      </c>
      <c r="BS26" s="22">
        <f t="shared" si="256"/>
        <v>291.76900000000001</v>
      </c>
      <c r="BT26" s="22">
        <f t="shared" si="256"/>
        <v>334.28099999999995</v>
      </c>
      <c r="BU26" s="22">
        <f t="shared" si="256"/>
        <v>361.36799999999999</v>
      </c>
      <c r="BV26" s="22">
        <f t="shared" si="256"/>
        <v>384.428</v>
      </c>
      <c r="BW26" s="22">
        <f t="shared" si="256"/>
        <v>415.6</v>
      </c>
      <c r="BX26" s="22">
        <f t="shared" si="256"/>
        <v>428.9</v>
      </c>
      <c r="BY26" s="22">
        <f t="shared" si="256"/>
        <v>424.30000000000007</v>
      </c>
      <c r="BZ26" s="22">
        <f t="shared" si="256"/>
        <v>440.01</v>
      </c>
      <c r="CA26" s="22">
        <f t="shared" si="256"/>
        <v>487.11399999999998</v>
      </c>
      <c r="CB26" s="22">
        <f t="shared" si="256"/>
        <v>604.52700000000004</v>
      </c>
      <c r="CC26" s="22">
        <f t="shared" si="256"/>
        <v>661.10699999999997</v>
      </c>
      <c r="CD26" s="22">
        <f t="shared" si="256"/>
        <v>827.42399999999998</v>
      </c>
      <c r="CE26" s="22">
        <f t="shared" si="256"/>
        <v>935.05200000000002</v>
      </c>
      <c r="CF26" s="22">
        <f t="shared" si="256"/>
        <v>842.87000000000012</v>
      </c>
      <c r="CG26" s="22">
        <f t="shared" si="256"/>
        <v>766.28099999999995</v>
      </c>
      <c r="CH26" s="22">
        <f t="shared" si="256"/>
        <v>713.29200000000003</v>
      </c>
      <c r="CI26" s="22">
        <f t="shared" ref="CI26:CJ26" si="257">+SUM(CI20:CI25)</f>
        <v>865.85900000000004</v>
      </c>
      <c r="CJ26" s="22">
        <f t="shared" si="257"/>
        <v>786.35400000000004</v>
      </c>
      <c r="CK26" s="22">
        <f t="shared" ref="CK26:CL26" si="258">+SUM(CK20:CK25)</f>
        <v>805.55899999999997</v>
      </c>
      <c r="CL26" s="22">
        <f t="shared" si="258"/>
        <v>860.827</v>
      </c>
      <c r="CM26" s="21">
        <f t="shared" ref="CM26:DB26" si="259">CM27*CM10</f>
        <v>766.42175021503465</v>
      </c>
      <c r="CN26" s="21">
        <f t="shared" si="259"/>
        <v>815.50100545729447</v>
      </c>
      <c r="CO26" s="21">
        <f t="shared" si="259"/>
        <v>955.4560263896808</v>
      </c>
      <c r="CP26" s="21">
        <f t="shared" si="259"/>
        <v>1073.5247020151521</v>
      </c>
      <c r="CQ26" s="21">
        <f t="shared" si="259"/>
        <v>839.4098840768969</v>
      </c>
      <c r="CR26" s="21">
        <f t="shared" si="259"/>
        <v>944.22505304871731</v>
      </c>
      <c r="CS26" s="21">
        <f t="shared" si="259"/>
        <v>1136.7778030398495</v>
      </c>
      <c r="CT26" s="21">
        <f t="shared" si="259"/>
        <v>1278.2744744872191</v>
      </c>
      <c r="CU26" s="21">
        <f t="shared" si="259"/>
        <v>971.73767856390737</v>
      </c>
      <c r="CV26" s="21">
        <f t="shared" si="259"/>
        <v>1108.4273401113348</v>
      </c>
      <c r="CW26" s="21">
        <f t="shared" si="259"/>
        <v>1339.0480595598622</v>
      </c>
      <c r="CX26" s="21">
        <f t="shared" si="259"/>
        <v>1501.9730471371181</v>
      </c>
      <c r="CY26" s="21">
        <f t="shared" si="259"/>
        <v>1137.9933469760779</v>
      </c>
      <c r="CZ26" s="21">
        <f t="shared" si="259"/>
        <v>1301.8246825537665</v>
      </c>
      <c r="DA26" s="21">
        <f t="shared" si="259"/>
        <v>1572.877149929491</v>
      </c>
      <c r="DB26" s="21">
        <f t="shared" si="259"/>
        <v>1763.0123224828005</v>
      </c>
      <c r="DE26" s="126"/>
      <c r="DF26" s="22">
        <v>3317.6570000000002</v>
      </c>
    </row>
    <row r="27" spans="1:110" s="44" customFormat="1" x14ac:dyDescent="0.2">
      <c r="A27" s="43" t="s">
        <v>349</v>
      </c>
      <c r="B27" s="44" t="e">
        <f t="shared" ref="B27:E27" si="260">B26/B10</f>
        <v>#DIV/0!</v>
      </c>
      <c r="C27" s="44" t="e">
        <f t="shared" si="260"/>
        <v>#DIV/0!</v>
      </c>
      <c r="D27" s="44" t="e">
        <f t="shared" si="260"/>
        <v>#DIV/0!</v>
      </c>
      <c r="E27" s="44" t="e">
        <f t="shared" si="260"/>
        <v>#DIV/0!</v>
      </c>
      <c r="F27" s="44" t="e">
        <f t="shared" ref="F27:AE27" si="261">F26/F10</f>
        <v>#DIV/0!</v>
      </c>
      <c r="G27" s="44" t="e">
        <f t="shared" si="261"/>
        <v>#DIV/0!</v>
      </c>
      <c r="H27" s="44" t="e">
        <f t="shared" si="261"/>
        <v>#DIV/0!</v>
      </c>
      <c r="I27" s="44">
        <f t="shared" si="261"/>
        <v>3.2911041811423969</v>
      </c>
      <c r="J27" s="44">
        <f t="shared" si="261"/>
        <v>3.5354783413515749</v>
      </c>
      <c r="K27" s="44">
        <f t="shared" si="261"/>
        <v>0.34929538865790005</v>
      </c>
      <c r="L27" s="44">
        <f t="shared" si="261"/>
        <v>0</v>
      </c>
      <c r="M27" s="44">
        <f t="shared" si="261"/>
        <v>0.16826378679506329</v>
      </c>
      <c r="N27" s="44" t="e">
        <f t="shared" si="261"/>
        <v>#DIV/0!</v>
      </c>
      <c r="O27" s="44">
        <f t="shared" si="261"/>
        <v>0.91770195132881283</v>
      </c>
      <c r="P27" s="44">
        <f t="shared" si="261"/>
        <v>0.75739217729324715</v>
      </c>
      <c r="Q27" s="44">
        <f t="shared" si="261"/>
        <v>0.80761938276636736</v>
      </c>
      <c r="R27" s="44">
        <f t="shared" si="261"/>
        <v>1.0142394960649468</v>
      </c>
      <c r="S27" s="44">
        <f t="shared" si="261"/>
        <v>0.67510853022813722</v>
      </c>
      <c r="T27" s="44">
        <f t="shared" si="261"/>
        <v>0.75391020429571742</v>
      </c>
      <c r="U27" s="44">
        <f t="shared" si="261"/>
        <v>0.77980718275961047</v>
      </c>
      <c r="V27" s="44">
        <f t="shared" si="261"/>
        <v>0.65454575669233761</v>
      </c>
      <c r="W27" s="44">
        <f t="shared" si="261"/>
        <v>0.59612092632666902</v>
      </c>
      <c r="X27" s="44">
        <f t="shared" si="261"/>
        <v>0.56943947947501072</v>
      </c>
      <c r="Y27" s="44">
        <f t="shared" si="261"/>
        <v>0.60384405775333572</v>
      </c>
      <c r="Z27" s="44">
        <f t="shared" ref="Z27:AA27" si="262">Z26/Z10</f>
        <v>0.62164478744283302</v>
      </c>
      <c r="AA27" s="44">
        <f t="shared" ref="AA27" si="263">AA26/AA10</f>
        <v>0.64588491975344819</v>
      </c>
      <c r="AB27" s="52">
        <f t="shared" si="261"/>
        <v>0.62717761260881133</v>
      </c>
      <c r="AC27" s="52">
        <f t="shared" si="261"/>
        <v>0.62426073802505389</v>
      </c>
      <c r="AD27" s="52">
        <f t="shared" si="261"/>
        <v>0.62382287825871463</v>
      </c>
      <c r="AE27" s="52">
        <f t="shared" si="261"/>
        <v>0.62376513287556123</v>
      </c>
      <c r="AI27" s="44" t="e">
        <f t="shared" ref="AI27:BN27" si="264">AI26/AI10</f>
        <v>#DIV/0!</v>
      </c>
      <c r="AJ27" s="44" t="e">
        <f t="shared" si="264"/>
        <v>#DIV/0!</v>
      </c>
      <c r="AK27" s="44" t="e">
        <f t="shared" si="264"/>
        <v>#DIV/0!</v>
      </c>
      <c r="AL27" s="44" t="e">
        <f t="shared" si="264"/>
        <v>#DIV/0!</v>
      </c>
      <c r="AM27" s="44" t="e">
        <f t="shared" si="264"/>
        <v>#DIV/0!</v>
      </c>
      <c r="AN27" s="44" t="e">
        <f t="shared" si="264"/>
        <v>#DIV/0!</v>
      </c>
      <c r="AO27" s="44" t="e">
        <f t="shared" si="264"/>
        <v>#DIV/0!</v>
      </c>
      <c r="AP27" s="44" t="e">
        <f t="shared" si="264"/>
        <v>#DIV/0!</v>
      </c>
      <c r="AQ27" s="44" t="e">
        <f t="shared" si="264"/>
        <v>#DIV/0!</v>
      </c>
      <c r="AR27" s="44" t="e">
        <f t="shared" si="264"/>
        <v>#DIV/0!</v>
      </c>
      <c r="AS27" s="44" t="e">
        <f t="shared" si="264"/>
        <v>#DIV/0!</v>
      </c>
      <c r="AT27" s="44" t="e">
        <f t="shared" si="264"/>
        <v>#DIV/0!</v>
      </c>
      <c r="AU27" s="44" t="e">
        <f t="shared" si="264"/>
        <v>#DIV/0!</v>
      </c>
      <c r="AV27" s="44" t="e">
        <f t="shared" si="264"/>
        <v>#DIV/0!</v>
      </c>
      <c r="AW27" s="44" t="e">
        <f t="shared" si="264"/>
        <v>#DIV/0!</v>
      </c>
      <c r="AX27" s="44" t="e">
        <f t="shared" si="264"/>
        <v>#DIV/0!</v>
      </c>
      <c r="AY27" s="44" t="e">
        <f t="shared" si="264"/>
        <v>#DIV/0!</v>
      </c>
      <c r="AZ27" s="44" t="e">
        <f t="shared" si="264"/>
        <v>#DIV/0!</v>
      </c>
      <c r="BA27" s="44" t="e">
        <f t="shared" si="264"/>
        <v>#DIV/0!</v>
      </c>
      <c r="BB27" s="44" t="e">
        <f t="shared" si="264"/>
        <v>#DIV/0!</v>
      </c>
      <c r="BC27" s="44" t="e">
        <f t="shared" si="264"/>
        <v>#DIV/0!</v>
      </c>
      <c r="BD27" s="44" t="e">
        <f t="shared" si="264"/>
        <v>#DIV/0!</v>
      </c>
      <c r="BE27" s="44" t="e">
        <f t="shared" si="264"/>
        <v>#DIV/0!</v>
      </c>
      <c r="BF27" s="44" t="e">
        <f t="shared" si="264"/>
        <v>#DIV/0!</v>
      </c>
      <c r="BG27" s="44" t="e">
        <f t="shared" si="264"/>
        <v>#DIV/0!</v>
      </c>
      <c r="BH27" s="44" t="e">
        <f t="shared" si="264"/>
        <v>#DIV/0!</v>
      </c>
      <c r="BI27" s="44" t="e">
        <f t="shared" si="264"/>
        <v>#DIV/0!</v>
      </c>
      <c r="BJ27" s="44" t="e">
        <f t="shared" si="264"/>
        <v>#DIV/0!</v>
      </c>
      <c r="BK27" s="44" t="e">
        <f t="shared" si="264"/>
        <v>#DIV/0!</v>
      </c>
      <c r="BL27" s="44">
        <f t="shared" si="264"/>
        <v>0.78279924105739784</v>
      </c>
      <c r="BM27" s="44">
        <f t="shared" si="264"/>
        <v>0.74358443592827772</v>
      </c>
      <c r="BN27" s="44">
        <f t="shared" si="264"/>
        <v>0.72679024450981322</v>
      </c>
      <c r="BO27" s="44">
        <f t="shared" ref="BO27:CH27" si="265">BO26/BO10</f>
        <v>0.7080663020501291</v>
      </c>
      <c r="BP27" s="44">
        <f t="shared" si="265"/>
        <v>0.64315889690339023</v>
      </c>
      <c r="BQ27" s="44">
        <f t="shared" si="265"/>
        <v>0.65410879648492626</v>
      </c>
      <c r="BR27" s="44">
        <f t="shared" si="265"/>
        <v>0.64055632237917626</v>
      </c>
      <c r="BS27" s="44">
        <f t="shared" si="265"/>
        <v>0.63062282241261558</v>
      </c>
      <c r="BT27" s="44">
        <f t="shared" si="265"/>
        <v>0.6339003299579018</v>
      </c>
      <c r="BU27" s="44">
        <f t="shared" si="265"/>
        <v>0.60498326689758741</v>
      </c>
      <c r="BV27" s="44">
        <f t="shared" si="265"/>
        <v>0.56466351061751541</v>
      </c>
      <c r="BW27" s="44">
        <f t="shared" si="265"/>
        <v>0.60938416422287389</v>
      </c>
      <c r="BX27" s="44">
        <f t="shared" si="265"/>
        <v>0.57547296390715152</v>
      </c>
      <c r="BY27" s="44">
        <f t="shared" si="265"/>
        <v>0.56679134384183816</v>
      </c>
      <c r="BZ27" s="44">
        <f t="shared" si="265"/>
        <v>0.53286877920115094</v>
      </c>
      <c r="CA27" s="44">
        <f t="shared" si="265"/>
        <v>0.60323341651135287</v>
      </c>
      <c r="CB27" s="44">
        <f t="shared" si="265"/>
        <v>0.57691195542945817</v>
      </c>
      <c r="CC27" s="44">
        <f t="shared" si="265"/>
        <v>0.62424767196136899</v>
      </c>
      <c r="CD27" s="44">
        <f t="shared" si="265"/>
        <v>0.60962103507319065</v>
      </c>
      <c r="CE27" s="44">
        <f t="shared" si="265"/>
        <v>0.66530245742656824</v>
      </c>
      <c r="CF27" s="44">
        <f t="shared" si="265"/>
        <v>0.55645782085764506</v>
      </c>
      <c r="CG27" s="44">
        <f t="shared" si="265"/>
        <v>0.60709662289673794</v>
      </c>
      <c r="CH27" s="44">
        <f t="shared" si="265"/>
        <v>0.6754575937985613</v>
      </c>
      <c r="CI27" s="44">
        <f t="shared" ref="CI27:CJ27" si="266">CI26/CI10</f>
        <v>0.75917182435199049</v>
      </c>
      <c r="CJ27" s="44">
        <f t="shared" si="266"/>
        <v>0.65433639717813408</v>
      </c>
      <c r="CK27" s="44">
        <f t="shared" ref="CK27:CL27" si="267">CK26/CK10</f>
        <v>0.60346199254473754</v>
      </c>
      <c r="CL27" s="44">
        <f t="shared" si="267"/>
        <v>0.5898410466609384</v>
      </c>
      <c r="CM27" s="52">
        <f t="shared" ref="CM27:CT27" si="268">AVERAGE(CI27:CL27)</f>
        <v>0.65170281518395023</v>
      </c>
      <c r="CN27" s="52">
        <f t="shared" si="268"/>
        <v>0.62483556289194009</v>
      </c>
      <c r="CO27" s="52">
        <f t="shared" si="268"/>
        <v>0.61746035432039159</v>
      </c>
      <c r="CP27" s="52">
        <f t="shared" si="268"/>
        <v>0.62095994476430505</v>
      </c>
      <c r="CQ27" s="52">
        <f t="shared" si="268"/>
        <v>0.6287396692901468</v>
      </c>
      <c r="CR27" s="52">
        <f t="shared" si="268"/>
        <v>0.62299888281669591</v>
      </c>
      <c r="CS27" s="52">
        <f t="shared" si="268"/>
        <v>0.62253971279788489</v>
      </c>
      <c r="CT27" s="52">
        <f t="shared" si="268"/>
        <v>0.62380955241725822</v>
      </c>
      <c r="CU27" s="52">
        <f>AVERAGE(CQ27:CT27)</f>
        <v>0.62452195433049651</v>
      </c>
      <c r="CV27" s="52">
        <f t="shared" ref="CV27:DB27" si="269">AVERAGE(CR27:CU27)</f>
        <v>0.62346752559058394</v>
      </c>
      <c r="CW27" s="52">
        <f t="shared" si="269"/>
        <v>0.62358468628405594</v>
      </c>
      <c r="CX27" s="52">
        <f t="shared" si="269"/>
        <v>0.62384592965559871</v>
      </c>
      <c r="CY27" s="52">
        <f t="shared" si="269"/>
        <v>0.62385502396518377</v>
      </c>
      <c r="CZ27" s="52">
        <f t="shared" si="269"/>
        <v>0.62368829137385562</v>
      </c>
      <c r="DA27" s="52">
        <f t="shared" si="269"/>
        <v>0.62374348281967351</v>
      </c>
      <c r="DB27" s="52">
        <f t="shared" si="269"/>
        <v>0.62378318195357796</v>
      </c>
      <c r="DE27" s="128"/>
      <c r="DF27" s="44">
        <v>0.64588491975344819</v>
      </c>
    </row>
    <row r="28" spans="1:110" s="26" customFormat="1" x14ac:dyDescent="0.2">
      <c r="A28" s="34" t="s">
        <v>13</v>
      </c>
      <c r="B28" s="26">
        <f t="shared" ref="B28:E28" si="270">B16-B26</f>
        <v>0</v>
      </c>
      <c r="C28" s="26">
        <f t="shared" si="270"/>
        <v>0</v>
      </c>
      <c r="D28" s="26">
        <f t="shared" si="270"/>
        <v>0</v>
      </c>
      <c r="E28" s="26">
        <f t="shared" si="270"/>
        <v>0</v>
      </c>
      <c r="F28" s="26">
        <f t="shared" ref="F28:AE28" si="271">F16-F26</f>
        <v>0</v>
      </c>
      <c r="G28" s="26">
        <f t="shared" si="271"/>
        <v>0</v>
      </c>
      <c r="H28" s="26">
        <f t="shared" si="271"/>
        <v>0</v>
      </c>
      <c r="I28" s="26">
        <f t="shared" si="271"/>
        <v>6.3978982000000038</v>
      </c>
      <c r="J28" s="26">
        <f t="shared" si="271"/>
        <v>4.1539738999999969</v>
      </c>
      <c r="K28" s="26">
        <f t="shared" si="271"/>
        <v>3.1735168999999992</v>
      </c>
      <c r="L28" s="26">
        <f t="shared" si="271"/>
        <v>-9.2416138000000032</v>
      </c>
      <c r="M28" s="26">
        <f t="shared" si="271"/>
        <v>22.663896899999997</v>
      </c>
      <c r="N28" s="26">
        <f t="shared" si="271"/>
        <v>0</v>
      </c>
      <c r="O28" s="26">
        <f t="shared" si="271"/>
        <v>27.019779200000016</v>
      </c>
      <c r="P28" s="26">
        <f t="shared" si="271"/>
        <v>108.51476710000003</v>
      </c>
      <c r="Q28" s="26">
        <f t="shared" si="271"/>
        <v>86.135730000000024</v>
      </c>
      <c r="R28" s="26">
        <f t="shared" si="271"/>
        <v>-6.1356488000000127</v>
      </c>
      <c r="S28" s="26">
        <f t="shared" si="271"/>
        <v>248.28872050000007</v>
      </c>
      <c r="T28" s="26">
        <f t="shared" si="271"/>
        <v>187.673</v>
      </c>
      <c r="U28" s="26">
        <f t="shared" si="271"/>
        <v>159.55700000000002</v>
      </c>
      <c r="V28" s="26">
        <f t="shared" si="271"/>
        <v>436.54499999999996</v>
      </c>
      <c r="W28" s="26">
        <f t="shared" si="271"/>
        <v>925.33300000000008</v>
      </c>
      <c r="X28" s="26">
        <f t="shared" si="271"/>
        <v>1292.364</v>
      </c>
      <c r="Y28" s="26">
        <f t="shared" si="271"/>
        <v>1692.2530000000002</v>
      </c>
      <c r="Z28" s="26">
        <f t="shared" ref="Z28:AA28" si="272">Z16-Z26</f>
        <v>1981.9679999999998</v>
      </c>
      <c r="AA28" s="26">
        <f t="shared" ref="AA28" si="273">AA16-AA26</f>
        <v>1818.9499999999998</v>
      </c>
      <c r="AB28" s="27">
        <f t="shared" si="271"/>
        <v>2146.4823209697188</v>
      </c>
      <c r="AC28" s="27">
        <f t="shared" si="271"/>
        <v>2527.1677989685231</v>
      </c>
      <c r="AD28" s="27">
        <f t="shared" si="271"/>
        <v>2967.5693160902592</v>
      </c>
      <c r="AE28" s="27">
        <f t="shared" si="271"/>
        <v>3483.7191596862358</v>
      </c>
      <c r="AI28" s="26">
        <f t="shared" ref="AI28:BN28" si="274">AI16-AI26</f>
        <v>0</v>
      </c>
      <c r="AJ28" s="26">
        <f t="shared" si="274"/>
        <v>0</v>
      </c>
      <c r="AK28" s="26">
        <f t="shared" si="274"/>
        <v>0</v>
      </c>
      <c r="AL28" s="26">
        <f t="shared" si="274"/>
        <v>0</v>
      </c>
      <c r="AM28" s="26">
        <f t="shared" si="274"/>
        <v>0</v>
      </c>
      <c r="AN28" s="26">
        <f t="shared" si="274"/>
        <v>0</v>
      </c>
      <c r="AO28" s="26">
        <f t="shared" si="274"/>
        <v>0</v>
      </c>
      <c r="AP28" s="26">
        <f t="shared" si="274"/>
        <v>0</v>
      </c>
      <c r="AQ28" s="26">
        <f t="shared" si="274"/>
        <v>0</v>
      </c>
      <c r="AR28" s="26">
        <f t="shared" si="274"/>
        <v>0</v>
      </c>
      <c r="AS28" s="26">
        <f t="shared" si="274"/>
        <v>0</v>
      </c>
      <c r="AT28" s="26">
        <f t="shared" si="274"/>
        <v>0</v>
      </c>
      <c r="AU28" s="26">
        <f t="shared" si="274"/>
        <v>0</v>
      </c>
      <c r="AV28" s="26">
        <f t="shared" si="274"/>
        <v>0</v>
      </c>
      <c r="AW28" s="26">
        <f t="shared" si="274"/>
        <v>0</v>
      </c>
      <c r="AX28" s="26">
        <f t="shared" si="274"/>
        <v>0</v>
      </c>
      <c r="AY28" s="26">
        <f t="shared" si="274"/>
        <v>0</v>
      </c>
      <c r="AZ28" s="26">
        <f t="shared" si="274"/>
        <v>0</v>
      </c>
      <c r="BA28" s="26">
        <f t="shared" si="274"/>
        <v>0</v>
      </c>
      <c r="BB28" s="26">
        <f t="shared" si="274"/>
        <v>0</v>
      </c>
      <c r="BC28" s="26">
        <f t="shared" si="274"/>
        <v>0</v>
      </c>
      <c r="BD28" s="26">
        <f t="shared" si="274"/>
        <v>0</v>
      </c>
      <c r="BE28" s="26">
        <f t="shared" si="274"/>
        <v>0</v>
      </c>
      <c r="BF28" s="26">
        <f t="shared" si="274"/>
        <v>0</v>
      </c>
      <c r="BG28" s="26">
        <f t="shared" si="274"/>
        <v>0</v>
      </c>
      <c r="BH28" s="26">
        <f t="shared" si="274"/>
        <v>0</v>
      </c>
      <c r="BI28" s="26">
        <f t="shared" si="274"/>
        <v>0</v>
      </c>
      <c r="BJ28" s="26">
        <f t="shared" si="274"/>
        <v>0</v>
      </c>
      <c r="BK28" s="26">
        <f t="shared" si="274"/>
        <v>0</v>
      </c>
      <c r="BL28" s="26">
        <f t="shared" si="274"/>
        <v>37.319000000000017</v>
      </c>
      <c r="BM28" s="26">
        <f t="shared" si="274"/>
        <v>45.832999999999998</v>
      </c>
      <c r="BN28" s="26">
        <f t="shared" si="274"/>
        <v>52.661999999999978</v>
      </c>
      <c r="BO28" s="26">
        <f t="shared" ref="BO28:CT28" si="275">BO16-BO26</f>
        <v>69.604000000000013</v>
      </c>
      <c r="BP28" s="26">
        <f t="shared" si="275"/>
        <v>110.56900000000002</v>
      </c>
      <c r="BQ28" s="26">
        <f t="shared" si="275"/>
        <v>106.11700000000002</v>
      </c>
      <c r="BR28" s="26">
        <f t="shared" si="275"/>
        <v>146.87300000000005</v>
      </c>
      <c r="BS28" s="26">
        <f t="shared" si="275"/>
        <v>170.899</v>
      </c>
      <c r="BT28" s="26">
        <f t="shared" si="275"/>
        <v>193.05900000000008</v>
      </c>
      <c r="BU28" s="26">
        <f t="shared" si="275"/>
        <v>235.95099999999996</v>
      </c>
      <c r="BV28" s="26">
        <f t="shared" si="275"/>
        <v>296.38099999999997</v>
      </c>
      <c r="BW28" s="26">
        <f t="shared" si="275"/>
        <v>266.39999999999998</v>
      </c>
      <c r="BX28" s="26">
        <f t="shared" si="275"/>
        <v>316.39999999999998</v>
      </c>
      <c r="BY28" s="26">
        <f t="shared" si="275"/>
        <v>324.29999999999995</v>
      </c>
      <c r="BZ28" s="26">
        <f t="shared" si="275"/>
        <v>385.72800000000007</v>
      </c>
      <c r="CA28" s="26">
        <f t="shared" si="275"/>
        <v>320.39100000000002</v>
      </c>
      <c r="CB28" s="26">
        <f t="shared" si="275"/>
        <v>443.33999999999992</v>
      </c>
      <c r="CC28" s="26">
        <f t="shared" si="275"/>
        <v>397.93900000000008</v>
      </c>
      <c r="CD28" s="26">
        <f t="shared" si="275"/>
        <v>529.85200000000009</v>
      </c>
      <c r="CE28" s="26">
        <f t="shared" si="275"/>
        <v>470.40199999999993</v>
      </c>
      <c r="CF28" s="26">
        <f t="shared" si="275"/>
        <v>671.83599999999979</v>
      </c>
      <c r="CG28" s="26">
        <f t="shared" si="275"/>
        <v>495.92499999999995</v>
      </c>
      <c r="CH28" s="26">
        <f t="shared" si="275"/>
        <v>342.72099999999989</v>
      </c>
      <c r="CI28" s="26">
        <f t="shared" ref="CI28:CJ28" si="276">CI16-CI26</f>
        <v>274.67199999999991</v>
      </c>
      <c r="CJ28" s="26">
        <f t="shared" si="276"/>
        <v>415.404</v>
      </c>
      <c r="CK28" s="26">
        <f t="shared" ref="CK28:CL28" si="277">CK16-CK26</f>
        <v>529.33699999999999</v>
      </c>
      <c r="CL28" s="26">
        <f t="shared" si="277"/>
        <v>598.59500000000003</v>
      </c>
      <c r="CM28" s="27">
        <f t="shared" si="275"/>
        <v>409.60777176685781</v>
      </c>
      <c r="CN28" s="27">
        <f t="shared" si="275"/>
        <v>489.64398610319449</v>
      </c>
      <c r="CO28" s="27">
        <f t="shared" si="275"/>
        <v>591.94053065940216</v>
      </c>
      <c r="CP28" s="27">
        <f t="shared" si="275"/>
        <v>655.29003244026444</v>
      </c>
      <c r="CQ28" s="27">
        <f t="shared" si="275"/>
        <v>495.65759309469433</v>
      </c>
      <c r="CR28" s="27">
        <f t="shared" si="275"/>
        <v>571.38770179234609</v>
      </c>
      <c r="CS28" s="27">
        <f t="shared" si="275"/>
        <v>689.25478519588</v>
      </c>
      <c r="CT28" s="27">
        <f t="shared" si="275"/>
        <v>770.86771888560338</v>
      </c>
      <c r="CU28" s="27">
        <f t="shared" ref="CU28:DB28" si="278">CU16-CU26</f>
        <v>584.23272700115399</v>
      </c>
      <c r="CV28" s="27">
        <f t="shared" si="278"/>
        <v>669.41560216760649</v>
      </c>
      <c r="CW28" s="27">
        <f t="shared" si="278"/>
        <v>808.29149032430155</v>
      </c>
      <c r="CX28" s="27">
        <f t="shared" si="278"/>
        <v>905.62949659719698</v>
      </c>
      <c r="CY28" s="27">
        <f t="shared" si="278"/>
        <v>686.13774640369957</v>
      </c>
      <c r="CZ28" s="27">
        <f t="shared" si="278"/>
        <v>785.47549697360205</v>
      </c>
      <c r="DA28" s="27">
        <f t="shared" si="278"/>
        <v>948.79593083633313</v>
      </c>
      <c r="DB28" s="27">
        <f t="shared" si="278"/>
        <v>1063.3099854726008</v>
      </c>
      <c r="DE28" s="121"/>
      <c r="DF28" s="26">
        <v>1818.9499999999998</v>
      </c>
    </row>
    <row r="29" spans="1:110" s="168" customFormat="1" x14ac:dyDescent="0.2">
      <c r="A29" s="165" t="s">
        <v>14</v>
      </c>
      <c r="B29" s="166" t="e">
        <f t="shared" ref="B29:E29" si="279">B28/B10</f>
        <v>#DIV/0!</v>
      </c>
      <c r="C29" s="166" t="e">
        <f t="shared" si="279"/>
        <v>#DIV/0!</v>
      </c>
      <c r="D29" s="166" t="e">
        <f t="shared" si="279"/>
        <v>#DIV/0!</v>
      </c>
      <c r="E29" s="166" t="e">
        <f t="shared" si="279"/>
        <v>#DIV/0!</v>
      </c>
      <c r="F29" s="166" t="e">
        <f t="shared" ref="F29:AE29" si="280">F28/F10</f>
        <v>#DIV/0!</v>
      </c>
      <c r="G29" s="166" t="e">
        <f t="shared" si="280"/>
        <v>#DIV/0!</v>
      </c>
      <c r="H29" s="166" t="e">
        <f t="shared" si="280"/>
        <v>#DIV/0!</v>
      </c>
      <c r="I29" s="166">
        <f t="shared" si="280"/>
        <v>0.70563237710794247</v>
      </c>
      <c r="J29" s="166">
        <f t="shared" si="280"/>
        <v>0.39032303803653279</v>
      </c>
      <c r="K29" s="166">
        <f t="shared" si="280"/>
        <v>0.12483299570059118</v>
      </c>
      <c r="L29" s="166">
        <f t="shared" si="280"/>
        <v>-0.37027031423408713</v>
      </c>
      <c r="M29" s="166">
        <f t="shared" si="280"/>
        <v>0.83173621320493663</v>
      </c>
      <c r="N29" s="166" t="e">
        <f t="shared" si="280"/>
        <v>#DIV/0!</v>
      </c>
      <c r="O29" s="166">
        <f t="shared" si="280"/>
        <v>8.2298048671187202E-2</v>
      </c>
      <c r="P29" s="166">
        <f t="shared" si="280"/>
        <v>0.24260782270675288</v>
      </c>
      <c r="Q29" s="166">
        <f t="shared" si="280"/>
        <v>0.19238061723363259</v>
      </c>
      <c r="R29" s="166">
        <f t="shared" si="280"/>
        <v>-1.4239496064946846E-2</v>
      </c>
      <c r="S29" s="166">
        <f t="shared" si="280"/>
        <v>0.32462493105149415</v>
      </c>
      <c r="T29" s="166">
        <f t="shared" si="280"/>
        <v>0.2460897957042826</v>
      </c>
      <c r="U29" s="166">
        <f t="shared" si="280"/>
        <v>0.22019281724038953</v>
      </c>
      <c r="V29" s="166">
        <f t="shared" si="280"/>
        <v>0.34545424330766233</v>
      </c>
      <c r="W29" s="166">
        <f t="shared" si="280"/>
        <v>0.40387907367333098</v>
      </c>
      <c r="X29" s="166">
        <f t="shared" si="280"/>
        <v>0.43056052052498928</v>
      </c>
      <c r="Y29" s="166">
        <f t="shared" si="280"/>
        <v>0.39615594224666434</v>
      </c>
      <c r="Z29" s="166">
        <f t="shared" ref="Z29:AA29" si="281">Z28/Z10</f>
        <v>0.37835521255716698</v>
      </c>
      <c r="AA29" s="166">
        <f t="shared" ref="AA29" si="282">AA28/AA10</f>
        <v>0.35411508024655181</v>
      </c>
      <c r="AB29" s="167">
        <f t="shared" si="280"/>
        <v>0.37282238739118867</v>
      </c>
      <c r="AC29" s="167">
        <f t="shared" si="280"/>
        <v>0.37573926197494611</v>
      </c>
      <c r="AD29" s="167">
        <f t="shared" si="280"/>
        <v>0.37617712174128531</v>
      </c>
      <c r="AE29" s="167">
        <f t="shared" si="280"/>
        <v>0.37623486712443877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>
        <f t="shared" si="283"/>
        <v>0.21720075894260213</v>
      </c>
      <c r="BM29" s="166">
        <f t="shared" si="283"/>
        <v>0.25641556407172228</v>
      </c>
      <c r="BN29" s="166">
        <f t="shared" si="283"/>
        <v>0.27320975549018683</v>
      </c>
      <c r="BO29" s="166">
        <f t="shared" ref="BO29:CT29" si="284">BO28/BO10</f>
        <v>0.29193369794987084</v>
      </c>
      <c r="BP29" s="166">
        <f t="shared" si="284"/>
        <v>0.35684110309660971</v>
      </c>
      <c r="BQ29" s="166">
        <f t="shared" si="284"/>
        <v>0.34589120351507374</v>
      </c>
      <c r="BR29" s="166">
        <f t="shared" si="284"/>
        <v>0.35944367762082374</v>
      </c>
      <c r="BS29" s="166">
        <f t="shared" si="284"/>
        <v>0.36937717758738448</v>
      </c>
      <c r="BT29" s="166">
        <f t="shared" si="284"/>
        <v>0.3660996700420982</v>
      </c>
      <c r="BU29" s="166">
        <f t="shared" si="284"/>
        <v>0.39501673310241259</v>
      </c>
      <c r="BV29" s="166">
        <f t="shared" si="284"/>
        <v>0.43533648938248465</v>
      </c>
      <c r="BW29" s="166">
        <f t="shared" si="284"/>
        <v>0.39061583577712605</v>
      </c>
      <c r="BX29" s="166">
        <f t="shared" si="284"/>
        <v>0.42452703609284853</v>
      </c>
      <c r="BY29" s="166">
        <f t="shared" si="284"/>
        <v>0.43320865615816184</v>
      </c>
      <c r="BZ29" s="166">
        <f t="shared" si="284"/>
        <v>0.46713122079884906</v>
      </c>
      <c r="CA29" s="166">
        <f t="shared" si="284"/>
        <v>0.39676658348864713</v>
      </c>
      <c r="CB29" s="166">
        <f t="shared" si="284"/>
        <v>0.42308804457054183</v>
      </c>
      <c r="CC29" s="166">
        <f t="shared" si="284"/>
        <v>0.37575232803863107</v>
      </c>
      <c r="CD29" s="166">
        <f t="shared" si="284"/>
        <v>0.39037896492680935</v>
      </c>
      <c r="CE29" s="166">
        <f t="shared" si="284"/>
        <v>0.33469754257343176</v>
      </c>
      <c r="CF29" s="166">
        <f t="shared" si="284"/>
        <v>0.44354217914235489</v>
      </c>
      <c r="CG29" s="166">
        <f t="shared" si="284"/>
        <v>0.39290337710326206</v>
      </c>
      <c r="CH29" s="166">
        <f t="shared" si="284"/>
        <v>0.3245424062014387</v>
      </c>
      <c r="CI29" s="166">
        <f t="shared" ref="CI29:CJ29" si="285">CI28/CI10</f>
        <v>0.24082817564800951</v>
      </c>
      <c r="CJ29" s="166">
        <f t="shared" si="285"/>
        <v>0.34566360282186598</v>
      </c>
      <c r="CK29" s="166">
        <f t="shared" ref="CK29:CL29" si="286">CK28/CK10</f>
        <v>0.39653800745526241</v>
      </c>
      <c r="CL29" s="166">
        <f t="shared" si="286"/>
        <v>0.41015895333906166</v>
      </c>
      <c r="CM29" s="167">
        <f t="shared" si="284"/>
        <v>0.34829718481604971</v>
      </c>
      <c r="CN29" s="167">
        <f t="shared" si="284"/>
        <v>0.37516443710805997</v>
      </c>
      <c r="CO29" s="167">
        <f t="shared" si="284"/>
        <v>0.38253964567960841</v>
      </c>
      <c r="CP29" s="167">
        <f t="shared" si="284"/>
        <v>0.37904005523569501</v>
      </c>
      <c r="CQ29" s="167">
        <f t="shared" si="284"/>
        <v>0.3712603307098532</v>
      </c>
      <c r="CR29" s="167">
        <f t="shared" si="284"/>
        <v>0.37700111718330409</v>
      </c>
      <c r="CS29" s="167">
        <f t="shared" si="284"/>
        <v>0.37746028720211511</v>
      </c>
      <c r="CT29" s="167">
        <f t="shared" si="284"/>
        <v>0.37619044758274184</v>
      </c>
      <c r="CU29" s="167">
        <f t="shared" ref="CU29:DB29" si="287">CU28/CU10</f>
        <v>0.37547804566950349</v>
      </c>
      <c r="CV29" s="167">
        <f t="shared" si="287"/>
        <v>0.37653247440941612</v>
      </c>
      <c r="CW29" s="167">
        <f t="shared" si="287"/>
        <v>0.37641531371594406</v>
      </c>
      <c r="CX29" s="167">
        <f t="shared" si="287"/>
        <v>0.37615407034440129</v>
      </c>
      <c r="CY29" s="167">
        <f t="shared" si="287"/>
        <v>0.37614497603481628</v>
      </c>
      <c r="CZ29" s="167">
        <f t="shared" si="287"/>
        <v>0.37631170862614444</v>
      </c>
      <c r="DA29" s="167">
        <f t="shared" si="287"/>
        <v>0.37625651718032649</v>
      </c>
      <c r="DB29" s="167">
        <f t="shared" si="287"/>
        <v>0.37621681804642204</v>
      </c>
      <c r="DE29" s="169"/>
      <c r="DF29" s="168">
        <v>0.35411508024655181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>
        <f t="shared" si="289"/>
        <v>-0.35072835325826313</v>
      </c>
      <c r="K30" s="39">
        <f t="shared" si="289"/>
        <v>-0.23602868568817881</v>
      </c>
      <c r="L30" s="39">
        <f t="shared" si="289"/>
        <v>-3.9121048008283825</v>
      </c>
      <c r="M30" s="39">
        <f t="shared" si="289"/>
        <v>3.4523743785960836</v>
      </c>
      <c r="N30" s="39">
        <f t="shared" si="289"/>
        <v>-1</v>
      </c>
      <c r="O30" s="39" t="e">
        <f t="shared" si="289"/>
        <v>#DIV/0!</v>
      </c>
      <c r="P30" s="39">
        <f t="shared" si="289"/>
        <v>3.016123384901678</v>
      </c>
      <c r="Q30" s="39">
        <f t="shared" si="289"/>
        <v>-0.2062303380274223</v>
      </c>
      <c r="R30" s="39">
        <f t="shared" si="289"/>
        <v>-1.0712323306483849</v>
      </c>
      <c r="S30" s="39">
        <f t="shared" si="289"/>
        <v>41.466579589757409</v>
      </c>
      <c r="T30" s="39">
        <f t="shared" si="289"/>
        <v>-0.24413400809321117</v>
      </c>
      <c r="U30" s="39">
        <f t="shared" si="289"/>
        <v>-0.149813771826528</v>
      </c>
      <c r="V30" s="39">
        <f t="shared" si="289"/>
        <v>1.735981498774732</v>
      </c>
      <c r="W30" s="39">
        <f t="shared" si="289"/>
        <v>1.1196738022426098</v>
      </c>
      <c r="X30" s="39">
        <f t="shared" si="289"/>
        <v>0.39664747717848603</v>
      </c>
      <c r="Y30" s="39">
        <f t="shared" si="289"/>
        <v>0.3094244346020163</v>
      </c>
      <c r="Z30" s="39">
        <f t="shared" ref="Z30:AE30" si="290">+IF(Y28&lt;0,1-Z28/Y28,Z28/Y28-1)</f>
        <v>0.17120076017002162</v>
      </c>
      <c r="AA30" s="39">
        <f t="shared" si="290"/>
        <v>-8.2250571149483753E-2</v>
      </c>
      <c r="AB30" s="40">
        <f t="shared" si="290"/>
        <v>0.18006669835329125</v>
      </c>
      <c r="AC30" s="40">
        <f t="shared" si="290"/>
        <v>0.17735318585192061</v>
      </c>
      <c r="AD30" s="40">
        <f t="shared" si="290"/>
        <v>0.17426682838452123</v>
      </c>
      <c r="AE30" s="40">
        <f t="shared" si="290"/>
        <v>0.17393017268287392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>
        <f t="shared" ref="BP30" si="319">+IF(BL28&lt;0,1-BP28/BL28,BP28/BL28-1)</f>
        <v>1.9628071491733423</v>
      </c>
      <c r="BQ30" s="39">
        <f t="shared" ref="BQ30" si="320">+IF(BM28&lt;0,1-BQ28/BM28,BQ28/BM28-1)</f>
        <v>1.3152968385224626</v>
      </c>
      <c r="BR30" s="39">
        <f t="shared" ref="BR30" si="321">+IF(BN28&lt;0,1-BR28/BN28,BR28/BN28-1)</f>
        <v>1.7889749724659167</v>
      </c>
      <c r="BS30" s="39">
        <f t="shared" ref="BS30" si="322">+IF(BO28&lt;0,1-BS28/BO28,BS28/BO28-1)</f>
        <v>1.4553042928567321</v>
      </c>
      <c r="BT30" s="39">
        <f t="shared" ref="BT30" si="323">+IF(BP28&lt;0,1-BT28/BP28,BT28/BP28-1)</f>
        <v>0.74604997784189098</v>
      </c>
      <c r="BU30" s="39">
        <f t="shared" ref="BU30" si="324">+IF(BQ28&lt;0,1-BU28/BQ28,BU28/BQ28-1)</f>
        <v>1.2234985911776617</v>
      </c>
      <c r="BV30" s="39">
        <f t="shared" ref="BV30" si="325">+IF(BR28&lt;0,1-BV28/BR28,BV28/BR28-1)</f>
        <v>1.0179406698303968</v>
      </c>
      <c r="BW30" s="39">
        <f t="shared" ref="BW30" si="326">+IF(BS28&lt;0,1-BW28/BS28,BW28/BS28-1)</f>
        <v>0.55881544069889211</v>
      </c>
      <c r="BX30" s="39">
        <f t="shared" ref="BX30" si="327">+IF(BT28&lt;0,1-BX28/BT28,BX28/BT28-1)</f>
        <v>0.63887723442056488</v>
      </c>
      <c r="BY30" s="39">
        <f t="shared" ref="BY30" si="328">+IF(BU28&lt;0,1-BY28/BU28,BY28/BU28-1)</f>
        <v>0.37443791295650364</v>
      </c>
      <c r="BZ30" s="39">
        <f t="shared" ref="BZ30" si="329">+IF(BV28&lt;0,1-BZ28/BV28,BZ28/BV28-1)</f>
        <v>0.30145994513818386</v>
      </c>
      <c r="CA30" s="39">
        <f t="shared" ref="CA30" si="330">+IF(BW28&lt;0,1-CA28/BW28,CA28/BW28-1)</f>
        <v>0.20266891891891903</v>
      </c>
      <c r="CB30" s="39">
        <f t="shared" ref="CB30" si="331">+IF(BX28&lt;0,1-CB28/BX28,CB28/BX28-1)</f>
        <v>0.40120101137800246</v>
      </c>
      <c r="CC30" s="39">
        <f t="shared" ref="CC30" si="332">+IF(BY28&lt;0,1-CC28/BY28,CC28/BY28-1)</f>
        <v>0.22707061362935588</v>
      </c>
      <c r="CD30" s="39">
        <f t="shared" ref="CD30" si="333">+IF(BZ28&lt;0,1-CD28/BZ28,CD28/BZ28-1)</f>
        <v>0.37364152978264475</v>
      </c>
      <c r="CE30" s="39">
        <f t="shared" ref="CE30" si="334">+IF(CA28&lt;0,1-CE28/CA28,CE28/CA28-1)</f>
        <v>0.46821227812266852</v>
      </c>
      <c r="CF30" s="39">
        <f t="shared" ref="CF30" si="335">+IF(CB28&lt;0,1-CF28/CB28,CF28/CB28-1)</f>
        <v>0.51539676095096287</v>
      </c>
      <c r="CG30" s="39">
        <f t="shared" ref="CG30" si="336">+IF(CC28&lt;0,1-CG28/CC28,CG28/CC28-1)</f>
        <v>0.24623371923837545</v>
      </c>
      <c r="CH30" s="39">
        <f t="shared" ref="CH30:CL30" si="337">+IF(CD28&lt;0,1-CH28/CD28,CH28/CD28-1)</f>
        <v>-0.35317598121739691</v>
      </c>
      <c r="CI30" s="39">
        <f t="shared" si="337"/>
        <v>-0.41609091798079101</v>
      </c>
      <c r="CJ30" s="39">
        <f t="shared" si="337"/>
        <v>-0.38168838823760542</v>
      </c>
      <c r="CK30" s="39">
        <f t="shared" si="337"/>
        <v>6.7373090689116344E-2</v>
      </c>
      <c r="CL30" s="39">
        <f t="shared" si="337"/>
        <v>0.74659562734702645</v>
      </c>
      <c r="CM30" s="40">
        <f t="shared" ref="CM30" si="338">+CM28/CI28-1</f>
        <v>0.49126147465652825</v>
      </c>
      <c r="CN30" s="40">
        <f t="shared" ref="CN30" si="339">+CN28/CJ28-1</f>
        <v>0.17871755231821185</v>
      </c>
      <c r="CO30" s="40">
        <f t="shared" ref="CO30" si="340">+CO28/CK28-1</f>
        <v>0.11826781551148358</v>
      </c>
      <c r="CP30" s="40">
        <f t="shared" ref="CP30" si="341">+CP28/CL28-1</f>
        <v>9.4713508198806196E-2</v>
      </c>
      <c r="CQ30" s="40">
        <f t="shared" ref="CQ30" si="342">+CQ28/CM28-1</f>
        <v>0.21007858556164005</v>
      </c>
      <c r="CR30" s="40">
        <f t="shared" ref="CR30" si="343">+CR28/CN28-1</f>
        <v>0.16694520510647859</v>
      </c>
      <c r="CS30" s="40">
        <f t="shared" ref="CS30" si="344">+CS28/CO28-1</f>
        <v>0.16439870138318291</v>
      </c>
      <c r="CT30" s="40">
        <f t="shared" ref="CT30" si="345">+CT28/CP28-1</f>
        <v>0.17637638407978518</v>
      </c>
      <c r="CU30" s="40">
        <f t="shared" ref="CU30" si="346">+CU28/CQ28-1</f>
        <v>0.17870226370069453</v>
      </c>
      <c r="CV30" s="40">
        <f t="shared" ref="CV30" si="347">+CV28/CR28-1</f>
        <v>0.17156109602597946</v>
      </c>
      <c r="CW30" s="40">
        <f t="shared" ref="CW30" si="348">+CW28/CS28-1</f>
        <v>0.17270348742605024</v>
      </c>
      <c r="CX30" s="40">
        <f t="shared" ref="CX30" si="349">+CX28/CT28-1</f>
        <v>0.17481829166022211</v>
      </c>
      <c r="CY30" s="40">
        <f t="shared" ref="CY30" si="350">+CY28/CU28-1</f>
        <v>0.17442538682422071</v>
      </c>
      <c r="CZ30" s="40">
        <f t="shared" ref="CZ30" si="351">+CZ28/CV28-1</f>
        <v>0.17337494738722392</v>
      </c>
      <c r="DA30" s="40">
        <f t="shared" ref="DA30" si="352">+DA28/CW28-1</f>
        <v>0.17382892458221799</v>
      </c>
      <c r="DB30" s="40">
        <f t="shared" ref="DB30" si="353">+DB28/CX28-1</f>
        <v>0.17411147656726178</v>
      </c>
      <c r="DE30" s="122"/>
      <c r="DF30" s="38">
        <v>-8.2250571149483753E-2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>
        <f t="shared" ref="BM31" si="380">+IF(BL28&lt;0,1-BM28/BL28,BM28/BL28-1)</f>
        <v>0.22814116133872764</v>
      </c>
      <c r="BN31" s="39">
        <f t="shared" ref="BN31" si="381">+IF(BM28&lt;0,1-BN28/BM28,BN28/BM28-1)</f>
        <v>0.14899744725416131</v>
      </c>
      <c r="BO31" s="39">
        <f t="shared" ref="BO31" si="382">+IF(BN28&lt;0,1-BO28/BN28,BO28/BN28-1)</f>
        <v>0.32171205043484941</v>
      </c>
      <c r="BP31" s="39">
        <f t="shared" ref="BP31" si="383">+IF(BO28&lt;0,1-BP28/BO28,BP28/BO28-1)</f>
        <v>0.58854376185276691</v>
      </c>
      <c r="BQ31" s="39">
        <f t="shared" ref="BQ31" si="384">+IF(BP28&lt;0,1-BQ28/BP28,BQ28/BP28-1)</f>
        <v>-4.0264450252783357E-2</v>
      </c>
      <c r="BR31" s="39">
        <f t="shared" ref="BR31" si="385">+IF(BQ28&lt;0,1-BR28/BQ28,BR28/BQ28-1)</f>
        <v>0.38406664342188357</v>
      </c>
      <c r="BS31" s="39">
        <f t="shared" ref="BS31" si="386">+IF(BR28&lt;0,1-BS28/BR28,BS28/BR28-1)</f>
        <v>0.16358350411580025</v>
      </c>
      <c r="BT31" s="39">
        <f t="shared" ref="BT31" si="387">+IF(BS28&lt;0,1-BT28/BS28,BT28/BS28-1)</f>
        <v>0.12966723035243088</v>
      </c>
      <c r="BU31" s="39">
        <f t="shared" ref="BU31" si="388">+IF(BT28&lt;0,1-BU28/BT28,BU28/BT28-1)</f>
        <v>0.22217042458522962</v>
      </c>
      <c r="BV31" s="39">
        <f t="shared" ref="BV31" si="389">+IF(BU28&lt;0,1-BV28/BU28,BV28/BU28-1)</f>
        <v>0.25611249793389312</v>
      </c>
      <c r="BW31" s="39">
        <f t="shared" ref="BW31" si="390">+IF(BV28&lt;0,1-BW28/BV28,BW28/BV28-1)</f>
        <v>-0.1011569567549877</v>
      </c>
      <c r="BX31" s="39">
        <f t="shared" ref="BX31" si="391">+IF(BW28&lt;0,1-BX28/BW28,BX28/BW28-1)</f>
        <v>0.18768768768768762</v>
      </c>
      <c r="BY31" s="39">
        <f t="shared" ref="BY31" si="392">+IF(BX28&lt;0,1-BY28/BX28,BY28/BX28-1)</f>
        <v>2.4968394437420827E-2</v>
      </c>
      <c r="BZ31" s="39">
        <f t="shared" ref="BZ31" si="393">+IF(BY28&lt;0,1-BZ28/BY28,BZ28/BY28-1)</f>
        <v>0.18941720629047221</v>
      </c>
      <c r="CA31" s="39">
        <f t="shared" ref="CA31" si="394">+IF(BZ28&lt;0,1-CA28/BZ28,CA28/BZ28-1)</f>
        <v>-0.16938619960179202</v>
      </c>
      <c r="CB31" s="39">
        <f t="shared" ref="CB31" si="395">+IF(CA28&lt;0,1-CB28/CA28,CB28/CA28-1)</f>
        <v>0.38374673445883278</v>
      </c>
      <c r="CC31" s="39">
        <f t="shared" ref="CC31" si="396">+IF(CB28&lt;0,1-CC28/CB28,CC28/CB28-1)</f>
        <v>-0.10240673072585338</v>
      </c>
      <c r="CD31" s="39">
        <f t="shared" ref="CD31" si="397">+IF(CC28&lt;0,1-CD28/CC28,CD28/CC28-1)</f>
        <v>0.33149050482611653</v>
      </c>
      <c r="CE31" s="39">
        <f t="shared" ref="CE31" si="398">+IF(CD28&lt;0,1-CE28/CD28,CE28/CD28-1)</f>
        <v>-0.11220114296067607</v>
      </c>
      <c r="CF31" s="39">
        <f t="shared" ref="CF31" si="399">+IF(CE28&lt;0,1-CF28/CE28,CF28/CE28-1)</f>
        <v>0.42821671676565987</v>
      </c>
      <c r="CG31" s="39">
        <f t="shared" ref="CG31" si="400">+IF(CF28&lt;0,1-CG28/CF28,CG28/CF28-1)</f>
        <v>-0.26183622193511491</v>
      </c>
      <c r="CH31" s="39">
        <f t="shared" ref="CH31:CI31" si="401">+IF(CG28&lt;0,1-CH28/CG28,CH28/CG28-1)</f>
        <v>-0.30892574482028545</v>
      </c>
      <c r="CI31" s="39">
        <f t="shared" si="401"/>
        <v>-0.19855509291814621</v>
      </c>
      <c r="CJ31" s="39">
        <f>+IF(CI28&gt;1,CJ28/CI28-1,1-CJ28/CI28)</f>
        <v>0.51236383759538695</v>
      </c>
      <c r="CK31" s="39">
        <f>+IF(CJ28&gt;1,CK28/CJ28-1,1-CK28/CJ28)</f>
        <v>0.27427034886520119</v>
      </c>
      <c r="CL31" s="39">
        <f>+IF(CK28&gt;1,CL28/CK28-1,1-CL28/CK28)</f>
        <v>0.13083914406134478</v>
      </c>
      <c r="CM31" s="40">
        <f t="shared" ref="CM31" si="402">+CM28/CL28-1</f>
        <v>-0.31571802008560412</v>
      </c>
      <c r="CN31" s="40">
        <f t="shared" ref="CN31" si="403">+CN28/CM28-1</f>
        <v>0.19539720643262593</v>
      </c>
      <c r="CO31" s="40">
        <f t="shared" ref="CO31" si="404">+CO28/CN28-1</f>
        <v>0.20892025116111257</v>
      </c>
      <c r="CP31" s="40">
        <f t="shared" ref="CP31" si="405">+CP28/CO28-1</f>
        <v>0.10702004424379097</v>
      </c>
      <c r="CQ31" s="40">
        <f t="shared" ref="CQ31" si="406">+CQ28/CP28-1</f>
        <v>-0.24360577979663078</v>
      </c>
      <c r="CR31" s="40">
        <f t="shared" ref="CR31" si="407">+CR28/CQ28-1</f>
        <v>0.15278714530493165</v>
      </c>
      <c r="CS31" s="40">
        <f t="shared" ref="CS31" si="408">+CS28/CR28-1</f>
        <v>0.20628214963991165</v>
      </c>
      <c r="CT31" s="40">
        <f t="shared" ref="CT31" si="409">+CT28/CS28-1</f>
        <v>0.11840749667995376</v>
      </c>
      <c r="CU31" s="40">
        <f t="shared" ref="CU31" si="410">+CU28/CT28-1</f>
        <v>-0.24211027042909028</v>
      </c>
      <c r="CV31" s="40">
        <f t="shared" ref="CV31" si="411">+CV28/CU28-1</f>
        <v>0.14580298437523886</v>
      </c>
      <c r="CW31" s="40">
        <f t="shared" ref="CW31" si="412">+CW28/CV28-1</f>
        <v>0.20745839760383067</v>
      </c>
      <c r="CX31" s="40">
        <f t="shared" ref="CX31" si="413">+CX28/CW28-1</f>
        <v>0.12042438580398951</v>
      </c>
      <c r="CY31" s="40">
        <f t="shared" ref="CY31" si="414">+CY28/CX28-1</f>
        <v>-0.24236373817130896</v>
      </c>
      <c r="CZ31" s="40">
        <f t="shared" ref="CZ31" si="415">+CZ28/CY28-1</f>
        <v>0.1447781456282915</v>
      </c>
      <c r="DA31" s="40">
        <f t="shared" ref="DA31" si="416">+DA28/CZ28-1</f>
        <v>0.20792556164004683</v>
      </c>
      <c r="DB31" s="40">
        <f t="shared" ref="DB31" si="417">+DB28/DA28-1</f>
        <v>0.12069408279958282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0.68508899999999995</v>
      </c>
      <c r="J32" s="23">
        <f>'Annual Raw'!K27</f>
        <v>1.073685</v>
      </c>
      <c r="K32" s="23">
        <f>'Annual Raw'!L27</f>
        <v>1.0301914000000001</v>
      </c>
      <c r="L32" s="23">
        <f>'Annual Raw'!M27</f>
        <v>0.9204</v>
      </c>
      <c r="M32" s="23">
        <f>'Annual Raw'!N27</f>
        <v>1.5536264</v>
      </c>
      <c r="N32" s="23">
        <f>'Annual Raw'!O27</f>
        <v>0</v>
      </c>
      <c r="O32" s="23">
        <f>'Annual Raw'!P27</f>
        <v>12.187715499999999</v>
      </c>
      <c r="P32" s="23">
        <f>'Annual Raw'!Q27</f>
        <v>10.284876300000001</v>
      </c>
      <c r="Q32" s="23">
        <f>'Annual Raw'!R27</f>
        <v>13.0146207</v>
      </c>
      <c r="R32" s="23">
        <f>'Annual Raw'!S27</f>
        <v>13.5224952</v>
      </c>
      <c r="S32" s="23">
        <f>'Annual Raw'!T27</f>
        <v>14.528493900000001</v>
      </c>
      <c r="T32" s="23">
        <f>'Annual Raw'!U27</f>
        <v>20.004000000000001</v>
      </c>
      <c r="U32" s="23">
        <f>'Annual Raw'!V27</f>
        <v>20.917000000000002</v>
      </c>
      <c r="V32" s="23">
        <f>'Annual Raw'!W27</f>
        <v>18.36</v>
      </c>
      <c r="W32" s="23">
        <f>'Annual Raw'!X27</f>
        <v>18.640999999999998</v>
      </c>
      <c r="X32" s="23">
        <f>'Annual Raw'!Y27</f>
        <v>30.263999999999999</v>
      </c>
      <c r="Y32" s="23">
        <f>'Annual Raw'!Z27</f>
        <v>49.981000000000002</v>
      </c>
      <c r="Z32" s="23">
        <f>'Annual Raw'!AA27</f>
        <v>103.42100000000001</v>
      </c>
      <c r="AA32" s="23">
        <f>'Annual Raw'!AB27</f>
        <v>124.999</v>
      </c>
      <c r="AB32" s="76">
        <f>+SUM(CM32:CP32)</f>
        <v>138.45956071929805</v>
      </c>
      <c r="AC32" s="76">
        <f>+SUM(CQ32:CT32)</f>
        <v>138.88926322120773</v>
      </c>
      <c r="AD32" s="76">
        <f>+SUM(CU32:CX32)</f>
        <v>139.19910105694029</v>
      </c>
      <c r="AE32" s="76">
        <f>+SUM(CY32:DB32)</f>
        <v>139.42251023893206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5.6369999999999996</v>
      </c>
      <c r="BM32" s="23">
        <f>'QTR Raw'!AG28</f>
        <v>5.09</v>
      </c>
      <c r="BN32" s="23">
        <f>'QTR Raw'!AH28</f>
        <v>4.9390000000000001</v>
      </c>
      <c r="BO32" s="23">
        <f>'QTR Raw'!AI28</f>
        <v>4.9669999999999996</v>
      </c>
      <c r="BP32" s="23">
        <f>'QTR Raw'!AJ28</f>
        <v>4.649</v>
      </c>
      <c r="BQ32" s="23">
        <f>'QTR Raw'!AK28</f>
        <v>4.7450000000000001</v>
      </c>
      <c r="BR32" s="23">
        <f>'QTR Raw'!AL28</f>
        <v>3.9990000000000001</v>
      </c>
      <c r="BS32" s="23">
        <f>'QTR Raw'!AM28</f>
        <v>4.0620000000000003</v>
      </c>
      <c r="BT32" s="23">
        <f>'QTR Raw'!AN28</f>
        <v>4.5279999999999996</v>
      </c>
      <c r="BU32" s="23">
        <f>'QTR Raw'!AO28</f>
        <v>4.8250000000000002</v>
      </c>
      <c r="BV32" s="23">
        <f>'QTR Raw'!AP28</f>
        <v>5.226</v>
      </c>
      <c r="BW32" s="23">
        <f>'QTR Raw'!AQ28</f>
        <v>6.4</v>
      </c>
      <c r="BX32" s="23">
        <f>'QTR Raw'!AR28</f>
        <v>6.9</v>
      </c>
      <c r="BY32" s="23">
        <f>'QTR Raw'!AS28</f>
        <v>8</v>
      </c>
      <c r="BZ32" s="23">
        <f>'QTR Raw'!AT28</f>
        <v>8.9339999999999993</v>
      </c>
      <c r="CA32" s="23">
        <f>'QTR Raw'!AU28</f>
        <v>8.9329999999999998</v>
      </c>
      <c r="CB32" s="23">
        <f>'QTR Raw'!AV28</f>
        <v>11.215999999999999</v>
      </c>
      <c r="CC32" s="23">
        <f>'QTR Raw'!AW28</f>
        <v>13.090999999999999</v>
      </c>
      <c r="CD32" s="23">
        <f>'QTR Raw'!AX28</f>
        <v>16.699000000000002</v>
      </c>
      <c r="CE32" s="23">
        <f>'QTR Raw'!AY28</f>
        <v>22.623000000000001</v>
      </c>
      <c r="CF32" s="23">
        <f>'QTR Raw'!AZ28</f>
        <v>25.602</v>
      </c>
      <c r="CG32" s="23">
        <f>'QTR Raw'!BA28</f>
        <v>26.670999999999999</v>
      </c>
      <c r="CH32" s="23">
        <f>'QTR Raw'!BB28</f>
        <v>28.524999999999999</v>
      </c>
      <c r="CI32" s="23">
        <f>'QTR Raw'!BC28</f>
        <v>29.917000000000002</v>
      </c>
      <c r="CJ32" s="23">
        <f>'QTR Raw'!BD28</f>
        <v>30.651</v>
      </c>
      <c r="CK32" s="23">
        <f>'QTR Raw'!BE28</f>
        <v>31.498999999999999</v>
      </c>
      <c r="CL32" s="23">
        <f>'QTR Raw'!BF28</f>
        <v>32.932000000000002</v>
      </c>
      <c r="CM32" s="24">
        <f t="shared" ref="CM32:DB32" si="418">CM33*CL134</f>
        <v>34.566454836294987</v>
      </c>
      <c r="CN32" s="24">
        <f t="shared" si="418"/>
        <v>34.600491533041705</v>
      </c>
      <c r="CO32" s="24">
        <f t="shared" si="418"/>
        <v>34.631856082057546</v>
      </c>
      <c r="CP32" s="24">
        <f t="shared" si="418"/>
        <v>34.660758267903823</v>
      </c>
      <c r="CQ32" s="24">
        <f t="shared" si="418"/>
        <v>34.687391405407915</v>
      </c>
      <c r="CR32" s="24">
        <f t="shared" si="418"/>
        <v>34.711933632666593</v>
      </c>
      <c r="CS32" s="24">
        <f t="shared" si="418"/>
        <v>34.734549102538445</v>
      </c>
      <c r="CT32" s="24">
        <f t="shared" si="418"/>
        <v>34.755389080594774</v>
      </c>
      <c r="CU32" s="24">
        <f t="shared" si="418"/>
        <v>34.774592956872809</v>
      </c>
      <c r="CV32" s="24">
        <f t="shared" si="418"/>
        <v>34.792289178198246</v>
      </c>
      <c r="CW32" s="24">
        <f t="shared" si="418"/>
        <v>34.808596107313221</v>
      </c>
      <c r="CX32" s="24">
        <f t="shared" si="418"/>
        <v>34.82362281455601</v>
      </c>
      <c r="CY32" s="24">
        <f t="shared" si="418"/>
        <v>34.837469807387613</v>
      </c>
      <c r="CZ32" s="24">
        <f t="shared" si="418"/>
        <v>34.850229702644796</v>
      </c>
      <c r="DA32" s="24">
        <f t="shared" si="418"/>
        <v>34.861987846016021</v>
      </c>
      <c r="DB32" s="24">
        <f t="shared" si="418"/>
        <v>34.872822882883618</v>
      </c>
      <c r="DE32" s="123"/>
      <c r="DF32" s="23">
        <v>124.999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>
        <f t="shared" si="420"/>
        <v>7.5939761321854135E-2</v>
      </c>
      <c r="J33" s="46">
        <f t="shared" si="420"/>
        <v>8.859933218094003E-2</v>
      </c>
      <c r="K33" s="46">
        <f t="shared" si="420"/>
        <v>9.1059491955566563E-2</v>
      </c>
      <c r="L33" s="46">
        <f t="shared" si="420"/>
        <v>1.2192673991560845E-2</v>
      </c>
      <c r="M33" s="46">
        <f t="shared" si="420"/>
        <v>2.0969261823680641E-2</v>
      </c>
      <c r="N33" s="46">
        <f t="shared" si="420"/>
        <v>0</v>
      </c>
      <c r="O33" s="46">
        <f t="shared" si="420"/>
        <v>9.5913202934175809E-2</v>
      </c>
      <c r="P33" s="46">
        <f t="shared" si="420"/>
        <v>8.4916161970862006E-2</v>
      </c>
      <c r="Q33" s="46">
        <f t="shared" si="420"/>
        <v>0.10678236718684832</v>
      </c>
      <c r="R33" s="46">
        <f t="shared" si="420"/>
        <v>0.11013405372733695</v>
      </c>
      <c r="S33" s="46">
        <f t="shared" si="420"/>
        <v>0.12545759562185979</v>
      </c>
      <c r="T33" s="46">
        <f t="shared" si="420"/>
        <v>0.14931478219329417</v>
      </c>
      <c r="U33" s="46">
        <f t="shared" si="420"/>
        <v>0.16877531589394359</v>
      </c>
      <c r="V33" s="46">
        <f t="shared" si="420"/>
        <v>0.16476120394134644</v>
      </c>
      <c r="W33" s="46">
        <f t="shared" si="420"/>
        <v>0.12553707320358273</v>
      </c>
      <c r="X33" s="46">
        <f t="shared" si="420"/>
        <v>0.16514692641401327</v>
      </c>
      <c r="Y33" s="46">
        <f t="shared" si="420"/>
        <v>0.1232409907410832</v>
      </c>
      <c r="Z33" s="46">
        <f t="shared" si="420"/>
        <v>0.20853530669032547</v>
      </c>
      <c r="AA33" s="46">
        <f t="shared" ref="AA33" si="421">+AA32/AA134</f>
        <v>0.2490764172561522</v>
      </c>
      <c r="AB33" s="110">
        <f t="shared" si="420"/>
        <v>0.31337501512947519</v>
      </c>
      <c r="AC33" s="110">
        <f t="shared" si="420"/>
        <v>0.31355929421352807</v>
      </c>
      <c r="AD33" s="110">
        <f t="shared" si="420"/>
        <v>0.31369159659099116</v>
      </c>
      <c r="AE33" s="110">
        <f t="shared" si="420"/>
        <v>0.31378669753831734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>
        <f t="shared" ref="BO33:CL33" si="423">+BO32/BN134</f>
        <v>4.4866583563673144E-2</v>
      </c>
      <c r="BP33" s="46">
        <f t="shared" si="423"/>
        <v>4.1994110526981376E-2</v>
      </c>
      <c r="BQ33" s="46">
        <f t="shared" si="423"/>
        <v>4.343885603383562E-2</v>
      </c>
      <c r="BR33" s="46">
        <f t="shared" si="423"/>
        <v>3.6609480564659361E-2</v>
      </c>
      <c r="BS33" s="46">
        <f t="shared" si="423"/>
        <v>3.8284997973590702E-2</v>
      </c>
      <c r="BT33" s="46">
        <f t="shared" si="423"/>
        <v>4.2677122310295093E-2</v>
      </c>
      <c r="BU33" s="46">
        <f t="shared" si="423"/>
        <v>3.9642763244380173E-2</v>
      </c>
      <c r="BV33" s="46">
        <f t="shared" si="423"/>
        <v>4.2937426054949386E-2</v>
      </c>
      <c r="BW33" s="46">
        <f t="shared" si="423"/>
        <v>4.0310897799276928E-2</v>
      </c>
      <c r="BX33" s="46">
        <f t="shared" si="423"/>
        <v>4.3460186689845436E-2</v>
      </c>
      <c r="BY33" s="46">
        <f t="shared" si="423"/>
        <v>4.5378999733398373E-2</v>
      </c>
      <c r="BZ33" s="46">
        <f t="shared" si="423"/>
        <v>5.067699795227263E-2</v>
      </c>
      <c r="CA33" s="46">
        <f t="shared" si="423"/>
        <v>4.9744954782376262E-2</v>
      </c>
      <c r="CB33" s="46">
        <f t="shared" si="423"/>
        <v>6.2458234953445893E-2</v>
      </c>
      <c r="CC33" s="46">
        <f t="shared" si="423"/>
        <v>5.3983505154639171E-2</v>
      </c>
      <c r="CD33" s="46">
        <f t="shared" si="423"/>
        <v>6.8861855670103098E-2</v>
      </c>
      <c r="CE33" s="46">
        <f t="shared" si="423"/>
        <v>5.6472226937324642E-2</v>
      </c>
      <c r="CF33" s="46">
        <f t="shared" si="423"/>
        <v>6.390849816776667E-2</v>
      </c>
      <c r="CG33" s="46">
        <f t="shared" si="423"/>
        <v>6.1285030193292213E-2</v>
      </c>
      <c r="CH33" s="46">
        <f t="shared" si="423"/>
        <v>6.5545179643195242E-2</v>
      </c>
      <c r="CI33" s="46">
        <f t="shared" si="423"/>
        <v>6.0323829495503495E-2</v>
      </c>
      <c r="CJ33" s="46">
        <f t="shared" si="423"/>
        <v>6.5771431882117398E-2</v>
      </c>
      <c r="CK33" s="46">
        <f t="shared" si="423"/>
        <v>6.9846753575047729E-2</v>
      </c>
      <c r="CL33" s="46">
        <f t="shared" si="423"/>
        <v>7.8507845539890445E-2</v>
      </c>
      <c r="CM33" s="47">
        <f t="shared" ref="CM33" si="424">CL33</f>
        <v>7.8507845539890445E-2</v>
      </c>
      <c r="CN33" s="47">
        <f t="shared" ref="CN33" si="425">CM33</f>
        <v>7.8507845539890445E-2</v>
      </c>
      <c r="CO33" s="47">
        <f t="shared" ref="CO33" si="426">CN33</f>
        <v>7.8507845539890445E-2</v>
      </c>
      <c r="CP33" s="47">
        <f t="shared" ref="CP33" si="427">CO33</f>
        <v>7.8507845539890445E-2</v>
      </c>
      <c r="CQ33" s="47">
        <f t="shared" ref="CQ33" si="428">CP33</f>
        <v>7.8507845539890445E-2</v>
      </c>
      <c r="CR33" s="47">
        <f t="shared" ref="CR33" si="429">CQ33</f>
        <v>7.8507845539890445E-2</v>
      </c>
      <c r="CS33" s="47">
        <f t="shared" ref="CS33" si="430">CR33</f>
        <v>7.8507845539890445E-2</v>
      </c>
      <c r="CT33" s="47">
        <f t="shared" ref="CT33" si="431">CS33</f>
        <v>7.8507845539890445E-2</v>
      </c>
      <c r="CU33" s="47">
        <f t="shared" ref="CU33" si="432">CT33</f>
        <v>7.8507845539890445E-2</v>
      </c>
      <c r="CV33" s="47">
        <f t="shared" ref="CV33" si="433">CU33</f>
        <v>7.8507845539890445E-2</v>
      </c>
      <c r="CW33" s="47">
        <f t="shared" ref="CW33" si="434">CV33</f>
        <v>7.8507845539890445E-2</v>
      </c>
      <c r="CX33" s="47">
        <f t="shared" ref="CX33" si="435">CW33</f>
        <v>7.8507845539890445E-2</v>
      </c>
      <c r="CY33" s="47">
        <f t="shared" ref="CY33" si="436">CX33</f>
        <v>7.8507845539890445E-2</v>
      </c>
      <c r="CZ33" s="47">
        <f t="shared" ref="CZ33" si="437">CY33</f>
        <v>7.8507845539890445E-2</v>
      </c>
      <c r="DA33" s="47">
        <f t="shared" ref="DA33" si="438">CZ33</f>
        <v>7.8507845539890445E-2</v>
      </c>
      <c r="DB33" s="47">
        <f t="shared" ref="DB33" si="439">DA33</f>
        <v>7.8507845539890445E-2</v>
      </c>
      <c r="DE33" s="130"/>
      <c r="DF33" s="46">
        <v>0.2490764172561522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5.7128092000000041</v>
      </c>
      <c r="J34" s="26">
        <f t="shared" si="440"/>
        <v>3.0802888999999967</v>
      </c>
      <c r="K34" s="26">
        <f t="shared" si="440"/>
        <v>2.1433254999999991</v>
      </c>
      <c r="L34" s="26">
        <f t="shared" si="440"/>
        <v>-10.162013800000004</v>
      </c>
      <c r="M34" s="26">
        <f t="shared" si="440"/>
        <v>21.110270499999999</v>
      </c>
      <c r="N34" s="26">
        <f t="shared" si="440"/>
        <v>0</v>
      </c>
      <c r="O34" s="26">
        <f t="shared" si="440"/>
        <v>14.832063700000017</v>
      </c>
      <c r="P34" s="26">
        <f t="shared" si="440"/>
        <v>98.229890800000021</v>
      </c>
      <c r="Q34" s="26">
        <f t="shared" si="440"/>
        <v>73.121109300000029</v>
      </c>
      <c r="R34" s="26">
        <f t="shared" si="440"/>
        <v>-19.658144000000014</v>
      </c>
      <c r="S34" s="26">
        <f t="shared" si="440"/>
        <v>233.76022660000007</v>
      </c>
      <c r="T34" s="26">
        <f t="shared" si="440"/>
        <v>167.66900000000001</v>
      </c>
      <c r="U34" s="26">
        <f t="shared" ref="U34:Z34" si="441">U28-U32</f>
        <v>138.64000000000001</v>
      </c>
      <c r="V34" s="26">
        <f t="shared" si="441"/>
        <v>418.18499999999995</v>
      </c>
      <c r="W34" s="26">
        <f t="shared" si="441"/>
        <v>906.69200000000012</v>
      </c>
      <c r="X34" s="26">
        <f t="shared" si="441"/>
        <v>1262.1000000000001</v>
      </c>
      <c r="Y34" s="26">
        <f t="shared" si="441"/>
        <v>1642.2720000000002</v>
      </c>
      <c r="Z34" s="26">
        <f t="shared" si="441"/>
        <v>1878.5469999999998</v>
      </c>
      <c r="AA34" s="26">
        <f t="shared" ref="AA34" si="442">AA28-AA32</f>
        <v>1693.9509999999998</v>
      </c>
      <c r="AB34" s="27">
        <f t="shared" ref="AB34:AD34" si="443">AB28-AB32</f>
        <v>2008.0227602504208</v>
      </c>
      <c r="AC34" s="27">
        <f t="shared" si="443"/>
        <v>2388.2785357473153</v>
      </c>
      <c r="AD34" s="27">
        <f t="shared" si="443"/>
        <v>2828.3702150333188</v>
      </c>
      <c r="AE34" s="27">
        <f t="shared" ref="AE34" si="444">AE28-AE32</f>
        <v>3344.2966494473039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31.682000000000016</v>
      </c>
      <c r="BM34" s="26">
        <f t="shared" si="449"/>
        <v>40.742999999999995</v>
      </c>
      <c r="BN34" s="26">
        <f t="shared" si="449"/>
        <v>47.722999999999978</v>
      </c>
      <c r="BO34" s="26">
        <f t="shared" si="449"/>
        <v>64.637000000000015</v>
      </c>
      <c r="BP34" s="26">
        <f t="shared" si="449"/>
        <v>105.92000000000002</v>
      </c>
      <c r="BQ34" s="26">
        <f t="shared" si="449"/>
        <v>101.37200000000001</v>
      </c>
      <c r="BR34" s="26">
        <f t="shared" si="449"/>
        <v>142.87400000000005</v>
      </c>
      <c r="BS34" s="26">
        <f t="shared" si="449"/>
        <v>166.83699999999999</v>
      </c>
      <c r="BT34" s="26">
        <f t="shared" si="449"/>
        <v>188.53100000000009</v>
      </c>
      <c r="BU34" s="26">
        <f t="shared" si="449"/>
        <v>231.12599999999998</v>
      </c>
      <c r="BV34" s="26">
        <f t="shared" si="449"/>
        <v>291.15499999999997</v>
      </c>
      <c r="BW34" s="26">
        <f t="shared" si="449"/>
        <v>260</v>
      </c>
      <c r="BX34" s="26">
        <f t="shared" si="449"/>
        <v>309.5</v>
      </c>
      <c r="BY34" s="26">
        <f t="shared" si="449"/>
        <v>316.29999999999995</v>
      </c>
      <c r="BZ34" s="26">
        <f t="shared" si="449"/>
        <v>376.79400000000004</v>
      </c>
      <c r="CA34" s="26">
        <f t="shared" si="449"/>
        <v>311.45800000000003</v>
      </c>
      <c r="CB34" s="26">
        <f t="shared" si="449"/>
        <v>432.12399999999991</v>
      </c>
      <c r="CC34" s="26">
        <f t="shared" si="449"/>
        <v>384.84800000000007</v>
      </c>
      <c r="CD34" s="26">
        <f t="shared" si="449"/>
        <v>513.15300000000013</v>
      </c>
      <c r="CE34" s="26">
        <f t="shared" ref="CE34:CF34" si="450">CE28-CE32</f>
        <v>447.77899999999994</v>
      </c>
      <c r="CF34" s="26">
        <f t="shared" si="450"/>
        <v>646.23399999999981</v>
      </c>
      <c r="CG34" s="26">
        <f t="shared" ref="CG34:CH34" si="451">CG28-CG32</f>
        <v>469.25399999999996</v>
      </c>
      <c r="CH34" s="26">
        <f t="shared" si="451"/>
        <v>314.19599999999991</v>
      </c>
      <c r="CI34" s="26">
        <f t="shared" ref="CI34:CJ34" si="452">CI28-CI32</f>
        <v>244.75499999999991</v>
      </c>
      <c r="CJ34" s="26">
        <f t="shared" si="452"/>
        <v>384.75299999999999</v>
      </c>
      <c r="CK34" s="26">
        <f t="shared" ref="CK34:CL34" si="453">CK28-CK32</f>
        <v>497.83799999999997</v>
      </c>
      <c r="CL34" s="26">
        <f t="shared" si="453"/>
        <v>565.66300000000001</v>
      </c>
      <c r="CM34" s="27">
        <f t="shared" ref="CM34:DB34" si="454">CM28-CM32</f>
        <v>375.0413169305628</v>
      </c>
      <c r="CN34" s="27">
        <f t="shared" si="454"/>
        <v>455.0434945701528</v>
      </c>
      <c r="CO34" s="27">
        <f t="shared" si="454"/>
        <v>557.30867457734462</v>
      </c>
      <c r="CP34" s="27">
        <f t="shared" si="454"/>
        <v>620.62927417236062</v>
      </c>
      <c r="CQ34" s="27">
        <f t="shared" si="454"/>
        <v>460.9702016892864</v>
      </c>
      <c r="CR34" s="27">
        <f t="shared" si="454"/>
        <v>536.67576815967948</v>
      </c>
      <c r="CS34" s="27">
        <f t="shared" si="454"/>
        <v>654.52023609334151</v>
      </c>
      <c r="CT34" s="27">
        <f t="shared" si="454"/>
        <v>736.11232980500859</v>
      </c>
      <c r="CU34" s="27">
        <f t="shared" si="454"/>
        <v>549.45813404428122</v>
      </c>
      <c r="CV34" s="27">
        <f t="shared" si="454"/>
        <v>634.6233129894083</v>
      </c>
      <c r="CW34" s="27">
        <f t="shared" si="454"/>
        <v>773.48289421698837</v>
      </c>
      <c r="CX34" s="27">
        <f t="shared" si="454"/>
        <v>870.80587378264102</v>
      </c>
      <c r="CY34" s="27">
        <f t="shared" si="454"/>
        <v>651.30027659631196</v>
      </c>
      <c r="CZ34" s="27">
        <f t="shared" si="454"/>
        <v>750.62526727095724</v>
      </c>
      <c r="DA34" s="27">
        <f t="shared" si="454"/>
        <v>913.93394299031706</v>
      </c>
      <c r="DB34" s="27">
        <f t="shared" si="454"/>
        <v>1028.4371625897172</v>
      </c>
      <c r="DE34" s="121"/>
      <c r="DF34" s="26">
        <v>1693.9509999999998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11.7539151</v>
      </c>
      <c r="L35" s="23">
        <f>'Annual Raw'!M23</f>
        <v>20.235113800000001</v>
      </c>
      <c r="M35" s="23">
        <f>'Annual Raw'!N23</f>
        <v>0</v>
      </c>
      <c r="N35" s="23">
        <f>'Annual Raw'!O23</f>
        <v>74.209700799999993</v>
      </c>
      <c r="O35" s="23">
        <f>'Annual Raw'!P23</f>
        <v>20.546622599999999</v>
      </c>
      <c r="P35" s="23">
        <f>'Annual Raw'!Q23</f>
        <v>14.4422426</v>
      </c>
      <c r="Q35" s="23">
        <f>'Annual Raw'!R23</f>
        <v>14.4901655</v>
      </c>
      <c r="R35" s="23">
        <f>'Annual Raw'!S23</f>
        <v>121.4954252</v>
      </c>
      <c r="S35" s="23">
        <f>'Annual Raw'!T23</f>
        <v>19.624015799999999</v>
      </c>
      <c r="T35" s="23">
        <f>'Annual Raw'!U23</f>
        <v>26.492999999999999</v>
      </c>
      <c r="U35" s="23">
        <f>'Annual Raw'!V23</f>
        <v>30.09</v>
      </c>
      <c r="V35" s="23">
        <f>'Annual Raw'!W23</f>
        <v>35.298000000000002</v>
      </c>
      <c r="W35" s="23">
        <f>'Annual Raw'!X23</f>
        <v>6</v>
      </c>
      <c r="X35" s="23">
        <f>'Annual Raw'!Y23</f>
        <v>20.661000000000001</v>
      </c>
      <c r="Y35" s="23">
        <f>'Annual Raw'!Z23</f>
        <v>8.1039999999999992</v>
      </c>
      <c r="Z35" s="23">
        <f>'Annual Raw'!AA23</f>
        <v>9.2899999999999991</v>
      </c>
      <c r="AA35" s="23">
        <f>'Annual Raw'!AB23</f>
        <v>15.627000000000001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8.7249999999999996</v>
      </c>
      <c r="BM35" s="23">
        <f>'QTR Raw'!AG23</f>
        <v>6.7430000000000003</v>
      </c>
      <c r="BN35" s="23">
        <f>'QTR Raw'!AH23</f>
        <v>6.8810000000000002</v>
      </c>
      <c r="BO35" s="23">
        <f>'QTR Raw'!AI23</f>
        <v>8.1709999999999994</v>
      </c>
      <c r="BP35" s="23">
        <f>'QTR Raw'!AJ23</f>
        <v>8.0640000000000001</v>
      </c>
      <c r="BQ35" s="23">
        <f>'QTR Raw'!AK23</f>
        <v>8.8149999999999995</v>
      </c>
      <c r="BR35" s="23">
        <f>'QTR Raw'!AL23</f>
        <v>10.247999999999999</v>
      </c>
      <c r="BS35" s="23">
        <f>'QTR Raw'!AM23</f>
        <v>11.813000000000001</v>
      </c>
      <c r="BT35" s="23">
        <f>'QTR Raw'!AN23</f>
        <v>8.7880000000000003</v>
      </c>
      <c r="BU35" s="23">
        <f>'QTR Raw'!AO23</f>
        <v>7.931</v>
      </c>
      <c r="BV35" s="23">
        <f>'QTR Raw'!AP23</f>
        <v>2.677</v>
      </c>
      <c r="BW35" s="23">
        <f>'QTR Raw'!AQ23</f>
        <v>2.5</v>
      </c>
      <c r="BX35" s="23">
        <f>'QTR Raw'!AR23</f>
        <v>0.6</v>
      </c>
      <c r="BY35" s="23">
        <f>'QTR Raw'!AS23</f>
        <v>11.1</v>
      </c>
      <c r="BZ35" s="23">
        <f>'QTR Raw'!AT23</f>
        <v>5.3470000000000004</v>
      </c>
      <c r="CA35" s="23">
        <f>'QTR Raw'!AU23</f>
        <v>3.5680000000000001</v>
      </c>
      <c r="CB35" s="23">
        <f>'QTR Raw'!AV23</f>
        <v>1.4490000000000001</v>
      </c>
      <c r="CC35" s="23">
        <f>'QTR Raw'!AW23</f>
        <v>1.796</v>
      </c>
      <c r="CD35" s="23">
        <f>'QTR Raw'!AX23</f>
        <v>1.2609999999999999</v>
      </c>
      <c r="CE35" s="23">
        <f>'QTR Raw'!AY23</f>
        <v>4.6139999999999999</v>
      </c>
      <c r="CF35" s="23">
        <f>'QTR Raw'!AZ23</f>
        <v>1.258</v>
      </c>
      <c r="CG35" s="23">
        <f>'QTR Raw'!BA23</f>
        <v>1.59</v>
      </c>
      <c r="CH35" s="23">
        <f>'QTR Raw'!BB23</f>
        <v>1.8280000000000001</v>
      </c>
      <c r="CI35" s="23">
        <f>'QTR Raw'!BC23</f>
        <v>2.5619999999999998</v>
      </c>
      <c r="CJ35" s="23">
        <f>'QTR Raw'!BD23</f>
        <v>2.44</v>
      </c>
      <c r="CK35" s="23">
        <f>'QTR Raw'!BE23</f>
        <v>2.8010000000000002</v>
      </c>
      <c r="CL35" s="23">
        <f>'QTR Raw'!BF23</f>
        <v>7.8239999999999998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15.627000000000001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8.85</v>
      </c>
      <c r="N36" s="23">
        <f>'Annual Raw'!O25</f>
        <v>0</v>
      </c>
      <c r="O36" s="23">
        <f>'Annual Raw'!P25</f>
        <v>18.4978044</v>
      </c>
      <c r="P36" s="23">
        <f>'Annual Raw'!Q25</f>
        <v>38.413410599999999</v>
      </c>
      <c r="Q36" s="23">
        <f>'Annual Raw'!R25</f>
        <v>35.662487499999997</v>
      </c>
      <c r="R36" s="23">
        <f>'Annual Raw'!S25</f>
        <v>53.9301958</v>
      </c>
      <c r="S36" s="23">
        <f>'Annual Raw'!T25</f>
        <v>94.690303299999997</v>
      </c>
      <c r="T36" s="23">
        <f>'Annual Raw'!U25</f>
        <v>69.736000000000004</v>
      </c>
      <c r="U36" s="23">
        <f>'Annual Raw'!V25</f>
        <v>49.963000000000001</v>
      </c>
      <c r="V36" s="23">
        <f>'Annual Raw'!W25</f>
        <v>42.316000000000003</v>
      </c>
      <c r="W36" s="23">
        <f>'Annual Raw'!X25</f>
        <v>75.980999999999995</v>
      </c>
      <c r="X36" s="23">
        <f>'Annual Raw'!Y25</f>
        <v>90.942999999999998</v>
      </c>
      <c r="Y36" s="23">
        <f>'Annual Raw'!Z25</f>
        <v>136.697</v>
      </c>
      <c r="Z36" s="23">
        <f>'Annual Raw'!AA25</f>
        <v>295.887</v>
      </c>
      <c r="AA36" s="23">
        <f>'Annual Raw'!AB25</f>
        <v>437.69099999999997</v>
      </c>
      <c r="AB36" s="76">
        <f t="shared" si="455"/>
        <v>357.40208020911632</v>
      </c>
      <c r="AC36" s="76">
        <f t="shared" si="456"/>
        <v>426.89845732815184</v>
      </c>
      <c r="AD36" s="76">
        <f t="shared" si="457"/>
        <v>510.35809877922861</v>
      </c>
      <c r="AE36" s="76">
        <f t="shared" si="458"/>
        <v>608.36964053654765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12.042</v>
      </c>
      <c r="BM36" s="23">
        <f>'QTR Raw'!AG25</f>
        <v>10.446999999999999</v>
      </c>
      <c r="BN36" s="23">
        <f>'QTR Raw'!AH25</f>
        <v>10.371</v>
      </c>
      <c r="BO36" s="23">
        <f>'QTR Raw'!AI25</f>
        <v>8.1790000000000003</v>
      </c>
      <c r="BP36" s="23">
        <f>'QTR Raw'!AJ25</f>
        <v>14.336</v>
      </c>
      <c r="BQ36" s="23">
        <f>'QTR Raw'!AK25</f>
        <v>5.6479999999999997</v>
      </c>
      <c r="BR36" s="23">
        <f>'QTR Raw'!AL25</f>
        <v>10.771000000000001</v>
      </c>
      <c r="BS36" s="23">
        <f>'QTR Raw'!AM25</f>
        <v>16.425000000000001</v>
      </c>
      <c r="BT36" s="23">
        <f>'QTR Raw'!AN25</f>
        <v>17.946000000000002</v>
      </c>
      <c r="BU36" s="23">
        <f>'QTR Raw'!AO25</f>
        <v>18.257999999999999</v>
      </c>
      <c r="BV36" s="23">
        <f>'QTR Raw'!AP25</f>
        <v>19.518000000000001</v>
      </c>
      <c r="BW36" s="23">
        <f>'QTR Raw'!AQ25</f>
        <v>19.8</v>
      </c>
      <c r="BX36" s="23">
        <f>'QTR Raw'!AR25</f>
        <v>24.4</v>
      </c>
      <c r="BY36" s="23">
        <f>'QTR Raw'!AS25</f>
        <v>25.5</v>
      </c>
      <c r="BZ36" s="23">
        <f>'QTR Raw'!AT25</f>
        <v>20.536999999999999</v>
      </c>
      <c r="CA36" s="23">
        <f>'QTR Raw'!AU25</f>
        <v>18.324000000000002</v>
      </c>
      <c r="CB36" s="23">
        <f>'QTR Raw'!AV25</f>
        <v>26.39</v>
      </c>
      <c r="CC36" s="23">
        <f>'QTR Raw'!AW25</f>
        <v>35.603999999999999</v>
      </c>
      <c r="CD36" s="23">
        <f>'QTR Raw'!AX25</f>
        <v>55.637</v>
      </c>
      <c r="CE36" s="23">
        <f>'QTR Raw'!AY25</f>
        <v>55.567999999999998</v>
      </c>
      <c r="CF36" s="23">
        <f>'QTR Raw'!AZ25</f>
        <v>75.412999999999997</v>
      </c>
      <c r="CG36" s="23">
        <f>'QTR Raw'!BA25</f>
        <v>83.524000000000001</v>
      </c>
      <c r="CH36" s="23">
        <f>'QTR Raw'!BB25</f>
        <v>80.298000000000002</v>
      </c>
      <c r="CI36" s="23">
        <f>'QTR Raw'!BC25</f>
        <v>82.881</v>
      </c>
      <c r="CJ36" s="23">
        <f>'QTR Raw'!BD25</f>
        <v>93.194999999999993</v>
      </c>
      <c r="CK36" s="23">
        <f>'QTR Raw'!BE25</f>
        <v>127.096</v>
      </c>
      <c r="CL36" s="23">
        <f>'QTR Raw'!BF25</f>
        <v>133.577</v>
      </c>
      <c r="CM36" s="24">
        <f t="shared" ref="CM36:DB36" si="459">CM37*CL168</f>
        <v>89.186932499999998</v>
      </c>
      <c r="CN36" s="24">
        <f t="shared" si="459"/>
        <v>81.809276370511796</v>
      </c>
      <c r="CO36" s="24">
        <f t="shared" si="459"/>
        <v>88.017492000483429</v>
      </c>
      <c r="CP36" s="24">
        <f t="shared" si="459"/>
        <v>98.38837933812114</v>
      </c>
      <c r="CQ36" s="24">
        <f t="shared" si="459"/>
        <v>107.18565215122641</v>
      </c>
      <c r="CR36" s="24">
        <f t="shared" si="459"/>
        <v>96.740127639326772</v>
      </c>
      <c r="CS36" s="24">
        <f t="shared" si="459"/>
        <v>104.98672382916357</v>
      </c>
      <c r="CT36" s="24">
        <f t="shared" si="459"/>
        <v>117.98595370843509</v>
      </c>
      <c r="CU36" s="24">
        <f t="shared" si="459"/>
        <v>128.61857363878454</v>
      </c>
      <c r="CV36" s="24">
        <f t="shared" si="459"/>
        <v>115.42327098138283</v>
      </c>
      <c r="CW36" s="24">
        <f t="shared" si="459"/>
        <v>125.44021309171666</v>
      </c>
      <c r="CX36" s="24">
        <f t="shared" si="459"/>
        <v>140.8760410673446</v>
      </c>
      <c r="CY36" s="24">
        <f t="shared" si="459"/>
        <v>153.32451218303243</v>
      </c>
      <c r="CZ36" s="24">
        <f t="shared" si="459"/>
        <v>137.71797598007129</v>
      </c>
      <c r="DA36" s="24">
        <f t="shared" si="459"/>
        <v>149.58356159443485</v>
      </c>
      <c r="DB36" s="24">
        <f t="shared" si="459"/>
        <v>167.74359077900903</v>
      </c>
      <c r="DE36" s="123"/>
      <c r="DF36" s="23">
        <v>437.69099999999997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>
        <f t="shared" si="461"/>
        <v>0</v>
      </c>
      <c r="J37" s="46">
        <f t="shared" si="461"/>
        <v>0</v>
      </c>
      <c r="K37" s="46">
        <f t="shared" si="461"/>
        <v>0</v>
      </c>
      <c r="L37" s="46">
        <f t="shared" si="461"/>
        <v>0</v>
      </c>
      <c r="M37" s="46">
        <f t="shared" si="461"/>
        <v>0.29169580314967064</v>
      </c>
      <c r="N37" s="46">
        <f t="shared" si="461"/>
        <v>0</v>
      </c>
      <c r="O37" s="46">
        <f t="shared" si="461"/>
        <v>5.9495914693041087E-2</v>
      </c>
      <c r="P37" s="46">
        <f t="shared" si="461"/>
        <v>0.13901411690584092</v>
      </c>
      <c r="Q37" s="46">
        <f t="shared" si="461"/>
        <v>9.9476935320877605E-2</v>
      </c>
      <c r="R37" s="46">
        <f t="shared" si="461"/>
        <v>6.9863418467517258E-2</v>
      </c>
      <c r="S37" s="46">
        <f t="shared" si="461"/>
        <v>8.4170412515808146E-2</v>
      </c>
      <c r="T37" s="46">
        <f t="shared" si="461"/>
        <v>7.9989172051964985E-2</v>
      </c>
      <c r="U37" s="46">
        <f t="shared" si="461"/>
        <v>0.10178272038526807</v>
      </c>
      <c r="V37" s="46">
        <f t="shared" si="461"/>
        <v>3.6122167978836828E-2</v>
      </c>
      <c r="W37" s="46">
        <f t="shared" si="461"/>
        <v>6.0411120970127179E-2</v>
      </c>
      <c r="X37" s="46">
        <f t="shared" si="461"/>
        <v>0.11610446248241384</v>
      </c>
      <c r="Y37" s="46">
        <f t="shared" si="461"/>
        <v>5.3954748852301657E-2</v>
      </c>
      <c r="Z37" s="46">
        <f t="shared" si="461"/>
        <v>8.7619078641504075E-2</v>
      </c>
      <c r="AA37" s="46">
        <f t="shared" ref="AA37" si="462">+AA36/AA128</f>
        <v>5.5573422990754712E-2</v>
      </c>
      <c r="AB37" s="110">
        <f t="shared" si="461"/>
        <v>7.2550477545233416E-2</v>
      </c>
      <c r="AC37" s="110">
        <f t="shared" si="461"/>
        <v>8.6657825058990431E-2</v>
      </c>
      <c r="AD37" s="110">
        <f t="shared" si="461"/>
        <v>0.10359963143987878</v>
      </c>
      <c r="AE37" s="110">
        <f t="shared" si="461"/>
        <v>0.12349538625831061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>
        <f t="shared" si="463"/>
        <v>-0.12919705327064746</v>
      </c>
      <c r="BO37" s="46">
        <f t="shared" ref="BO37:CL37" si="464">(BO36-BO35)/BN168</f>
        <v>-8.351210142545653E-6</v>
      </c>
      <c r="BP37" s="46">
        <f t="shared" si="464"/>
        <v>-5.1468818457067198E-3</v>
      </c>
      <c r="BQ37" s="46">
        <f t="shared" si="464"/>
        <v>1.5746230624852397E-3</v>
      </c>
      <c r="BR37" s="46">
        <f t="shared" si="464"/>
        <v>-2.5269871484968263E-4</v>
      </c>
      <c r="BS37" s="46">
        <f t="shared" si="464"/>
        <v>-6.4819161286151601E-3</v>
      </c>
      <c r="BT37" s="46">
        <f t="shared" si="464"/>
        <v>-8.295923896324298E-3</v>
      </c>
      <c r="BU37" s="46">
        <f t="shared" si="464"/>
        <v>-3.0171257750247304E-3</v>
      </c>
      <c r="BV37" s="46">
        <f t="shared" si="464"/>
        <v>-4.1302775202125101E-3</v>
      </c>
      <c r="BW37" s="46">
        <f t="shared" si="464"/>
        <v>-4.7262026136720026E-3</v>
      </c>
      <c r="BX37" s="46">
        <f t="shared" si="464"/>
        <v>-6.1849195378377636E-3</v>
      </c>
      <c r="BY37" s="46">
        <f t="shared" si="464"/>
        <v>-5.9581908780925183E-3</v>
      </c>
      <c r="BZ37" s="46">
        <f t="shared" si="464"/>
        <v>-5.7076929499481933E-3</v>
      </c>
      <c r="CA37" s="46">
        <f t="shared" si="464"/>
        <v>-3.0459704985082883E-3</v>
      </c>
      <c r="CB37" s="46">
        <f t="shared" si="464"/>
        <v>-5.0046171946576627E-3</v>
      </c>
      <c r="CC37" s="46">
        <f t="shared" si="464"/>
        <v>-5.3992589753417653E-3</v>
      </c>
      <c r="CD37" s="46">
        <f t="shared" si="464"/>
        <v>-8.2589166303486516E-3</v>
      </c>
      <c r="CE37" s="46">
        <f t="shared" si="464"/>
        <v>-6.846805251967512E-3</v>
      </c>
      <c r="CF37" s="46">
        <f t="shared" si="464"/>
        <v>-9.3008619292717139E-3</v>
      </c>
      <c r="CG37" s="46">
        <f t="shared" si="464"/>
        <v>-8.8296428743853059E-3</v>
      </c>
      <c r="CH37" s="46">
        <f t="shared" si="464"/>
        <v>-9.7067990043064028E-3</v>
      </c>
      <c r="CI37" s="46">
        <f t="shared" si="464"/>
        <v>-1.7566275131273016E-2</v>
      </c>
      <c r="CJ37" s="46">
        <f t="shared" si="464"/>
        <v>-1.9435465618631409E-2</v>
      </c>
      <c r="CK37" s="46">
        <f t="shared" si="464"/>
        <v>-1.2964496814913254E-2</v>
      </c>
      <c r="CL37" s="46">
        <f t="shared" si="464"/>
        <v>-1.2148950887673721E-2</v>
      </c>
      <c r="CM37" s="47">
        <v>-7.4999999999999997E-3</v>
      </c>
      <c r="CN37" s="47">
        <f t="shared" ref="CN37" si="465">+CM37</f>
        <v>-7.4999999999999997E-3</v>
      </c>
      <c r="CO37" s="47">
        <f t="shared" ref="CO37" si="466">+CN37</f>
        <v>-7.4999999999999997E-3</v>
      </c>
      <c r="CP37" s="47">
        <f t="shared" ref="CP37" si="467">+CO37</f>
        <v>-7.4999999999999997E-3</v>
      </c>
      <c r="CQ37" s="47">
        <f t="shared" ref="CQ37" si="468">+CP37</f>
        <v>-7.4999999999999997E-3</v>
      </c>
      <c r="CR37" s="47">
        <f t="shared" ref="CR37" si="469">+CQ37</f>
        <v>-7.4999999999999997E-3</v>
      </c>
      <c r="CS37" s="47">
        <f t="shared" ref="CS37" si="470">+CR37</f>
        <v>-7.4999999999999997E-3</v>
      </c>
      <c r="CT37" s="47">
        <f t="shared" ref="CT37" si="471">+CS37</f>
        <v>-7.4999999999999997E-3</v>
      </c>
      <c r="CU37" s="47">
        <f t="shared" ref="CU37" si="472">+CT37</f>
        <v>-7.4999999999999997E-3</v>
      </c>
      <c r="CV37" s="47">
        <f t="shared" ref="CV37" si="473">+CU37</f>
        <v>-7.4999999999999997E-3</v>
      </c>
      <c r="CW37" s="47">
        <f t="shared" ref="CW37" si="474">+CV37</f>
        <v>-7.4999999999999997E-3</v>
      </c>
      <c r="CX37" s="47">
        <f t="shared" ref="CX37" si="475">+CW37</f>
        <v>-7.4999999999999997E-3</v>
      </c>
      <c r="CY37" s="47">
        <f t="shared" ref="CY37" si="476">+CX37</f>
        <v>-7.4999999999999997E-3</v>
      </c>
      <c r="CZ37" s="47">
        <f t="shared" ref="CZ37" si="477">+CY37</f>
        <v>-7.4999999999999997E-3</v>
      </c>
      <c r="DA37" s="47">
        <f t="shared" ref="DA37" si="478">+CZ37</f>
        <v>-7.4999999999999997E-3</v>
      </c>
      <c r="DB37" s="47">
        <f t="shared" ref="DB37" si="479">+DA37</f>
        <v>-7.4999999999999997E-3</v>
      </c>
      <c r="DE37" s="130"/>
      <c r="DF37" s="46">
        <v>5.5573422990754712E-2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0">C34+C35-C36</f>
        <v>0</v>
      </c>
      <c r="D38" s="26">
        <f>D34+D35-D36</f>
        <v>0</v>
      </c>
      <c r="E38" s="26">
        <f t="shared" si="480"/>
        <v>0</v>
      </c>
      <c r="F38" s="26">
        <f t="shared" si="480"/>
        <v>0</v>
      </c>
      <c r="G38" s="26">
        <f t="shared" si="480"/>
        <v>0</v>
      </c>
      <c r="H38" s="26">
        <f t="shared" si="480"/>
        <v>0</v>
      </c>
      <c r="I38" s="26">
        <f t="shared" si="480"/>
        <v>5.7128092000000041</v>
      </c>
      <c r="J38" s="26">
        <f t="shared" si="480"/>
        <v>3.0802888999999967</v>
      </c>
      <c r="K38" s="26">
        <f t="shared" si="480"/>
        <v>13.8972406</v>
      </c>
      <c r="L38" s="26">
        <f t="shared" si="480"/>
        <v>10.073099999999997</v>
      </c>
      <c r="M38" s="26">
        <f t="shared" si="480"/>
        <v>12.260270499999999</v>
      </c>
      <c r="N38" s="26">
        <f t="shared" si="480"/>
        <v>74.209700799999993</v>
      </c>
      <c r="O38" s="26">
        <f t="shared" si="480"/>
        <v>16.880881900000013</v>
      </c>
      <c r="P38" s="26">
        <f t="shared" si="480"/>
        <v>74.258722800000015</v>
      </c>
      <c r="Q38" s="26">
        <f t="shared" si="480"/>
        <v>51.948787300000035</v>
      </c>
      <c r="R38" s="26">
        <f t="shared" si="480"/>
        <v>47.907085399999978</v>
      </c>
      <c r="S38" s="26">
        <f t="shared" si="480"/>
        <v>158.69393910000008</v>
      </c>
      <c r="T38" s="26">
        <f t="shared" si="480"/>
        <v>124.426</v>
      </c>
      <c r="U38" s="26">
        <f t="shared" ref="U38:Z38" si="481">U34+U35-U36</f>
        <v>118.76700000000002</v>
      </c>
      <c r="V38" s="26">
        <f t="shared" si="481"/>
        <v>411.16699999999992</v>
      </c>
      <c r="W38" s="26">
        <f t="shared" si="481"/>
        <v>836.71100000000013</v>
      </c>
      <c r="X38" s="26">
        <f t="shared" si="481"/>
        <v>1191.8180000000002</v>
      </c>
      <c r="Y38" s="26">
        <f t="shared" si="481"/>
        <v>1513.6790000000001</v>
      </c>
      <c r="Z38" s="26">
        <f t="shared" si="481"/>
        <v>1591.9499999999998</v>
      </c>
      <c r="AA38" s="26">
        <f t="shared" ref="AA38" si="482">AA34+AA35-AA36</f>
        <v>1271.8869999999997</v>
      </c>
      <c r="AB38" s="27">
        <f t="shared" ref="AB38:AD38" si="483">AB34+AB35-AB36</f>
        <v>1650.6206800413045</v>
      </c>
      <c r="AC38" s="27">
        <f t="shared" si="483"/>
        <v>1961.3800784191635</v>
      </c>
      <c r="AD38" s="27">
        <f t="shared" si="483"/>
        <v>2318.01211625409</v>
      </c>
      <c r="AE38" s="27">
        <f t="shared" ref="AE38" si="484">AE34+AE35-AE36</f>
        <v>2735.9270089107563</v>
      </c>
      <c r="AI38" s="26">
        <f>AI34+AI35-AI36</f>
        <v>0</v>
      </c>
      <c r="AJ38" s="26">
        <f t="shared" ref="AJ38" si="485">AJ34+AJ35-AJ36</f>
        <v>0</v>
      </c>
      <c r="AK38" s="26">
        <f t="shared" ref="AK38:AM38" si="486">AK34+AK35-AK36</f>
        <v>0</v>
      </c>
      <c r="AL38" s="26">
        <f t="shared" si="486"/>
        <v>0</v>
      </c>
      <c r="AM38" s="26">
        <f t="shared" si="486"/>
        <v>0</v>
      </c>
      <c r="AN38" s="26">
        <f t="shared" ref="AN38:AO38" si="487">AN34+AN35-AN36</f>
        <v>0</v>
      </c>
      <c r="AO38" s="26">
        <f t="shared" si="487"/>
        <v>0</v>
      </c>
      <c r="AP38" s="26">
        <f t="shared" ref="AP38:CD38" si="488">AP34+AP35-AP36</f>
        <v>0</v>
      </c>
      <c r="AQ38" s="26">
        <f t="shared" si="488"/>
        <v>0</v>
      </c>
      <c r="AR38" s="26">
        <f t="shared" si="488"/>
        <v>0</v>
      </c>
      <c r="AS38" s="26">
        <f t="shared" si="488"/>
        <v>0</v>
      </c>
      <c r="AT38" s="26">
        <f t="shared" si="488"/>
        <v>0</v>
      </c>
      <c r="AU38" s="26">
        <f t="shared" si="488"/>
        <v>0</v>
      </c>
      <c r="AV38" s="26">
        <f t="shared" si="488"/>
        <v>0</v>
      </c>
      <c r="AW38" s="26">
        <f t="shared" si="488"/>
        <v>0</v>
      </c>
      <c r="AX38" s="26">
        <f t="shared" si="488"/>
        <v>0</v>
      </c>
      <c r="AY38" s="26">
        <f t="shared" si="488"/>
        <v>0</v>
      </c>
      <c r="AZ38" s="26">
        <f t="shared" si="488"/>
        <v>0</v>
      </c>
      <c r="BA38" s="26">
        <f t="shared" si="488"/>
        <v>0</v>
      </c>
      <c r="BB38" s="26">
        <f t="shared" si="488"/>
        <v>0</v>
      </c>
      <c r="BC38" s="26">
        <f t="shared" si="488"/>
        <v>0</v>
      </c>
      <c r="BD38" s="26">
        <f t="shared" si="488"/>
        <v>0</v>
      </c>
      <c r="BE38" s="26">
        <f t="shared" si="488"/>
        <v>0</v>
      </c>
      <c r="BF38" s="26">
        <f t="shared" si="488"/>
        <v>0</v>
      </c>
      <c r="BG38" s="26">
        <f t="shared" si="488"/>
        <v>0</v>
      </c>
      <c r="BH38" s="26">
        <f t="shared" si="488"/>
        <v>0</v>
      </c>
      <c r="BI38" s="26">
        <f t="shared" si="488"/>
        <v>0</v>
      </c>
      <c r="BJ38" s="26">
        <f t="shared" si="488"/>
        <v>0</v>
      </c>
      <c r="BK38" s="26">
        <f t="shared" si="488"/>
        <v>0</v>
      </c>
      <c r="BL38" s="26">
        <f t="shared" si="488"/>
        <v>28.365000000000016</v>
      </c>
      <c r="BM38" s="26">
        <f t="shared" si="488"/>
        <v>37.039000000000001</v>
      </c>
      <c r="BN38" s="26">
        <f t="shared" si="488"/>
        <v>44.232999999999976</v>
      </c>
      <c r="BO38" s="26">
        <f t="shared" si="488"/>
        <v>64.629000000000019</v>
      </c>
      <c r="BP38" s="26">
        <f t="shared" si="488"/>
        <v>99.64800000000001</v>
      </c>
      <c r="BQ38" s="26">
        <f t="shared" si="488"/>
        <v>104.53900000000002</v>
      </c>
      <c r="BR38" s="26">
        <f t="shared" si="488"/>
        <v>142.35100000000006</v>
      </c>
      <c r="BS38" s="26">
        <f t="shared" si="488"/>
        <v>162.22499999999997</v>
      </c>
      <c r="BT38" s="26">
        <f t="shared" si="488"/>
        <v>179.3730000000001</v>
      </c>
      <c r="BU38" s="26">
        <f t="shared" si="488"/>
        <v>220.79899999999998</v>
      </c>
      <c r="BV38" s="26">
        <f t="shared" si="488"/>
        <v>274.31399999999996</v>
      </c>
      <c r="BW38" s="26">
        <f t="shared" si="488"/>
        <v>242.7</v>
      </c>
      <c r="BX38" s="26">
        <f t="shared" si="488"/>
        <v>285.70000000000005</v>
      </c>
      <c r="BY38" s="26">
        <f t="shared" si="488"/>
        <v>301.89999999999998</v>
      </c>
      <c r="BZ38" s="26">
        <f t="shared" si="488"/>
        <v>361.60400000000004</v>
      </c>
      <c r="CA38" s="26">
        <f t="shared" si="488"/>
        <v>296.702</v>
      </c>
      <c r="CB38" s="26">
        <f t="shared" si="488"/>
        <v>407.18299999999994</v>
      </c>
      <c r="CC38" s="26">
        <f t="shared" si="488"/>
        <v>351.04000000000008</v>
      </c>
      <c r="CD38" s="26">
        <f t="shared" si="488"/>
        <v>458.7770000000001</v>
      </c>
      <c r="CE38" s="26">
        <f t="shared" ref="CE38:CF38" si="489">CE34+CE35-CE36</f>
        <v>396.82499999999993</v>
      </c>
      <c r="CF38" s="26">
        <f t="shared" si="489"/>
        <v>572.07899999999984</v>
      </c>
      <c r="CG38" s="26">
        <f t="shared" ref="CG38:CH38" si="490">CG34+CG35-CG36</f>
        <v>387.31999999999994</v>
      </c>
      <c r="CH38" s="26">
        <f t="shared" si="490"/>
        <v>235.72599999999989</v>
      </c>
      <c r="CI38" s="26">
        <f t="shared" ref="CI38:CJ38" si="491">CI34+CI35-CI36</f>
        <v>164.43599999999992</v>
      </c>
      <c r="CJ38" s="26">
        <f t="shared" si="491"/>
        <v>293.99799999999999</v>
      </c>
      <c r="CK38" s="26">
        <f t="shared" ref="CK38:CL38" si="492">CK34+CK35-CK36</f>
        <v>373.54299999999995</v>
      </c>
      <c r="CL38" s="26">
        <f t="shared" si="492"/>
        <v>439.90999999999997</v>
      </c>
      <c r="CM38" s="27">
        <f t="shared" ref="CM38:DB38" si="493">CM34+CM35-CM36</f>
        <v>285.85438443056279</v>
      </c>
      <c r="CN38" s="27">
        <f t="shared" si="493"/>
        <v>373.23421819964102</v>
      </c>
      <c r="CO38" s="27">
        <f t="shared" si="493"/>
        <v>469.29118257686116</v>
      </c>
      <c r="CP38" s="27">
        <f t="shared" si="493"/>
        <v>522.2408948342395</v>
      </c>
      <c r="CQ38" s="27">
        <f t="shared" si="493"/>
        <v>353.78454953805999</v>
      </c>
      <c r="CR38" s="27">
        <f t="shared" si="493"/>
        <v>439.93564052035271</v>
      </c>
      <c r="CS38" s="27">
        <f t="shared" si="493"/>
        <v>549.53351226417794</v>
      </c>
      <c r="CT38" s="27">
        <f t="shared" si="493"/>
        <v>618.12637609657349</v>
      </c>
      <c r="CU38" s="27">
        <f t="shared" si="493"/>
        <v>420.83956040549668</v>
      </c>
      <c r="CV38" s="27">
        <f t="shared" si="493"/>
        <v>519.20004200802543</v>
      </c>
      <c r="CW38" s="27">
        <f t="shared" si="493"/>
        <v>648.04268112527166</v>
      </c>
      <c r="CX38" s="27">
        <f t="shared" si="493"/>
        <v>729.92983271529647</v>
      </c>
      <c r="CY38" s="27">
        <f t="shared" si="493"/>
        <v>497.97576441327953</v>
      </c>
      <c r="CZ38" s="27">
        <f t="shared" si="493"/>
        <v>612.90729129088595</v>
      </c>
      <c r="DA38" s="27">
        <f t="shared" si="493"/>
        <v>764.35038139588221</v>
      </c>
      <c r="DB38" s="27">
        <f t="shared" si="493"/>
        <v>860.69357181070814</v>
      </c>
      <c r="DE38" s="121"/>
      <c r="DF38" s="26">
        <v>1271.8869999999997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2.0219026000000002</v>
      </c>
      <c r="J39" s="23">
        <f>'Annual Raw'!K30</f>
        <v>1.1500963</v>
      </c>
      <c r="K39" s="23">
        <f>'Annual Raw'!L30</f>
        <v>4.8803137999999997</v>
      </c>
      <c r="L39" s="23">
        <f>'Annual Raw'!M30</f>
        <v>2.7214999999999998</v>
      </c>
      <c r="M39" s="23">
        <f>'Annual Raw'!N30</f>
        <v>4.0184265000000003</v>
      </c>
      <c r="N39" s="23">
        <f>'Annual Raw'!O30</f>
        <v>0</v>
      </c>
      <c r="O39" s="23">
        <f>'Annual Raw'!P30</f>
        <v>6.5459326000000004</v>
      </c>
      <c r="P39" s="23">
        <f>'Annual Raw'!Q30</f>
        <v>27.308116099999999</v>
      </c>
      <c r="Q39" s="23">
        <f>'Annual Raw'!R30</f>
        <v>20.224088500000001</v>
      </c>
      <c r="R39" s="23">
        <f>'Annual Raw'!S30</f>
        <v>16.892786000000001</v>
      </c>
      <c r="S39" s="23">
        <f>'Annual Raw'!T30</f>
        <v>50.765409599999998</v>
      </c>
      <c r="T39" s="23">
        <f>'Annual Raw'!U30</f>
        <v>44.591000000000001</v>
      </c>
      <c r="U39" s="23">
        <f>'Annual Raw'!V30</f>
        <v>31.978000000000002</v>
      </c>
      <c r="V39" s="23">
        <f>'Annual Raw'!W30</f>
        <v>113.10899999999999</v>
      </c>
      <c r="W39" s="23">
        <f>'Annual Raw'!X30</f>
        <v>211.655</v>
      </c>
      <c r="X39" s="23">
        <f>'Annual Raw'!Y30</f>
        <v>301.62599999999998</v>
      </c>
      <c r="Y39" s="23">
        <f>'Annual Raw'!Z30</f>
        <v>388.15100000000001</v>
      </c>
      <c r="Z39" s="23">
        <f>'Annual Raw'!AA30</f>
        <v>419.86900000000003</v>
      </c>
      <c r="AA39" s="23">
        <f>'Annual Raw'!AB30</f>
        <v>356.65800000000002</v>
      </c>
      <c r="AB39" s="24">
        <f>+SUM(CM39:CP39)</f>
        <v>386.51907791878762</v>
      </c>
      <c r="AC39" s="24">
        <f>+SUM(CQ39:CT39)</f>
        <v>454.85798197464868</v>
      </c>
      <c r="AD39" s="24">
        <f>+SUM(CU39:CX39)</f>
        <v>536.39238615125691</v>
      </c>
      <c r="AE39" s="24">
        <f>+SUM(CY39:DB39)</f>
        <v>632.84402738857341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8.0850000000000009</v>
      </c>
      <c r="BM39" s="23">
        <f>'QTR Raw'!AG29</f>
        <v>9.1080000000000005</v>
      </c>
      <c r="BN39" s="23">
        <f>'QTR Raw'!AH29</f>
        <v>11.664999999999999</v>
      </c>
      <c r="BO39" s="23">
        <f>'QTR Raw'!AI29</f>
        <v>16.37</v>
      </c>
      <c r="BP39" s="23">
        <f>'QTR Raw'!AJ29</f>
        <v>25.053000000000001</v>
      </c>
      <c r="BQ39" s="23">
        <f>'QTR Raw'!AK29</f>
        <v>31.305</v>
      </c>
      <c r="BR39" s="23">
        <f>'QTR Raw'!AL29</f>
        <v>40.381</v>
      </c>
      <c r="BS39" s="23">
        <f>'QTR Raw'!AM29</f>
        <v>40.793999999999997</v>
      </c>
      <c r="BT39" s="23">
        <f>'QTR Raw'!AN29</f>
        <v>45.113999999999997</v>
      </c>
      <c r="BU39" s="23">
        <f>'QTR Raw'!AO29</f>
        <v>56.189</v>
      </c>
      <c r="BV39" s="23">
        <f>'QTR Raw'!AP29</f>
        <v>69.558000000000007</v>
      </c>
      <c r="BW39" s="23">
        <f>'QTR Raw'!AQ29</f>
        <v>61.1</v>
      </c>
      <c r="BX39" s="23">
        <f>'QTR Raw'!AR29</f>
        <v>72.099999999999994</v>
      </c>
      <c r="BY39" s="23">
        <f>'QTR Raw'!AS29</f>
        <v>73.900000000000006</v>
      </c>
      <c r="BZ39" s="23">
        <f>'QTR Raw'!AT29</f>
        <v>94.635999999999996</v>
      </c>
      <c r="CA39" s="23">
        <f>'QTR Raw'!AU29</f>
        <v>75.876999999999995</v>
      </c>
      <c r="CB39" s="23">
        <f>'QTR Raw'!AV29</f>
        <v>102.718</v>
      </c>
      <c r="CC39" s="23">
        <f>'QTR Raw'!AW29</f>
        <v>90.713999999999999</v>
      </c>
      <c r="CD39" s="23">
        <f>'QTR Raw'!AX29</f>
        <v>118.83499999999999</v>
      </c>
      <c r="CE39" s="23">
        <f>'QTR Raw'!AY29</f>
        <v>104.099</v>
      </c>
      <c r="CF39" s="23">
        <f>'QTR Raw'!AZ29</f>
        <v>148.71100000000001</v>
      </c>
      <c r="CG39" s="23">
        <f>'QTR Raw'!BA29</f>
        <v>105.854</v>
      </c>
      <c r="CH39" s="23">
        <f>'QTR Raw'!BB29</f>
        <v>61.204999999999998</v>
      </c>
      <c r="CI39" s="23">
        <f>'QTR Raw'!BC29</f>
        <v>49.968000000000004</v>
      </c>
      <c r="CJ39" s="23">
        <f>'QTR Raw'!BD29</f>
        <v>82.268000000000001</v>
      </c>
      <c r="CK39" s="23">
        <f>'QTR Raw'!BE29</f>
        <v>104.77200000000001</v>
      </c>
      <c r="CL39" s="23">
        <f>'QTR Raw'!BF29</f>
        <v>119.65</v>
      </c>
      <c r="CM39" s="24">
        <f t="shared" ref="CM39:DB39" si="494">+CM38*CM40</f>
        <v>72.619113418977051</v>
      </c>
      <c r="CN39" s="24">
        <f t="shared" si="494"/>
        <v>90.1674693397498</v>
      </c>
      <c r="CO39" s="24">
        <f t="shared" si="494"/>
        <v>108.88678099772015</v>
      </c>
      <c r="CP39" s="24">
        <f t="shared" si="494"/>
        <v>114.84571416234061</v>
      </c>
      <c r="CQ39" s="24">
        <f t="shared" si="494"/>
        <v>83.808009335972599</v>
      </c>
      <c r="CR39" s="24">
        <f t="shared" si="494"/>
        <v>102.32985414017243</v>
      </c>
      <c r="CS39" s="24">
        <f t="shared" si="494"/>
        <v>126.58850965668789</v>
      </c>
      <c r="CT39" s="24">
        <f t="shared" si="494"/>
        <v>142.13160884181576</v>
      </c>
      <c r="CU39" s="24">
        <f t="shared" si="494"/>
        <v>97.822845380823537</v>
      </c>
      <c r="CV39" s="24">
        <f t="shared" si="494"/>
        <v>120.10972144721146</v>
      </c>
      <c r="CW39" s="24">
        <f t="shared" si="494"/>
        <v>149.71061112766972</v>
      </c>
      <c r="CX39" s="24">
        <f t="shared" si="494"/>
        <v>168.74920819555226</v>
      </c>
      <c r="CY39" s="24">
        <f t="shared" si="494"/>
        <v>115.27992049055015</v>
      </c>
      <c r="CZ39" s="24">
        <f t="shared" si="494"/>
        <v>141.74068957166247</v>
      </c>
      <c r="DA39" s="24">
        <f t="shared" si="494"/>
        <v>176.74873359706319</v>
      </c>
      <c r="DB39" s="24">
        <f t="shared" si="494"/>
        <v>199.07468372929759</v>
      </c>
      <c r="DE39" s="123"/>
      <c r="DF39" s="23">
        <v>356.65800000000002</v>
      </c>
    </row>
    <row r="40" spans="1:110" s="90" customFormat="1" x14ac:dyDescent="0.2">
      <c r="A40" s="90" t="s">
        <v>106</v>
      </c>
      <c r="B40" s="90" t="e">
        <f t="shared" ref="B40:E40" si="495">B39/B38</f>
        <v>#DIV/0!</v>
      </c>
      <c r="C40" s="90" t="e">
        <f t="shared" si="495"/>
        <v>#DIV/0!</v>
      </c>
      <c r="D40" s="90" t="e">
        <f t="shared" si="495"/>
        <v>#DIV/0!</v>
      </c>
      <c r="E40" s="90" t="e">
        <f t="shared" si="495"/>
        <v>#DIV/0!</v>
      </c>
      <c r="F40" s="90" t="e">
        <f t="shared" ref="F40:T40" si="496">F39/F38</f>
        <v>#DIV/0!</v>
      </c>
      <c r="G40" s="90" t="e">
        <f t="shared" si="496"/>
        <v>#DIV/0!</v>
      </c>
      <c r="H40" s="90" t="e">
        <f t="shared" si="496"/>
        <v>#DIV/0!</v>
      </c>
      <c r="I40" s="90">
        <f t="shared" si="496"/>
        <v>0.35392440552714394</v>
      </c>
      <c r="J40" s="90">
        <f t="shared" si="496"/>
        <v>0.37337286772029765</v>
      </c>
      <c r="K40" s="90">
        <f t="shared" si="496"/>
        <v>0.35117142607432439</v>
      </c>
      <c r="L40" s="90">
        <f t="shared" si="496"/>
        <v>0.27017502059941834</v>
      </c>
      <c r="M40" s="90">
        <f t="shared" si="496"/>
        <v>0.3277600196504637</v>
      </c>
      <c r="N40" s="90">
        <f t="shared" si="496"/>
        <v>0</v>
      </c>
      <c r="O40" s="90">
        <f t="shared" si="496"/>
        <v>0.38777195639287043</v>
      </c>
      <c r="P40" s="90">
        <f t="shared" si="496"/>
        <v>0.36774287343385326</v>
      </c>
      <c r="Q40" s="90">
        <f t="shared" si="496"/>
        <v>0.38930819276314438</v>
      </c>
      <c r="R40" s="90">
        <f t="shared" si="496"/>
        <v>0.35261560704337919</v>
      </c>
      <c r="S40" s="90">
        <f t="shared" si="496"/>
        <v>0.31989507531229949</v>
      </c>
      <c r="T40" s="90">
        <f t="shared" si="496"/>
        <v>0.35837365180910741</v>
      </c>
      <c r="U40" s="90">
        <f t="shared" ref="U40:Z40" si="497">U39/U38</f>
        <v>0.26924987580725279</v>
      </c>
      <c r="V40" s="90">
        <f t="shared" si="497"/>
        <v>0.27509260227596088</v>
      </c>
      <c r="W40" s="90">
        <f t="shared" si="497"/>
        <v>0.2529606996920083</v>
      </c>
      <c r="X40" s="90">
        <f t="shared" si="497"/>
        <v>0.25308058780786991</v>
      </c>
      <c r="Y40" s="90">
        <f t="shared" si="497"/>
        <v>0.25642887296447925</v>
      </c>
      <c r="Z40" s="90">
        <f t="shared" si="497"/>
        <v>0.2637450924966237</v>
      </c>
      <c r="AA40" s="90">
        <f t="shared" ref="AA40" si="498">AA39/AA38</f>
        <v>0.28041642064114192</v>
      </c>
      <c r="AB40" s="91">
        <f t="shared" ref="AB40:AD40" si="499">AB39/AB38</f>
        <v>0.23416590049575503</v>
      </c>
      <c r="AC40" s="91">
        <f t="shared" si="499"/>
        <v>0.23190710815277368</v>
      </c>
      <c r="AD40" s="91">
        <f t="shared" si="499"/>
        <v>0.23140189060705496</v>
      </c>
      <c r="AE40" s="91">
        <f t="shared" ref="AE40" si="500">AE39/AE38</f>
        <v>0.23130881245275806</v>
      </c>
      <c r="AI40" s="90" t="e">
        <f t="shared" ref="AI40" si="501">AI39/AI38</f>
        <v>#DIV/0!</v>
      </c>
      <c r="AJ40" s="90" t="e">
        <f t="shared" ref="AJ40" si="502">AJ39/AJ38</f>
        <v>#DIV/0!</v>
      </c>
      <c r="AK40" s="90" t="e">
        <f t="shared" ref="AK40:AM40" si="503">AK39/AK38</f>
        <v>#DIV/0!</v>
      </c>
      <c r="AL40" s="90" t="e">
        <f t="shared" si="503"/>
        <v>#DIV/0!</v>
      </c>
      <c r="AM40" s="90" t="e">
        <f t="shared" si="503"/>
        <v>#DIV/0!</v>
      </c>
      <c r="AN40" s="90" t="e">
        <f t="shared" ref="AN40:AO40" si="504">AN39/AN38</f>
        <v>#DIV/0!</v>
      </c>
      <c r="AO40" s="90" t="e">
        <f t="shared" si="504"/>
        <v>#DIV/0!</v>
      </c>
      <c r="AP40" s="90" t="e">
        <f t="shared" ref="AP40:CD40" si="505">AP39/AP38</f>
        <v>#DIV/0!</v>
      </c>
      <c r="AQ40" s="90" t="e">
        <f t="shared" si="505"/>
        <v>#DIV/0!</v>
      </c>
      <c r="AR40" s="90" t="e">
        <f t="shared" si="505"/>
        <v>#DIV/0!</v>
      </c>
      <c r="AS40" s="90" t="e">
        <f t="shared" si="505"/>
        <v>#DIV/0!</v>
      </c>
      <c r="AT40" s="90" t="e">
        <f t="shared" si="505"/>
        <v>#DIV/0!</v>
      </c>
      <c r="AU40" s="90" t="e">
        <f t="shared" si="505"/>
        <v>#DIV/0!</v>
      </c>
      <c r="AV40" s="90" t="e">
        <f t="shared" si="505"/>
        <v>#DIV/0!</v>
      </c>
      <c r="AW40" s="90" t="e">
        <f t="shared" si="505"/>
        <v>#DIV/0!</v>
      </c>
      <c r="AX40" s="90" t="e">
        <f t="shared" si="505"/>
        <v>#DIV/0!</v>
      </c>
      <c r="AY40" s="90" t="e">
        <f t="shared" si="505"/>
        <v>#DIV/0!</v>
      </c>
      <c r="AZ40" s="90" t="e">
        <f t="shared" si="505"/>
        <v>#DIV/0!</v>
      </c>
      <c r="BA40" s="90" t="e">
        <f t="shared" si="505"/>
        <v>#DIV/0!</v>
      </c>
      <c r="BB40" s="90" t="e">
        <f t="shared" si="505"/>
        <v>#DIV/0!</v>
      </c>
      <c r="BC40" s="90" t="e">
        <f t="shared" si="505"/>
        <v>#DIV/0!</v>
      </c>
      <c r="BD40" s="90" t="e">
        <f t="shared" si="505"/>
        <v>#DIV/0!</v>
      </c>
      <c r="BE40" s="90" t="e">
        <f t="shared" si="505"/>
        <v>#DIV/0!</v>
      </c>
      <c r="BF40" s="90" t="e">
        <f t="shared" si="505"/>
        <v>#DIV/0!</v>
      </c>
      <c r="BG40" s="90" t="e">
        <f t="shared" si="505"/>
        <v>#DIV/0!</v>
      </c>
      <c r="BH40" s="90" t="e">
        <f t="shared" si="505"/>
        <v>#DIV/0!</v>
      </c>
      <c r="BI40" s="90" t="e">
        <f t="shared" si="505"/>
        <v>#DIV/0!</v>
      </c>
      <c r="BJ40" s="90" t="e">
        <f t="shared" si="505"/>
        <v>#DIV/0!</v>
      </c>
      <c r="BK40" s="90" t="e">
        <f t="shared" si="505"/>
        <v>#DIV/0!</v>
      </c>
      <c r="BL40" s="90">
        <f t="shared" si="505"/>
        <v>0.28503437334743509</v>
      </c>
      <c r="BM40" s="90">
        <f t="shared" si="505"/>
        <v>0.24590296714274143</v>
      </c>
      <c r="BN40" s="90">
        <f t="shared" si="505"/>
        <v>0.26371713426627191</v>
      </c>
      <c r="BO40" s="90">
        <f t="shared" si="505"/>
        <v>0.25329186588064173</v>
      </c>
      <c r="BP40" s="90">
        <f t="shared" si="505"/>
        <v>0.25141498073217727</v>
      </c>
      <c r="BQ40" s="90">
        <f t="shared" si="505"/>
        <v>0.29945761868776244</v>
      </c>
      <c r="BR40" s="90">
        <f t="shared" si="505"/>
        <v>0.28367205007341001</v>
      </c>
      <c r="BS40" s="90">
        <f t="shared" si="505"/>
        <v>0.2514655570966251</v>
      </c>
      <c r="BT40" s="90">
        <f t="shared" si="505"/>
        <v>0.25150942449532521</v>
      </c>
      <c r="BU40" s="90">
        <f t="shared" si="505"/>
        <v>0.25448031920434427</v>
      </c>
      <c r="BV40" s="90">
        <f t="shared" si="505"/>
        <v>0.2535707255189309</v>
      </c>
      <c r="BW40" s="90">
        <f t="shared" si="505"/>
        <v>0.25175113308611458</v>
      </c>
      <c r="BX40" s="90">
        <f t="shared" si="505"/>
        <v>0.25236261813090649</v>
      </c>
      <c r="BY40" s="90">
        <f t="shared" si="505"/>
        <v>0.24478304074196758</v>
      </c>
      <c r="BZ40" s="90">
        <f t="shared" si="505"/>
        <v>0.26171170672890781</v>
      </c>
      <c r="CA40" s="90">
        <f t="shared" si="505"/>
        <v>0.25573471024799294</v>
      </c>
      <c r="CB40" s="90">
        <f t="shared" si="505"/>
        <v>0.25226495212226446</v>
      </c>
      <c r="CC40" s="90">
        <f t="shared" si="505"/>
        <v>0.25841499544211483</v>
      </c>
      <c r="CD40" s="90">
        <f t="shared" si="505"/>
        <v>0.25902562682959251</v>
      </c>
      <c r="CE40" s="90">
        <f t="shared" ref="CE40:CF40" si="506">CE39/CE38</f>
        <v>0.26232974232974238</v>
      </c>
      <c r="CF40" s="90">
        <f t="shared" si="506"/>
        <v>0.2599483637749333</v>
      </c>
      <c r="CG40" s="90">
        <f t="shared" ref="CG40:CH40" si="507">CG39/CG38</f>
        <v>0.27329856449447487</v>
      </c>
      <c r="CH40" s="90">
        <f t="shared" si="507"/>
        <v>0.25964467220416937</v>
      </c>
      <c r="CI40" s="90">
        <f t="shared" ref="CI40:CJ40" si="508">CI39/CI38</f>
        <v>0.30387506385463053</v>
      </c>
      <c r="CJ40" s="90">
        <f t="shared" si="508"/>
        <v>0.27982503282335253</v>
      </c>
      <c r="CK40" s="90">
        <f t="shared" ref="CK40:CL40" si="509">CK39/CK38</f>
        <v>0.2804817651515355</v>
      </c>
      <c r="CL40" s="90">
        <f t="shared" si="509"/>
        <v>0.27198745197881385</v>
      </c>
      <c r="CM40" s="91">
        <f>AVERAGE(CI40:CL40)-3%</f>
        <v>0.25404232845208308</v>
      </c>
      <c r="CN40" s="91">
        <f t="shared" ref="CN40:CP40" si="510">AVERAGE(CJ40:CM40)-3%</f>
        <v>0.2415841446014462</v>
      </c>
      <c r="CO40" s="91">
        <f t="shared" si="510"/>
        <v>0.23202392254596968</v>
      </c>
      <c r="CP40" s="91">
        <f t="shared" si="510"/>
        <v>0.21990946189457819</v>
      </c>
      <c r="CQ40" s="91">
        <f t="shared" ref="CQ40:DB40" si="511">AVERAGE(CM40:CP40)</f>
        <v>0.23688996437351928</v>
      </c>
      <c r="CR40" s="91">
        <f t="shared" si="511"/>
        <v>0.23260187335387833</v>
      </c>
      <c r="CS40" s="91">
        <f t="shared" si="511"/>
        <v>0.23035630554198638</v>
      </c>
      <c r="CT40" s="91">
        <f t="shared" si="511"/>
        <v>0.22993940129099055</v>
      </c>
      <c r="CU40" s="91">
        <f t="shared" si="511"/>
        <v>0.23244688614009362</v>
      </c>
      <c r="CV40" s="91">
        <f t="shared" si="511"/>
        <v>0.23133611658173725</v>
      </c>
      <c r="CW40" s="91">
        <f t="shared" si="511"/>
        <v>0.23101967738870197</v>
      </c>
      <c r="CX40" s="91">
        <f t="shared" si="511"/>
        <v>0.23118552035038084</v>
      </c>
      <c r="CY40" s="91">
        <f t="shared" si="511"/>
        <v>0.23149705011522842</v>
      </c>
      <c r="CZ40" s="91">
        <f t="shared" si="511"/>
        <v>0.23125959110901212</v>
      </c>
      <c r="DA40" s="91">
        <f t="shared" si="511"/>
        <v>0.23124045974083085</v>
      </c>
      <c r="DB40" s="91">
        <f t="shared" si="511"/>
        <v>0.23129565532886304</v>
      </c>
      <c r="DE40" s="127"/>
      <c r="DF40" s="90">
        <v>0.28041642064114192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3.6909066000000039</v>
      </c>
      <c r="J41" s="26">
        <f t="shared" si="513"/>
        <v>1.9301925999999967</v>
      </c>
      <c r="K41" s="26">
        <f t="shared" si="513"/>
        <v>9.0169268000000002</v>
      </c>
      <c r="L41" s="26">
        <f t="shared" si="513"/>
        <v>7.3515999999999968</v>
      </c>
      <c r="M41" s="26">
        <f t="shared" si="513"/>
        <v>8.2418439999999986</v>
      </c>
      <c r="N41" s="26">
        <f t="shared" si="513"/>
        <v>74.209700799999993</v>
      </c>
      <c r="O41" s="26">
        <f t="shared" si="513"/>
        <v>10.334949300000012</v>
      </c>
      <c r="P41" s="26">
        <f t="shared" si="513"/>
        <v>46.950606700000016</v>
      </c>
      <c r="Q41" s="26">
        <f t="shared" si="513"/>
        <v>31.724698800000034</v>
      </c>
      <c r="R41" s="26">
        <f t="shared" si="513"/>
        <v>31.014299399999977</v>
      </c>
      <c r="S41" s="26">
        <f t="shared" si="513"/>
        <v>107.92852950000008</v>
      </c>
      <c r="T41" s="26">
        <f t="shared" si="513"/>
        <v>79.835000000000008</v>
      </c>
      <c r="U41" s="26">
        <f t="shared" ref="U41:Z41" si="514">U38-U39</f>
        <v>86.789000000000016</v>
      </c>
      <c r="V41" s="26">
        <f t="shared" si="514"/>
        <v>298.05799999999994</v>
      </c>
      <c r="W41" s="26">
        <f t="shared" si="514"/>
        <v>625.05600000000015</v>
      </c>
      <c r="X41" s="26">
        <f t="shared" si="514"/>
        <v>890.19200000000023</v>
      </c>
      <c r="Y41" s="26">
        <f t="shared" si="514"/>
        <v>1125.528</v>
      </c>
      <c r="Z41" s="26">
        <f t="shared" si="514"/>
        <v>1172.0809999999997</v>
      </c>
      <c r="AA41" s="26">
        <f t="shared" ref="AA41" si="515">AA38-AA39</f>
        <v>915.2289999999997</v>
      </c>
      <c r="AB41" s="27">
        <f t="shared" ref="AB41:AD41" si="516">AB38-AB39</f>
        <v>1264.1016021225169</v>
      </c>
      <c r="AC41" s="27">
        <f t="shared" si="516"/>
        <v>1506.5220964445148</v>
      </c>
      <c r="AD41" s="27">
        <f t="shared" si="516"/>
        <v>1781.619730102833</v>
      </c>
      <c r="AE41" s="27">
        <f t="shared" ref="AE41" si="517">AE38-AE39</f>
        <v>2103.0829815221828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20.280000000000015</v>
      </c>
      <c r="BM41" s="26">
        <f t="shared" si="521"/>
        <v>27.931000000000001</v>
      </c>
      <c r="BN41" s="26">
        <f t="shared" si="521"/>
        <v>32.567999999999977</v>
      </c>
      <c r="BO41" s="26">
        <f t="shared" si="521"/>
        <v>48.259000000000015</v>
      </c>
      <c r="BP41" s="26">
        <f t="shared" si="521"/>
        <v>74.595000000000013</v>
      </c>
      <c r="BQ41" s="26">
        <f t="shared" si="521"/>
        <v>73.234000000000009</v>
      </c>
      <c r="BR41" s="26">
        <f t="shared" si="521"/>
        <v>101.97000000000006</v>
      </c>
      <c r="BS41" s="26">
        <f t="shared" si="521"/>
        <v>121.43099999999997</v>
      </c>
      <c r="BT41" s="26">
        <f t="shared" si="521"/>
        <v>134.2590000000001</v>
      </c>
      <c r="BU41" s="26">
        <f t="shared" si="521"/>
        <v>164.60999999999999</v>
      </c>
      <c r="BV41" s="26">
        <f t="shared" si="521"/>
        <v>204.75599999999997</v>
      </c>
      <c r="BW41" s="26">
        <f t="shared" si="521"/>
        <v>181.6</v>
      </c>
      <c r="BX41" s="26">
        <f t="shared" si="521"/>
        <v>213.60000000000005</v>
      </c>
      <c r="BY41" s="26">
        <f t="shared" si="521"/>
        <v>227.99999999999997</v>
      </c>
      <c r="BZ41" s="26">
        <f t="shared" si="521"/>
        <v>266.96800000000007</v>
      </c>
      <c r="CA41" s="26">
        <f t="shared" si="521"/>
        <v>220.82499999999999</v>
      </c>
      <c r="CB41" s="26">
        <f t="shared" si="521"/>
        <v>304.46499999999992</v>
      </c>
      <c r="CC41" s="26">
        <f t="shared" si="521"/>
        <v>260.32600000000008</v>
      </c>
      <c r="CD41" s="26">
        <f t="shared" si="521"/>
        <v>339.94200000000012</v>
      </c>
      <c r="CE41" s="26">
        <f t="shared" ref="CE41:CF41" si="522">CE38-CE39</f>
        <v>292.72599999999994</v>
      </c>
      <c r="CF41" s="26">
        <f t="shared" si="522"/>
        <v>423.36799999999982</v>
      </c>
      <c r="CG41" s="26">
        <f t="shared" ref="CG41:CH41" si="523">CG38-CG39</f>
        <v>281.46599999999995</v>
      </c>
      <c r="CH41" s="26">
        <f t="shared" si="523"/>
        <v>174.5209999999999</v>
      </c>
      <c r="CI41" s="26">
        <f t="shared" ref="CI41:CJ41" si="524">CI38-CI39</f>
        <v>114.46799999999992</v>
      </c>
      <c r="CJ41" s="26">
        <f t="shared" si="524"/>
        <v>211.73</v>
      </c>
      <c r="CK41" s="26">
        <f t="shared" ref="CK41:CL41" si="525">CK38-CK39</f>
        <v>268.77099999999996</v>
      </c>
      <c r="CL41" s="26">
        <f t="shared" si="525"/>
        <v>320.26</v>
      </c>
      <c r="CM41" s="27">
        <f t="shared" ref="CM41:DB41" si="526">CM38-CM39</f>
        <v>213.23527101158572</v>
      </c>
      <c r="CN41" s="27">
        <f t="shared" si="526"/>
        <v>283.06674885989122</v>
      </c>
      <c r="CO41" s="27">
        <f t="shared" si="526"/>
        <v>360.40440157914099</v>
      </c>
      <c r="CP41" s="27">
        <f t="shared" si="526"/>
        <v>407.39518067189886</v>
      </c>
      <c r="CQ41" s="27">
        <f t="shared" si="526"/>
        <v>269.97654020208739</v>
      </c>
      <c r="CR41" s="27">
        <f t="shared" si="526"/>
        <v>337.60578638018029</v>
      </c>
      <c r="CS41" s="27">
        <f t="shared" si="526"/>
        <v>422.94500260749004</v>
      </c>
      <c r="CT41" s="27">
        <f t="shared" si="526"/>
        <v>475.99476725475773</v>
      </c>
      <c r="CU41" s="27">
        <f t="shared" si="526"/>
        <v>323.01671502467315</v>
      </c>
      <c r="CV41" s="27">
        <f t="shared" si="526"/>
        <v>399.09032056081401</v>
      </c>
      <c r="CW41" s="27">
        <f t="shared" si="526"/>
        <v>498.33206999760193</v>
      </c>
      <c r="CX41" s="27">
        <f t="shared" si="526"/>
        <v>561.18062451974424</v>
      </c>
      <c r="CY41" s="27">
        <f t="shared" si="526"/>
        <v>382.69584392272941</v>
      </c>
      <c r="CZ41" s="27">
        <f t="shared" si="526"/>
        <v>471.16660171922348</v>
      </c>
      <c r="DA41" s="27">
        <f t="shared" si="526"/>
        <v>587.60164779881904</v>
      </c>
      <c r="DB41" s="27">
        <f t="shared" si="526"/>
        <v>661.61888808141055</v>
      </c>
      <c r="DE41" s="121"/>
      <c r="DF41" s="26">
        <v>915.2289999999997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>
        <f t="shared" si="528"/>
        <v>0.40707481057472827</v>
      </c>
      <c r="J42" s="45">
        <f t="shared" si="528"/>
        <v>0.18136816883409726</v>
      </c>
      <c r="K42" s="45">
        <f t="shared" si="528"/>
        <v>0.35468851117728278</v>
      </c>
      <c r="L42" s="45">
        <f t="shared" si="528"/>
        <v>0.29454587705486163</v>
      </c>
      <c r="M42" s="45">
        <f t="shared" si="528"/>
        <v>0.30246520043010905</v>
      </c>
      <c r="N42" s="45" t="e">
        <f t="shared" si="528"/>
        <v>#DIV/0!</v>
      </c>
      <c r="O42" s="45">
        <f t="shared" si="528"/>
        <v>3.1478649555569005E-2</v>
      </c>
      <c r="P42" s="45">
        <f t="shared" si="528"/>
        <v>0.10496805891636185</v>
      </c>
      <c r="Q42" s="45">
        <f t="shared" si="528"/>
        <v>7.0855812526289474E-2</v>
      </c>
      <c r="R42" s="45">
        <f t="shared" si="528"/>
        <v>7.1977391252149581E-2</v>
      </c>
      <c r="S42" s="45">
        <f t="shared" si="528"/>
        <v>0.14111108783705972</v>
      </c>
      <c r="T42" s="45">
        <f t="shared" si="528"/>
        <v>0.1046851643020115</v>
      </c>
      <c r="U42" s="45">
        <f t="shared" si="528"/>
        <v>0.11977108127801454</v>
      </c>
      <c r="V42" s="45">
        <f t="shared" si="528"/>
        <v>0.23586434583329371</v>
      </c>
      <c r="W42" s="45">
        <f t="shared" si="528"/>
        <v>0.27281750275193645</v>
      </c>
      <c r="X42" s="45">
        <f t="shared" si="528"/>
        <v>0.29657397674895103</v>
      </c>
      <c r="Y42" s="45">
        <f t="shared" si="528"/>
        <v>0.26348578218800828</v>
      </c>
      <c r="Z42" s="45">
        <f t="shared" ref="Z42:AA42" si="529">+Z41/Z10</f>
        <v>0.22374879709925527</v>
      </c>
      <c r="AA42" s="45">
        <f t="shared" ref="AA42" si="530">+AA41/AA10</f>
        <v>0.17817773483546623</v>
      </c>
      <c r="AB42" s="48">
        <f t="shared" si="528"/>
        <v>0.21956173251659025</v>
      </c>
      <c r="AC42" s="48">
        <f t="shared" si="528"/>
        <v>0.2239896776533995</v>
      </c>
      <c r="AD42" s="48">
        <f t="shared" si="528"/>
        <v>0.22584294104730693</v>
      </c>
      <c r="AE42" s="48">
        <f t="shared" si="528"/>
        <v>0.22712885563827476</v>
      </c>
      <c r="AI42" s="45" t="e">
        <f t="shared" ref="AI42:BN42" si="531">+AI41/AI10</f>
        <v>#DIV/0!</v>
      </c>
      <c r="AJ42" s="45" t="e">
        <f t="shared" si="531"/>
        <v>#DIV/0!</v>
      </c>
      <c r="AK42" s="45" t="e">
        <f t="shared" si="531"/>
        <v>#DIV/0!</v>
      </c>
      <c r="AL42" s="45" t="e">
        <f t="shared" si="531"/>
        <v>#DIV/0!</v>
      </c>
      <c r="AM42" s="45" t="e">
        <f t="shared" si="531"/>
        <v>#DIV/0!</v>
      </c>
      <c r="AN42" s="45" t="e">
        <f t="shared" si="531"/>
        <v>#DIV/0!</v>
      </c>
      <c r="AO42" s="45" t="e">
        <f t="shared" si="531"/>
        <v>#DIV/0!</v>
      </c>
      <c r="AP42" s="45" t="e">
        <f t="shared" si="531"/>
        <v>#DIV/0!</v>
      </c>
      <c r="AQ42" s="45" t="e">
        <f t="shared" si="531"/>
        <v>#DIV/0!</v>
      </c>
      <c r="AR42" s="45" t="e">
        <f t="shared" si="531"/>
        <v>#DIV/0!</v>
      </c>
      <c r="AS42" s="45" t="e">
        <f t="shared" si="531"/>
        <v>#DIV/0!</v>
      </c>
      <c r="AT42" s="45" t="e">
        <f t="shared" si="531"/>
        <v>#DIV/0!</v>
      </c>
      <c r="AU42" s="45" t="e">
        <f t="shared" si="531"/>
        <v>#DIV/0!</v>
      </c>
      <c r="AV42" s="45" t="e">
        <f t="shared" si="531"/>
        <v>#DIV/0!</v>
      </c>
      <c r="AW42" s="45" t="e">
        <f t="shared" si="531"/>
        <v>#DIV/0!</v>
      </c>
      <c r="AX42" s="45" t="e">
        <f t="shared" si="531"/>
        <v>#DIV/0!</v>
      </c>
      <c r="AY42" s="45" t="e">
        <f t="shared" si="531"/>
        <v>#DIV/0!</v>
      </c>
      <c r="AZ42" s="45" t="e">
        <f t="shared" si="531"/>
        <v>#DIV/0!</v>
      </c>
      <c r="BA42" s="45" t="e">
        <f t="shared" si="531"/>
        <v>#DIV/0!</v>
      </c>
      <c r="BB42" s="45" t="e">
        <f t="shared" si="531"/>
        <v>#DIV/0!</v>
      </c>
      <c r="BC42" s="45" t="e">
        <f t="shared" si="531"/>
        <v>#DIV/0!</v>
      </c>
      <c r="BD42" s="45" t="e">
        <f t="shared" si="531"/>
        <v>#DIV/0!</v>
      </c>
      <c r="BE42" s="45" t="e">
        <f t="shared" si="531"/>
        <v>#DIV/0!</v>
      </c>
      <c r="BF42" s="45" t="e">
        <f t="shared" si="531"/>
        <v>#DIV/0!</v>
      </c>
      <c r="BG42" s="45" t="e">
        <f t="shared" si="531"/>
        <v>#DIV/0!</v>
      </c>
      <c r="BH42" s="45" t="e">
        <f t="shared" si="531"/>
        <v>#DIV/0!</v>
      </c>
      <c r="BI42" s="45" t="e">
        <f t="shared" si="531"/>
        <v>#DIV/0!</v>
      </c>
      <c r="BJ42" s="45" t="e">
        <f t="shared" si="531"/>
        <v>#DIV/0!</v>
      </c>
      <c r="BK42" s="45" t="e">
        <f t="shared" si="531"/>
        <v>#DIV/0!</v>
      </c>
      <c r="BL42" s="45">
        <f t="shared" si="531"/>
        <v>0.11803187093319684</v>
      </c>
      <c r="BM42" s="45">
        <f t="shared" si="531"/>
        <v>0.15626171361436683</v>
      </c>
      <c r="BN42" s="45">
        <f t="shared" si="531"/>
        <v>0.16896235078053248</v>
      </c>
      <c r="BO42" s="45">
        <f t="shared" ref="BO42:CT42" si="532">+BO41/BO10</f>
        <v>0.20240831459920147</v>
      </c>
      <c r="BP42" s="45">
        <f t="shared" si="532"/>
        <v>0.24074163721740818</v>
      </c>
      <c r="BQ42" s="45">
        <f t="shared" si="532"/>
        <v>0.23870818434579671</v>
      </c>
      <c r="BR42" s="45">
        <f t="shared" si="532"/>
        <v>0.24955214237467341</v>
      </c>
      <c r="BS42" s="45">
        <f t="shared" si="532"/>
        <v>0.26245817735395566</v>
      </c>
      <c r="BT42" s="45">
        <f t="shared" si="532"/>
        <v>0.25459665490954619</v>
      </c>
      <c r="BU42" s="45">
        <f t="shared" si="532"/>
        <v>0.27558138950878841</v>
      </c>
      <c r="BV42" s="45">
        <f t="shared" si="532"/>
        <v>0.30075395595534132</v>
      </c>
      <c r="BW42" s="45">
        <f t="shared" si="532"/>
        <v>0.26627565982404694</v>
      </c>
      <c r="BX42" s="45">
        <f t="shared" si="532"/>
        <v>0.28659600161008997</v>
      </c>
      <c r="BY42" s="45">
        <f t="shared" si="532"/>
        <v>0.3045685279187817</v>
      </c>
      <c r="BZ42" s="45">
        <f t="shared" si="532"/>
        <v>0.32330836173217176</v>
      </c>
      <c r="CA42" s="45">
        <f t="shared" si="532"/>
        <v>0.27346579897338097</v>
      </c>
      <c r="CB42" s="45">
        <f t="shared" si="532"/>
        <v>0.29055691227989805</v>
      </c>
      <c r="CC42" s="45">
        <f t="shared" si="532"/>
        <v>0.24581179665472516</v>
      </c>
      <c r="CD42" s="45">
        <f t="shared" si="532"/>
        <v>0.25045900760051759</v>
      </c>
      <c r="CE42" s="45">
        <f t="shared" si="532"/>
        <v>0.20827860605896739</v>
      </c>
      <c r="CF42" s="45">
        <f t="shared" si="532"/>
        <v>0.27950506566950939</v>
      </c>
      <c r="CG42" s="45">
        <f t="shared" si="532"/>
        <v>0.22299529553812925</v>
      </c>
      <c r="CH42" s="45">
        <f t="shared" si="532"/>
        <v>0.16526406398406071</v>
      </c>
      <c r="CI42" s="45">
        <f t="shared" ref="CI42:CJ42" si="533">+CI41/CI10</f>
        <v>0.100363777924493</v>
      </c>
      <c r="CJ42" s="45">
        <f t="shared" si="533"/>
        <v>0.17618355775455624</v>
      </c>
      <c r="CK42" s="45">
        <f t="shared" ref="CK42:CL42" si="534">+CK41/CK10</f>
        <v>0.20134227685152997</v>
      </c>
      <c r="CL42" s="45">
        <f t="shared" si="534"/>
        <v>0.21944303977876173</v>
      </c>
      <c r="CM42" s="48">
        <f t="shared" si="532"/>
        <v>0.1813179576072487</v>
      </c>
      <c r="CN42" s="48">
        <f t="shared" si="532"/>
        <v>0.21688528913668367</v>
      </c>
      <c r="CO42" s="48">
        <f t="shared" si="532"/>
        <v>0.23291017414853216</v>
      </c>
      <c r="CP42" s="48">
        <f t="shared" si="532"/>
        <v>0.23564999334658607</v>
      </c>
      <c r="CQ42" s="48">
        <f t="shared" si="532"/>
        <v>0.20221939701058894</v>
      </c>
      <c r="CR42" s="48">
        <f t="shared" si="532"/>
        <v>0.22275200924630892</v>
      </c>
      <c r="CS42" s="48">
        <f t="shared" si="532"/>
        <v>0.23161963555980661</v>
      </c>
      <c r="CT42" s="48">
        <f t="shared" si="532"/>
        <v>0.23228976924792397</v>
      </c>
      <c r="CU42" s="48">
        <f t="shared" ref="CU42:DB42" si="535">+CU41/CU10</f>
        <v>0.20759823828870794</v>
      </c>
      <c r="CV42" s="48">
        <f t="shared" si="535"/>
        <v>0.22448007699107383</v>
      </c>
      <c r="CW42" s="48">
        <f t="shared" si="535"/>
        <v>0.23206952529910047</v>
      </c>
      <c r="CX42" s="48">
        <f t="shared" si="535"/>
        <v>0.2330869046388879</v>
      </c>
      <c r="CY42" s="48">
        <f t="shared" si="535"/>
        <v>0.20979623959682897</v>
      </c>
      <c r="CZ42" s="48">
        <f t="shared" si="535"/>
        <v>0.22573015915032915</v>
      </c>
      <c r="DA42" s="48">
        <f t="shared" si="535"/>
        <v>0.23302054984080897</v>
      </c>
      <c r="DB42" s="48">
        <f t="shared" si="535"/>
        <v>0.23409180411558733</v>
      </c>
      <c r="DE42" s="129"/>
      <c r="DF42" s="45">
        <v>0.17817773483546623</v>
      </c>
    </row>
    <row r="43" spans="1:110" s="39" customFormat="1" x14ac:dyDescent="0.2">
      <c r="A43" s="39" t="s">
        <v>451</v>
      </c>
      <c r="C43" s="39" t="e">
        <f t="shared" ref="C43:E43" si="536">+IF(B41&lt;0,1-C41/B41,C41/B41-1)</f>
        <v>#DIV/0!</v>
      </c>
      <c r="D43" s="39" t="e">
        <f t="shared" si="536"/>
        <v>#DIV/0!</v>
      </c>
      <c r="E43" s="39" t="e">
        <f t="shared" si="536"/>
        <v>#DIV/0!</v>
      </c>
      <c r="F43" s="39" t="e">
        <f t="shared" ref="F43:AE43" si="537">+IF(E41&lt;0,1-F41/E41,F41/E41-1)</f>
        <v>#DIV/0!</v>
      </c>
      <c r="G43" s="39" t="e">
        <f t="shared" si="537"/>
        <v>#DIV/0!</v>
      </c>
      <c r="H43" s="39" t="e">
        <f t="shared" si="537"/>
        <v>#DIV/0!</v>
      </c>
      <c r="I43" s="39" t="e">
        <f t="shared" si="537"/>
        <v>#DIV/0!</v>
      </c>
      <c r="J43" s="39">
        <f t="shared" si="537"/>
        <v>-0.4770410608602248</v>
      </c>
      <c r="K43" s="39">
        <f t="shared" si="537"/>
        <v>3.6715166144559959</v>
      </c>
      <c r="L43" s="39">
        <f t="shared" si="537"/>
        <v>-0.18468895633044324</v>
      </c>
      <c r="M43" s="39">
        <f t="shared" si="537"/>
        <v>0.12109527177757262</v>
      </c>
      <c r="N43" s="39">
        <f t="shared" si="537"/>
        <v>8.0040166739385032</v>
      </c>
      <c r="O43" s="39">
        <f t="shared" si="537"/>
        <v>-0.86073317654448744</v>
      </c>
      <c r="P43" s="39">
        <f t="shared" si="537"/>
        <v>3.5428966642342363</v>
      </c>
      <c r="Q43" s="39">
        <f t="shared" si="537"/>
        <v>-0.32429629711259889</v>
      </c>
      <c r="R43" s="39">
        <f t="shared" si="537"/>
        <v>-2.2392628673280179E-2</v>
      </c>
      <c r="S43" s="39">
        <f t="shared" si="537"/>
        <v>2.4799602631036755</v>
      </c>
      <c r="T43" s="39">
        <f t="shared" si="537"/>
        <v>-0.26029752865297817</v>
      </c>
      <c r="U43" s="39">
        <f t="shared" si="537"/>
        <v>8.7104653347529259E-2</v>
      </c>
      <c r="V43" s="39">
        <f t="shared" si="537"/>
        <v>2.4342831464816954</v>
      </c>
      <c r="W43" s="39">
        <f t="shared" si="537"/>
        <v>1.097095196236975</v>
      </c>
      <c r="X43" s="39">
        <f t="shared" si="537"/>
        <v>0.4241795935084216</v>
      </c>
      <c r="Y43" s="39">
        <f t="shared" si="537"/>
        <v>0.26436544026457187</v>
      </c>
      <c r="Z43" s="39">
        <f t="shared" ref="Z43:AA43" si="538">+IF(Y41&lt;0,1-Z41/Y41,Z41/Y41-1)</f>
        <v>4.1361032333269154E-2</v>
      </c>
      <c r="AA43" s="39">
        <f t="shared" si="538"/>
        <v>-0.21914185111779816</v>
      </c>
      <c r="AB43" s="40">
        <f t="shared" si="537"/>
        <v>0.38118613169219651</v>
      </c>
      <c r="AC43" s="40">
        <f t="shared" si="537"/>
        <v>0.19177295077781453</v>
      </c>
      <c r="AD43" s="40">
        <f t="shared" si="537"/>
        <v>0.18260444656441854</v>
      </c>
      <c r="AE43" s="40">
        <f t="shared" si="537"/>
        <v>0.18043314518120845</v>
      </c>
      <c r="AM43" s="39" t="e">
        <f>+IF(AI41&lt;0,1-AM41/AI41,AM41/AI41-1)</f>
        <v>#DIV/0!</v>
      </c>
      <c r="AN43" s="39" t="e">
        <f t="shared" ref="AN43" si="539">+IF(AJ41&lt;0,1-AN41/AJ41,AN41/AJ41-1)</f>
        <v>#DIV/0!</v>
      </c>
      <c r="AO43" s="39" t="e">
        <f t="shared" ref="AO43" si="540">+IF(AK41&lt;0,1-AO41/AK41,AO41/AK41-1)</f>
        <v>#DIV/0!</v>
      </c>
      <c r="AP43" s="39" t="e">
        <f t="shared" ref="AP43" si="541">+IF(AL41&lt;0,1-AP41/AL41,AP41/AL41-1)</f>
        <v>#DIV/0!</v>
      </c>
      <c r="AQ43" s="39" t="e">
        <f t="shared" ref="AQ43" si="542">+IF(AM41&lt;0,1-AQ41/AM41,AQ41/AM41-1)</f>
        <v>#DIV/0!</v>
      </c>
      <c r="AR43" s="39" t="e">
        <f t="shared" ref="AR43" si="543">+IF(AN41&lt;0,1-AR41/AN41,AR41/AN41-1)</f>
        <v>#DIV/0!</v>
      </c>
      <c r="AS43" s="39" t="e">
        <f t="shared" ref="AS43" si="544">+IF(AO41&lt;0,1-AS41/AO41,AS41/AO41-1)</f>
        <v>#DIV/0!</v>
      </c>
      <c r="AT43" s="39" t="e">
        <f t="shared" ref="AT43" si="545">+IF(AP41&lt;0,1-AT41/AP41,AT41/AP41-1)</f>
        <v>#DIV/0!</v>
      </c>
      <c r="AU43" s="39" t="e">
        <f t="shared" ref="AU43" si="546">+IF(AQ41&lt;0,1-AU41/AQ41,AU41/AQ41-1)</f>
        <v>#DIV/0!</v>
      </c>
      <c r="AV43" s="39" t="e">
        <f t="shared" ref="AV43" si="547">+IF(AR41&lt;0,1-AV41/AR41,AV41/AR41-1)</f>
        <v>#DIV/0!</v>
      </c>
      <c r="AW43" s="39" t="e">
        <f t="shared" ref="AW43" si="548">+IF(AS41&lt;0,1-AW41/AS41,AW41/AS41-1)</f>
        <v>#DIV/0!</v>
      </c>
      <c r="AX43" s="39" t="e">
        <f t="shared" ref="AX43" si="549">+IF(AT41&lt;0,1-AX41/AT41,AX41/AT41-1)</f>
        <v>#DIV/0!</v>
      </c>
      <c r="AY43" s="39" t="e">
        <f t="shared" ref="AY43" si="550">+IF(AU41&lt;0,1-AY41/AU41,AY41/AU41-1)</f>
        <v>#DIV/0!</v>
      </c>
      <c r="AZ43" s="39" t="e">
        <f t="shared" ref="AZ43" si="551">+IF(AV41&lt;0,1-AZ41/AV41,AZ41/AV41-1)</f>
        <v>#DIV/0!</v>
      </c>
      <c r="BA43" s="39" t="e">
        <f t="shared" ref="BA43" si="552">+IF(AW41&lt;0,1-BA41/AW41,BA41/AW41-1)</f>
        <v>#DIV/0!</v>
      </c>
      <c r="BB43" s="39" t="e">
        <f t="shared" ref="BB43" si="553">+IF(AX41&lt;0,1-BB41/AX41,BB41/AX41-1)</f>
        <v>#DIV/0!</v>
      </c>
      <c r="BC43" s="39" t="e">
        <f t="shared" ref="BC43" si="554">+IF(AY41&lt;0,1-BC41/AY41,BC41/AY41-1)</f>
        <v>#DIV/0!</v>
      </c>
      <c r="BD43" s="39" t="e">
        <f t="shared" ref="BD43" si="555">+IF(AZ41&lt;0,1-BD41/AZ41,BD41/AZ41-1)</f>
        <v>#DIV/0!</v>
      </c>
      <c r="BE43" s="39" t="e">
        <f t="shared" ref="BE43" si="556">+IF(BA41&lt;0,1-BE41/BA41,BE41/BA41-1)</f>
        <v>#DIV/0!</v>
      </c>
      <c r="BF43" s="39" t="e">
        <f t="shared" ref="BF43" si="557">+IF(BB41&lt;0,1-BF41/BB41,BF41/BB41-1)</f>
        <v>#DIV/0!</v>
      </c>
      <c r="BG43" s="39" t="e">
        <f t="shared" ref="BG43" si="558">+IF(BC41&lt;0,1-BG41/BC41,BG41/BC41-1)</f>
        <v>#DIV/0!</v>
      </c>
      <c r="BH43" s="39" t="e">
        <f t="shared" ref="BH43" si="559">+IF(BD41&lt;0,1-BH41/BD41,BH41/BD41-1)</f>
        <v>#DIV/0!</v>
      </c>
      <c r="BI43" s="39" t="e">
        <f t="shared" ref="BI43" si="560">+IF(BE41&lt;0,1-BI41/BE41,BI41/BE41-1)</f>
        <v>#DIV/0!</v>
      </c>
      <c r="BJ43" s="39" t="e">
        <f t="shared" ref="BJ43" si="561">+IF(BF41&lt;0,1-BJ41/BF41,BJ41/BF41-1)</f>
        <v>#DIV/0!</v>
      </c>
      <c r="BK43" s="39" t="e">
        <f t="shared" ref="BK43" si="562">+IF(BG41&lt;0,1-BK41/BG41,BK41/BG41-1)</f>
        <v>#DIV/0!</v>
      </c>
      <c r="BL43" s="39" t="e">
        <f t="shared" ref="BL43" si="563">+IF(BH41&lt;0,1-BL41/BH41,BL41/BH41-1)</f>
        <v>#DIV/0!</v>
      </c>
      <c r="BM43" s="39" t="e">
        <f t="shared" ref="BM43" si="564">+IF(BI41&lt;0,1-BM41/BI41,BM41/BI41-1)</f>
        <v>#DIV/0!</v>
      </c>
      <c r="BN43" s="39" t="e">
        <f t="shared" ref="BN43" si="565">+IF(BJ41&lt;0,1-BN41/BJ41,BN41/BJ41-1)</f>
        <v>#DIV/0!</v>
      </c>
      <c r="BO43" s="39" t="e">
        <f t="shared" ref="BO43" si="566">+IF(BK41&lt;0,1-BO41/BK41,BO41/BK41-1)</f>
        <v>#DIV/0!</v>
      </c>
      <c r="BP43" s="39">
        <f t="shared" ref="BP43" si="567">+IF(BL41&lt;0,1-BP41/BL41,BP41/BL41-1)</f>
        <v>2.6782544378698203</v>
      </c>
      <c r="BQ43" s="39">
        <f t="shared" ref="BQ43" si="568">+IF(BM41&lt;0,1-BQ41/BM41,BQ41/BM41-1)</f>
        <v>1.6219612616805703</v>
      </c>
      <c r="BR43" s="39">
        <f t="shared" ref="BR43" si="569">+IF(BN41&lt;0,1-BR41/BN41,BR41/BN41-1)</f>
        <v>2.1309874723655162</v>
      </c>
      <c r="BS43" s="39">
        <f t="shared" ref="BS43" si="570">+IF(BO41&lt;0,1-BS41/BO41,BS41/BO41-1)</f>
        <v>1.516235313620256</v>
      </c>
      <c r="BT43" s="39">
        <f t="shared" ref="BT43" si="571">+IF(BP41&lt;0,1-BT41/BP41,BT41/BP41-1)</f>
        <v>0.79983913130907003</v>
      </c>
      <c r="BU43" s="39">
        <f t="shared" ref="BU43" si="572">+IF(BQ41&lt;0,1-BU41/BQ41,BU41/BQ41-1)</f>
        <v>1.2477264658491953</v>
      </c>
      <c r="BV43" s="39">
        <f t="shared" ref="BV43" si="573">+IF(BR41&lt;0,1-BV41/BR41,BV41/BR41-1)</f>
        <v>1.0080023536334202</v>
      </c>
      <c r="BW43" s="39">
        <f t="shared" ref="BW43" si="574">+IF(BS41&lt;0,1-BW41/BS41,BW41/BS41-1)</f>
        <v>0.49549950177467061</v>
      </c>
      <c r="BX43" s="39">
        <f t="shared" ref="BX43" si="575">+IF(BT41&lt;0,1-BX41/BT41,BX41/BT41-1)</f>
        <v>0.5909547963265025</v>
      </c>
      <c r="BY43" s="39">
        <f t="shared" ref="BY43" si="576">+IF(BU41&lt;0,1-BY41/BU41,BY41/BU41-1)</f>
        <v>0.38509203572079453</v>
      </c>
      <c r="BZ43" s="39">
        <f t="shared" ref="BZ43" si="577">+IF(BV41&lt;0,1-BZ41/BV41,BZ41/BV41-1)</f>
        <v>0.30383480825958764</v>
      </c>
      <c r="CA43" s="39">
        <f t="shared" ref="CA43" si="578">+IF(BW41&lt;0,1-CA41/BW41,CA41/BW41-1)</f>
        <v>0.21599669603524219</v>
      </c>
      <c r="CB43" s="39">
        <f t="shared" ref="CB43" si="579">+IF(BX41&lt;0,1-CB41/BX41,CB41/BX41-1)</f>
        <v>0.42539794007490572</v>
      </c>
      <c r="CC43" s="39">
        <f t="shared" ref="CC43" si="580">+IF(BY41&lt;0,1-CC41/BY41,CC41/BY41-1)</f>
        <v>0.1417807017543864</v>
      </c>
      <c r="CD43" s="39">
        <f t="shared" ref="CD43" si="581">+IF(BZ41&lt;0,1-CD41/BZ41,CD41/BZ41-1)</f>
        <v>0.27334362170747073</v>
      </c>
      <c r="CE43" s="39">
        <f t="shared" ref="CE43" si="582">+IF(CA41&lt;0,1-CE41/CA41,CE41/CA41-1)</f>
        <v>0.32560172081965333</v>
      </c>
      <c r="CF43" s="39">
        <f t="shared" ref="CF43" si="583">+IF(CB41&lt;0,1-CF41/CB41,CF41/CB41-1)</f>
        <v>0.3905309313057328</v>
      </c>
      <c r="CG43" s="39">
        <f t="shared" ref="CG43" si="584">+IF(CC41&lt;0,1-CG41/CC41,CG41/CC41-1)</f>
        <v>8.1205872636616716E-2</v>
      </c>
      <c r="CH43" s="39">
        <f t="shared" ref="CH43:CL43" si="585">+IF(CD41&lt;0,1-CH41/CD41,CH41/CD41-1)</f>
        <v>-0.48661536379735415</v>
      </c>
      <c r="CI43" s="39">
        <f t="shared" si="585"/>
        <v>-0.60895854826698026</v>
      </c>
      <c r="CJ43" s="39">
        <f t="shared" si="585"/>
        <v>-0.49989134748020614</v>
      </c>
      <c r="CK43" s="39">
        <f t="shared" si="585"/>
        <v>-4.5103138567358037E-2</v>
      </c>
      <c r="CL43" s="39">
        <f t="shared" si="585"/>
        <v>0.83508001902349949</v>
      </c>
      <c r="CM43" s="40">
        <f t="shared" ref="CM43" si="586">+CM41/CI41-1</f>
        <v>0.86283739570522666</v>
      </c>
      <c r="CN43" s="40">
        <f t="shared" ref="CN43" si="587">+CN41/CJ41-1</f>
        <v>0.33692319869593934</v>
      </c>
      <c r="CO43" s="40">
        <f t="shared" ref="CO43" si="588">+CO41/CK41-1</f>
        <v>0.34093485375706845</v>
      </c>
      <c r="CP43" s="40">
        <f t="shared" ref="CP43" si="589">+CP41/CL41-1</f>
        <v>0.27207637754293024</v>
      </c>
      <c r="CQ43" s="40">
        <f t="shared" ref="CQ43" si="590">+CQ41/CM41-1</f>
        <v>0.26609701538268848</v>
      </c>
      <c r="CR43" s="40">
        <f t="shared" ref="CR43" si="591">+CR41/CN41-1</f>
        <v>0.19267200312278332</v>
      </c>
      <c r="CS43" s="40">
        <f t="shared" ref="CS43" si="592">+CS41/CO41-1</f>
        <v>0.17352896011902841</v>
      </c>
      <c r="CT43" s="40">
        <f t="shared" ref="CT43" si="593">+CT41/CP41-1</f>
        <v>0.16838585687174956</v>
      </c>
      <c r="CU43" s="40">
        <f t="shared" ref="CU43" si="594">+CU41/CQ41-1</f>
        <v>0.19646216216743584</v>
      </c>
      <c r="CV43" s="40">
        <f t="shared" ref="CV43" si="595">+CV41/CR41-1</f>
        <v>0.18211931388935243</v>
      </c>
      <c r="CW43" s="40">
        <f t="shared" ref="CW43" si="596">+CW41/CS41-1</f>
        <v>0.17824319220074614</v>
      </c>
      <c r="CX43" s="40">
        <f t="shared" ref="CX43" si="597">+CX41/CT41-1</f>
        <v>0.17896385238914636</v>
      </c>
      <c r="CY43" s="40">
        <f t="shared" ref="CY43" si="598">+CY41/CU41-1</f>
        <v>0.18475554397702854</v>
      </c>
      <c r="CZ43" s="40">
        <f t="shared" ref="CZ43" si="599">+CZ41/CV41-1</f>
        <v>0.18060142640674837</v>
      </c>
      <c r="DA43" s="40">
        <f t="shared" ref="DA43" si="600">+DA41/CW41-1</f>
        <v>0.17913673065762503</v>
      </c>
      <c r="DB43" s="40">
        <f t="shared" ref="DB43" si="601">+DB41/CX41-1</f>
        <v>0.17897671297475903</v>
      </c>
      <c r="DE43" s="122"/>
      <c r="DF43" s="39">
        <v>-0.21914185111779816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2">+IF(AJ41&lt;0,1-AK41/AJ41,AK41/AJ41-1)</f>
        <v>#DIV/0!</v>
      </c>
      <c r="AL44" s="39" t="e">
        <f t="shared" si="602"/>
        <v>#DIV/0!</v>
      </c>
      <c r="AM44" s="39" t="e">
        <f t="shared" si="602"/>
        <v>#DIV/0!</v>
      </c>
      <c r="AN44" s="39" t="e">
        <f t="shared" ref="AN44" si="603">+IF(AM41&lt;0,1-AN41/AM41,AN41/AM41-1)</f>
        <v>#DIV/0!</v>
      </c>
      <c r="AO44" s="39" t="e">
        <f t="shared" ref="AO44" si="604">+IF(AN41&lt;0,1-AO41/AN41,AO41/AN41-1)</f>
        <v>#DIV/0!</v>
      </c>
      <c r="AP44" s="39" t="e">
        <f t="shared" ref="AP44" si="605">+IF(AO41&lt;0,1-AP41/AO41,AP41/AO41-1)</f>
        <v>#DIV/0!</v>
      </c>
      <c r="AQ44" s="39" t="e">
        <f t="shared" ref="AQ44" si="606">+IF(AP41&lt;0,1-AQ41/AP41,AQ41/AP41-1)</f>
        <v>#DIV/0!</v>
      </c>
      <c r="AR44" s="39" t="e">
        <f t="shared" ref="AR44" si="607">+IF(AQ41&lt;0,1-AR41/AQ41,AR41/AQ41-1)</f>
        <v>#DIV/0!</v>
      </c>
      <c r="AS44" s="39" t="e">
        <f t="shared" ref="AS44" si="608">+IF(AR41&lt;0,1-AS41/AR41,AS41/AR41-1)</f>
        <v>#DIV/0!</v>
      </c>
      <c r="AT44" s="39" t="e">
        <f t="shared" ref="AT44" si="609">+IF(AS41&lt;0,1-AT41/AS41,AT41/AS41-1)</f>
        <v>#DIV/0!</v>
      </c>
      <c r="AU44" s="39" t="e">
        <f t="shared" ref="AU44" si="610">+IF(AT41&lt;0,1-AU41/AT41,AU41/AT41-1)</f>
        <v>#DIV/0!</v>
      </c>
      <c r="AV44" s="39" t="e">
        <f t="shared" ref="AV44" si="611">+IF(AU41&lt;0,1-AV41/AU41,AV41/AU41-1)</f>
        <v>#DIV/0!</v>
      </c>
      <c r="AW44" s="39" t="e">
        <f t="shared" ref="AW44" si="612">+IF(AV41&lt;0,1-AW41/AV41,AW41/AV41-1)</f>
        <v>#DIV/0!</v>
      </c>
      <c r="AX44" s="39" t="e">
        <f t="shared" ref="AX44" si="613">+IF(AW41&lt;0,1-AX41/AW41,AX41/AW41-1)</f>
        <v>#DIV/0!</v>
      </c>
      <c r="AY44" s="39" t="e">
        <f t="shared" ref="AY44" si="614">+IF(AX41&lt;0,1-AY41/AX41,AY41/AX41-1)</f>
        <v>#DIV/0!</v>
      </c>
      <c r="AZ44" s="39" t="e">
        <f t="shared" ref="AZ44" si="615">+IF(AY41&lt;0,1-AZ41/AY41,AZ41/AY41-1)</f>
        <v>#DIV/0!</v>
      </c>
      <c r="BA44" s="39" t="e">
        <f t="shared" ref="BA44" si="616">+IF(AZ41&lt;0,1-BA41/AZ41,BA41/AZ41-1)</f>
        <v>#DIV/0!</v>
      </c>
      <c r="BB44" s="39" t="e">
        <f t="shared" ref="BB44" si="617">+IF(BA41&lt;0,1-BB41/BA41,BB41/BA41-1)</f>
        <v>#DIV/0!</v>
      </c>
      <c r="BC44" s="39" t="e">
        <f t="shared" ref="BC44" si="618">+IF(BB41&lt;0,1-BC41/BB41,BC41/BB41-1)</f>
        <v>#DIV/0!</v>
      </c>
      <c r="BD44" s="39" t="e">
        <f t="shared" ref="BD44" si="619">+IF(BC41&lt;0,1-BD41/BC41,BD41/BC41-1)</f>
        <v>#DIV/0!</v>
      </c>
      <c r="BE44" s="39" t="e">
        <f t="shared" ref="BE44" si="620">+IF(BD41&lt;0,1-BE41/BD41,BE41/BD41-1)</f>
        <v>#DIV/0!</v>
      </c>
      <c r="BF44" s="39" t="e">
        <f t="shared" ref="BF44" si="621">+IF(BE41&lt;0,1-BF41/BE41,BF41/BE41-1)</f>
        <v>#DIV/0!</v>
      </c>
      <c r="BG44" s="39" t="e">
        <f t="shared" ref="BG44" si="622">+IF(BF41&lt;0,1-BG41/BF41,BG41/BF41-1)</f>
        <v>#DIV/0!</v>
      </c>
      <c r="BH44" s="39" t="e">
        <f t="shared" ref="BH44" si="623">+IF(BG41&lt;0,1-BH41/BG41,BH41/BG41-1)</f>
        <v>#DIV/0!</v>
      </c>
      <c r="BI44" s="39" t="e">
        <f t="shared" ref="BI44" si="624">+IF(BH41&lt;0,1-BI41/BH41,BI41/BH41-1)</f>
        <v>#DIV/0!</v>
      </c>
      <c r="BJ44" s="39" t="e">
        <f t="shared" ref="BJ44" si="625">+IF(BI41&lt;0,1-BJ41/BI41,BJ41/BI41-1)</f>
        <v>#DIV/0!</v>
      </c>
      <c r="BK44" s="39" t="e">
        <f t="shared" ref="BK44" si="626">+IF(BJ41&lt;0,1-BK41/BJ41,BK41/BJ41-1)</f>
        <v>#DIV/0!</v>
      </c>
      <c r="BL44" s="39" t="e">
        <f t="shared" ref="BL44" si="627">+IF(BK41&lt;0,1-BL41/BK41,BL41/BK41-1)</f>
        <v>#DIV/0!</v>
      </c>
      <c r="BM44" s="39">
        <f t="shared" ref="BM44" si="628">+IF(BL41&lt;0,1-BM41/BL41,BM41/BL41-1)</f>
        <v>0.37726824457593588</v>
      </c>
      <c r="BN44" s="39">
        <f t="shared" ref="BN44" si="629">+IF(BM41&lt;0,1-BN41/BM41,BN41/BM41-1)</f>
        <v>0.16601625434105394</v>
      </c>
      <c r="BO44" s="39">
        <f t="shared" ref="BO44" si="630">+IF(BN41&lt;0,1-BO41/BN41,BO41/BN41-1)</f>
        <v>0.48179194301154649</v>
      </c>
      <c r="BP44" s="39">
        <f t="shared" ref="BP44" si="631">+IF(BO41&lt;0,1-BP41/BO41,BP41/BO41-1)</f>
        <v>0.54572204148448966</v>
      </c>
      <c r="BQ44" s="39">
        <f t="shared" ref="BQ44" si="632">+IF(BP41&lt;0,1-BQ41/BP41,BQ41/BP41-1)</f>
        <v>-1.8245190696427382E-2</v>
      </c>
      <c r="BR44" s="39">
        <f t="shared" ref="BR44" si="633">+IF(BQ41&lt;0,1-BR41/BQ41,BR41/BQ41-1)</f>
        <v>0.39238605019526518</v>
      </c>
      <c r="BS44" s="39">
        <f t="shared" ref="BS44" si="634">+IF(BR41&lt;0,1-BS41/BR41,BS41/BR41-1)</f>
        <v>0.19085025007355005</v>
      </c>
      <c r="BT44" s="39">
        <f t="shared" ref="BT44" si="635">+IF(BS41&lt;0,1-BT41/BS41,BT41/BS41-1)</f>
        <v>0.10564024013637474</v>
      </c>
      <c r="BU44" s="39">
        <f t="shared" ref="BU44" si="636">+IF(BT41&lt;0,1-BU41/BT41,BU41/BT41-1)</f>
        <v>0.22606305722521292</v>
      </c>
      <c r="BV44" s="39">
        <f t="shared" ref="BV44" si="637">+IF(BU41&lt;0,1-BV41/BU41,BV41/BU41-1)</f>
        <v>0.243885547658101</v>
      </c>
      <c r="BW44" s="39">
        <f t="shared" ref="BW44" si="638">+IF(BV41&lt;0,1-BW41/BV41,BW41/BV41-1)</f>
        <v>-0.11309070308073987</v>
      </c>
      <c r="BX44" s="39">
        <f t="shared" ref="BX44" si="639">+IF(BW41&lt;0,1-BX41/BW41,BX41/BW41-1)</f>
        <v>0.17621145374449365</v>
      </c>
      <c r="BY44" s="39">
        <f t="shared" ref="BY44" si="640">+IF(BX41&lt;0,1-BY41/BX41,BY41/BX41-1)</f>
        <v>6.7415730337078372E-2</v>
      </c>
      <c r="BZ44" s="39">
        <f t="shared" ref="BZ44" si="641">+IF(BY41&lt;0,1-BZ41/BY41,BZ41/BY41-1)</f>
        <v>0.1709122807017549</v>
      </c>
      <c r="CA44" s="39">
        <f t="shared" ref="CA44" si="642">+IF(BZ41&lt;0,1-CA41/BZ41,CA41/BZ41-1)</f>
        <v>-0.17284093973809622</v>
      </c>
      <c r="CB44" s="39">
        <f t="shared" ref="CB44" si="643">+IF(CA41&lt;0,1-CB41/CA41,CB41/CA41-1)</f>
        <v>0.3787614626967053</v>
      </c>
      <c r="CC44" s="39">
        <f t="shared" ref="CC44" si="644">+IF(CB41&lt;0,1-CC41/CB41,CC41/CB41-1)</f>
        <v>-0.14497232851066577</v>
      </c>
      <c r="CD44" s="39">
        <f t="shared" ref="CD44" si="645">+IF(CC41&lt;0,1-CD41/CC41,CD41/CC41-1)</f>
        <v>0.30583191844072433</v>
      </c>
      <c r="CE44" s="39">
        <f t="shared" ref="CE44" si="646">+IF(CD41&lt;0,1-CE41/CD41,CE41/CD41-1)</f>
        <v>-0.1388942819657476</v>
      </c>
      <c r="CF44" s="39">
        <f t="shared" ref="CF44" si="647">+IF(CE41&lt;0,1-CF41/CE41,CF41/CE41-1)</f>
        <v>0.44629448699466368</v>
      </c>
      <c r="CG44" s="39">
        <f t="shared" ref="CG44" si="648">+IF(CF41&lt;0,1-CG41/CF41,CG41/CF41-1)</f>
        <v>-0.33517412747302566</v>
      </c>
      <c r="CH44" s="39">
        <f t="shared" ref="CH44:CL44" si="649">+IF(CG41&lt;0,1-CH41/CG41,CH41/CG41-1)</f>
        <v>-0.3799570818500283</v>
      </c>
      <c r="CI44" s="39">
        <f t="shared" si="649"/>
        <v>-0.34410185593710796</v>
      </c>
      <c r="CJ44" s="39">
        <f t="shared" si="649"/>
        <v>0.84968724883810443</v>
      </c>
      <c r="CK44" s="39">
        <f t="shared" si="649"/>
        <v>0.26940443017050009</v>
      </c>
      <c r="CL44" s="39">
        <f t="shared" si="649"/>
        <v>0.19157200739663138</v>
      </c>
      <c r="CM44" s="40">
        <f t="shared" ref="CM44" si="650">+CM41/CL41-1</f>
        <v>-0.33418075622436227</v>
      </c>
      <c r="CN44" s="40">
        <f t="shared" ref="CN44" si="651">+CN41/CM41-1</f>
        <v>0.32748558677476636</v>
      </c>
      <c r="CO44" s="40">
        <f t="shared" ref="CO44" si="652">+CO41/CN41-1</f>
        <v>0.27321348420732172</v>
      </c>
      <c r="CP44" s="40">
        <f t="shared" ref="CP44" si="653">+CP41/CO41-1</f>
        <v>0.13038347724629329</v>
      </c>
      <c r="CQ44" s="40">
        <f t="shared" ref="CQ44" si="654">+CQ41/CP41-1</f>
        <v>-0.33731042238441056</v>
      </c>
      <c r="CR44" s="40">
        <f t="shared" ref="CR44" si="655">+CR41/CQ41-1</f>
        <v>0.25050045506720653</v>
      </c>
      <c r="CS44" s="40">
        <f t="shared" ref="CS44" si="656">+CS41/CR41-1</f>
        <v>0.25277770604088112</v>
      </c>
      <c r="CT44" s="40">
        <f t="shared" ref="CT44" si="657">+CT41/CS41-1</f>
        <v>0.12542946321675785</v>
      </c>
      <c r="CU44" s="40">
        <f t="shared" ref="CU44" si="658">+CU41/CT41-1</f>
        <v>-0.32138599571664828</v>
      </c>
      <c r="CV44" s="40">
        <f t="shared" ref="CV44" si="659">+CV41/CU41-1</f>
        <v>0.23550981109547253</v>
      </c>
      <c r="CW44" s="40">
        <f t="shared" ref="CW44" si="660">+CW41/CV41-1</f>
        <v>0.24866989832609909</v>
      </c>
      <c r="CX44" s="40">
        <f t="shared" ref="CX44" si="661">+CX41/CW41-1</f>
        <v>0.12611782043737363</v>
      </c>
      <c r="CY44" s="40">
        <f t="shared" ref="CY44" si="662">+CY41/CX41-1</f>
        <v>-0.31805228619530701</v>
      </c>
      <c r="CZ44" s="40">
        <f t="shared" ref="CZ44" si="663">+CZ41/CY41-1</f>
        <v>0.23117773344399661</v>
      </c>
      <c r="DA44" s="40">
        <f t="shared" ref="DA44" si="664">+DA41/CZ41-1</f>
        <v>0.24712075443110737</v>
      </c>
      <c r="DB44" s="40">
        <f t="shared" ref="DB44" si="665">+DB41/DA41-1</f>
        <v>0.12596499781759163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6">+SUM(CM45:CP45)</f>
        <v>0</v>
      </c>
      <c r="AC45" s="76">
        <f t="shared" ref="AC45:AC46" si="667">+SUM(CQ45:CT45)</f>
        <v>0</v>
      </c>
      <c r="AD45" s="76">
        <f t="shared" ref="AD45:AD46" si="668">+SUM(CU45:CX45)</f>
        <v>0</v>
      </c>
      <c r="AE45" s="76">
        <f t="shared" ref="AE45:AE46" si="669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0">+CL45</f>
        <v>0</v>
      </c>
      <c r="CN45" s="76">
        <f t="shared" ref="CN45:CN46" si="671">+CM45</f>
        <v>0</v>
      </c>
      <c r="CO45" s="76">
        <f t="shared" ref="CO45:CO46" si="672">+CN45</f>
        <v>0</v>
      </c>
      <c r="CP45" s="76">
        <f t="shared" ref="CP45:CP46" si="673">+CO45</f>
        <v>0</v>
      </c>
      <c r="CQ45" s="76">
        <f t="shared" ref="CQ45:CQ46" si="674">+CP45</f>
        <v>0</v>
      </c>
      <c r="CR45" s="76">
        <f t="shared" ref="CR45:CR46" si="675">+CQ45</f>
        <v>0</v>
      </c>
      <c r="CS45" s="76">
        <f t="shared" ref="CS45:CS46" si="676">+CR45</f>
        <v>0</v>
      </c>
      <c r="CT45" s="76">
        <f t="shared" ref="CT45:CT46" si="677">+CS45</f>
        <v>0</v>
      </c>
      <c r="CU45" s="76">
        <f t="shared" ref="CU45:CU46" si="678">+CT45</f>
        <v>0</v>
      </c>
      <c r="CV45" s="76">
        <f t="shared" ref="CV45:CV46" si="679">+CU45</f>
        <v>0</v>
      </c>
      <c r="CW45" s="76">
        <f t="shared" ref="CW45:CW46" si="680">+CV45</f>
        <v>0</v>
      </c>
      <c r="CX45" s="76">
        <f t="shared" ref="CX45:CX46" si="681">+CW45</f>
        <v>0</v>
      </c>
      <c r="CY45" s="76">
        <f t="shared" ref="CY45:CY46" si="682">+CX45</f>
        <v>0</v>
      </c>
      <c r="CZ45" s="76">
        <f t="shared" ref="CZ45:CZ46" si="683">+CY45</f>
        <v>0</v>
      </c>
      <c r="DA45" s="76">
        <f t="shared" ref="DA45:DA46" si="684">+CZ45</f>
        <v>0</v>
      </c>
      <c r="DB45" s="76">
        <f t="shared" ref="DB45:DB46" si="685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-0.13</v>
      </c>
      <c r="AB46" s="76">
        <f t="shared" si="666"/>
        <v>-9.1999999999999998E-2</v>
      </c>
      <c r="AC46" s="76">
        <f t="shared" si="667"/>
        <v>-9.1999999999999998E-2</v>
      </c>
      <c r="AD46" s="76">
        <f t="shared" si="668"/>
        <v>-9.1999999999999998E-2</v>
      </c>
      <c r="AE46" s="76">
        <f t="shared" si="669"/>
        <v>-9.1999999999999998E-2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-0.107</v>
      </c>
      <c r="CL46" s="75">
        <f>'QTR Raw'!BF35</f>
        <v>-2.3E-2</v>
      </c>
      <c r="CM46" s="76">
        <f t="shared" si="670"/>
        <v>-2.3E-2</v>
      </c>
      <c r="CN46" s="76">
        <f t="shared" si="671"/>
        <v>-2.3E-2</v>
      </c>
      <c r="CO46" s="76">
        <f t="shared" si="672"/>
        <v>-2.3E-2</v>
      </c>
      <c r="CP46" s="76">
        <f t="shared" si="673"/>
        <v>-2.3E-2</v>
      </c>
      <c r="CQ46" s="76">
        <f t="shared" si="674"/>
        <v>-2.3E-2</v>
      </c>
      <c r="CR46" s="76">
        <f t="shared" si="675"/>
        <v>-2.3E-2</v>
      </c>
      <c r="CS46" s="76">
        <f t="shared" si="676"/>
        <v>-2.3E-2</v>
      </c>
      <c r="CT46" s="76">
        <f t="shared" si="677"/>
        <v>-2.3E-2</v>
      </c>
      <c r="CU46" s="76">
        <f t="shared" si="678"/>
        <v>-2.3E-2</v>
      </c>
      <c r="CV46" s="76">
        <f t="shared" si="679"/>
        <v>-2.3E-2</v>
      </c>
      <c r="CW46" s="76">
        <f t="shared" si="680"/>
        <v>-2.3E-2</v>
      </c>
      <c r="CX46" s="76">
        <f t="shared" si="681"/>
        <v>-2.3E-2</v>
      </c>
      <c r="CY46" s="76">
        <f t="shared" si="682"/>
        <v>-2.3E-2</v>
      </c>
      <c r="CZ46" s="76">
        <f t="shared" si="683"/>
        <v>-2.3E-2</v>
      </c>
      <c r="DA46" s="76">
        <f t="shared" si="684"/>
        <v>-2.3E-2</v>
      </c>
      <c r="DB46" s="76">
        <f t="shared" si="685"/>
        <v>-2.3E-2</v>
      </c>
      <c r="DE46" s="131"/>
      <c r="DF46" s="75">
        <v>-0.13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-0.255</v>
      </c>
      <c r="U47" s="75">
        <f>'Annual Raw'!V29+'Annual Raw'!V31+'Annual Raw'!V34+'Annual Raw'!V36</f>
        <v>-4.4429999999999996</v>
      </c>
      <c r="V47" s="75">
        <f>'Annual Raw'!W29+'Annual Raw'!W31+'Annual Raw'!W34+'Annual Raw'!W36</f>
        <v>-1.202</v>
      </c>
      <c r="W47" s="75">
        <f>'Annual Raw'!X29+'Annual Raw'!X31+'Annual Raw'!X34+'Annual Raw'!X36</f>
        <v>-0.251</v>
      </c>
      <c r="X47" s="75">
        <f>'Annual Raw'!Y29+'Annual Raw'!Y31+'Annual Raw'!Y34+'Annual Raw'!Y36</f>
        <v>-0.23799999999999999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-1.0980000000000001</v>
      </c>
      <c r="BM47" s="75">
        <f>'QTR Raw'!AG26+'QTR Raw'!AG31+'QTR Raw'!AG32+'QTR Raw'!AG33+'QTR Raw'!AG36+'QTR Raw'!AG37+'QTR Raw'!AG39</f>
        <v>-0.91800000000000004</v>
      </c>
      <c r="BN47" s="75">
        <f>'QTR Raw'!AH26+'QTR Raw'!AH31+'QTR Raw'!AH32+'QTR Raw'!AH33+'QTR Raw'!AH36+'QTR Raw'!AH37+'QTR Raw'!AH39</f>
        <v>-1.6819999999999999</v>
      </c>
      <c r="BO47" s="75">
        <f>'QTR Raw'!AI26+'QTR Raw'!AI31+'QTR Raw'!AI32+'QTR Raw'!AI33+'QTR Raw'!AI36+'QTR Raw'!AI37+'QTR Raw'!AI39</f>
        <v>-0.95899999999999996</v>
      </c>
      <c r="BP47" s="75">
        <f>'QTR Raw'!AJ26+'QTR Raw'!AJ31+'QTR Raw'!AJ32+'QTR Raw'!AJ33+'QTR Raw'!AJ36+'QTR Raw'!AJ37+'QTR Raw'!AJ39</f>
        <v>-0.11899999999999999</v>
      </c>
      <c r="BQ47" s="75">
        <f>'QTR Raw'!AK26+'QTR Raw'!AK31+'QTR Raw'!AK32+'QTR Raw'!AK33+'QTR Raw'!AK36+'QTR Raw'!AK37+'QTR Raw'!AK39</f>
        <v>-6.6000000000000003E-2</v>
      </c>
      <c r="BR47" s="75">
        <f>'QTR Raw'!AL26+'QTR Raw'!AL31+'QTR Raw'!AL32+'QTR Raw'!AL33+'QTR Raw'!AL36+'QTR Raw'!AL37+'QTR Raw'!AL39</f>
        <v>-5.8000000000000003E-2</v>
      </c>
      <c r="BS47" s="75">
        <f>'QTR Raw'!AM26+'QTR Raw'!AM31+'QTR Raw'!AM32+'QTR Raw'!AM33+'QTR Raw'!AM36+'QTR Raw'!AM37+'QTR Raw'!AM39</f>
        <v>-6.4000000000000001E-2</v>
      </c>
      <c r="BT47" s="75">
        <f>'QTR Raw'!AN26+'QTR Raw'!AN31+'QTR Raw'!AN32+'QTR Raw'!AN33+'QTR Raw'!AN36+'QTR Raw'!AN37+'QTR Raw'!AN39</f>
        <v>-6.2E-2</v>
      </c>
      <c r="BU47" s="75">
        <f>'QTR Raw'!AO26+'QTR Raw'!AO31+'QTR Raw'!AO32+'QTR Raw'!AO33+'QTR Raw'!AO36+'QTR Raw'!AO37+'QTR Raw'!AO39</f>
        <v>-6.3E-2</v>
      </c>
      <c r="BV47" s="75">
        <f>'QTR Raw'!AP26+'QTR Raw'!AP31+'QTR Raw'!AP32+'QTR Raw'!AP33+'QTR Raw'!AP36+'QTR Raw'!AP37+'QTR Raw'!AP39</f>
        <v>-6.2E-2</v>
      </c>
      <c r="BW47" s="75">
        <f>'QTR Raw'!AQ26+'QTR Raw'!AQ31+'QTR Raw'!AQ32+'QTR Raw'!AQ33+'QTR Raw'!AQ36+'QTR Raw'!AQ37+'QTR Raw'!AQ39</f>
        <v>-0.1</v>
      </c>
      <c r="BX47" s="75">
        <f>'QTR Raw'!AR26+'QTR Raw'!AR31+'QTR Raw'!AR32+'QTR Raw'!AR33+'QTR Raw'!AR36+'QTR Raw'!AR37+'QTR Raw'!AR39</f>
        <v>-0.1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-5.6000000000000001E-2</v>
      </c>
      <c r="CA47" s="75">
        <f>'QTR Raw'!AU26+'QTR Raw'!AU31+'QTR Raw'!AU32+'QTR Raw'!AU33+'QTR Raw'!AU36+'QTR Raw'!AU37+'QTR Raw'!AU39</f>
        <v>-0.02</v>
      </c>
      <c r="CB47" s="75">
        <f>'QTR Raw'!AV26+'QTR Raw'!AV31+'QTR Raw'!AV32+'QTR Raw'!AV33+'QTR Raw'!AV36+'QTR Raw'!AV37+'QTR Raw'!AV39</f>
        <v>-1.4E-2</v>
      </c>
      <c r="CC47" s="75">
        <f>'QTR Raw'!AW26+'QTR Raw'!AW31+'QTR Raw'!AW32+'QTR Raw'!AW33+'QTR Raw'!AW36+'QTR Raw'!AW37+'QTR Raw'!AW39</f>
        <v>-1.6E-2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6">E41+E45+E46+E47</f>
        <v>0</v>
      </c>
      <c r="F48" s="26">
        <f t="shared" si="686"/>
        <v>0</v>
      </c>
      <c r="G48" s="26">
        <f t="shared" si="686"/>
        <v>0</v>
      </c>
      <c r="H48" s="26">
        <f t="shared" si="686"/>
        <v>0</v>
      </c>
      <c r="I48" s="26">
        <f t="shared" si="686"/>
        <v>3.6909066000000039</v>
      </c>
      <c r="J48" s="26">
        <f t="shared" si="686"/>
        <v>1.9301925999999967</v>
      </c>
      <c r="K48" s="26">
        <f t="shared" si="686"/>
        <v>9.0169268000000002</v>
      </c>
      <c r="L48" s="26">
        <f t="shared" si="686"/>
        <v>7.3515999999999968</v>
      </c>
      <c r="M48" s="26">
        <f t="shared" si="686"/>
        <v>8.2418439999999986</v>
      </c>
      <c r="N48" s="26">
        <f t="shared" si="686"/>
        <v>74.209700799999993</v>
      </c>
      <c r="O48" s="26">
        <f t="shared" si="686"/>
        <v>10.334949300000012</v>
      </c>
      <c r="P48" s="26">
        <f t="shared" si="686"/>
        <v>46.950606700000016</v>
      </c>
      <c r="Q48" s="26">
        <f t="shared" si="686"/>
        <v>31.724698800000034</v>
      </c>
      <c r="R48" s="26">
        <f t="shared" si="686"/>
        <v>31.014299399999977</v>
      </c>
      <c r="S48" s="26">
        <f t="shared" si="686"/>
        <v>107.92852950000008</v>
      </c>
      <c r="T48" s="26">
        <f t="shared" si="686"/>
        <v>79.580000000000013</v>
      </c>
      <c r="U48" s="26">
        <f t="shared" si="686"/>
        <v>82.346000000000018</v>
      </c>
      <c r="V48" s="26">
        <f t="shared" ref="V48:AA48" si="687">V41+V45+V46+V47</f>
        <v>296.85599999999994</v>
      </c>
      <c r="W48" s="26">
        <f t="shared" si="687"/>
        <v>624.80500000000018</v>
      </c>
      <c r="X48" s="26">
        <f t="shared" si="687"/>
        <v>889.95400000000018</v>
      </c>
      <c r="Y48" s="26">
        <f t="shared" si="687"/>
        <v>1125.528</v>
      </c>
      <c r="Z48" s="26">
        <f t="shared" si="687"/>
        <v>1172.0809999999997</v>
      </c>
      <c r="AA48" s="26">
        <f t="shared" si="687"/>
        <v>915.09899999999971</v>
      </c>
      <c r="AB48" s="27">
        <f t="shared" ref="AB48:AD48" si="688">AB41+AB45+AB46+AB47</f>
        <v>1264.0096021225168</v>
      </c>
      <c r="AC48" s="27">
        <f t="shared" si="688"/>
        <v>1506.4300964445147</v>
      </c>
      <c r="AD48" s="27">
        <f t="shared" si="688"/>
        <v>1781.5277301028329</v>
      </c>
      <c r="AE48" s="27">
        <f t="shared" ref="AE48" si="689">AE41+AE45+AE46+AE47</f>
        <v>2102.9909815221827</v>
      </c>
      <c r="AI48" s="26">
        <f t="shared" ref="AI48" si="690">AI41+AI45+AI46+AI47</f>
        <v>0</v>
      </c>
      <c r="AJ48" s="26">
        <f t="shared" ref="AJ48" si="691">AJ41+AJ45+AJ46+AJ47</f>
        <v>0</v>
      </c>
      <c r="AK48" s="26">
        <f t="shared" ref="AK48:AM48" si="692">AK41+AK45+AK46+AK47</f>
        <v>0</v>
      </c>
      <c r="AL48" s="26">
        <f t="shared" si="692"/>
        <v>0</v>
      </c>
      <c r="AM48" s="26">
        <f t="shared" si="692"/>
        <v>0</v>
      </c>
      <c r="AN48" s="26">
        <f t="shared" ref="AN48:AO48" si="693">AN41+AN45+AN46+AN47</f>
        <v>0</v>
      </c>
      <c r="AO48" s="26">
        <f t="shared" si="693"/>
        <v>0</v>
      </c>
      <c r="AP48" s="26">
        <f t="shared" ref="AP48:CD48" si="694">AP41+AP45+AP46+AP47</f>
        <v>0</v>
      </c>
      <c r="AQ48" s="26">
        <f t="shared" si="694"/>
        <v>0</v>
      </c>
      <c r="AR48" s="26">
        <f t="shared" si="694"/>
        <v>0</v>
      </c>
      <c r="AS48" s="26">
        <f t="shared" si="694"/>
        <v>0</v>
      </c>
      <c r="AT48" s="26">
        <f t="shared" si="694"/>
        <v>0</v>
      </c>
      <c r="AU48" s="26">
        <f t="shared" si="694"/>
        <v>0</v>
      </c>
      <c r="AV48" s="26">
        <f t="shared" si="694"/>
        <v>0</v>
      </c>
      <c r="AW48" s="26">
        <f t="shared" si="694"/>
        <v>0</v>
      </c>
      <c r="AX48" s="26">
        <f t="shared" si="694"/>
        <v>0</v>
      </c>
      <c r="AY48" s="26">
        <f t="shared" si="694"/>
        <v>0</v>
      </c>
      <c r="AZ48" s="26">
        <f t="shared" si="694"/>
        <v>0</v>
      </c>
      <c r="BA48" s="26">
        <f t="shared" si="694"/>
        <v>0</v>
      </c>
      <c r="BB48" s="26">
        <f t="shared" si="694"/>
        <v>0</v>
      </c>
      <c r="BC48" s="26">
        <f t="shared" si="694"/>
        <v>0</v>
      </c>
      <c r="BD48" s="26">
        <f t="shared" si="694"/>
        <v>0</v>
      </c>
      <c r="BE48" s="26">
        <f t="shared" si="694"/>
        <v>0</v>
      </c>
      <c r="BF48" s="26">
        <f t="shared" si="694"/>
        <v>0</v>
      </c>
      <c r="BG48" s="26">
        <f t="shared" si="694"/>
        <v>0</v>
      </c>
      <c r="BH48" s="26">
        <f t="shared" si="694"/>
        <v>0</v>
      </c>
      <c r="BI48" s="26">
        <f t="shared" si="694"/>
        <v>0</v>
      </c>
      <c r="BJ48" s="26">
        <f t="shared" si="694"/>
        <v>0</v>
      </c>
      <c r="BK48" s="26">
        <f t="shared" si="694"/>
        <v>0</v>
      </c>
      <c r="BL48" s="26">
        <f t="shared" si="694"/>
        <v>19.182000000000016</v>
      </c>
      <c r="BM48" s="26">
        <f t="shared" si="694"/>
        <v>27.013000000000002</v>
      </c>
      <c r="BN48" s="26">
        <f t="shared" si="694"/>
        <v>30.885999999999978</v>
      </c>
      <c r="BO48" s="26">
        <f t="shared" si="694"/>
        <v>47.300000000000011</v>
      </c>
      <c r="BP48" s="26">
        <f t="shared" si="694"/>
        <v>74.476000000000013</v>
      </c>
      <c r="BQ48" s="26">
        <f t="shared" si="694"/>
        <v>73.168000000000006</v>
      </c>
      <c r="BR48" s="26">
        <f t="shared" si="694"/>
        <v>101.91200000000005</v>
      </c>
      <c r="BS48" s="26">
        <f t="shared" si="694"/>
        <v>121.36699999999998</v>
      </c>
      <c r="BT48" s="26">
        <f t="shared" si="694"/>
        <v>134.19700000000009</v>
      </c>
      <c r="BU48" s="26">
        <f t="shared" si="694"/>
        <v>164.547</v>
      </c>
      <c r="BV48" s="26">
        <f t="shared" si="694"/>
        <v>204.69399999999996</v>
      </c>
      <c r="BW48" s="26">
        <f t="shared" si="694"/>
        <v>181.5</v>
      </c>
      <c r="BX48" s="26">
        <f t="shared" si="694"/>
        <v>213.50000000000006</v>
      </c>
      <c r="BY48" s="26">
        <f t="shared" si="694"/>
        <v>227.99999999999997</v>
      </c>
      <c r="BZ48" s="26">
        <f t="shared" si="694"/>
        <v>266.91200000000009</v>
      </c>
      <c r="CA48" s="26">
        <f t="shared" si="694"/>
        <v>220.80499999999998</v>
      </c>
      <c r="CB48" s="26">
        <f t="shared" si="694"/>
        <v>304.45099999999991</v>
      </c>
      <c r="CC48" s="26">
        <f t="shared" si="694"/>
        <v>260.31000000000006</v>
      </c>
      <c r="CD48" s="26">
        <f t="shared" si="694"/>
        <v>339.94200000000012</v>
      </c>
      <c r="CE48" s="26">
        <f t="shared" ref="CE48:CF48" si="695">CE41+CE45+CE46+CE47</f>
        <v>292.72599999999994</v>
      </c>
      <c r="CF48" s="26">
        <f t="shared" si="695"/>
        <v>423.36799999999982</v>
      </c>
      <c r="CG48" s="26">
        <f t="shared" ref="CG48:CH48" si="696">CG41+CG45+CG46+CG47</f>
        <v>281.46599999999995</v>
      </c>
      <c r="CH48" s="26">
        <f t="shared" si="696"/>
        <v>174.5209999999999</v>
      </c>
      <c r="CI48" s="26">
        <f t="shared" ref="CI48:CJ48" si="697">CI41+CI45+CI46+CI47</f>
        <v>114.46799999999992</v>
      </c>
      <c r="CJ48" s="26">
        <f t="shared" si="697"/>
        <v>211.73</v>
      </c>
      <c r="CK48" s="26">
        <f t="shared" ref="CK48:CL48" si="698">CK41+CK45+CK46+CK47</f>
        <v>268.66399999999993</v>
      </c>
      <c r="CL48" s="26">
        <f t="shared" si="698"/>
        <v>320.23699999999997</v>
      </c>
      <c r="CM48" s="27">
        <f t="shared" ref="CM48:DB48" si="699">CM41+CM45+CM46+CM47</f>
        <v>213.21227101158573</v>
      </c>
      <c r="CN48" s="27">
        <f t="shared" si="699"/>
        <v>283.0437488598912</v>
      </c>
      <c r="CO48" s="27">
        <f t="shared" si="699"/>
        <v>360.38140157914097</v>
      </c>
      <c r="CP48" s="27">
        <f t="shared" si="699"/>
        <v>407.37218067189883</v>
      </c>
      <c r="CQ48" s="27">
        <f t="shared" si="699"/>
        <v>269.95354020208737</v>
      </c>
      <c r="CR48" s="27">
        <f t="shared" si="699"/>
        <v>337.58278638018027</v>
      </c>
      <c r="CS48" s="27">
        <f t="shared" si="699"/>
        <v>422.92200260749001</v>
      </c>
      <c r="CT48" s="27">
        <f t="shared" si="699"/>
        <v>475.97176725475771</v>
      </c>
      <c r="CU48" s="27">
        <f t="shared" si="699"/>
        <v>322.99371502467312</v>
      </c>
      <c r="CV48" s="27">
        <f t="shared" si="699"/>
        <v>399.06732056081398</v>
      </c>
      <c r="CW48" s="27">
        <f t="shared" si="699"/>
        <v>498.30906999760191</v>
      </c>
      <c r="CX48" s="27">
        <f t="shared" si="699"/>
        <v>561.15762451974422</v>
      </c>
      <c r="CY48" s="27">
        <f t="shared" si="699"/>
        <v>382.67284392272938</v>
      </c>
      <c r="CZ48" s="27">
        <f t="shared" si="699"/>
        <v>471.14360171922345</v>
      </c>
      <c r="DA48" s="27">
        <f t="shared" si="699"/>
        <v>587.57864779881902</v>
      </c>
      <c r="DB48" s="27">
        <f t="shared" si="699"/>
        <v>661.59588808141052</v>
      </c>
      <c r="DE48" s="121"/>
      <c r="DF48" s="26">
        <v>915.09899999999971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3.6909065999999999</v>
      </c>
      <c r="J51" s="22">
        <f>'Annual Raw'!K35</f>
        <v>1.9301926</v>
      </c>
      <c r="K51" s="22">
        <f>'Annual Raw'!L35</f>
        <v>9.0169268000000002</v>
      </c>
      <c r="L51" s="22">
        <f>'Annual Raw'!M35</f>
        <v>7.3516000000000004</v>
      </c>
      <c r="M51" s="22">
        <f>'Annual Raw'!N35</f>
        <v>8.2418440000000004</v>
      </c>
      <c r="N51" s="22">
        <f>'Annual Raw'!O35</f>
        <v>74.209700799999993</v>
      </c>
      <c r="O51" s="22">
        <f>'Annual Raw'!P35</f>
        <v>10.3349493</v>
      </c>
      <c r="P51" s="22">
        <f>'Annual Raw'!Q35</f>
        <v>46.950606700000002</v>
      </c>
      <c r="Q51" s="22">
        <f>'Annual Raw'!R35</f>
        <v>31.724698799999999</v>
      </c>
      <c r="R51" s="22">
        <f>'Annual Raw'!S35</f>
        <v>31.014299399999999</v>
      </c>
      <c r="S51" s="22">
        <f>'Annual Raw'!T35</f>
        <v>107.9285295</v>
      </c>
      <c r="T51" s="22">
        <f>'Annual Raw'!U35</f>
        <v>79.58</v>
      </c>
      <c r="U51" s="22">
        <f>'Annual Raw'!V35</f>
        <v>82.346000000000004</v>
      </c>
      <c r="V51" s="22">
        <f>'Annual Raw'!W35</f>
        <v>296.85599999999999</v>
      </c>
      <c r="W51" s="22">
        <f>'Annual Raw'!X35</f>
        <v>624.80499999999995</v>
      </c>
      <c r="X51" s="22">
        <f>'Annual Raw'!Y35</f>
        <v>889.95399999999995</v>
      </c>
      <c r="Y51" s="22">
        <f>'Annual Raw'!Z35</f>
        <v>1125.528</v>
      </c>
      <c r="Z51" s="22">
        <f>'Annual Raw'!AA35</f>
        <v>1172.0809999999999</v>
      </c>
      <c r="AA51" s="22">
        <f>'Annual Raw'!AB35</f>
        <v>915.09900000000005</v>
      </c>
      <c r="AB51" s="21">
        <f t="shared" ref="AB51:AD51" si="700">+AB48</f>
        <v>1264.0096021225168</v>
      </c>
      <c r="AC51" s="21">
        <f t="shared" si="700"/>
        <v>1506.4300964445147</v>
      </c>
      <c r="AD51" s="21">
        <f t="shared" si="700"/>
        <v>1781.5277301028329</v>
      </c>
      <c r="AE51" s="21">
        <f t="shared" ref="AE51" si="701">+AE48</f>
        <v>2102.9909815221827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19.181999999999999</v>
      </c>
      <c r="BM51" s="22">
        <f>'QTR Raw'!AG42</f>
        <v>27.013000000000002</v>
      </c>
      <c r="BN51" s="22">
        <f>'QTR Raw'!AH42</f>
        <v>30.885999999999999</v>
      </c>
      <c r="BO51" s="22">
        <f>'QTR Raw'!AI42</f>
        <v>47.3</v>
      </c>
      <c r="BP51" s="22">
        <f>'QTR Raw'!AJ42</f>
        <v>74.475999999999999</v>
      </c>
      <c r="BQ51" s="22">
        <f>'QTR Raw'!AK42</f>
        <v>73.168000000000006</v>
      </c>
      <c r="BR51" s="22">
        <f>'QTR Raw'!AL42</f>
        <v>101.91200000000001</v>
      </c>
      <c r="BS51" s="22">
        <f>'QTR Raw'!AM42</f>
        <v>121.367</v>
      </c>
      <c r="BT51" s="22">
        <f>'QTR Raw'!AN42</f>
        <v>134.197</v>
      </c>
      <c r="BU51" s="22">
        <f>'QTR Raw'!AO42</f>
        <v>164.547</v>
      </c>
      <c r="BV51" s="22">
        <f>'QTR Raw'!AP42</f>
        <v>204.69399999999999</v>
      </c>
      <c r="BW51" s="22">
        <f>'QTR Raw'!AQ42</f>
        <v>181.5</v>
      </c>
      <c r="BX51" s="22">
        <f>'QTR Raw'!AR42</f>
        <v>213.5</v>
      </c>
      <c r="BY51" s="22">
        <f>'QTR Raw'!AS42</f>
        <v>228</v>
      </c>
      <c r="BZ51" s="22">
        <f>'QTR Raw'!AT42</f>
        <v>266.91199999999998</v>
      </c>
      <c r="CA51" s="22">
        <f>'QTR Raw'!AU42</f>
        <v>220.80500000000001</v>
      </c>
      <c r="CB51" s="22">
        <f>'QTR Raw'!AV42</f>
        <v>304.45100000000002</v>
      </c>
      <c r="CC51" s="22">
        <f>'QTR Raw'!AW42</f>
        <v>260.31</v>
      </c>
      <c r="CD51" s="22">
        <f>'QTR Raw'!AX42</f>
        <v>339.94200000000001</v>
      </c>
      <c r="CE51" s="22">
        <f>'QTR Raw'!AY42</f>
        <v>292.726</v>
      </c>
      <c r="CF51" s="22">
        <f>'QTR Raw'!AZ42</f>
        <v>423.36799999999999</v>
      </c>
      <c r="CG51" s="22">
        <f>'QTR Raw'!BA42</f>
        <v>281.46600000000001</v>
      </c>
      <c r="CH51" s="22">
        <f>'QTR Raw'!BB42</f>
        <v>174.52099999999999</v>
      </c>
      <c r="CI51" s="22">
        <f>'QTR Raw'!BC42</f>
        <v>114.468</v>
      </c>
      <c r="CJ51" s="22">
        <f>'QTR Raw'!BD42</f>
        <v>211.73</v>
      </c>
      <c r="CK51" s="22">
        <f>'QTR Raw'!BE42</f>
        <v>268.66399999999999</v>
      </c>
      <c r="CL51" s="22">
        <f>'QTR Raw'!BF42</f>
        <v>320.23700000000002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915.09900000000005</v>
      </c>
    </row>
    <row r="52" spans="1:110" s="25" customFormat="1" x14ac:dyDescent="0.2">
      <c r="A52" s="36" t="s">
        <v>435</v>
      </c>
      <c r="B52" s="25">
        <f t="shared" ref="B52:V52" si="702">B51-B48</f>
        <v>0</v>
      </c>
      <c r="C52" s="25">
        <f>C51-C48</f>
        <v>0</v>
      </c>
      <c r="D52" s="25">
        <f t="shared" si="702"/>
        <v>0</v>
      </c>
      <c r="E52" s="25">
        <f t="shared" si="702"/>
        <v>0</v>
      </c>
      <c r="F52" s="25">
        <f t="shared" si="702"/>
        <v>0</v>
      </c>
      <c r="G52" s="25">
        <f t="shared" si="702"/>
        <v>0</v>
      </c>
      <c r="H52" s="25">
        <f t="shared" si="702"/>
        <v>0</v>
      </c>
      <c r="I52" s="25">
        <f t="shared" si="702"/>
        <v>-3.9968028886505635E-15</v>
      </c>
      <c r="J52" s="25">
        <f t="shared" si="702"/>
        <v>3.3306690738754696E-15</v>
      </c>
      <c r="K52" s="25">
        <f t="shared" si="702"/>
        <v>0</v>
      </c>
      <c r="L52" s="25">
        <f t="shared" si="702"/>
        <v>0</v>
      </c>
      <c r="M52" s="25">
        <f t="shared" si="702"/>
        <v>0</v>
      </c>
      <c r="N52" s="25">
        <f t="shared" si="702"/>
        <v>0</v>
      </c>
      <c r="O52" s="25">
        <f t="shared" si="702"/>
        <v>0</v>
      </c>
      <c r="P52" s="25">
        <f t="shared" si="702"/>
        <v>0</v>
      </c>
      <c r="Q52" s="25">
        <f t="shared" si="702"/>
        <v>-3.5527136788005009E-14</v>
      </c>
      <c r="R52" s="25">
        <f t="shared" si="702"/>
        <v>0</v>
      </c>
      <c r="S52" s="25">
        <f t="shared" si="702"/>
        <v>0</v>
      </c>
      <c r="T52" s="25">
        <f t="shared" si="702"/>
        <v>0</v>
      </c>
      <c r="U52" s="25">
        <f t="shared" si="702"/>
        <v>0</v>
      </c>
      <c r="V52" s="25">
        <f t="shared" si="702"/>
        <v>0</v>
      </c>
      <c r="W52" s="25">
        <f t="shared" ref="W52" si="703">W51-W48</f>
        <v>0</v>
      </c>
      <c r="X52" s="25">
        <f t="shared" ref="X52:Y52" si="704">X51-X48</f>
        <v>0</v>
      </c>
      <c r="Y52" s="25">
        <f t="shared" si="704"/>
        <v>0</v>
      </c>
      <c r="Z52" s="25">
        <f t="shared" ref="Z52:AA52" si="705">Z51-Z48</f>
        <v>0</v>
      </c>
      <c r="AA52" s="25">
        <f t="shared" ref="AA52" si="706">AA51-AA48</f>
        <v>0</v>
      </c>
      <c r="AB52" s="17">
        <f t="shared" ref="AB52:AD52" si="707">AB51-AB48</f>
        <v>0</v>
      </c>
      <c r="AC52" s="17">
        <f t="shared" si="707"/>
        <v>0</v>
      </c>
      <c r="AD52" s="17">
        <f t="shared" si="707"/>
        <v>0</v>
      </c>
      <c r="AE52" s="17">
        <f t="shared" ref="AE52" si="708">AE51-AE48</f>
        <v>0</v>
      </c>
      <c r="AI52" s="25">
        <f t="shared" ref="AI52" si="709">AI51-AI48</f>
        <v>0</v>
      </c>
      <c r="AJ52" s="25">
        <f t="shared" ref="AJ52" si="710">AJ51-AJ48</f>
        <v>0</v>
      </c>
      <c r="AK52" s="25">
        <f t="shared" ref="AK52:AM52" si="711">AK51-AK48</f>
        <v>0</v>
      </c>
      <c r="AL52" s="25">
        <f t="shared" si="711"/>
        <v>0</v>
      </c>
      <c r="AM52" s="25">
        <f t="shared" si="711"/>
        <v>0</v>
      </c>
      <c r="AN52" s="25">
        <f t="shared" ref="AN52:AO52" si="712">AN51-AN48</f>
        <v>0</v>
      </c>
      <c r="AO52" s="25">
        <f t="shared" si="712"/>
        <v>0</v>
      </c>
      <c r="AP52" s="25">
        <f t="shared" ref="AP52:CD52" si="713">AP51-AP48</f>
        <v>0</v>
      </c>
      <c r="AQ52" s="25">
        <f t="shared" si="713"/>
        <v>0</v>
      </c>
      <c r="AR52" s="25">
        <f t="shared" si="713"/>
        <v>0</v>
      </c>
      <c r="AS52" s="25">
        <f t="shared" si="713"/>
        <v>0</v>
      </c>
      <c r="AT52" s="25">
        <f t="shared" si="713"/>
        <v>0</v>
      </c>
      <c r="AU52" s="25">
        <f t="shared" si="713"/>
        <v>0</v>
      </c>
      <c r="AV52" s="25">
        <f t="shared" si="713"/>
        <v>0</v>
      </c>
      <c r="AW52" s="25">
        <f t="shared" si="713"/>
        <v>0</v>
      </c>
      <c r="AX52" s="25">
        <f t="shared" si="713"/>
        <v>0</v>
      </c>
      <c r="AY52" s="25">
        <f t="shared" si="713"/>
        <v>0</v>
      </c>
      <c r="AZ52" s="25">
        <f t="shared" si="713"/>
        <v>0</v>
      </c>
      <c r="BA52" s="25">
        <f t="shared" si="713"/>
        <v>0</v>
      </c>
      <c r="BB52" s="25">
        <f t="shared" si="713"/>
        <v>0</v>
      </c>
      <c r="BC52" s="25">
        <f t="shared" si="713"/>
        <v>0</v>
      </c>
      <c r="BD52" s="25">
        <f t="shared" si="713"/>
        <v>0</v>
      </c>
      <c r="BE52" s="25">
        <f t="shared" si="713"/>
        <v>0</v>
      </c>
      <c r="BF52" s="25">
        <f t="shared" si="713"/>
        <v>0</v>
      </c>
      <c r="BG52" s="25">
        <f t="shared" si="713"/>
        <v>0</v>
      </c>
      <c r="BH52" s="25">
        <f t="shared" si="713"/>
        <v>0</v>
      </c>
      <c r="BI52" s="25">
        <f t="shared" si="713"/>
        <v>0</v>
      </c>
      <c r="BJ52" s="25">
        <f t="shared" si="713"/>
        <v>0</v>
      </c>
      <c r="BK52" s="25">
        <f t="shared" si="713"/>
        <v>0</v>
      </c>
      <c r="BL52" s="25">
        <f t="shared" si="713"/>
        <v>0</v>
      </c>
      <c r="BM52" s="25">
        <f t="shared" si="713"/>
        <v>0</v>
      </c>
      <c r="BN52" s="25">
        <f t="shared" si="713"/>
        <v>0</v>
      </c>
      <c r="BO52" s="25">
        <f t="shared" si="713"/>
        <v>0</v>
      </c>
      <c r="BP52" s="25">
        <f t="shared" si="713"/>
        <v>0</v>
      </c>
      <c r="BQ52" s="25">
        <f t="shared" si="713"/>
        <v>0</v>
      </c>
      <c r="BR52" s="25">
        <f t="shared" si="713"/>
        <v>0</v>
      </c>
      <c r="BS52" s="25">
        <f t="shared" si="713"/>
        <v>0</v>
      </c>
      <c r="BT52" s="25">
        <f t="shared" si="713"/>
        <v>0</v>
      </c>
      <c r="BU52" s="25">
        <f t="shared" si="713"/>
        <v>0</v>
      </c>
      <c r="BV52" s="25">
        <f t="shared" si="713"/>
        <v>0</v>
      </c>
      <c r="BW52" s="25">
        <f t="shared" si="713"/>
        <v>0</v>
      </c>
      <c r="BX52" s="25">
        <f t="shared" si="713"/>
        <v>0</v>
      </c>
      <c r="BY52" s="25">
        <f t="shared" si="713"/>
        <v>0</v>
      </c>
      <c r="BZ52" s="25">
        <f t="shared" si="713"/>
        <v>0</v>
      </c>
      <c r="CA52" s="25">
        <f t="shared" si="713"/>
        <v>0</v>
      </c>
      <c r="CB52" s="25">
        <f t="shared" si="713"/>
        <v>0</v>
      </c>
      <c r="CC52" s="25">
        <f t="shared" si="713"/>
        <v>0</v>
      </c>
      <c r="CD52" s="25">
        <f t="shared" si="713"/>
        <v>0</v>
      </c>
      <c r="CE52" s="25">
        <f t="shared" ref="CE52:CF52" si="714">CE51-CE48</f>
        <v>0</v>
      </c>
      <c r="CF52" s="25">
        <f t="shared" si="714"/>
        <v>0</v>
      </c>
      <c r="CG52" s="25">
        <f t="shared" ref="CG52:CH52" si="715">CG51-CG48</f>
        <v>0</v>
      </c>
      <c r="CH52" s="25">
        <f t="shared" si="715"/>
        <v>0</v>
      </c>
      <c r="CI52" s="25">
        <f t="shared" ref="CI52:CJ52" si="716">CI51-CI48</f>
        <v>0</v>
      </c>
      <c r="CJ52" s="25">
        <f t="shared" si="716"/>
        <v>0</v>
      </c>
      <c r="CK52" s="25">
        <f t="shared" ref="CK52:CL52" si="717">CK51-CK48</f>
        <v>0</v>
      </c>
      <c r="CL52" s="25">
        <f t="shared" si="717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8">(B48-B47)/B120</f>
        <v>#DIV/0!</v>
      </c>
      <c r="C54" s="39" t="e">
        <f t="shared" si="718"/>
        <v>#DIV/0!</v>
      </c>
      <c r="D54" s="39" t="e">
        <f t="shared" si="718"/>
        <v>#DIV/0!</v>
      </c>
      <c r="E54" s="39" t="e">
        <f t="shared" si="718"/>
        <v>#DIV/0!</v>
      </c>
      <c r="F54" s="39" t="e">
        <f t="shared" si="718"/>
        <v>#DIV/0!</v>
      </c>
      <c r="G54" s="39" t="e">
        <f t="shared" si="718"/>
        <v>#DIV/0!</v>
      </c>
      <c r="H54" s="39" t="e">
        <f t="shared" si="718"/>
        <v>#DIV/0!</v>
      </c>
      <c r="I54" s="39">
        <f t="shared" si="718"/>
        <v>2.0452662307137062E-2</v>
      </c>
      <c r="J54" s="39">
        <f t="shared" si="718"/>
        <v>1.0582710937476088E-2</v>
      </c>
      <c r="K54" s="39">
        <f t="shared" si="718"/>
        <v>4.7108397519999477E-2</v>
      </c>
      <c r="L54" s="39">
        <f t="shared" si="718"/>
        <v>3.7580393548653425E-2</v>
      </c>
      <c r="M54" s="39">
        <f t="shared" si="718"/>
        <v>4.1479855128124091E-2</v>
      </c>
      <c r="N54" s="39">
        <f t="shared" si="718"/>
        <v>0.240299444766579</v>
      </c>
      <c r="O54" s="39">
        <f t="shared" si="718"/>
        <v>3.3181068797924491E-2</v>
      </c>
      <c r="P54" s="39">
        <f t="shared" si="718"/>
        <v>0.13540106408864838</v>
      </c>
      <c r="Q54" s="39">
        <f t="shared" si="718"/>
        <v>8.5904147252209462E-2</v>
      </c>
      <c r="R54" s="39">
        <f t="shared" si="718"/>
        <v>7.9639218420777924E-2</v>
      </c>
      <c r="S54" s="39">
        <f t="shared" si="718"/>
        <v>0.22724516894875563</v>
      </c>
      <c r="T54" s="39">
        <f t="shared" si="718"/>
        <v>0.15022533329569937</v>
      </c>
      <c r="U54" s="39">
        <f t="shared" si="718"/>
        <v>0.14674706088238629</v>
      </c>
      <c r="V54" s="39">
        <f t="shared" si="718"/>
        <v>0.26353562387875468</v>
      </c>
      <c r="W54" s="39">
        <f t="shared" si="718"/>
        <v>0.39451216471837208</v>
      </c>
      <c r="X54" s="39">
        <f t="shared" si="718"/>
        <v>0.41182887528347617</v>
      </c>
      <c r="Y54" s="39">
        <f t="shared" si="718"/>
        <v>0.37040969155891706</v>
      </c>
      <c r="Z54" s="39">
        <f t="shared" si="718"/>
        <v>0.2085034719121471</v>
      </c>
      <c r="AA54" s="39">
        <f t="shared" ref="AA54" si="719">(AA48-AA47)/AA120</f>
        <v>0.14957997094049139</v>
      </c>
      <c r="AB54" s="40">
        <f t="shared" si="718"/>
        <v>0.17123323566327048</v>
      </c>
      <c r="AC54" s="40">
        <f t="shared" si="718"/>
        <v>0.16948593567529505</v>
      </c>
      <c r="AD54" s="40">
        <f t="shared" si="718"/>
        <v>0.16696982804370064</v>
      </c>
      <c r="AE54" s="40">
        <f t="shared" si="718"/>
        <v>0.16464669539700635</v>
      </c>
      <c r="AF54" s="39"/>
      <c r="AG54" s="39"/>
      <c r="AH54" s="39"/>
      <c r="AI54" s="39"/>
      <c r="AJ54" s="39"/>
      <c r="AK54" s="39"/>
      <c r="AL54" s="39" t="e">
        <f t="shared" ref="AL54:BQ54" si="720">(SUM(AI48:AL48)-SUM(AI47:AL47))/AL120</f>
        <v>#DIV/0!</v>
      </c>
      <c r="AM54" s="39" t="e">
        <f t="shared" si="720"/>
        <v>#DIV/0!</v>
      </c>
      <c r="AN54" s="39" t="e">
        <f t="shared" si="720"/>
        <v>#DIV/0!</v>
      </c>
      <c r="AO54" s="39" t="e">
        <f t="shared" si="720"/>
        <v>#DIV/0!</v>
      </c>
      <c r="AP54" s="39" t="e">
        <f t="shared" si="720"/>
        <v>#DIV/0!</v>
      </c>
      <c r="AQ54" s="39" t="e">
        <f t="shared" si="720"/>
        <v>#DIV/0!</v>
      </c>
      <c r="AR54" s="39" t="e">
        <f t="shared" si="720"/>
        <v>#DIV/0!</v>
      </c>
      <c r="AS54" s="39" t="e">
        <f t="shared" si="720"/>
        <v>#DIV/0!</v>
      </c>
      <c r="AT54" s="39" t="e">
        <f t="shared" si="720"/>
        <v>#DIV/0!</v>
      </c>
      <c r="AU54" s="39" t="e">
        <f t="shared" si="720"/>
        <v>#DIV/0!</v>
      </c>
      <c r="AV54" s="39" t="e">
        <f t="shared" si="720"/>
        <v>#DIV/0!</v>
      </c>
      <c r="AW54" s="39" t="e">
        <f t="shared" si="720"/>
        <v>#DIV/0!</v>
      </c>
      <c r="AX54" s="39" t="e">
        <f t="shared" si="720"/>
        <v>#DIV/0!</v>
      </c>
      <c r="AY54" s="39" t="e">
        <f t="shared" si="720"/>
        <v>#DIV/0!</v>
      </c>
      <c r="AZ54" s="39" t="e">
        <f t="shared" si="720"/>
        <v>#DIV/0!</v>
      </c>
      <c r="BA54" s="39" t="e">
        <f t="shared" si="720"/>
        <v>#DIV/0!</v>
      </c>
      <c r="BB54" s="39" t="e">
        <f t="shared" si="720"/>
        <v>#DIV/0!</v>
      </c>
      <c r="BC54" s="39" t="e">
        <f t="shared" si="720"/>
        <v>#DIV/0!</v>
      </c>
      <c r="BD54" s="39" t="e">
        <f t="shared" si="720"/>
        <v>#DIV/0!</v>
      </c>
      <c r="BE54" s="39" t="e">
        <f t="shared" si="720"/>
        <v>#DIV/0!</v>
      </c>
      <c r="BF54" s="39" t="e">
        <f t="shared" si="720"/>
        <v>#DIV/0!</v>
      </c>
      <c r="BG54" s="39" t="e">
        <f t="shared" si="720"/>
        <v>#DIV/0!</v>
      </c>
      <c r="BH54" s="39" t="e">
        <f t="shared" si="720"/>
        <v>#DIV/0!</v>
      </c>
      <c r="BI54" s="39" t="e">
        <f t="shared" si="720"/>
        <v>#DIV/0!</v>
      </c>
      <c r="BJ54" s="39" t="e">
        <f t="shared" si="720"/>
        <v>#DIV/0!</v>
      </c>
      <c r="BK54" s="39" t="e">
        <f t="shared" si="720"/>
        <v>#DIV/0!</v>
      </c>
      <c r="BL54" s="39" t="e">
        <f t="shared" si="720"/>
        <v>#DIV/0!</v>
      </c>
      <c r="BM54" s="39">
        <f t="shared" si="720"/>
        <v>1.7847332765705408</v>
      </c>
      <c r="BN54" s="39">
        <f t="shared" si="720"/>
        <v>0.13658506067610274</v>
      </c>
      <c r="BO54" s="39">
        <f t="shared" si="720"/>
        <v>0.20202624315230958</v>
      </c>
      <c r="BP54" s="39">
        <f t="shared" si="720"/>
        <v>0.18534452694199172</v>
      </c>
      <c r="BQ54" s="39">
        <f t="shared" si="720"/>
        <v>0.21522124426899644</v>
      </c>
      <c r="BR54" s="39">
        <f t="shared" ref="BR54:CW54" si="721">(SUM(BO48:BR48)-SUM(BO47:BR47))/BR120</f>
        <v>0.26353562387875479</v>
      </c>
      <c r="BS54" s="39">
        <f t="shared" si="721"/>
        <v>0.29642340405824508</v>
      </c>
      <c r="BT54" s="39">
        <f t="shared" si="721"/>
        <v>0.33015231351191493</v>
      </c>
      <c r="BU54" s="39">
        <f t="shared" si="721"/>
        <v>0.35536210505115395</v>
      </c>
      <c r="BV54" s="39">
        <f t="shared" si="721"/>
        <v>0.39451216471837197</v>
      </c>
      <c r="BW54" s="39">
        <f t="shared" si="721"/>
        <v>0.38803665260944004</v>
      </c>
      <c r="BX54" s="39">
        <f t="shared" si="721"/>
        <v>0.40519387741041724</v>
      </c>
      <c r="BY54" s="39">
        <f t="shared" si="721"/>
        <v>0.39148447643733975</v>
      </c>
      <c r="BZ54" s="39">
        <f t="shared" si="721"/>
        <v>0.41181777218099169</v>
      </c>
      <c r="CA54" s="39">
        <f t="shared" si="721"/>
        <v>0.39011393309919606</v>
      </c>
      <c r="CB54" s="39">
        <f t="shared" si="721"/>
        <v>0.39051443006966241</v>
      </c>
      <c r="CC54" s="39">
        <f t="shared" si="721"/>
        <v>0.36638251807400862</v>
      </c>
      <c r="CD54" s="39">
        <f t="shared" si="721"/>
        <v>0.37041956451698366</v>
      </c>
      <c r="CE54" s="39">
        <f t="shared" si="721"/>
        <v>0.35945383959374777</v>
      </c>
      <c r="CF54" s="39">
        <f t="shared" si="721"/>
        <v>0.24940583464317492</v>
      </c>
      <c r="CG54" s="39">
        <f t="shared" si="721"/>
        <v>0.24058136602524918</v>
      </c>
      <c r="CH54" s="39">
        <f t="shared" si="721"/>
        <v>0.2085034719121471</v>
      </c>
      <c r="CI54" s="39">
        <f t="shared" si="721"/>
        <v>0.17326468226419514</v>
      </c>
      <c r="CJ54" s="39">
        <f t="shared" si="721"/>
        <v>0.1346226397558502</v>
      </c>
      <c r="CK54" s="39">
        <f t="shared" si="721"/>
        <v>0.12656682132265412</v>
      </c>
      <c r="CL54" s="39">
        <f t="shared" si="721"/>
        <v>0.14957997094049139</v>
      </c>
      <c r="CM54" s="40">
        <f t="shared" si="721"/>
        <v>0.16013943250570944</v>
      </c>
      <c r="CN54" s="40">
        <f t="shared" si="721"/>
        <v>0.16406853725278828</v>
      </c>
      <c r="CO54" s="40">
        <f t="shared" si="721"/>
        <v>0.16874134342407354</v>
      </c>
      <c r="CP54" s="40">
        <f t="shared" si="721"/>
        <v>0.17123323566327048</v>
      </c>
      <c r="CQ54" s="40">
        <f t="shared" si="721"/>
        <v>0.17260759385974916</v>
      </c>
      <c r="CR54" s="40">
        <f t="shared" si="721"/>
        <v>0.17214068214998496</v>
      </c>
      <c r="CS54" s="40">
        <f t="shared" si="721"/>
        <v>0.17092085747738173</v>
      </c>
      <c r="CT54" s="40">
        <f t="shared" si="721"/>
        <v>0.16948593567529513</v>
      </c>
      <c r="CU54" s="40">
        <f t="shared" si="721"/>
        <v>0.16930108324860815</v>
      </c>
      <c r="CV54" s="40">
        <f t="shared" si="721"/>
        <v>0.16866863673735066</v>
      </c>
      <c r="CW54" s="40">
        <f t="shared" si="721"/>
        <v>0.16781173831114271</v>
      </c>
      <c r="CX54" s="40">
        <f t="shared" ref="CX54:DB54" si="722">(SUM(CU48:CX48)-SUM(CU47:CX47))/CX120</f>
        <v>0.16696982804370067</v>
      </c>
      <c r="CY54" s="40">
        <f t="shared" si="722"/>
        <v>0.16658840155528903</v>
      </c>
      <c r="CZ54" s="40">
        <f t="shared" si="722"/>
        <v>0.16603208301482567</v>
      </c>
      <c r="DA54" s="40">
        <f t="shared" si="722"/>
        <v>0.16534781053716896</v>
      </c>
      <c r="DB54" s="40">
        <f t="shared" si="722"/>
        <v>0.16464669539700635</v>
      </c>
      <c r="DE54" s="122"/>
      <c r="DF54" s="38">
        <v>0.14957997094049139</v>
      </c>
    </row>
    <row r="55" spans="1:110" s="38" customFormat="1" x14ac:dyDescent="0.2">
      <c r="A55" s="38" t="s">
        <v>351</v>
      </c>
      <c r="B55" s="39" t="e">
        <f t="shared" ref="B55:AE55" si="723">+B34/B129</f>
        <v>#DIV/0!</v>
      </c>
      <c r="C55" s="39" t="e">
        <f t="shared" si="723"/>
        <v>#DIV/0!</v>
      </c>
      <c r="D55" s="39" t="e">
        <f t="shared" si="723"/>
        <v>#DIV/0!</v>
      </c>
      <c r="E55" s="39" t="e">
        <f t="shared" si="723"/>
        <v>#DIV/0!</v>
      </c>
      <c r="F55" s="39" t="e">
        <f t="shared" si="723"/>
        <v>#DIV/0!</v>
      </c>
      <c r="G55" s="39" t="e">
        <f t="shared" si="723"/>
        <v>#DIV/0!</v>
      </c>
      <c r="H55" s="39" t="e">
        <f t="shared" si="723"/>
        <v>#DIV/0!</v>
      </c>
      <c r="I55" s="39">
        <f t="shared" si="723"/>
        <v>3.164520141531154E-2</v>
      </c>
      <c r="J55" s="39">
        <f t="shared" si="723"/>
        <v>1.6886858386134615E-2</v>
      </c>
      <c r="K55" s="39">
        <f t="shared" si="723"/>
        <v>8.2037771461499504E-3</v>
      </c>
      <c r="L55" s="39">
        <f t="shared" si="723"/>
        <v>-3.9273114777988921E-2</v>
      </c>
      <c r="M55" s="39">
        <f t="shared" si="723"/>
        <v>9.217052943879557E-2</v>
      </c>
      <c r="N55" s="39">
        <f t="shared" si="723"/>
        <v>0</v>
      </c>
      <c r="O55" s="39">
        <f t="shared" si="723"/>
        <v>2.3831199413882162E-2</v>
      </c>
      <c r="P55" s="39">
        <f t="shared" si="723"/>
        <v>0.15765225079219547</v>
      </c>
      <c r="Q55" s="39">
        <f t="shared" si="723"/>
        <v>0.10046819928683061</v>
      </c>
      <c r="R55" s="39">
        <f t="shared" si="723"/>
        <v>-1.6926647689274238E-2</v>
      </c>
      <c r="S55" s="39">
        <f t="shared" si="723"/>
        <v>0.14610686630310177</v>
      </c>
      <c r="T55" s="39">
        <f t="shared" si="723"/>
        <v>0.11948593731850207</v>
      </c>
      <c r="U55" s="39">
        <f t="shared" si="723"/>
        <v>0.12809780670388379</v>
      </c>
      <c r="V55" s="39">
        <f t="shared" si="723"/>
        <v>0.18162483181076283</v>
      </c>
      <c r="W55" s="39">
        <f t="shared" si="723"/>
        <v>0.31902083980593288</v>
      </c>
      <c r="X55" s="39">
        <f t="shared" si="723"/>
        <v>0.42857957840890726</v>
      </c>
      <c r="Y55" s="39">
        <f t="shared" si="723"/>
        <v>0.29472849986863248</v>
      </c>
      <c r="Z55" s="39">
        <f t="shared" si="723"/>
        <v>0.20835536805828528</v>
      </c>
      <c r="AA55" s="39">
        <f t="shared" ref="AA55" si="724">+AA34/AA129</f>
        <v>0.12078224093188974</v>
      </c>
      <c r="AB55" s="40">
        <f t="shared" si="723"/>
        <v>0.16273533141622906</v>
      </c>
      <c r="AC55" s="40">
        <f t="shared" si="723"/>
        <v>0.17249338763948158</v>
      </c>
      <c r="AD55" s="40">
        <f t="shared" si="723"/>
        <v>0.18099077288291568</v>
      </c>
      <c r="AE55" s="40">
        <f t="shared" si="723"/>
        <v>0.18862209744716202</v>
      </c>
      <c r="AF55" s="39"/>
      <c r="AG55" s="39"/>
      <c r="AH55" s="39"/>
      <c r="AI55" s="39"/>
      <c r="AJ55" s="39"/>
      <c r="AK55" s="39"/>
      <c r="AL55" s="39" t="e">
        <f t="shared" ref="AL55:BQ55" si="725">+SUM(AI34:AL34)/AL129</f>
        <v>#DIV/0!</v>
      </c>
      <c r="AM55" s="39" t="e">
        <f t="shared" si="725"/>
        <v>#DIV/0!</v>
      </c>
      <c r="AN55" s="39" t="e">
        <f t="shared" si="725"/>
        <v>#DIV/0!</v>
      </c>
      <c r="AO55" s="39" t="e">
        <f t="shared" si="725"/>
        <v>#DIV/0!</v>
      </c>
      <c r="AP55" s="39" t="e">
        <f t="shared" si="725"/>
        <v>#DIV/0!</v>
      </c>
      <c r="AQ55" s="39" t="e">
        <f t="shared" si="725"/>
        <v>#DIV/0!</v>
      </c>
      <c r="AR55" s="39" t="e">
        <f t="shared" si="725"/>
        <v>#DIV/0!</v>
      </c>
      <c r="AS55" s="39" t="e">
        <f t="shared" si="725"/>
        <v>#DIV/0!</v>
      </c>
      <c r="AT55" s="39" t="e">
        <f t="shared" si="725"/>
        <v>#DIV/0!</v>
      </c>
      <c r="AU55" s="39" t="e">
        <f t="shared" si="725"/>
        <v>#DIV/0!</v>
      </c>
      <c r="AV55" s="39" t="e">
        <f t="shared" si="725"/>
        <v>#DIV/0!</v>
      </c>
      <c r="AW55" s="39" t="e">
        <f t="shared" si="725"/>
        <v>#DIV/0!</v>
      </c>
      <c r="AX55" s="39" t="e">
        <f t="shared" si="725"/>
        <v>#DIV/0!</v>
      </c>
      <c r="AY55" s="39" t="e">
        <f t="shared" si="725"/>
        <v>#DIV/0!</v>
      </c>
      <c r="AZ55" s="39" t="e">
        <f t="shared" si="725"/>
        <v>#DIV/0!</v>
      </c>
      <c r="BA55" s="39" t="e">
        <f t="shared" si="725"/>
        <v>#DIV/0!</v>
      </c>
      <c r="BB55" s="39" t="e">
        <f t="shared" si="725"/>
        <v>#DIV/0!</v>
      </c>
      <c r="BC55" s="39" t="e">
        <f t="shared" si="725"/>
        <v>#DIV/0!</v>
      </c>
      <c r="BD55" s="39" t="e">
        <f t="shared" si="725"/>
        <v>#DIV/0!</v>
      </c>
      <c r="BE55" s="39" t="e">
        <f t="shared" si="725"/>
        <v>#DIV/0!</v>
      </c>
      <c r="BF55" s="39" t="e">
        <f t="shared" si="725"/>
        <v>#DIV/0!</v>
      </c>
      <c r="BG55" s="39" t="e">
        <f t="shared" si="725"/>
        <v>#DIV/0!</v>
      </c>
      <c r="BH55" s="39" t="e">
        <f t="shared" si="725"/>
        <v>#DIV/0!</v>
      </c>
      <c r="BI55" s="39" t="e">
        <f t="shared" si="725"/>
        <v>#DIV/0!</v>
      </c>
      <c r="BJ55" s="39" t="e">
        <f t="shared" si="725"/>
        <v>#DIV/0!</v>
      </c>
      <c r="BK55" s="39" t="e">
        <f t="shared" si="725"/>
        <v>#DIV/0!</v>
      </c>
      <c r="BL55" s="39" t="e">
        <f t="shared" si="725"/>
        <v>#DIV/0!</v>
      </c>
      <c r="BM55" s="39">
        <f t="shared" si="725"/>
        <v>2.6811164994632217</v>
      </c>
      <c r="BN55" s="39">
        <f t="shared" si="725"/>
        <v>0.11101193941040267</v>
      </c>
      <c r="BO55" s="39">
        <f t="shared" si="725"/>
        <v>0.16358474430726686</v>
      </c>
      <c r="BP55" s="39">
        <f t="shared" si="725"/>
        <v>0.16392760991984084</v>
      </c>
      <c r="BQ55" s="39">
        <f t="shared" si="725"/>
        <v>0.19334484181085534</v>
      </c>
      <c r="BR55" s="39">
        <f t="shared" ref="BR55:CW55" si="726">+SUM(BO34:BR34)/BR129</f>
        <v>0.18015597190143093</v>
      </c>
      <c r="BS55" s="39">
        <f t="shared" si="726"/>
        <v>0.21329976116341351</v>
      </c>
      <c r="BT55" s="39">
        <f t="shared" si="726"/>
        <v>0.24359818126271593</v>
      </c>
      <c r="BU55" s="39">
        <f t="shared" si="726"/>
        <v>0.2777449653184364</v>
      </c>
      <c r="BV55" s="39">
        <f t="shared" si="726"/>
        <v>0.3114945580225601</v>
      </c>
      <c r="BW55" s="39">
        <f t="shared" si="726"/>
        <v>0.3237073705536635</v>
      </c>
      <c r="BX55" s="39">
        <f t="shared" si="726"/>
        <v>0.22489928485397048</v>
      </c>
      <c r="BY55" s="39">
        <f t="shared" si="726"/>
        <v>0.23156858991373003</v>
      </c>
      <c r="BZ55" s="39">
        <f t="shared" si="726"/>
        <v>0.43273872889506126</v>
      </c>
      <c r="CA55" s="39">
        <f t="shared" si="726"/>
        <v>0.41868964249334156</v>
      </c>
      <c r="CB55" s="39">
        <f t="shared" si="726"/>
        <v>0.34972638753651408</v>
      </c>
      <c r="CC55" s="39">
        <f t="shared" si="726"/>
        <v>0.34457810915434123</v>
      </c>
      <c r="CD55" s="39">
        <f t="shared" si="726"/>
        <v>0.30171244168688705</v>
      </c>
      <c r="CE55" s="39">
        <f t="shared" si="726"/>
        <v>0.31008446333654949</v>
      </c>
      <c r="CF55" s="39">
        <f t="shared" si="726"/>
        <v>0.27800372399559997</v>
      </c>
      <c r="CG55" s="39">
        <f t="shared" si="726"/>
        <v>0.27883056654000965</v>
      </c>
      <c r="CH55" s="39">
        <f t="shared" si="726"/>
        <v>0.20823513831744023</v>
      </c>
      <c r="CI55" s="39">
        <f t="shared" si="726"/>
        <v>0.18338882475735277</v>
      </c>
      <c r="CJ55" s="39">
        <f t="shared" si="726"/>
        <v>0.18802094027369898</v>
      </c>
      <c r="CK55" s="39">
        <f t="shared" si="726"/>
        <v>0.18520340497106655</v>
      </c>
      <c r="CL55" s="39">
        <f t="shared" si="726"/>
        <v>0.15286509009692301</v>
      </c>
      <c r="CM55" s="40">
        <f t="shared" si="726"/>
        <v>0.16151942872635991</v>
      </c>
      <c r="CN55" s="40">
        <f t="shared" si="726"/>
        <v>0.16364305637404561</v>
      </c>
      <c r="CO55" s="40">
        <f t="shared" si="726"/>
        <v>0.16368468962893817</v>
      </c>
      <c r="CP55" s="40">
        <f t="shared" si="726"/>
        <v>0.16273533141622906</v>
      </c>
      <c r="CQ55" s="40">
        <f t="shared" si="726"/>
        <v>0.16606608055040167</v>
      </c>
      <c r="CR55" s="40">
        <f t="shared" si="726"/>
        <v>0.16804119114086757</v>
      </c>
      <c r="CS55" s="40">
        <f t="shared" si="726"/>
        <v>0.16999660812348358</v>
      </c>
      <c r="CT55" s="40">
        <f t="shared" si="726"/>
        <v>0.17249338763948163</v>
      </c>
      <c r="CU55" s="40">
        <f t="shared" si="726"/>
        <v>0.1748065034014111</v>
      </c>
      <c r="CV55" s="40">
        <f t="shared" si="726"/>
        <v>0.17674146989849893</v>
      </c>
      <c r="CW55" s="40">
        <f t="shared" si="726"/>
        <v>0.17879183451633168</v>
      </c>
      <c r="CX55" s="40">
        <f t="shared" ref="CX55:DB55" si="727">+SUM(CU34:CX34)/CX129</f>
        <v>0.18099077288291568</v>
      </c>
      <c r="CY55" s="40">
        <f t="shared" si="727"/>
        <v>0.18302589133358663</v>
      </c>
      <c r="CZ55" s="40">
        <f t="shared" si="727"/>
        <v>0.18483224620654123</v>
      </c>
      <c r="DA55" s="40">
        <f t="shared" si="727"/>
        <v>0.18669810909278148</v>
      </c>
      <c r="DB55" s="40">
        <f t="shared" si="727"/>
        <v>0.18862209744716202</v>
      </c>
      <c r="DE55" s="122"/>
      <c r="DF55" s="38">
        <v>0.12078224093188974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328.31615859999999</v>
      </c>
      <c r="P58" s="9">
        <f>P10-SUM(AQ10:AT10)</f>
        <v>447.28469960000001</v>
      </c>
      <c r="Q58" s="9">
        <f>Q10-SUM(AU10:AX10)</f>
        <v>447.73601020000001</v>
      </c>
      <c r="R58" s="9">
        <f>R10-SUM(AY10:BB10)</f>
        <v>430.8894621</v>
      </c>
      <c r="S58" s="9">
        <f>S10-SUM(BC10:BF10)</f>
        <v>764.84797300000002</v>
      </c>
      <c r="T58" s="9">
        <f>T10-SUM(BG10:BJ10)</f>
        <v>762.62</v>
      </c>
      <c r="U58" s="9">
        <f>U10-SUM(BK10:BN10)</f>
        <v>181.30799999999999</v>
      </c>
      <c r="V58" s="9">
        <f>V10-SUM(BO10:BR10)</f>
        <v>0</v>
      </c>
      <c r="W58" s="9">
        <f>W10-SUM(BS10:BV10)</f>
        <v>22.978000000000065</v>
      </c>
      <c r="X58" s="9">
        <f>X10-SUM(BW10:BZ10)</f>
        <v>-5.2999999999883585E-2</v>
      </c>
      <c r="Y58" s="9">
        <f>Y10-SUM(CA10:CD10)</f>
        <v>-9.999999999308784E-3</v>
      </c>
      <c r="Z58" s="9">
        <f>Z10-SUM(CE10:CH10)</f>
        <v>0</v>
      </c>
      <c r="AA58" s="9">
        <f>AA10-SUM(CF10:CI10)</f>
        <v>163.15099999999984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163.15099999999984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328.31615859999999</v>
      </c>
      <c r="P59" s="9">
        <f>P16-SUM(AQ16:AT16)</f>
        <v>447.28469960000001</v>
      </c>
      <c r="Q59" s="9">
        <f>Q16-SUM(AU16:AX16)</f>
        <v>447.73601020000001</v>
      </c>
      <c r="R59" s="9">
        <f>R16-SUM(AY16:BB16)</f>
        <v>430.8894621</v>
      </c>
      <c r="S59" s="9">
        <f>S16-SUM(BC16:BF16)</f>
        <v>764.64411140000004</v>
      </c>
      <c r="T59" s="9">
        <f>T16-SUM(BG16:BJ16)</f>
        <v>762.62</v>
      </c>
      <c r="U59" s="9">
        <f>U16-SUM(BK16:BN16)</f>
        <v>181.30799999999999</v>
      </c>
      <c r="V59" s="9">
        <f>V16-SUM(BO16:BR16)</f>
        <v>0</v>
      </c>
      <c r="W59" s="9">
        <f>W16-SUM(BS16:BV16)</f>
        <v>22.978000000000065</v>
      </c>
      <c r="X59" s="9">
        <f>X16-SUM(BW16:BZ16)</f>
        <v>-5.2999999999883585E-2</v>
      </c>
      <c r="Y59" s="9">
        <f>Y16-SUM(CA16:CD16)</f>
        <v>-9.999999999308784E-3</v>
      </c>
      <c r="Z59" s="9">
        <f>Z16-SUM(CE16:CH16)</f>
        <v>0</v>
      </c>
      <c r="AA59" s="9">
        <f>AA16-SUM(CF16:CI16)</f>
        <v>163.15099999999984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163.15099999999984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27.019779200000016</v>
      </c>
      <c r="P60" s="9">
        <f>P28-SUM(AQ28:AT28)</f>
        <v>108.51476710000003</v>
      </c>
      <c r="Q60" s="9">
        <f>Q28-SUM(AU28:AX28)</f>
        <v>86.135730000000024</v>
      </c>
      <c r="R60" s="9">
        <f>R28-SUM(AY28:BB28)</f>
        <v>-6.1356488000000127</v>
      </c>
      <c r="S60" s="9">
        <f>S28-SUM(BC28:BF28)</f>
        <v>248.28872050000007</v>
      </c>
      <c r="T60" s="9">
        <f>T28-SUM(BG28:BJ28)</f>
        <v>187.673</v>
      </c>
      <c r="U60" s="9">
        <f>U28-SUM(BK28:BN28)</f>
        <v>23.743000000000023</v>
      </c>
      <c r="V60" s="9">
        <f>V28-SUM(BO28:BR28)</f>
        <v>3.3819999999998345</v>
      </c>
      <c r="W60" s="9">
        <f>W28-SUM(BS28:BV28)</f>
        <v>29.043000000000006</v>
      </c>
      <c r="X60" s="9">
        <f>X28-SUM(BW28:BZ28)</f>
        <v>-0.46399999999994179</v>
      </c>
      <c r="Y60" s="9">
        <f>Y28-SUM(CA28:CD28)</f>
        <v>0.73099999999999454</v>
      </c>
      <c r="Z60" s="9">
        <f>Z28-SUM(CE28:CH28)</f>
        <v>1.0840000000002874</v>
      </c>
      <c r="AA60" s="9">
        <f>AA28-SUM(CF28:CI28)</f>
        <v>33.796000000000276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33.796000000000276</v>
      </c>
    </row>
    <row r="61" spans="1:110" s="9" customFormat="1" x14ac:dyDescent="0.2">
      <c r="A61" s="9" t="s">
        <v>456</v>
      </c>
      <c r="N61" s="9">
        <f>N48-SUM(AI48:AL48)</f>
        <v>74.209700799999993</v>
      </c>
      <c r="O61" s="9">
        <f>O48-SUM(AM48:AP48)</f>
        <v>10.334949300000012</v>
      </c>
      <c r="P61" s="9">
        <f>P48-SUM(AQ48:AT48)</f>
        <v>46.950606700000016</v>
      </c>
      <c r="Q61" s="9">
        <f>Q48-SUM(AU48:AX48)</f>
        <v>31.724698800000034</v>
      </c>
      <c r="R61" s="9">
        <f>R48-SUM(AY48:BB48)</f>
        <v>31.014299399999977</v>
      </c>
      <c r="S61" s="9">
        <f>S48-SUM(BC48:BF48)</f>
        <v>107.92852950000008</v>
      </c>
      <c r="T61" s="9">
        <f>T48-SUM(BG48:BJ48)</f>
        <v>79.580000000000013</v>
      </c>
      <c r="U61" s="9">
        <f>U48-SUM(BK48:BN48)</f>
        <v>5.2650000000000148</v>
      </c>
      <c r="V61" s="9">
        <f>V48-SUM(BO48:BR48)</f>
        <v>0</v>
      </c>
      <c r="W61" s="9">
        <f>W41-SUM(BS41:BV41)</f>
        <v>0</v>
      </c>
      <c r="X61" s="9">
        <f>X41-SUM(BW41:BZ41)</f>
        <v>2.4000000000114596E-2</v>
      </c>
      <c r="Y61" s="9">
        <f>Y41-SUM(CA41:CD41)</f>
        <v>-2.9999999999972715E-2</v>
      </c>
      <c r="Z61" s="9">
        <f>Z41-SUM(CE41:CH41)</f>
        <v>0</v>
      </c>
      <c r="AA61" s="9">
        <f>AA41-SUM(CF41:CI41)</f>
        <v>-78.594000000000051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-78.594000000000051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8">+F63</f>
        <v>91.085999999999999</v>
      </c>
      <c r="F63" s="3">
        <f t="shared" ca="1" si="728"/>
        <v>91.085999999999999</v>
      </c>
      <c r="G63" s="3">
        <f t="shared" ca="1" si="728"/>
        <v>91.085999999999999</v>
      </c>
      <c r="H63" s="3">
        <f t="shared" ca="1" si="728"/>
        <v>91.085999999999999</v>
      </c>
      <c r="I63" s="3">
        <f t="shared" ca="1" si="728"/>
        <v>91.085999999999999</v>
      </c>
      <c r="J63" s="3">
        <f t="shared" ca="1" si="728"/>
        <v>91.085999999999999</v>
      </c>
      <c r="K63" s="3">
        <f t="shared" ca="1" si="728"/>
        <v>91.085999999999999</v>
      </c>
      <c r="L63" s="3">
        <f t="shared" ca="1" si="728"/>
        <v>91.085999999999999</v>
      </c>
      <c r="M63" s="3">
        <f t="shared" ca="1" si="728"/>
        <v>91.085999999999999</v>
      </c>
      <c r="N63" s="3">
        <f t="shared" ca="1" si="728"/>
        <v>91.085999999999999</v>
      </c>
      <c r="O63" s="3">
        <f t="shared" ca="1" si="728"/>
        <v>91.085999999999999</v>
      </c>
      <c r="P63" s="3">
        <f t="shared" ca="1" si="728"/>
        <v>91.085999999999999</v>
      </c>
      <c r="Q63" s="3">
        <f t="shared" ca="1" si="728"/>
        <v>91.085999999999999</v>
      </c>
      <c r="R63" s="3">
        <f t="shared" ca="1" si="728"/>
        <v>91.085999999999999</v>
      </c>
      <c r="S63" s="3">
        <f t="shared" ca="1" si="728"/>
        <v>91.085999999999999</v>
      </c>
      <c r="T63" s="3">
        <f t="shared" ca="1" si="728"/>
        <v>91.085999999999999</v>
      </c>
      <c r="U63" s="3">
        <f t="shared" ca="1" si="728"/>
        <v>91.085999999999999</v>
      </c>
      <c r="V63" s="3">
        <f t="shared" ca="1" si="728"/>
        <v>91.085999999999999</v>
      </c>
      <c r="W63" s="3">
        <f t="shared" ca="1" si="728"/>
        <v>91.085999999999999</v>
      </c>
      <c r="X63" s="3">
        <f t="shared" ca="1" si="728"/>
        <v>91.085999999999999</v>
      </c>
      <c r="Y63" s="3">
        <f t="shared" ca="1" si="728"/>
        <v>91.085999999999999</v>
      </c>
      <c r="Z63" s="3">
        <f ca="1">+AA63</f>
        <v>91.085999999999999</v>
      </c>
      <c r="AA63" s="3">
        <f ca="1">+AB63</f>
        <v>91.085999999999999</v>
      </c>
      <c r="AB63" s="37">
        <f t="shared" ref="AB63:AB64" ca="1" si="729">AA63</f>
        <v>91.085999999999999</v>
      </c>
      <c r="AC63" s="37">
        <f t="shared" ref="AC63:AC64" ca="1" si="730">AB63</f>
        <v>91.085999999999999</v>
      </c>
      <c r="AD63" s="37">
        <f t="shared" ref="AD63:AD64" ca="1" si="731">AC63</f>
        <v>91.085999999999999</v>
      </c>
      <c r="AE63" s="37">
        <f t="shared" ref="AE63:AE64" ca="1" si="732">AD63</f>
        <v>91.085999999999999</v>
      </c>
      <c r="AI63" s="3">
        <f t="shared" ref="AI63:CH63" si="733">+AJ63</f>
        <v>90.716999999999999</v>
      </c>
      <c r="AJ63" s="3">
        <f t="shared" si="733"/>
        <v>90.716999999999999</v>
      </c>
      <c r="AK63" s="3">
        <f t="shared" si="733"/>
        <v>90.716999999999999</v>
      </c>
      <c r="AL63" s="3">
        <f t="shared" si="733"/>
        <v>90.716999999999999</v>
      </c>
      <c r="AM63" s="3">
        <f t="shared" si="733"/>
        <v>90.716999999999999</v>
      </c>
      <c r="AN63" s="3">
        <f t="shared" si="733"/>
        <v>90.716999999999999</v>
      </c>
      <c r="AO63" s="3">
        <f t="shared" si="733"/>
        <v>90.716999999999999</v>
      </c>
      <c r="AP63" s="3">
        <f t="shared" si="733"/>
        <v>90.716999999999999</v>
      </c>
      <c r="AQ63" s="3">
        <f t="shared" si="733"/>
        <v>90.716999999999999</v>
      </c>
      <c r="AR63" s="3">
        <f t="shared" si="733"/>
        <v>90.716999999999999</v>
      </c>
      <c r="AS63" s="3">
        <f t="shared" si="733"/>
        <v>90.716999999999999</v>
      </c>
      <c r="AT63" s="3">
        <f t="shared" si="733"/>
        <v>90.716999999999999</v>
      </c>
      <c r="AU63" s="3">
        <f t="shared" si="733"/>
        <v>90.716999999999999</v>
      </c>
      <c r="AV63" s="3">
        <f t="shared" si="733"/>
        <v>90.716999999999999</v>
      </c>
      <c r="AW63" s="3">
        <f t="shared" si="733"/>
        <v>90.716999999999999</v>
      </c>
      <c r="AX63" s="3">
        <f t="shared" si="733"/>
        <v>90.716999999999999</v>
      </c>
      <c r="AY63" s="3">
        <f t="shared" si="733"/>
        <v>90.716999999999999</v>
      </c>
      <c r="AZ63" s="3">
        <f t="shared" si="733"/>
        <v>90.716999999999999</v>
      </c>
      <c r="BA63" s="3">
        <f t="shared" si="733"/>
        <v>90.716999999999999</v>
      </c>
      <c r="BB63" s="3">
        <f t="shared" si="733"/>
        <v>90.716999999999999</v>
      </c>
      <c r="BC63" s="3">
        <f t="shared" si="733"/>
        <v>90.716999999999999</v>
      </c>
      <c r="BD63" s="3">
        <f t="shared" si="733"/>
        <v>90.716999999999999</v>
      </c>
      <c r="BE63" s="3">
        <f t="shared" si="733"/>
        <v>90.716999999999999</v>
      </c>
      <c r="BF63" s="3">
        <f t="shared" si="733"/>
        <v>90.716999999999999</v>
      </c>
      <c r="BG63" s="3">
        <f t="shared" si="733"/>
        <v>90.716999999999999</v>
      </c>
      <c r="BH63" s="3">
        <f t="shared" si="733"/>
        <v>90.716999999999999</v>
      </c>
      <c r="BI63" s="3">
        <f t="shared" si="733"/>
        <v>90.716999999999999</v>
      </c>
      <c r="BJ63" s="3">
        <f t="shared" si="733"/>
        <v>90.716999999999999</v>
      </c>
      <c r="BK63" s="3">
        <f t="shared" si="733"/>
        <v>90.716999999999999</v>
      </c>
      <c r="BL63" s="3">
        <f t="shared" si="733"/>
        <v>90.716999999999999</v>
      </c>
      <c r="BM63" s="3">
        <f t="shared" si="733"/>
        <v>90.716999999999999</v>
      </c>
      <c r="BN63" s="3">
        <f t="shared" si="733"/>
        <v>90.716999999999999</v>
      </c>
      <c r="BO63" s="3">
        <f t="shared" si="733"/>
        <v>90.716999999999999</v>
      </c>
      <c r="BP63" s="3">
        <f t="shared" si="733"/>
        <v>90.716999999999999</v>
      </c>
      <c r="BQ63" s="3">
        <f t="shared" si="733"/>
        <v>90.716999999999999</v>
      </c>
      <c r="BR63" s="3">
        <f t="shared" si="733"/>
        <v>90.716999999999999</v>
      </c>
      <c r="BS63" s="3">
        <f t="shared" si="733"/>
        <v>90.716999999999999</v>
      </c>
      <c r="BT63" s="3">
        <f t="shared" si="733"/>
        <v>90.716999999999999</v>
      </c>
      <c r="BU63" s="3">
        <f t="shared" si="733"/>
        <v>90.716999999999999</v>
      </c>
      <c r="BV63" s="3">
        <f t="shared" si="733"/>
        <v>90.716999999999999</v>
      </c>
      <c r="BW63" s="3">
        <f t="shared" si="733"/>
        <v>90.716999999999999</v>
      </c>
      <c r="BX63" s="3">
        <f t="shared" si="733"/>
        <v>90.716999999999999</v>
      </c>
      <c r="BY63" s="3">
        <f t="shared" si="733"/>
        <v>90.716999999999999</v>
      </c>
      <c r="BZ63" s="3">
        <f t="shared" si="733"/>
        <v>90.716999999999999</v>
      </c>
      <c r="CA63" s="3">
        <f t="shared" si="733"/>
        <v>90.716999999999999</v>
      </c>
      <c r="CB63" s="3">
        <f t="shared" si="733"/>
        <v>90.716999999999999</v>
      </c>
      <c r="CC63" s="3">
        <f t="shared" si="733"/>
        <v>90.716999999999999</v>
      </c>
      <c r="CD63" s="3">
        <f t="shared" si="733"/>
        <v>90.716999999999999</v>
      </c>
      <c r="CE63" s="3">
        <f t="shared" si="733"/>
        <v>90.716999999999999</v>
      </c>
      <c r="CF63" s="3">
        <f t="shared" si="733"/>
        <v>90.716999999999999</v>
      </c>
      <c r="CG63" s="3">
        <f t="shared" si="733"/>
        <v>90.716999999999999</v>
      </c>
      <c r="CH63" s="3">
        <f t="shared" si="733"/>
        <v>90.716999999999999</v>
      </c>
      <c r="CI63" s="3">
        <f>+CJ63</f>
        <v>90.716999999999999</v>
      </c>
      <c r="CJ63" s="3">
        <f>'QTR Raw'!BD45</f>
        <v>90.716999999999999</v>
      </c>
      <c r="CK63" s="3">
        <f>'QTR Raw'!BE45</f>
        <v>90.855000000000004</v>
      </c>
      <c r="CL63" s="3">
        <f>'QTR Raw'!BF45</f>
        <v>91.085999999999999</v>
      </c>
      <c r="CM63" s="37">
        <f t="shared" ref="CM63:CM64" si="734">+CL63</f>
        <v>91.085999999999999</v>
      </c>
      <c r="CN63" s="37">
        <f t="shared" ref="CN63:CN64" si="735">+CM63</f>
        <v>91.085999999999999</v>
      </c>
      <c r="CO63" s="37">
        <f t="shared" ref="CO63:CO64" si="736">+CN63</f>
        <v>91.085999999999999</v>
      </c>
      <c r="CP63" s="37">
        <f t="shared" ref="CP63:CP64" si="737">+CO63</f>
        <v>91.085999999999999</v>
      </c>
      <c r="CQ63" s="37">
        <f t="shared" ref="CQ63:CQ64" si="738">+CP63</f>
        <v>91.085999999999999</v>
      </c>
      <c r="CR63" s="37">
        <f t="shared" ref="CR63:CR64" si="739">+CQ63</f>
        <v>91.085999999999999</v>
      </c>
      <c r="CS63" s="37">
        <f t="shared" ref="CS63:CS64" si="740">+CR63</f>
        <v>91.085999999999999</v>
      </c>
      <c r="CT63" s="37">
        <f t="shared" ref="CT63:CT64" si="741">+CS63</f>
        <v>91.085999999999999</v>
      </c>
      <c r="CU63" s="37">
        <f t="shared" ref="CU63:CU64" si="742">+CT63</f>
        <v>91.085999999999999</v>
      </c>
      <c r="CV63" s="37">
        <f t="shared" ref="CV63:CV64" si="743">+CU63</f>
        <v>91.085999999999999</v>
      </c>
      <c r="CW63" s="37">
        <f t="shared" ref="CW63:CW64" si="744">+CV63</f>
        <v>91.085999999999999</v>
      </c>
      <c r="CX63" s="37">
        <f t="shared" ref="CX63:CX64" si="745">+CW63</f>
        <v>91.085999999999999</v>
      </c>
      <c r="CY63" s="37">
        <f t="shared" ref="CY63:CY64" si="746">+CX63</f>
        <v>91.085999999999999</v>
      </c>
      <c r="CZ63" s="37">
        <f t="shared" ref="CZ63:CZ64" si="747">+CY63</f>
        <v>91.085999999999999</v>
      </c>
      <c r="DA63" s="37">
        <f t="shared" ref="DA63:DA64" si="748">+CZ63</f>
        <v>91.085999999999999</v>
      </c>
      <c r="DB63" s="37">
        <f t="shared" ref="DB63:DB64" si="749">+DA63</f>
        <v>91.085999999999999</v>
      </c>
      <c r="DE63" s="134"/>
      <c r="DF63" s="3">
        <v>91.085999999999999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50">+F64</f>
        <v>1</v>
      </c>
      <c r="F64" s="3">
        <f t="shared" ca="1" si="750"/>
        <v>1</v>
      </c>
      <c r="G64" s="3">
        <f t="shared" ca="1" si="750"/>
        <v>1</v>
      </c>
      <c r="H64" s="3">
        <f t="shared" ca="1" si="750"/>
        <v>1</v>
      </c>
      <c r="I64" s="3">
        <f t="shared" ca="1" si="750"/>
        <v>1</v>
      </c>
      <c r="J64" s="3">
        <f t="shared" ca="1" si="750"/>
        <v>1</v>
      </c>
      <c r="K64" s="3">
        <f t="shared" ca="1" si="750"/>
        <v>1</v>
      </c>
      <c r="L64" s="3">
        <f t="shared" ca="1" si="750"/>
        <v>1</v>
      </c>
      <c r="M64" s="3">
        <f t="shared" ca="1" si="750"/>
        <v>1</v>
      </c>
      <c r="N64" s="3">
        <f t="shared" ca="1" si="750"/>
        <v>1</v>
      </c>
      <c r="O64" s="3">
        <f t="shared" ca="1" si="750"/>
        <v>1</v>
      </c>
      <c r="P64" s="3">
        <f t="shared" ca="1" si="750"/>
        <v>1</v>
      </c>
      <c r="Q64" s="3">
        <f t="shared" ca="1" si="750"/>
        <v>1</v>
      </c>
      <c r="R64" s="3">
        <f t="shared" ca="1" si="750"/>
        <v>1</v>
      </c>
      <c r="S64" s="3">
        <f t="shared" ca="1" si="750"/>
        <v>1</v>
      </c>
      <c r="T64" s="3">
        <f t="shared" ca="1" si="750"/>
        <v>1</v>
      </c>
      <c r="U64" s="3">
        <f t="shared" ca="1" si="750"/>
        <v>1</v>
      </c>
      <c r="V64" s="3">
        <f t="shared" ca="1" si="750"/>
        <v>1</v>
      </c>
      <c r="W64" s="3">
        <f t="shared" ca="1" si="750"/>
        <v>1</v>
      </c>
      <c r="X64" s="3">
        <f t="shared" ca="1" si="750"/>
        <v>1</v>
      </c>
      <c r="Y64" s="3">
        <f t="shared" ca="1" si="750"/>
        <v>1</v>
      </c>
      <c r="Z64" s="3">
        <f ca="1">+AA64</f>
        <v>1</v>
      </c>
      <c r="AA64" s="3">
        <f ca="1">+AB64</f>
        <v>1</v>
      </c>
      <c r="AB64" s="37">
        <f t="shared" ca="1" si="729"/>
        <v>1</v>
      </c>
      <c r="AC64" s="37">
        <f t="shared" ca="1" si="730"/>
        <v>1</v>
      </c>
      <c r="AD64" s="37">
        <f t="shared" ca="1" si="731"/>
        <v>1</v>
      </c>
      <c r="AE64" s="37">
        <f t="shared" ca="1" si="732"/>
        <v>1</v>
      </c>
      <c r="AI64" s="3">
        <f t="shared" ref="AI64:CH64" si="751">AJ64</f>
        <v>10</v>
      </c>
      <c r="AJ64" s="3">
        <f t="shared" si="751"/>
        <v>10</v>
      </c>
      <c r="AK64" s="3">
        <f t="shared" si="751"/>
        <v>10</v>
      </c>
      <c r="AL64" s="3">
        <f t="shared" si="751"/>
        <v>10</v>
      </c>
      <c r="AM64" s="3">
        <f t="shared" si="751"/>
        <v>10</v>
      </c>
      <c r="AN64" s="3">
        <f t="shared" si="751"/>
        <v>10</v>
      </c>
      <c r="AO64" s="3">
        <f t="shared" si="751"/>
        <v>10</v>
      </c>
      <c r="AP64" s="3">
        <f t="shared" si="751"/>
        <v>10</v>
      </c>
      <c r="AQ64" s="3">
        <f t="shared" si="751"/>
        <v>10</v>
      </c>
      <c r="AR64" s="3">
        <f t="shared" si="751"/>
        <v>10</v>
      </c>
      <c r="AS64" s="3">
        <f t="shared" si="751"/>
        <v>10</v>
      </c>
      <c r="AT64" s="3">
        <f t="shared" si="751"/>
        <v>10</v>
      </c>
      <c r="AU64" s="3">
        <f t="shared" si="751"/>
        <v>10</v>
      </c>
      <c r="AV64" s="3">
        <f t="shared" si="751"/>
        <v>10</v>
      </c>
      <c r="AW64" s="3">
        <f t="shared" si="751"/>
        <v>10</v>
      </c>
      <c r="AX64" s="3">
        <f t="shared" si="751"/>
        <v>10</v>
      </c>
      <c r="AY64" s="3">
        <f t="shared" si="751"/>
        <v>10</v>
      </c>
      <c r="AZ64" s="3">
        <f t="shared" si="751"/>
        <v>10</v>
      </c>
      <c r="BA64" s="3">
        <f t="shared" si="751"/>
        <v>10</v>
      </c>
      <c r="BB64" s="3">
        <f t="shared" si="751"/>
        <v>10</v>
      </c>
      <c r="BC64" s="3">
        <f t="shared" si="751"/>
        <v>10</v>
      </c>
      <c r="BD64" s="3">
        <f t="shared" si="751"/>
        <v>10</v>
      </c>
      <c r="BE64" s="3">
        <f t="shared" si="751"/>
        <v>10</v>
      </c>
      <c r="BF64" s="3">
        <f t="shared" si="751"/>
        <v>10</v>
      </c>
      <c r="BG64" s="3">
        <f t="shared" si="751"/>
        <v>10</v>
      </c>
      <c r="BH64" s="3">
        <f t="shared" si="751"/>
        <v>10</v>
      </c>
      <c r="BI64" s="3">
        <f t="shared" si="751"/>
        <v>10</v>
      </c>
      <c r="BJ64" s="3">
        <f t="shared" si="751"/>
        <v>10</v>
      </c>
      <c r="BK64" s="3">
        <f t="shared" si="751"/>
        <v>10</v>
      </c>
      <c r="BL64" s="3">
        <f t="shared" si="751"/>
        <v>10</v>
      </c>
      <c r="BM64" s="3">
        <f t="shared" si="751"/>
        <v>10</v>
      </c>
      <c r="BN64" s="3">
        <f t="shared" si="751"/>
        <v>10</v>
      </c>
      <c r="BO64" s="3">
        <f t="shared" si="751"/>
        <v>10</v>
      </c>
      <c r="BP64" s="3">
        <f t="shared" si="751"/>
        <v>10</v>
      </c>
      <c r="BQ64" s="3">
        <f t="shared" si="751"/>
        <v>10</v>
      </c>
      <c r="BR64" s="3">
        <f t="shared" si="751"/>
        <v>10</v>
      </c>
      <c r="BS64" s="3">
        <f t="shared" si="751"/>
        <v>10</v>
      </c>
      <c r="BT64" s="3">
        <f t="shared" si="751"/>
        <v>10</v>
      </c>
      <c r="BU64" s="3">
        <f t="shared" si="751"/>
        <v>10</v>
      </c>
      <c r="BV64" s="3">
        <f t="shared" si="751"/>
        <v>10</v>
      </c>
      <c r="BW64" s="3">
        <f t="shared" si="751"/>
        <v>10</v>
      </c>
      <c r="BX64" s="3">
        <f t="shared" si="751"/>
        <v>10</v>
      </c>
      <c r="BY64" s="3">
        <f t="shared" si="751"/>
        <v>10</v>
      </c>
      <c r="BZ64" s="3">
        <f t="shared" si="751"/>
        <v>10</v>
      </c>
      <c r="CA64" s="3">
        <f t="shared" si="751"/>
        <v>10</v>
      </c>
      <c r="CB64" s="3">
        <f t="shared" si="751"/>
        <v>10</v>
      </c>
      <c r="CC64" s="3">
        <f t="shared" si="751"/>
        <v>10</v>
      </c>
      <c r="CD64" s="3">
        <f t="shared" si="751"/>
        <v>10</v>
      </c>
      <c r="CE64" s="3">
        <f t="shared" si="751"/>
        <v>10</v>
      </c>
      <c r="CF64" s="3">
        <f t="shared" si="751"/>
        <v>10</v>
      </c>
      <c r="CG64" s="3">
        <f t="shared" si="751"/>
        <v>10</v>
      </c>
      <c r="CH64" s="3">
        <f t="shared" si="751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</v>
      </c>
      <c r="CM64" s="37">
        <f t="shared" si="734"/>
        <v>1</v>
      </c>
      <c r="CN64" s="37">
        <f t="shared" si="735"/>
        <v>1</v>
      </c>
      <c r="CO64" s="37">
        <f t="shared" si="736"/>
        <v>1</v>
      </c>
      <c r="CP64" s="37">
        <f t="shared" si="737"/>
        <v>1</v>
      </c>
      <c r="CQ64" s="37">
        <f t="shared" si="738"/>
        <v>1</v>
      </c>
      <c r="CR64" s="37">
        <f t="shared" si="739"/>
        <v>1</v>
      </c>
      <c r="CS64" s="37">
        <f t="shared" si="740"/>
        <v>1</v>
      </c>
      <c r="CT64" s="37">
        <f t="shared" si="741"/>
        <v>1</v>
      </c>
      <c r="CU64" s="37">
        <f t="shared" si="742"/>
        <v>1</v>
      </c>
      <c r="CV64" s="37">
        <f t="shared" si="743"/>
        <v>1</v>
      </c>
      <c r="CW64" s="37">
        <f t="shared" si="744"/>
        <v>1</v>
      </c>
      <c r="CX64" s="37">
        <f t="shared" si="745"/>
        <v>1</v>
      </c>
      <c r="CY64" s="37">
        <f t="shared" si="746"/>
        <v>1</v>
      </c>
      <c r="CZ64" s="37">
        <f t="shared" si="747"/>
        <v>1</v>
      </c>
      <c r="DA64" s="37">
        <f t="shared" si="748"/>
        <v>1</v>
      </c>
      <c r="DB64" s="37">
        <f t="shared" si="749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52">C63/C64</f>
        <v>#DIV/0!</v>
      </c>
      <c r="D65" s="3" t="e">
        <f t="shared" si="752"/>
        <v>#DIV/0!</v>
      </c>
      <c r="E65" s="3">
        <f t="shared" ca="1" si="752"/>
        <v>91.085999999999999</v>
      </c>
      <c r="F65" s="3">
        <f t="shared" ca="1" si="752"/>
        <v>91.085999999999999</v>
      </c>
      <c r="G65" s="3">
        <f t="shared" ca="1" si="752"/>
        <v>91.085999999999999</v>
      </c>
      <c r="H65" s="3">
        <f t="shared" ca="1" si="752"/>
        <v>91.085999999999999</v>
      </c>
      <c r="I65" s="3">
        <f t="shared" ca="1" si="752"/>
        <v>91.085999999999999</v>
      </c>
      <c r="J65" s="3">
        <f t="shared" ca="1" si="752"/>
        <v>91.085999999999999</v>
      </c>
      <c r="K65" s="3">
        <f t="shared" ca="1" si="752"/>
        <v>91.085999999999999</v>
      </c>
      <c r="L65" s="3">
        <f t="shared" ca="1" si="752"/>
        <v>91.085999999999999</v>
      </c>
      <c r="M65" s="3">
        <f t="shared" ca="1" si="752"/>
        <v>91.085999999999999</v>
      </c>
      <c r="N65" s="3">
        <f t="shared" ca="1" si="752"/>
        <v>91.085999999999999</v>
      </c>
      <c r="O65" s="3">
        <f t="shared" ca="1" si="752"/>
        <v>91.085999999999999</v>
      </c>
      <c r="P65" s="3">
        <f t="shared" ca="1" si="752"/>
        <v>91.085999999999999</v>
      </c>
      <c r="Q65" s="3">
        <f t="shared" ca="1" si="752"/>
        <v>91.085999999999999</v>
      </c>
      <c r="R65" s="3">
        <f t="shared" ca="1" si="752"/>
        <v>91.085999999999999</v>
      </c>
      <c r="S65" s="3">
        <f t="shared" ca="1" si="752"/>
        <v>91.085999999999999</v>
      </c>
      <c r="T65" s="3">
        <f t="shared" ca="1" si="752"/>
        <v>91.085999999999999</v>
      </c>
      <c r="U65" s="3">
        <f t="shared" ca="1" si="752"/>
        <v>91.085999999999999</v>
      </c>
      <c r="V65" s="3">
        <f ca="1">V63/V64</f>
        <v>91.085999999999999</v>
      </c>
      <c r="W65" s="3">
        <f t="shared" ca="1" si="752"/>
        <v>91.085999999999999</v>
      </c>
      <c r="X65" s="3">
        <f t="shared" ref="X65:Y65" ca="1" si="753">X63/X64</f>
        <v>91.085999999999999</v>
      </c>
      <c r="Y65" s="3">
        <f t="shared" ca="1" si="753"/>
        <v>91.085999999999999</v>
      </c>
      <c r="Z65" s="3">
        <f t="shared" ref="Z65:AA65" ca="1" si="754">Z63/Z64</f>
        <v>91.085999999999999</v>
      </c>
      <c r="AA65" s="3">
        <f t="shared" ref="AA65" ca="1" si="755">AA63/AA64</f>
        <v>91.085999999999999</v>
      </c>
      <c r="AB65" s="37">
        <f t="shared" ref="AB65:AD65" ca="1" si="756">AB63/AB64</f>
        <v>91.085999999999999</v>
      </c>
      <c r="AC65" s="37">
        <f t="shared" ca="1" si="756"/>
        <v>91.085999999999999</v>
      </c>
      <c r="AD65" s="37">
        <f t="shared" ca="1" si="756"/>
        <v>91.085999999999999</v>
      </c>
      <c r="AE65" s="37">
        <f t="shared" ref="AE65" ca="1" si="757">AE63/AE64</f>
        <v>91.085999999999999</v>
      </c>
      <c r="AI65" s="3">
        <f t="shared" ref="AI65" si="758">AI63/AI64</f>
        <v>9.0716999999999999</v>
      </c>
      <c r="AJ65" s="3">
        <f t="shared" ref="AJ65" si="759">AJ63/AJ64</f>
        <v>9.0716999999999999</v>
      </c>
      <c r="AK65" s="3">
        <f t="shared" ref="AK65:AM65" si="760">AK63/AK64</f>
        <v>9.0716999999999999</v>
      </c>
      <c r="AL65" s="3">
        <f t="shared" si="760"/>
        <v>9.0716999999999999</v>
      </c>
      <c r="AM65" s="3">
        <f t="shared" si="760"/>
        <v>9.0716999999999999</v>
      </c>
      <c r="AN65" s="3">
        <f t="shared" ref="AN65:AO65" si="761">AN63/AN64</f>
        <v>9.0716999999999999</v>
      </c>
      <c r="AO65" s="3">
        <f t="shared" si="761"/>
        <v>9.0716999999999999</v>
      </c>
      <c r="AP65" s="3">
        <f t="shared" ref="AP65:CD65" si="762">AP63/AP64</f>
        <v>9.0716999999999999</v>
      </c>
      <c r="AQ65" s="3">
        <f t="shared" si="762"/>
        <v>9.0716999999999999</v>
      </c>
      <c r="AR65" s="3">
        <f t="shared" si="762"/>
        <v>9.0716999999999999</v>
      </c>
      <c r="AS65" s="3">
        <f t="shared" si="762"/>
        <v>9.0716999999999999</v>
      </c>
      <c r="AT65" s="3">
        <f t="shared" si="762"/>
        <v>9.0716999999999999</v>
      </c>
      <c r="AU65" s="3">
        <f t="shared" si="762"/>
        <v>9.0716999999999999</v>
      </c>
      <c r="AV65" s="3">
        <f t="shared" si="762"/>
        <v>9.0716999999999999</v>
      </c>
      <c r="AW65" s="3">
        <f t="shared" si="762"/>
        <v>9.0716999999999999</v>
      </c>
      <c r="AX65" s="3">
        <f t="shared" si="762"/>
        <v>9.0716999999999999</v>
      </c>
      <c r="AY65" s="3">
        <f t="shared" si="762"/>
        <v>9.0716999999999999</v>
      </c>
      <c r="AZ65" s="3">
        <f t="shared" si="762"/>
        <v>9.0716999999999999</v>
      </c>
      <c r="BA65" s="3">
        <f t="shared" si="762"/>
        <v>9.0716999999999999</v>
      </c>
      <c r="BB65" s="3">
        <f t="shared" si="762"/>
        <v>9.0716999999999999</v>
      </c>
      <c r="BC65" s="3">
        <f t="shared" si="762"/>
        <v>9.0716999999999999</v>
      </c>
      <c r="BD65" s="3">
        <f t="shared" si="762"/>
        <v>9.0716999999999999</v>
      </c>
      <c r="BE65" s="3">
        <f t="shared" si="762"/>
        <v>9.0716999999999999</v>
      </c>
      <c r="BF65" s="3">
        <f t="shared" si="762"/>
        <v>9.0716999999999999</v>
      </c>
      <c r="BG65" s="3">
        <f t="shared" si="762"/>
        <v>9.0716999999999999</v>
      </c>
      <c r="BH65" s="3">
        <f t="shared" si="762"/>
        <v>9.0716999999999999</v>
      </c>
      <c r="BI65" s="3">
        <f t="shared" si="762"/>
        <v>9.0716999999999999</v>
      </c>
      <c r="BJ65" s="3">
        <f t="shared" si="762"/>
        <v>9.0716999999999999</v>
      </c>
      <c r="BK65" s="3">
        <f t="shared" si="762"/>
        <v>9.0716999999999999</v>
      </c>
      <c r="BL65" s="3">
        <f t="shared" si="762"/>
        <v>9.0716999999999999</v>
      </c>
      <c r="BM65" s="3">
        <f t="shared" si="762"/>
        <v>9.0716999999999999</v>
      </c>
      <c r="BN65" s="3">
        <f t="shared" si="762"/>
        <v>9.0716999999999999</v>
      </c>
      <c r="BO65" s="3">
        <f t="shared" si="762"/>
        <v>9.0716999999999999</v>
      </c>
      <c r="BP65" s="3">
        <f t="shared" si="762"/>
        <v>9.0716999999999999</v>
      </c>
      <c r="BQ65" s="3">
        <f t="shared" si="762"/>
        <v>9.0716999999999999</v>
      </c>
      <c r="BR65" s="3">
        <f t="shared" si="762"/>
        <v>9.0716999999999999</v>
      </c>
      <c r="BS65" s="3">
        <f t="shared" si="762"/>
        <v>9.0716999999999999</v>
      </c>
      <c r="BT65" s="3">
        <f t="shared" si="762"/>
        <v>9.0716999999999999</v>
      </c>
      <c r="BU65" s="3">
        <f t="shared" si="762"/>
        <v>9.0716999999999999</v>
      </c>
      <c r="BV65" s="3">
        <f t="shared" si="762"/>
        <v>9.0716999999999999</v>
      </c>
      <c r="BW65" s="3">
        <f t="shared" si="762"/>
        <v>9.0716999999999999</v>
      </c>
      <c r="BX65" s="3">
        <f t="shared" si="762"/>
        <v>9.0716999999999999</v>
      </c>
      <c r="BY65" s="3">
        <f t="shared" si="762"/>
        <v>9.0716999999999999</v>
      </c>
      <c r="BZ65" s="3">
        <f t="shared" si="762"/>
        <v>9.0716999999999999</v>
      </c>
      <c r="CA65" s="3">
        <f t="shared" si="762"/>
        <v>9.0716999999999999</v>
      </c>
      <c r="CB65" s="3">
        <f t="shared" si="762"/>
        <v>9.0716999999999999</v>
      </c>
      <c r="CC65" s="3">
        <f t="shared" si="762"/>
        <v>9.0716999999999999</v>
      </c>
      <c r="CD65" s="3">
        <f t="shared" si="762"/>
        <v>9.0716999999999999</v>
      </c>
      <c r="CE65" s="3">
        <f t="shared" ref="CE65:CF65" si="763">CE63/CE64</f>
        <v>9.0716999999999999</v>
      </c>
      <c r="CF65" s="3">
        <f t="shared" si="763"/>
        <v>9.0716999999999999</v>
      </c>
      <c r="CG65" s="3">
        <f t="shared" ref="CG65:CH65" si="764">CG63/CG64</f>
        <v>9.0716999999999999</v>
      </c>
      <c r="CH65" s="3">
        <f t="shared" si="764"/>
        <v>9.0716999999999999</v>
      </c>
      <c r="CI65" s="3">
        <f t="shared" ref="CI65:CJ65" si="765">CI63/CI64</f>
        <v>9.0716999999999999</v>
      </c>
      <c r="CJ65" s="3">
        <f t="shared" si="765"/>
        <v>9.0716999999999999</v>
      </c>
      <c r="CK65" s="3">
        <f t="shared" ref="CK65:CL65" si="766">CK63/CK64</f>
        <v>9.0854999999999997</v>
      </c>
      <c r="CL65" s="3">
        <f t="shared" si="766"/>
        <v>91.085999999999999</v>
      </c>
      <c r="CM65" s="37">
        <f t="shared" ref="CM65:DB65" si="767">CM63/CM64</f>
        <v>91.085999999999999</v>
      </c>
      <c r="CN65" s="37">
        <f t="shared" si="767"/>
        <v>91.085999999999999</v>
      </c>
      <c r="CO65" s="37">
        <f t="shared" si="767"/>
        <v>91.085999999999999</v>
      </c>
      <c r="CP65" s="37">
        <f t="shared" si="767"/>
        <v>91.085999999999999</v>
      </c>
      <c r="CQ65" s="37">
        <f t="shared" si="767"/>
        <v>91.085999999999999</v>
      </c>
      <c r="CR65" s="37">
        <f t="shared" si="767"/>
        <v>91.085999999999999</v>
      </c>
      <c r="CS65" s="37">
        <f t="shared" si="767"/>
        <v>91.085999999999999</v>
      </c>
      <c r="CT65" s="37">
        <f t="shared" si="767"/>
        <v>91.085999999999999</v>
      </c>
      <c r="CU65" s="37">
        <f t="shared" si="767"/>
        <v>91.085999999999999</v>
      </c>
      <c r="CV65" s="37">
        <f t="shared" si="767"/>
        <v>91.085999999999999</v>
      </c>
      <c r="CW65" s="37">
        <f t="shared" si="767"/>
        <v>91.085999999999999</v>
      </c>
      <c r="CX65" s="37">
        <f t="shared" si="767"/>
        <v>91.085999999999999</v>
      </c>
      <c r="CY65" s="37">
        <f t="shared" si="767"/>
        <v>91.085999999999999</v>
      </c>
      <c r="CZ65" s="37">
        <f t="shared" si="767"/>
        <v>91.085999999999999</v>
      </c>
      <c r="DA65" s="37">
        <f t="shared" si="767"/>
        <v>91.085999999999999</v>
      </c>
      <c r="DB65" s="37">
        <f t="shared" si="767"/>
        <v>91.085999999999999</v>
      </c>
      <c r="DE65" s="134"/>
      <c r="DF65" s="3">
        <v>91.085999999999999</v>
      </c>
    </row>
    <row r="66" spans="1:110" s="53" customFormat="1" x14ac:dyDescent="0.2">
      <c r="A66" s="53" t="s">
        <v>30</v>
      </c>
      <c r="B66" s="53" t="e">
        <f t="shared" ref="B66:AE66" si="768">(B48-B47)/B65</f>
        <v>#DIV/0!</v>
      </c>
      <c r="C66" s="53" t="e">
        <f t="shared" si="768"/>
        <v>#DIV/0!</v>
      </c>
      <c r="D66" s="53" t="e">
        <f t="shared" si="768"/>
        <v>#DIV/0!</v>
      </c>
      <c r="E66" s="53">
        <f t="shared" ca="1" si="768"/>
        <v>0</v>
      </c>
      <c r="F66" s="53">
        <f t="shared" ca="1" si="768"/>
        <v>0</v>
      </c>
      <c r="G66" s="53">
        <f t="shared" ca="1" si="768"/>
        <v>0</v>
      </c>
      <c r="H66" s="53">
        <f t="shared" ca="1" si="768"/>
        <v>0</v>
      </c>
      <c r="I66" s="53">
        <f t="shared" ca="1" si="768"/>
        <v>4.0521118503392441E-2</v>
      </c>
      <c r="J66" s="53">
        <f t="shared" ca="1" si="768"/>
        <v>2.1190881145291229E-2</v>
      </c>
      <c r="K66" s="53">
        <f t="shared" ca="1" si="768"/>
        <v>9.8993553345190263E-2</v>
      </c>
      <c r="L66" s="53">
        <f t="shared" ca="1" si="768"/>
        <v>8.0710537294425011E-2</v>
      </c>
      <c r="M66" s="53">
        <f t="shared" ca="1" si="768"/>
        <v>9.0484201743407322E-2</v>
      </c>
      <c r="N66" s="53">
        <f t="shared" ca="1" si="768"/>
        <v>0.8147212612256548</v>
      </c>
      <c r="O66" s="53">
        <f t="shared" ca="1" si="768"/>
        <v>0.11346364205256584</v>
      </c>
      <c r="P66" s="53">
        <f t="shared" ca="1" si="768"/>
        <v>0.51545360099246884</v>
      </c>
      <c r="Q66" s="53">
        <f t="shared" ca="1" si="768"/>
        <v>0.34829390685725614</v>
      </c>
      <c r="R66" s="53">
        <f t="shared" ca="1" si="768"/>
        <v>0.34049469073183558</v>
      </c>
      <c r="S66" s="53">
        <f t="shared" ca="1" si="768"/>
        <v>1.1849079935445632</v>
      </c>
      <c r="T66" s="53">
        <f t="shared" ca="1" si="768"/>
        <v>0.8764793711437544</v>
      </c>
      <c r="U66" s="53">
        <f t="shared" ca="1" si="768"/>
        <v>0.95282480293349159</v>
      </c>
      <c r="V66" s="53">
        <f t="shared" ca="1" si="768"/>
        <v>3.272270162264233</v>
      </c>
      <c r="W66" s="53">
        <f t="shared" ca="1" si="768"/>
        <v>6.8622620380739097</v>
      </c>
      <c r="X66" s="53">
        <f t="shared" ca="1" si="768"/>
        <v>9.7730935599323736</v>
      </c>
      <c r="Y66" s="53">
        <f t="shared" ca="1" si="768"/>
        <v>12.356761741650748</v>
      </c>
      <c r="Z66" s="53">
        <f t="shared" ca="1" si="768"/>
        <v>12.867850163581666</v>
      </c>
      <c r="AA66" s="53">
        <f t="shared" ref="AA66" ca="1" si="769">(AA48-AA47)/AA65</f>
        <v>12.867850163581666</v>
      </c>
      <c r="AB66" s="54">
        <f t="shared" ca="1" si="768"/>
        <v>13.877100785219648</v>
      </c>
      <c r="AC66" s="54">
        <f t="shared" ca="1" si="768"/>
        <v>16.538547048333605</v>
      </c>
      <c r="AD66" s="54">
        <f t="shared" ca="1" si="768"/>
        <v>19.5587437158601</v>
      </c>
      <c r="AE66" s="54">
        <f t="shared" ca="1" si="768"/>
        <v>23.087971604002622</v>
      </c>
      <c r="AI66" s="53">
        <f t="shared" ref="AI66:BN66" si="770">(AI48-AI47)/AI65</f>
        <v>0</v>
      </c>
      <c r="AJ66" s="53">
        <f t="shared" si="770"/>
        <v>0</v>
      </c>
      <c r="AK66" s="53">
        <f t="shared" si="770"/>
        <v>0</v>
      </c>
      <c r="AL66" s="53">
        <f t="shared" si="770"/>
        <v>0</v>
      </c>
      <c r="AM66" s="53">
        <f t="shared" si="770"/>
        <v>0</v>
      </c>
      <c r="AN66" s="53">
        <f t="shared" si="770"/>
        <v>0</v>
      </c>
      <c r="AO66" s="53">
        <f t="shared" si="770"/>
        <v>0</v>
      </c>
      <c r="AP66" s="53">
        <f t="shared" si="770"/>
        <v>0</v>
      </c>
      <c r="AQ66" s="53">
        <f t="shared" si="770"/>
        <v>0</v>
      </c>
      <c r="AR66" s="53">
        <f t="shared" si="770"/>
        <v>0</v>
      </c>
      <c r="AS66" s="53">
        <f t="shared" si="770"/>
        <v>0</v>
      </c>
      <c r="AT66" s="53">
        <f t="shared" si="770"/>
        <v>0</v>
      </c>
      <c r="AU66" s="53">
        <f t="shared" si="770"/>
        <v>0</v>
      </c>
      <c r="AV66" s="53">
        <f t="shared" si="770"/>
        <v>0</v>
      </c>
      <c r="AW66" s="53">
        <f t="shared" si="770"/>
        <v>0</v>
      </c>
      <c r="AX66" s="53">
        <f t="shared" si="770"/>
        <v>0</v>
      </c>
      <c r="AY66" s="53">
        <f t="shared" si="770"/>
        <v>0</v>
      </c>
      <c r="AZ66" s="53">
        <f t="shared" si="770"/>
        <v>0</v>
      </c>
      <c r="BA66" s="53">
        <f t="shared" si="770"/>
        <v>0</v>
      </c>
      <c r="BB66" s="53">
        <f t="shared" si="770"/>
        <v>0</v>
      </c>
      <c r="BC66" s="53">
        <f t="shared" si="770"/>
        <v>0</v>
      </c>
      <c r="BD66" s="53">
        <f t="shared" si="770"/>
        <v>0</v>
      </c>
      <c r="BE66" s="53">
        <f t="shared" si="770"/>
        <v>0</v>
      </c>
      <c r="BF66" s="53">
        <f t="shared" si="770"/>
        <v>0</v>
      </c>
      <c r="BG66" s="53">
        <f t="shared" si="770"/>
        <v>0</v>
      </c>
      <c r="BH66" s="53">
        <f t="shared" si="770"/>
        <v>0</v>
      </c>
      <c r="BI66" s="53">
        <f t="shared" si="770"/>
        <v>0</v>
      </c>
      <c r="BJ66" s="53">
        <f t="shared" si="770"/>
        <v>0</v>
      </c>
      <c r="BK66" s="53">
        <f t="shared" si="770"/>
        <v>0</v>
      </c>
      <c r="BL66" s="53">
        <f t="shared" si="770"/>
        <v>2.2355236614967442</v>
      </c>
      <c r="BM66" s="53">
        <f t="shared" si="770"/>
        <v>3.0789157489775896</v>
      </c>
      <c r="BN66" s="53">
        <f t="shared" si="770"/>
        <v>3.5900658090545297</v>
      </c>
      <c r="BO66" s="53">
        <f t="shared" ref="BO66:CT66" si="771">(BO48-BO47)/BO65</f>
        <v>5.3197305907382315</v>
      </c>
      <c r="BP66" s="53">
        <f t="shared" si="771"/>
        <v>8.2228248288633896</v>
      </c>
      <c r="BQ66" s="53">
        <f t="shared" si="771"/>
        <v>8.0727978217974599</v>
      </c>
      <c r="BR66" s="53">
        <f t="shared" si="771"/>
        <v>11.240451073117503</v>
      </c>
      <c r="BS66" s="53">
        <f t="shared" si="771"/>
        <v>13.385693971361484</v>
      </c>
      <c r="BT66" s="53">
        <f t="shared" si="771"/>
        <v>14.799761896888135</v>
      </c>
      <c r="BU66" s="53">
        <f t="shared" si="771"/>
        <v>18.145441317503884</v>
      </c>
      <c r="BV66" s="53">
        <f t="shared" si="771"/>
        <v>22.570852210721252</v>
      </c>
      <c r="BW66" s="53">
        <f t="shared" si="771"/>
        <v>20.018298665079314</v>
      </c>
      <c r="BX66" s="53">
        <f t="shared" si="771"/>
        <v>23.545752174344397</v>
      </c>
      <c r="BY66" s="53">
        <f t="shared" si="771"/>
        <v>25.13310625351367</v>
      </c>
      <c r="BZ66" s="53">
        <f t="shared" si="771"/>
        <v>29.42866276442123</v>
      </c>
      <c r="CA66" s="53">
        <f t="shared" si="771"/>
        <v>24.342185036983146</v>
      </c>
      <c r="CB66" s="53">
        <f t="shared" si="771"/>
        <v>33.562066646824732</v>
      </c>
      <c r="CC66" s="53">
        <f t="shared" si="771"/>
        <v>28.696495695404398</v>
      </c>
      <c r="CD66" s="53">
        <f t="shared" si="771"/>
        <v>37.472800026455914</v>
      </c>
      <c r="CE66" s="53">
        <f t="shared" si="771"/>
        <v>32.268042373535273</v>
      </c>
      <c r="CF66" s="53">
        <f t="shared" si="771"/>
        <v>46.669091790954269</v>
      </c>
      <c r="CG66" s="53">
        <f t="shared" si="771"/>
        <v>31.026819669962627</v>
      </c>
      <c r="CH66" s="53">
        <f t="shared" si="771"/>
        <v>19.237959809076568</v>
      </c>
      <c r="CI66" s="53">
        <f t="shared" si="771"/>
        <v>12.61814213432983</v>
      </c>
      <c r="CJ66" s="53">
        <f t="shared" si="771"/>
        <v>23.339616609896712</v>
      </c>
      <c r="CK66" s="53">
        <f t="shared" ref="CK66:CL66" si="772">(CK48-CK47)/CK65</f>
        <v>29.570634527543881</v>
      </c>
      <c r="CL66" s="53">
        <f t="shared" si="772"/>
        <v>3.5157653206859449</v>
      </c>
      <c r="CM66" s="54">
        <f t="shared" si="771"/>
        <v>2.3407798235907356</v>
      </c>
      <c r="CN66" s="54">
        <f t="shared" si="771"/>
        <v>3.1074341705628878</v>
      </c>
      <c r="CO66" s="54">
        <f t="shared" si="771"/>
        <v>3.9564960760066419</v>
      </c>
      <c r="CP66" s="54">
        <f t="shared" si="771"/>
        <v>4.4723907150593813</v>
      </c>
      <c r="CQ66" s="54">
        <f t="shared" si="771"/>
        <v>2.9637215401059152</v>
      </c>
      <c r="CR66" s="54">
        <f t="shared" si="771"/>
        <v>3.7061983881187039</v>
      </c>
      <c r="CS66" s="54">
        <f t="shared" si="771"/>
        <v>4.6431065433490328</v>
      </c>
      <c r="CT66" s="54">
        <f t="shared" si="771"/>
        <v>5.2255205767599602</v>
      </c>
      <c r="CU66" s="54">
        <f t="shared" ref="CU66:DB66" si="773">(CU48-CU47)/CU65</f>
        <v>3.5460302903264291</v>
      </c>
      <c r="CV66" s="54">
        <f t="shared" si="773"/>
        <v>4.3812146823970091</v>
      </c>
      <c r="CW66" s="54">
        <f t="shared" si="773"/>
        <v>5.4707536833059081</v>
      </c>
      <c r="CX66" s="54">
        <f t="shared" si="773"/>
        <v>6.1607450598307558</v>
      </c>
      <c r="CY66" s="54">
        <f t="shared" si="773"/>
        <v>4.2012256979418288</v>
      </c>
      <c r="CZ66" s="54">
        <f t="shared" si="773"/>
        <v>5.1725139068487307</v>
      </c>
      <c r="DA66" s="54">
        <f t="shared" si="773"/>
        <v>6.4508118459348198</v>
      </c>
      <c r="DB66" s="54">
        <f t="shared" si="773"/>
        <v>7.263420153277238</v>
      </c>
      <c r="DE66" s="132"/>
      <c r="DF66" s="53">
        <v>12.867850163581666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4.0079999999999998E-2</v>
      </c>
      <c r="M67" s="3">
        <f>'Annual Raw'!N110</f>
        <v>6.1940000000000002E-2</v>
      </c>
      <c r="N67" s="3">
        <f>'Annual Raw'!O110</f>
        <v>3.2000000000000001E-2</v>
      </c>
      <c r="O67" s="3">
        <f>'Annual Raw'!P110</f>
        <v>9.6000000000000002E-2</v>
      </c>
      <c r="P67" s="3">
        <f>'Annual Raw'!Q110</f>
        <v>8.7999999999999995E-2</v>
      </c>
      <c r="Q67" s="3">
        <f>'Annual Raw'!R110</f>
        <v>0.112</v>
      </c>
      <c r="R67" s="3">
        <f>'Annual Raw'!S110</f>
        <v>0.13600000000000001</v>
      </c>
      <c r="S67" s="3">
        <f>'Annual Raw'!T110</f>
        <v>1.36</v>
      </c>
      <c r="T67" s="3">
        <f>'Annual Raw'!U110</f>
        <v>0.27</v>
      </c>
      <c r="U67" s="3">
        <f>'Annual Raw'!V110</f>
        <v>0.27</v>
      </c>
      <c r="V67" s="3">
        <f>'Annual Raw'!W110</f>
        <v>1.286</v>
      </c>
      <c r="W67" s="3">
        <f>'Annual Raw'!X110</f>
        <v>2.71</v>
      </c>
      <c r="X67" s="3">
        <f>'Annual Raw'!Y110</f>
        <v>3.9849999999999999</v>
      </c>
      <c r="Y67" s="3">
        <f>'Annual Raw'!Z110</f>
        <v>3.4649999999999999</v>
      </c>
      <c r="Z67" s="3">
        <f>'Annual Raw'!AA110</f>
        <v>4.8</v>
      </c>
      <c r="AA67" s="3">
        <f>'Annual Raw'!AB110</f>
        <v>4.05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4.05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4">C67/C66</f>
        <v>#DIV/0!</v>
      </c>
      <c r="D68" s="3" t="e">
        <f t="shared" si="774"/>
        <v>#DIV/0!</v>
      </c>
      <c r="E68" s="3" t="e">
        <f t="shared" ca="1" si="774"/>
        <v>#DIV/0!</v>
      </c>
      <c r="F68" s="3" t="e">
        <f t="shared" ca="1" si="774"/>
        <v>#DIV/0!</v>
      </c>
      <c r="G68" s="3" t="e">
        <f t="shared" ca="1" si="774"/>
        <v>#DIV/0!</v>
      </c>
      <c r="H68" s="3" t="e">
        <f t="shared" ca="1" si="774"/>
        <v>#DIV/0!</v>
      </c>
      <c r="I68" s="3">
        <f t="shared" ca="1" si="774"/>
        <v>0</v>
      </c>
      <c r="J68" s="3">
        <f t="shared" ca="1" si="774"/>
        <v>0</v>
      </c>
      <c r="K68" s="3">
        <f t="shared" ca="1" si="774"/>
        <v>0</v>
      </c>
      <c r="L68" s="3">
        <f t="shared" ca="1" si="774"/>
        <v>0.49658943359268753</v>
      </c>
      <c r="M68" s="3">
        <f t="shared" ca="1" si="774"/>
        <v>0.68453938705949791</v>
      </c>
      <c r="N68" s="3">
        <f t="shared" ca="1" si="774"/>
        <v>3.9277236918869245E-2</v>
      </c>
      <c r="O68" s="3">
        <f t="shared" ca="1" si="774"/>
        <v>0.84608600837548276</v>
      </c>
      <c r="P68" s="3">
        <f t="shared" ca="1" si="774"/>
        <v>0.17072341687120299</v>
      </c>
      <c r="Q68" s="3">
        <f t="shared" ca="1" si="774"/>
        <v>0.32156749743515262</v>
      </c>
      <c r="R68" s="3">
        <f t="shared" ca="1" si="774"/>
        <v>0.39941885645174402</v>
      </c>
      <c r="S68" s="3">
        <f t="shared" ca="1" si="774"/>
        <v>1.1477684405956805</v>
      </c>
      <c r="T68" s="3">
        <f t="shared" ca="1" si="774"/>
        <v>0.30805060437151621</v>
      </c>
      <c r="U68" s="3">
        <f t="shared" ca="1" si="774"/>
        <v>0.2833679383331989</v>
      </c>
      <c r="V68" s="3">
        <f ca="1">V67/V66</f>
        <v>0.39299933569976325</v>
      </c>
      <c r="W68" s="3">
        <f t="shared" ref="W68" ca="1" si="775">W67/W66</f>
        <v>0.39491351174934719</v>
      </c>
      <c r="X68" s="3">
        <f t="shared" ref="X68:Y68" ca="1" si="776">X67/X66</f>
        <v>0.40775215908478163</v>
      </c>
      <c r="Y68" s="3">
        <f t="shared" ca="1" si="776"/>
        <v>0.2804132727040109</v>
      </c>
      <c r="Z68" s="3">
        <f t="shared" ref="Z68:AA68" ca="1" si="777">Z67/Z66</f>
        <v>0.37302268358586149</v>
      </c>
      <c r="AA68" s="3">
        <f t="shared" ref="AA68" ca="1" si="778">AA67/AA66</f>
        <v>0.37302268358586149</v>
      </c>
      <c r="AB68" s="37">
        <f t="shared" ref="AB68:AD68" ca="1" si="779">AB67/AB66</f>
        <v>0</v>
      </c>
      <c r="AC68" s="37">
        <f t="shared" ca="1" si="779"/>
        <v>0</v>
      </c>
      <c r="AD68" s="37">
        <f t="shared" ca="1" si="779"/>
        <v>0</v>
      </c>
      <c r="AE68" s="37">
        <f t="shared" ref="AE68" ca="1" si="780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0.37302268358586149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81">+C66</f>
        <v>#DIV/0!</v>
      </c>
      <c r="D69" s="3" t="e">
        <f t="shared" si="781"/>
        <v>#DIV/0!</v>
      </c>
      <c r="E69" s="3">
        <f t="shared" ca="1" si="781"/>
        <v>0</v>
      </c>
      <c r="F69" s="3">
        <f t="shared" ca="1" si="781"/>
        <v>0</v>
      </c>
      <c r="G69" s="3">
        <f t="shared" ca="1" si="781"/>
        <v>0</v>
      </c>
      <c r="H69" s="3">
        <f t="shared" ca="1" si="781"/>
        <v>0</v>
      </c>
      <c r="I69" s="3">
        <f t="shared" ca="1" si="781"/>
        <v>4.0521118503392441E-2</v>
      </c>
      <c r="J69" s="3">
        <f t="shared" ca="1" si="781"/>
        <v>2.1190881145291229E-2</v>
      </c>
      <c r="K69" s="3">
        <f t="shared" ca="1" si="781"/>
        <v>9.8993553345190263E-2</v>
      </c>
      <c r="L69" s="3">
        <f t="shared" ca="1" si="781"/>
        <v>8.0710537294425011E-2</v>
      </c>
      <c r="M69" s="3">
        <f t="shared" ca="1" si="781"/>
        <v>9.0484201743407322E-2</v>
      </c>
      <c r="N69" s="3">
        <f t="shared" ca="1" si="781"/>
        <v>0.8147212612256548</v>
      </c>
      <c r="O69" s="3">
        <f t="shared" ca="1" si="781"/>
        <v>0.11346364205256584</v>
      </c>
      <c r="P69" s="3">
        <f t="shared" ca="1" si="781"/>
        <v>0.51545360099246884</v>
      </c>
      <c r="Q69" s="3">
        <f t="shared" ca="1" si="781"/>
        <v>0.34829390685725614</v>
      </c>
      <c r="R69" s="3">
        <f t="shared" ca="1" si="781"/>
        <v>0.34049469073183558</v>
      </c>
      <c r="S69" s="3">
        <f t="shared" ca="1" si="781"/>
        <v>1.1849079935445632</v>
      </c>
      <c r="T69" s="3">
        <f ca="1">+T66</f>
        <v>0.8764793711437544</v>
      </c>
      <c r="U69" s="3">
        <f t="shared" ca="1" si="781"/>
        <v>0.95282480293349159</v>
      </c>
      <c r="V69" s="3">
        <f ca="1">+V66</f>
        <v>3.272270162264233</v>
      </c>
      <c r="W69" s="3">
        <f t="shared" ref="W69" ca="1" si="782">+W66</f>
        <v>6.8622620380739097</v>
      </c>
      <c r="X69" s="3">
        <f t="shared" ref="X69:Y69" ca="1" si="783">+X66</f>
        <v>9.7730935599323736</v>
      </c>
      <c r="Y69" s="3">
        <f t="shared" ca="1" si="783"/>
        <v>12.356761741650748</v>
      </c>
      <c r="Z69" s="3">
        <f t="shared" ref="Z69:AA69" ca="1" si="784">+Z66</f>
        <v>12.867850163581666</v>
      </c>
      <c r="AA69" s="3">
        <f t="shared" ref="AA69" ca="1" si="785">+AA66</f>
        <v>12.867850163581666</v>
      </c>
      <c r="AB69" s="37">
        <f t="shared" ref="AB69:AD69" ca="1" si="786">+AB66</f>
        <v>13.877100785219648</v>
      </c>
      <c r="AC69" s="37">
        <f t="shared" ca="1" si="786"/>
        <v>16.538547048333605</v>
      </c>
      <c r="AD69" s="37">
        <f t="shared" ca="1" si="786"/>
        <v>19.5587437158601</v>
      </c>
      <c r="AE69" s="37">
        <f t="shared" ref="AE69" ca="1" si="787">+AE66</f>
        <v>23.087971604002622</v>
      </c>
      <c r="AL69" s="3">
        <f>SUM(AI66:AL66)</f>
        <v>0</v>
      </c>
      <c r="AM69" s="3">
        <f t="shared" ref="AM69" si="788">SUM(AJ66:AM66)</f>
        <v>0</v>
      </c>
      <c r="AN69" s="3">
        <f t="shared" ref="AN69" si="789">SUM(AK66:AN66)</f>
        <v>0</v>
      </c>
      <c r="AO69" s="3">
        <f t="shared" ref="AO69" si="790">SUM(AL66:AO66)</f>
        <v>0</v>
      </c>
      <c r="AP69" s="3">
        <f t="shared" ref="AP69" si="791">SUM(AM66:AP66)</f>
        <v>0</v>
      </c>
      <c r="AQ69" s="3">
        <f t="shared" ref="AQ69" si="792">SUM(AN66:AQ66)</f>
        <v>0</v>
      </c>
      <c r="AR69" s="3">
        <f t="shared" ref="AR69" si="793">SUM(AO66:AR66)</f>
        <v>0</v>
      </c>
      <c r="AS69" s="3">
        <f t="shared" ref="AS69" si="794">SUM(AP66:AS66)</f>
        <v>0</v>
      </c>
      <c r="AT69" s="3">
        <f t="shared" ref="AT69" si="795">SUM(AQ66:AT66)</f>
        <v>0</v>
      </c>
      <c r="AU69" s="3">
        <f t="shared" ref="AU69" si="796">SUM(AR66:AU66)</f>
        <v>0</v>
      </c>
      <c r="AV69" s="3">
        <f t="shared" ref="AV69" si="797">SUM(AS66:AV66)</f>
        <v>0</v>
      </c>
      <c r="AW69" s="3">
        <f t="shared" ref="AW69" si="798">SUM(AT66:AW66)</f>
        <v>0</v>
      </c>
      <c r="AX69" s="3">
        <f t="shared" ref="AX69" si="799">SUM(AU66:AX66)</f>
        <v>0</v>
      </c>
      <c r="AY69" s="3">
        <f t="shared" ref="AY69" si="800">SUM(AV66:AY66)</f>
        <v>0</v>
      </c>
      <c r="AZ69" s="3">
        <f t="shared" ref="AZ69" si="801">SUM(AW66:AZ66)</f>
        <v>0</v>
      </c>
      <c r="BA69" s="3">
        <f t="shared" ref="BA69" si="802">SUM(AX66:BA66)</f>
        <v>0</v>
      </c>
      <c r="BB69" s="3">
        <f t="shared" ref="BB69" si="803">SUM(AY66:BB66)</f>
        <v>0</v>
      </c>
      <c r="BC69" s="3">
        <f t="shared" ref="BC69" si="804">SUM(AZ66:BC66)</f>
        <v>0</v>
      </c>
      <c r="BD69" s="3">
        <f t="shared" ref="BD69" si="805">SUM(BA66:BD66)</f>
        <v>0</v>
      </c>
      <c r="BE69" s="3">
        <f t="shared" ref="BE69" si="806">SUM(BB66:BE66)</f>
        <v>0</v>
      </c>
      <c r="BF69" s="3">
        <f t="shared" ref="BF69" si="807">SUM(BC66:BF66)</f>
        <v>0</v>
      </c>
      <c r="BG69" s="3">
        <f t="shared" ref="BG69" si="808">SUM(BD66:BG66)</f>
        <v>0</v>
      </c>
      <c r="BH69" s="3">
        <f t="shared" ref="BH69" si="809">SUM(BE66:BH66)</f>
        <v>0</v>
      </c>
      <c r="BI69" s="3">
        <f t="shared" ref="BI69" si="810">SUM(BF66:BI66)</f>
        <v>0</v>
      </c>
      <c r="BJ69" s="3">
        <f t="shared" ref="BJ69" si="811">SUM(BG66:BJ66)</f>
        <v>0</v>
      </c>
      <c r="BK69" s="3">
        <f t="shared" ref="BK69" si="812">SUM(BH66:BK66)</f>
        <v>0</v>
      </c>
      <c r="BL69" s="3">
        <f t="shared" ref="BL69" si="813">SUM(BI66:BL66)</f>
        <v>2.2355236614967442</v>
      </c>
      <c r="BM69" s="3">
        <f t="shared" ref="BM69" si="814">SUM(BJ66:BM66)</f>
        <v>5.3144394104743338</v>
      </c>
      <c r="BN69" s="3">
        <f t="shared" ref="BN69" si="815">SUM(BK66:BN66)</f>
        <v>8.904505219528863</v>
      </c>
      <c r="BO69" s="3">
        <f t="shared" ref="BO69" si="816">SUM(BL66:BO66)</f>
        <v>14.224235810267094</v>
      </c>
      <c r="BP69" s="3">
        <f t="shared" ref="BP69" si="817">SUM(BM66:BP66)</f>
        <v>20.211536977633742</v>
      </c>
      <c r="BQ69" s="3">
        <f t="shared" ref="BQ69" si="818">SUM(BN66:BQ66)</f>
        <v>25.205419050453607</v>
      </c>
      <c r="BR69" s="3">
        <f t="shared" ref="BR69" si="819">SUM(BO66:BR66)</f>
        <v>32.855804314516583</v>
      </c>
      <c r="BS69" s="3">
        <f t="shared" ref="BS69" si="820">SUM(BP66:BS66)</f>
        <v>40.921767695139835</v>
      </c>
      <c r="BT69" s="3">
        <f t="shared" ref="BT69" si="821">SUM(BQ66:BT66)</f>
        <v>47.498704763164582</v>
      </c>
      <c r="BU69" s="3">
        <f t="shared" ref="BU69" si="822">SUM(BR66:BU66)</f>
        <v>57.571348258871012</v>
      </c>
      <c r="BV69" s="3">
        <f t="shared" ref="BV69" si="823">SUM(BS66:BV66)</f>
        <v>68.901749396474756</v>
      </c>
      <c r="BW69" s="3">
        <f t="shared" ref="BW69" si="824">SUM(BT66:BW66)</f>
        <v>75.534354090192593</v>
      </c>
      <c r="BX69" s="3">
        <f t="shared" ref="BX69" si="825">SUM(BU66:BX66)</f>
        <v>84.280344367648851</v>
      </c>
      <c r="BY69" s="3">
        <f t="shared" ref="BY69" si="826">SUM(BV66:BY66)</f>
        <v>91.268009303658644</v>
      </c>
      <c r="BZ69" s="3">
        <f t="shared" ref="BZ69" si="827">SUM(BW66:BZ66)</f>
        <v>98.125819857358621</v>
      </c>
      <c r="CA69" s="3">
        <f t="shared" ref="CA69" si="828">SUM(BX66:CA66)</f>
        <v>102.44970622926243</v>
      </c>
      <c r="CB69" s="3">
        <f t="shared" ref="CB69" si="829">SUM(BY66:CB66)</f>
        <v>112.46602070174278</v>
      </c>
      <c r="CC69" s="3">
        <f t="shared" ref="CC69" si="830">SUM(BZ66:CC66)</f>
        <v>116.0294101436335</v>
      </c>
      <c r="CD69" s="3">
        <f t="shared" ref="CD69" si="831">SUM(CA66:CD66)</f>
        <v>124.07354740566819</v>
      </c>
      <c r="CE69" s="3">
        <f t="shared" ref="CE69" si="832">SUM(CB66:CE66)</f>
        <v>131.99940474222032</v>
      </c>
      <c r="CF69" s="3">
        <f t="shared" ref="CF69" si="833">SUM(CC66:CF66)</f>
        <v>145.10642988634984</v>
      </c>
      <c r="CG69" s="3">
        <f t="shared" ref="CG69" si="834">SUM(CD66:CG66)</f>
        <v>147.43675386090808</v>
      </c>
      <c r="CH69" s="3">
        <f t="shared" ref="CH69:CL69" si="835">SUM(CE66:CH66)</f>
        <v>129.20191364352874</v>
      </c>
      <c r="CI69" s="3">
        <f t="shared" si="835"/>
        <v>109.5520134043233</v>
      </c>
      <c r="CJ69" s="3">
        <f t="shared" si="835"/>
        <v>86.22253822326573</v>
      </c>
      <c r="CK69" s="3">
        <f t="shared" si="835"/>
        <v>84.766353080846983</v>
      </c>
      <c r="CL69" s="3">
        <f t="shared" si="835"/>
        <v>69.04415859245637</v>
      </c>
      <c r="CM69" s="37">
        <f t="shared" ref="CM69" si="836">SUM(CJ66:CM66)</f>
        <v>58.766796281717276</v>
      </c>
      <c r="CN69" s="37">
        <f t="shared" ref="CN69" si="837">SUM(CK66:CN66)</f>
        <v>38.53461384238345</v>
      </c>
      <c r="CO69" s="37">
        <f t="shared" ref="CO69" si="838">SUM(CL66:CO66)</f>
        <v>12.92047539084621</v>
      </c>
      <c r="CP69" s="37">
        <f t="shared" ref="CP69" si="839">SUM(CM66:CP66)</f>
        <v>13.877100785219646</v>
      </c>
      <c r="CQ69" s="37">
        <f t="shared" ref="CQ69" si="840">SUM(CN66:CQ66)</f>
        <v>14.500042501734827</v>
      </c>
      <c r="CR69" s="37">
        <f t="shared" ref="CR69" si="841">SUM(CO66:CR66)</f>
        <v>15.098806719290643</v>
      </c>
      <c r="CS69" s="37">
        <f t="shared" ref="CS69" si="842">SUM(CP66:CS66)</f>
        <v>15.785417186633033</v>
      </c>
      <c r="CT69" s="37">
        <f t="shared" ref="CT69" si="843">SUM(CQ66:CT66)</f>
        <v>16.538547048333612</v>
      </c>
      <c r="CU69" s="37">
        <f t="shared" ref="CU69" si="844">SUM(CR66:CU66)</f>
        <v>17.120855798554125</v>
      </c>
      <c r="CV69" s="37">
        <f t="shared" ref="CV69" si="845">SUM(CS66:CV66)</f>
        <v>17.795872092832433</v>
      </c>
      <c r="CW69" s="37">
        <f t="shared" ref="CW69" si="846">SUM(CT66:CW66)</f>
        <v>18.623519232789306</v>
      </c>
      <c r="CX69" s="37">
        <f t="shared" ref="CX69" si="847">SUM(CU66:CX66)</f>
        <v>19.558743715860103</v>
      </c>
      <c r="CY69" s="37">
        <f t="shared" ref="CY69" si="848">SUM(CV66:CY66)</f>
        <v>20.213939123475502</v>
      </c>
      <c r="CZ69" s="37">
        <f t="shared" ref="CZ69" si="849">SUM(CW66:CZ66)</f>
        <v>21.005238347927225</v>
      </c>
      <c r="DA69" s="37">
        <f t="shared" ref="DA69" si="850">SUM(CX66:DA66)</f>
        <v>21.985296510556136</v>
      </c>
      <c r="DB69" s="37">
        <f t="shared" ref="DB69" si="851">SUM(CY66:DB66)</f>
        <v>23.087971604002618</v>
      </c>
      <c r="DE69" s="134"/>
      <c r="DF69" s="3">
        <v>12.867850163581666</v>
      </c>
    </row>
    <row r="70" spans="1:110" s="97" customFormat="1" x14ac:dyDescent="0.2">
      <c r="A70" s="97" t="s">
        <v>425</v>
      </c>
      <c r="C70" s="101" t="e">
        <f t="shared" ref="C70:AA70" si="852">+C69/B69-1</f>
        <v>#DIV/0!</v>
      </c>
      <c r="D70" s="101" t="e">
        <f t="shared" si="852"/>
        <v>#DIV/0!</v>
      </c>
      <c r="E70" s="101" t="e">
        <f t="shared" ca="1" si="852"/>
        <v>#DIV/0!</v>
      </c>
      <c r="F70" s="101" t="e">
        <f t="shared" ca="1" si="852"/>
        <v>#DIV/0!</v>
      </c>
      <c r="G70" s="101" t="e">
        <f t="shared" ca="1" si="852"/>
        <v>#DIV/0!</v>
      </c>
      <c r="H70" s="101" t="e">
        <f t="shared" ca="1" si="852"/>
        <v>#DIV/0!</v>
      </c>
      <c r="I70" s="101" t="e">
        <f t="shared" ca="1" si="852"/>
        <v>#DIV/0!</v>
      </c>
      <c r="J70" s="101">
        <f t="shared" ca="1" si="852"/>
        <v>-0.47704106086022469</v>
      </c>
      <c r="K70" s="101">
        <f t="shared" ca="1" si="852"/>
        <v>3.671516614455995</v>
      </c>
      <c r="L70" s="101">
        <f t="shared" ca="1" si="852"/>
        <v>-0.18468895633044324</v>
      </c>
      <c r="M70" s="101">
        <f t="shared" ca="1" si="852"/>
        <v>0.12109527177757262</v>
      </c>
      <c r="N70" s="101">
        <f t="shared" ca="1" si="852"/>
        <v>8.0040166739385015</v>
      </c>
      <c r="O70" s="101">
        <f t="shared" ca="1" si="852"/>
        <v>-0.86073317654448744</v>
      </c>
      <c r="P70" s="101">
        <f t="shared" ca="1" si="852"/>
        <v>3.5428966642342363</v>
      </c>
      <c r="Q70" s="101">
        <f t="shared" ca="1" si="852"/>
        <v>-0.32429629711259889</v>
      </c>
      <c r="R70" s="101">
        <f t="shared" ca="1" si="852"/>
        <v>-2.2392628673280179E-2</v>
      </c>
      <c r="S70" s="101">
        <f t="shared" ca="1" si="852"/>
        <v>2.4799602631036755</v>
      </c>
      <c r="T70" s="101">
        <f t="shared" ca="1" si="852"/>
        <v>-0.26029752865297817</v>
      </c>
      <c r="U70" s="101">
        <f t="shared" ca="1" si="852"/>
        <v>8.7104653347529259E-2</v>
      </c>
      <c r="V70" s="101">
        <f t="shared" ca="1" si="852"/>
        <v>2.4342831464816954</v>
      </c>
      <c r="W70" s="101">
        <f t="shared" ca="1" si="852"/>
        <v>1.097095196236975</v>
      </c>
      <c r="X70" s="101">
        <f t="shared" ca="1" si="852"/>
        <v>0.4241795935084216</v>
      </c>
      <c r="Y70" s="101">
        <f t="shared" ca="1" si="852"/>
        <v>0.26436544026457187</v>
      </c>
      <c r="Z70" s="101">
        <f t="shared" ca="1" si="852"/>
        <v>4.1361032333268932E-2</v>
      </c>
      <c r="AA70" s="101">
        <f t="shared" ca="1" si="852"/>
        <v>4.1361032333268932E-2</v>
      </c>
      <c r="AB70" s="174">
        <f t="shared" ref="AB70" ca="1" si="853">+AB69/AA69-1</f>
        <v>0.38128180898735242</v>
      </c>
      <c r="AC70" s="174">
        <f t="shared" ref="AC70" ca="1" si="854">+AC69/AB69-1</f>
        <v>0.19178690882959026</v>
      </c>
      <c r="AD70" s="174">
        <f t="shared" ref="AD70" ca="1" si="855">+AD69/AC69-1</f>
        <v>0.18261559849846698</v>
      </c>
      <c r="AE70" s="174">
        <f t="shared" ref="AE70" ca="1" si="856">+AE69/AD69-1</f>
        <v>0.18044246294206956</v>
      </c>
      <c r="AL70" s="176"/>
      <c r="AM70" s="176"/>
      <c r="AN70" s="176"/>
      <c r="AO70" s="176"/>
      <c r="AP70" s="176" t="e">
        <f t="shared" ref="AP70:CL70" si="857">+IF(AL69&lt;0,1-AP69/AL69,AP69/AL69-1)</f>
        <v>#DIV/0!</v>
      </c>
      <c r="AQ70" s="176" t="e">
        <f t="shared" si="857"/>
        <v>#DIV/0!</v>
      </c>
      <c r="AR70" s="176" t="e">
        <f t="shared" si="857"/>
        <v>#DIV/0!</v>
      </c>
      <c r="AS70" s="176" t="e">
        <f t="shared" si="857"/>
        <v>#DIV/0!</v>
      </c>
      <c r="AT70" s="176" t="e">
        <f t="shared" si="857"/>
        <v>#DIV/0!</v>
      </c>
      <c r="AU70" s="176" t="e">
        <f t="shared" si="857"/>
        <v>#DIV/0!</v>
      </c>
      <c r="AV70" s="176" t="e">
        <f t="shared" si="857"/>
        <v>#DIV/0!</v>
      </c>
      <c r="AW70" s="176" t="e">
        <f t="shared" si="857"/>
        <v>#DIV/0!</v>
      </c>
      <c r="AX70" s="176" t="e">
        <f t="shared" si="857"/>
        <v>#DIV/0!</v>
      </c>
      <c r="AY70" s="176" t="e">
        <f t="shared" si="857"/>
        <v>#DIV/0!</v>
      </c>
      <c r="AZ70" s="176" t="e">
        <f t="shared" si="857"/>
        <v>#DIV/0!</v>
      </c>
      <c r="BA70" s="176" t="e">
        <f t="shared" si="857"/>
        <v>#DIV/0!</v>
      </c>
      <c r="BB70" s="176" t="e">
        <f t="shared" si="857"/>
        <v>#DIV/0!</v>
      </c>
      <c r="BC70" s="176" t="e">
        <f t="shared" si="857"/>
        <v>#DIV/0!</v>
      </c>
      <c r="BD70" s="176" t="e">
        <f t="shared" si="857"/>
        <v>#DIV/0!</v>
      </c>
      <c r="BE70" s="176" t="e">
        <f t="shared" si="857"/>
        <v>#DIV/0!</v>
      </c>
      <c r="BF70" s="176" t="e">
        <f t="shared" si="857"/>
        <v>#DIV/0!</v>
      </c>
      <c r="BG70" s="176" t="e">
        <f t="shared" si="857"/>
        <v>#DIV/0!</v>
      </c>
      <c r="BH70" s="176" t="e">
        <f t="shared" si="857"/>
        <v>#DIV/0!</v>
      </c>
      <c r="BI70" s="176" t="e">
        <f t="shared" si="857"/>
        <v>#DIV/0!</v>
      </c>
      <c r="BJ70" s="176" t="e">
        <f t="shared" si="857"/>
        <v>#DIV/0!</v>
      </c>
      <c r="BK70" s="176" t="e">
        <f t="shared" si="857"/>
        <v>#DIV/0!</v>
      </c>
      <c r="BL70" s="176" t="e">
        <f t="shared" si="857"/>
        <v>#DIV/0!</v>
      </c>
      <c r="BM70" s="176" t="e">
        <f t="shared" si="857"/>
        <v>#DIV/0!</v>
      </c>
      <c r="BN70" s="176" t="e">
        <f t="shared" si="857"/>
        <v>#DIV/0!</v>
      </c>
      <c r="BO70" s="176" t="e">
        <f t="shared" si="857"/>
        <v>#DIV/0!</v>
      </c>
      <c r="BP70" s="176">
        <f t="shared" si="857"/>
        <v>8.0410749506903301</v>
      </c>
      <c r="BQ70" s="176">
        <f t="shared" si="857"/>
        <v>3.7428180290804987</v>
      </c>
      <c r="BR70" s="176">
        <f t="shared" si="857"/>
        <v>2.6897956151970206</v>
      </c>
      <c r="BS70" s="176">
        <f t="shared" si="857"/>
        <v>1.8769044777507404</v>
      </c>
      <c r="BT70" s="176">
        <f t="shared" si="857"/>
        <v>1.3500788097276843</v>
      </c>
      <c r="BU70" s="176">
        <f t="shared" si="857"/>
        <v>1.2840861381288931</v>
      </c>
      <c r="BV70" s="176">
        <f t="shared" si="857"/>
        <v>1.0970951962369737</v>
      </c>
      <c r="BW70" s="176">
        <f t="shared" si="857"/>
        <v>0.84582334401853321</v>
      </c>
      <c r="BX70" s="176">
        <f t="shared" si="857"/>
        <v>0.77437142313422758</v>
      </c>
      <c r="BY70" s="176">
        <f t="shared" si="857"/>
        <v>0.58530262124954491</v>
      </c>
      <c r="BZ70" s="176">
        <f t="shared" si="857"/>
        <v>0.42414119694875363</v>
      </c>
      <c r="CA70" s="176">
        <f t="shared" si="857"/>
        <v>0.35633259148454854</v>
      </c>
      <c r="CB70" s="176">
        <f t="shared" si="857"/>
        <v>0.33442763607065951</v>
      </c>
      <c r="CC70" s="176">
        <f t="shared" si="857"/>
        <v>0.2713042722077017</v>
      </c>
      <c r="CD70" s="176">
        <f t="shared" si="857"/>
        <v>0.26443323058119361</v>
      </c>
      <c r="CE70" s="176">
        <f t="shared" si="857"/>
        <v>0.28843126642873362</v>
      </c>
      <c r="CF70" s="176">
        <f t="shared" si="857"/>
        <v>0.29022462945647076</v>
      </c>
      <c r="CG70" s="176">
        <f t="shared" si="857"/>
        <v>0.27068433493193877</v>
      </c>
      <c r="CH70" s="176">
        <f t="shared" si="857"/>
        <v>4.133327647264684E-2</v>
      </c>
      <c r="CI70" s="176">
        <f t="shared" si="857"/>
        <v>-0.17005676185990526</v>
      </c>
      <c r="CJ70" s="176">
        <f t="shared" si="857"/>
        <v>-0.40579794919634582</v>
      </c>
      <c r="CK70" s="176">
        <f t="shared" si="857"/>
        <v>-0.42506633616733314</v>
      </c>
      <c r="CL70" s="176">
        <f t="shared" si="857"/>
        <v>-0.46561040277661137</v>
      </c>
      <c r="CM70" s="102">
        <f t="shared" ref="CM70:DB70" si="858">+IF(CI69&lt;0,1-CM69/CI69,CM69/CI69-1)</f>
        <v>-0.46357173678929264</v>
      </c>
      <c r="CN70" s="102">
        <f t="shared" si="858"/>
        <v>-0.55307957018614506</v>
      </c>
      <c r="CO70" s="102">
        <f t="shared" si="858"/>
        <v>-0.84757542443139977</v>
      </c>
      <c r="CP70" s="102">
        <f t="shared" si="858"/>
        <v>-0.79901122603099073</v>
      </c>
      <c r="CQ70" s="102">
        <f t="shared" si="858"/>
        <v>-0.7532613070785027</v>
      </c>
      <c r="CR70" s="102">
        <f t="shared" si="858"/>
        <v>-0.60817547618230527</v>
      </c>
      <c r="CS70" s="102">
        <f t="shared" si="858"/>
        <v>0.2217365622488281</v>
      </c>
      <c r="CT70" s="102">
        <f t="shared" si="858"/>
        <v>0.19178690882959093</v>
      </c>
      <c r="CU70" s="102">
        <f t="shared" si="858"/>
        <v>0.18074521481614525</v>
      </c>
      <c r="CV70" s="102">
        <f t="shared" si="858"/>
        <v>0.17862771699010804</v>
      </c>
      <c r="CW70" s="102">
        <f t="shared" si="858"/>
        <v>0.17979265372596909</v>
      </c>
      <c r="CX70" s="102">
        <f t="shared" si="858"/>
        <v>0.18261559849846654</v>
      </c>
      <c r="CY70" s="102">
        <f t="shared" si="858"/>
        <v>0.18066172399995284</v>
      </c>
      <c r="CZ70" s="102">
        <f t="shared" si="858"/>
        <v>0.18034329749916633</v>
      </c>
      <c r="DA70" s="102">
        <f t="shared" si="858"/>
        <v>0.18051246038653912</v>
      </c>
      <c r="DB70" s="102">
        <f t="shared" si="858"/>
        <v>0.18044246294206912</v>
      </c>
      <c r="DE70" s="135"/>
      <c r="DF70" s="97">
        <v>4.1361032333268932E-2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14.3</v>
      </c>
      <c r="CQ71" s="145"/>
      <c r="CR71" s="145"/>
      <c r="CS71" s="145"/>
      <c r="CT71" s="145">
        <v>17.399999999999999</v>
      </c>
      <c r="CU71" s="145"/>
      <c r="CV71" s="145"/>
      <c r="CW71" s="145"/>
      <c r="CX71" s="145">
        <v>19.3</v>
      </c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>
        <f>+CP71/CP69-1</f>
        <v>3.0474608589049046E-2</v>
      </c>
      <c r="CQ72" s="145"/>
      <c r="CR72" s="145"/>
      <c r="CS72" s="145"/>
      <c r="CT72" s="145">
        <f>+CT71/CT69-1</f>
        <v>5.208758357967036E-2</v>
      </c>
      <c r="CU72" s="145"/>
      <c r="CV72" s="145"/>
      <c r="CW72" s="145"/>
      <c r="CX72" s="145">
        <f>+CX71/CX69-1</f>
        <v>-1.3229055997614481E-2</v>
      </c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26.45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55.2</v>
      </c>
      <c r="T73" s="3">
        <f>'Annual Raw'!U112</f>
        <v>0</v>
      </c>
      <c r="U73" s="3">
        <f>'Annual Raw'!V112</f>
        <v>0</v>
      </c>
      <c r="V73" s="3">
        <f>'Annual Raw'!W112</f>
        <v>44.55</v>
      </c>
      <c r="W73" s="3">
        <f>'Annual Raw'!X112</f>
        <v>44</v>
      </c>
      <c r="X73" s="3">
        <f>'Annual Raw'!Y112</f>
        <v>38.479999999999997</v>
      </c>
      <c r="Y73" s="3">
        <f>'Annual Raw'!Z112</f>
        <v>38.21</v>
      </c>
      <c r="Z73" s="3">
        <f>'Annual Raw'!AA112</f>
        <v>35.549999999999997</v>
      </c>
      <c r="AA73" s="3">
        <f>'Annual Raw'!AB112</f>
        <v>28.8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44.56</v>
      </c>
      <c r="BQ73" s="3">
        <f>'QTR Raw'!AK49</f>
        <v>44.56</v>
      </c>
      <c r="BR73" s="3">
        <f>'QTR Raw'!AL49</f>
        <v>44.55</v>
      </c>
      <c r="BS73" s="3">
        <f>'QTR Raw'!AM49</f>
        <v>44.26</v>
      </c>
      <c r="BT73" s="3">
        <f>'QTR Raw'!AN49</f>
        <v>43.77</v>
      </c>
      <c r="BU73" s="3">
        <f>'QTR Raw'!AO49</f>
        <v>43.68</v>
      </c>
      <c r="BV73" s="3">
        <f>'QTR Raw'!AP49</f>
        <v>44</v>
      </c>
      <c r="BW73" s="3">
        <f>'QTR Raw'!AQ49</f>
        <v>43.83</v>
      </c>
      <c r="BX73" s="3">
        <f>'QTR Raw'!AR49</f>
        <v>43.71</v>
      </c>
      <c r="BY73" s="3">
        <f>'QTR Raw'!AS49</f>
        <v>43.68</v>
      </c>
      <c r="BZ73" s="3">
        <f>'QTR Raw'!AT49</f>
        <v>38.479999999999997</v>
      </c>
      <c r="CA73" s="3">
        <f>'QTR Raw'!AU49</f>
        <v>38.299999999999997</v>
      </c>
      <c r="CB73" s="3">
        <f>'QTR Raw'!AV49</f>
        <v>38.26</v>
      </c>
      <c r="CC73" s="3">
        <f>'QTR Raw'!AW49</f>
        <v>38.24</v>
      </c>
      <c r="CD73" s="3">
        <f>'QTR Raw'!AX49</f>
        <v>38.21</v>
      </c>
      <c r="CE73" s="3">
        <f>'QTR Raw'!AY49</f>
        <v>35.630000000000003</v>
      </c>
      <c r="CF73" s="3">
        <f>'QTR Raw'!AZ49</f>
        <v>35.61</v>
      </c>
      <c r="CG73" s="3">
        <f>'QTR Raw'!BA49</f>
        <v>35.57</v>
      </c>
      <c r="CH73" s="3">
        <f>'QTR Raw'!BB49</f>
        <v>35.549999999999997</v>
      </c>
      <c r="CI73" s="3">
        <f>'QTR Raw'!BC49</f>
        <v>28.97</v>
      </c>
      <c r="CJ73" s="3">
        <f>'QTR Raw'!BD49</f>
        <v>28.91</v>
      </c>
      <c r="CK73" s="3">
        <f>'QTR Raw'!BE49</f>
        <v>28.87</v>
      </c>
      <c r="CL73" s="3">
        <f>'QTR Raw'!BF49</f>
        <v>28.8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28.8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29.11</v>
      </c>
      <c r="W77" s="13">
        <f>'Annual Raw'!X106</f>
        <v>153.58500000000001</v>
      </c>
      <c r="X77" s="13">
        <f>'Annual Raw'!Y106</f>
        <v>116.33</v>
      </c>
      <c r="Y77" s="13">
        <f>'Annual Raw'!Z106</f>
        <v>304.39</v>
      </c>
      <c r="Z77" s="13">
        <f>'Annual Raw'!AA106</f>
        <v>231.26499999999999</v>
      </c>
      <c r="AA77" s="13">
        <f>'Annual Raw'!AB106</f>
        <v>227.55</v>
      </c>
      <c r="AB77" s="37">
        <f>+CP77</f>
        <v>347</v>
      </c>
      <c r="AC77" s="37">
        <f>+CT77</f>
        <v>347</v>
      </c>
      <c r="AD77" s="37">
        <f>+CX77</f>
        <v>347</v>
      </c>
      <c r="AE77" s="37">
        <f>+DB77</f>
        <v>347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33.78</v>
      </c>
      <c r="BR77" s="13">
        <f>'QTR Share Price'!IX21</f>
        <v>29.11</v>
      </c>
      <c r="BS77" s="13">
        <f>'QTR Share Price'!IY21</f>
        <v>85.61</v>
      </c>
      <c r="BT77" s="13">
        <f>'QTR Share Price'!IZ21</f>
        <v>132.21</v>
      </c>
      <c r="BU77" s="13">
        <f>'QTR Share Price'!JA21</f>
        <v>118.25</v>
      </c>
      <c r="BV77" s="13">
        <f>'QTR Share Price'!JB21</f>
        <v>153.58500000000001</v>
      </c>
      <c r="BW77" s="13">
        <f>'QTR Share Price'!JC21</f>
        <v>120.64</v>
      </c>
      <c r="BX77" s="13">
        <f>'QTR Share Price'!JD21</f>
        <v>136.77000000000001</v>
      </c>
      <c r="BY77" s="13">
        <f>'QTR Share Price'!JE21</f>
        <v>131.15</v>
      </c>
      <c r="BZ77" s="13">
        <f>'QTR Share Price'!JF21</f>
        <v>116.33</v>
      </c>
      <c r="CA77" s="13">
        <f>'QTR Share Price'!JG21</f>
        <v>171.86</v>
      </c>
      <c r="CB77" s="13">
        <f>'QTR Share Price'!JH21</f>
        <v>185.1</v>
      </c>
      <c r="CC77" s="13">
        <f>'QTR Share Price'!JI21</f>
        <v>348.94499999999999</v>
      </c>
      <c r="CD77" s="13">
        <f>'QTR Share Price'!JJ21</f>
        <v>304.39</v>
      </c>
      <c r="CE77" s="13">
        <f>'QTR Share Price'!JK21</f>
        <v>260</v>
      </c>
      <c r="CF77" s="13">
        <f>'QTR Share Price'!JL21</f>
        <v>256.17</v>
      </c>
      <c r="CG77" s="13">
        <f>'QTR Share Price'!JM21</f>
        <v>293.24</v>
      </c>
      <c r="CH77" s="13">
        <f>'QTR Share Price'!JN21</f>
        <v>231.26499999999999</v>
      </c>
      <c r="CI77" s="13">
        <f>'QTR Share Price'!JO21</f>
        <v>292.315</v>
      </c>
      <c r="CJ77" s="13">
        <f>'QTR Share Price'!JP21</f>
        <v>213.215</v>
      </c>
      <c r="CK77" s="13">
        <f>'QTR Share Price'!JQ21</f>
        <v>234.41499999999999</v>
      </c>
      <c r="CL77" s="13">
        <f>'QTR Share Price'!JR21</f>
        <v>227.55</v>
      </c>
      <c r="CM77" s="37">
        <v>347</v>
      </c>
      <c r="CN77" s="37">
        <f t="shared" ref="CN77" si="859">+CM77</f>
        <v>347</v>
      </c>
      <c r="CO77" s="37">
        <f t="shared" ref="CO77" si="860">+CN77</f>
        <v>347</v>
      </c>
      <c r="CP77" s="37">
        <f t="shared" ref="CP77" si="861">+CO77</f>
        <v>347</v>
      </c>
      <c r="CQ77" s="37">
        <f t="shared" ref="CQ77" si="862">+CP77</f>
        <v>347</v>
      </c>
      <c r="CR77" s="37">
        <f t="shared" ref="CR77" si="863">+CQ77</f>
        <v>347</v>
      </c>
      <c r="CS77" s="37">
        <f t="shared" ref="CS77" si="864">+CR77</f>
        <v>347</v>
      </c>
      <c r="CT77" s="37">
        <f t="shared" ref="CT77" si="865">+CS77</f>
        <v>347</v>
      </c>
      <c r="CU77" s="37">
        <f t="shared" ref="CU77" si="866">+CT77</f>
        <v>347</v>
      </c>
      <c r="CV77" s="37">
        <f t="shared" ref="CV77" si="867">+CU77</f>
        <v>347</v>
      </c>
      <c r="CW77" s="37">
        <f t="shared" ref="CW77" si="868">+CV77</f>
        <v>347</v>
      </c>
      <c r="CX77" s="37">
        <f t="shared" ref="CX77" si="869">+CW77</f>
        <v>347</v>
      </c>
      <c r="CY77" s="37">
        <f t="shared" ref="CY77" si="870">+CX77</f>
        <v>347</v>
      </c>
      <c r="CZ77" s="37">
        <f t="shared" ref="CZ77" si="871">+CY77</f>
        <v>347</v>
      </c>
      <c r="DA77" s="37">
        <f t="shared" ref="DA77" si="872">+CZ77</f>
        <v>347</v>
      </c>
      <c r="DB77" s="37">
        <f t="shared" ref="DB77" si="873">+DA77</f>
        <v>347</v>
      </c>
      <c r="DE77" s="134"/>
      <c r="DF77" s="13">
        <v>227.55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40.725000000000001</v>
      </c>
      <c r="W78" s="13">
        <f>'Annual Raw'!X107</f>
        <v>171.7</v>
      </c>
      <c r="X78" s="13">
        <f>'Annual Raw'!Y107</f>
        <v>202.2</v>
      </c>
      <c r="Y78" s="13">
        <f>'Annual Raw'!Z107</f>
        <v>390.03500000000003</v>
      </c>
      <c r="Z78" s="13">
        <f>'Annual Raw'!AA107</f>
        <v>350.26</v>
      </c>
      <c r="AA78" s="13">
        <f>'Annual Raw'!AB107</f>
        <v>328.3</v>
      </c>
      <c r="AB78" s="37">
        <f>+MAX(CM78:CP78)</f>
        <v>352.60077769030363</v>
      </c>
      <c r="AC78" s="37">
        <f>+MAX(CQ78:CT78)</f>
        <v>99.231282290001673</v>
      </c>
      <c r="AD78" s="37">
        <f>+MAX(CU78:CX78)</f>
        <v>117.35246229516062</v>
      </c>
      <c r="AE78" s="37">
        <f>+MAX(CY78:DB78)</f>
        <v>138.52782962401571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40.725000000000001</v>
      </c>
      <c r="BR78" s="13">
        <f>'QTR Share Price'!IX19</f>
        <v>38.49</v>
      </c>
      <c r="BS78" s="13">
        <f>'QTR Share Price'!IY19</f>
        <v>96.394999999999996</v>
      </c>
      <c r="BT78" s="13">
        <f>'QTR Share Price'!IZ19</f>
        <v>148.4</v>
      </c>
      <c r="BU78" s="13">
        <f>'QTR Share Price'!JA19</f>
        <v>168.93</v>
      </c>
      <c r="BV78" s="13">
        <f>'QTR Share Price'!JB19</f>
        <v>171.7</v>
      </c>
      <c r="BW78" s="13">
        <f>'QTR Share Price'!JC19</f>
        <v>202.2</v>
      </c>
      <c r="BX78" s="13">
        <f>'QTR Share Price'!JD19</f>
        <v>163</v>
      </c>
      <c r="BY78" s="13">
        <f>'QTR Share Price'!JE19</f>
        <v>167.3</v>
      </c>
      <c r="BZ78" s="13">
        <f>'QTR Share Price'!JF19</f>
        <v>136.625</v>
      </c>
      <c r="CA78" s="13">
        <f>'QTR Share Price'!JG19</f>
        <v>174.48500000000001</v>
      </c>
      <c r="CB78" s="13">
        <f>'QTR Share Price'!JH19</f>
        <v>196.285</v>
      </c>
      <c r="CC78" s="13">
        <f>'QTR Share Price'!JI19</f>
        <v>350</v>
      </c>
      <c r="CD78" s="13">
        <f>'QTR Share Price'!JJ19</f>
        <v>390.03500000000003</v>
      </c>
      <c r="CE78" s="13">
        <f>'QTR Share Price'!JK19</f>
        <v>322.72500000000002</v>
      </c>
      <c r="CF78" s="13">
        <f>'QTR Share Price'!JL19</f>
        <v>285.19499999999999</v>
      </c>
      <c r="CG78" s="13">
        <f>'QTR Share Price'!JM19</f>
        <v>350.26</v>
      </c>
      <c r="CH78" s="13">
        <f>'QTR Share Price'!JN19</f>
        <v>304.32499999999999</v>
      </c>
      <c r="CI78" s="13">
        <f>'QTR Share Price'!JO19</f>
        <v>328.3</v>
      </c>
      <c r="CJ78" s="13">
        <f>'QTR Share Price'!JP19</f>
        <v>297.39999999999998</v>
      </c>
      <c r="CK78" s="13">
        <f>'QTR Share Price'!JQ19</f>
        <v>286.42500000000001</v>
      </c>
      <c r="CL78" s="13">
        <f>'QTR Share Price'!JR19</f>
        <v>280.7</v>
      </c>
      <c r="CM78" s="37">
        <f t="shared" ref="CM78:DB78" si="874">+CM69*CM86</f>
        <v>352.60077769030363</v>
      </c>
      <c r="CN78" s="37">
        <f t="shared" si="874"/>
        <v>231.2076830543007</v>
      </c>
      <c r="CO78" s="37">
        <f t="shared" si="874"/>
        <v>77.522852345077268</v>
      </c>
      <c r="CP78" s="37">
        <f t="shared" si="874"/>
        <v>83.262604711317877</v>
      </c>
      <c r="CQ78" s="37">
        <f t="shared" si="874"/>
        <v>87.000255010408964</v>
      </c>
      <c r="CR78" s="37">
        <f t="shared" si="874"/>
        <v>90.592840315743857</v>
      </c>
      <c r="CS78" s="37">
        <f t="shared" si="874"/>
        <v>94.7125031197982</v>
      </c>
      <c r="CT78" s="37">
        <f t="shared" si="874"/>
        <v>99.231282290001673</v>
      </c>
      <c r="CU78" s="37">
        <f t="shared" si="874"/>
        <v>102.72513479132475</v>
      </c>
      <c r="CV78" s="37">
        <f t="shared" si="874"/>
        <v>106.7752325569946</v>
      </c>
      <c r="CW78" s="37">
        <f t="shared" si="874"/>
        <v>111.74111539673584</v>
      </c>
      <c r="CX78" s="37">
        <f t="shared" si="874"/>
        <v>117.35246229516062</v>
      </c>
      <c r="CY78" s="37">
        <f t="shared" si="874"/>
        <v>121.28363474085302</v>
      </c>
      <c r="CZ78" s="37">
        <f t="shared" si="874"/>
        <v>126.03143008756335</v>
      </c>
      <c r="DA78" s="37">
        <f t="shared" si="874"/>
        <v>131.91177906333681</v>
      </c>
      <c r="DB78" s="37">
        <f t="shared" si="874"/>
        <v>138.52782962401571</v>
      </c>
      <c r="DE78" s="134"/>
      <c r="DF78" s="13">
        <v>328.3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22.3</v>
      </c>
      <c r="W79" s="13">
        <f>'Annual Raw'!X108</f>
        <v>28.21</v>
      </c>
      <c r="X79" s="13">
        <f>'Annual Raw'!Y108</f>
        <v>100</v>
      </c>
      <c r="Y79" s="13">
        <f>'Annual Raw'!Z108</f>
        <v>115.88500000000001</v>
      </c>
      <c r="Z79" s="13">
        <f>'Annual Raw'!AA108</f>
        <v>194.2</v>
      </c>
      <c r="AA79" s="13">
        <f>'Annual Raw'!AB108</f>
        <v>205.72499999999999</v>
      </c>
      <c r="AB79" s="37">
        <f>+MIN(CM79:CP79)</f>
        <v>64.602376954231048</v>
      </c>
      <c r="AC79" s="37">
        <f>+MIN(CQ79:CT79)</f>
        <v>72.500212508674139</v>
      </c>
      <c r="AD79" s="37">
        <f>+MIN(CU79:CX79)</f>
        <v>85.604278992770617</v>
      </c>
      <c r="AE79" s="37">
        <f>+MIN(CY79:DB79)</f>
        <v>101.0696956173775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22.3</v>
      </c>
      <c r="BR79" s="13">
        <f>+'QTR Share Price'!IX20</f>
        <v>29.024999999999999</v>
      </c>
      <c r="BS79" s="13">
        <f>+'QTR Share Price'!IY20</f>
        <v>28.21</v>
      </c>
      <c r="BT79" s="13">
        <f>+'QTR Share Price'!IZ20</f>
        <v>85.3</v>
      </c>
      <c r="BU79" s="13">
        <f>+'QTR Share Price'!JA20</f>
        <v>99.2</v>
      </c>
      <c r="BV79" s="13">
        <f>+'QTR Share Price'!JB20</f>
        <v>118.35</v>
      </c>
      <c r="BW79" s="13">
        <f>+'QTR Share Price'!JC20</f>
        <v>106.58499999999999</v>
      </c>
      <c r="BX79" s="13">
        <f>+'QTR Share Price'!JD20</f>
        <v>118.3</v>
      </c>
      <c r="BY79" s="13">
        <f>+'QTR Share Price'!JE20</f>
        <v>120.005</v>
      </c>
      <c r="BZ79" s="13">
        <f>+'QTR Share Price'!JF20</f>
        <v>100</v>
      </c>
      <c r="CA79" s="13">
        <f>+'QTR Share Price'!JG20</f>
        <v>115.88500000000001</v>
      </c>
      <c r="CB79" s="13">
        <f>+'QTR Share Price'!JH20</f>
        <v>144.60499999999999</v>
      </c>
      <c r="CC79" s="13">
        <f>+'QTR Share Price'!JI20</f>
        <v>182.62</v>
      </c>
      <c r="CD79" s="13">
        <f>+'QTR Share Price'!JJ20</f>
        <v>233.51499999999999</v>
      </c>
      <c r="CE79" s="13">
        <f>+'QTR Share Price'!JK20</f>
        <v>212.61</v>
      </c>
      <c r="CF79" s="13">
        <f>+'QTR Share Price'!JL20</f>
        <v>202.72499999999999</v>
      </c>
      <c r="CG79" s="13">
        <f>+'QTR Share Price'!JM20</f>
        <v>244.83500000000001</v>
      </c>
      <c r="CH79" s="13">
        <f>+'QTR Share Price'!JN20</f>
        <v>194.2</v>
      </c>
      <c r="CI79" s="13">
        <f>+'QTR Share Price'!JO20</f>
        <v>205.72499999999999</v>
      </c>
      <c r="CJ79" s="13">
        <f>+'QTR Share Price'!JP20</f>
        <v>210.2</v>
      </c>
      <c r="CK79" s="13">
        <f>+'QTR Share Price'!JQ20</f>
        <v>211.71</v>
      </c>
      <c r="CL79" s="13">
        <f>+'QTR Share Price'!JR20</f>
        <v>208.9</v>
      </c>
      <c r="CM79" s="37">
        <f t="shared" ref="CM79:DB79" si="875">+CM87*CM69</f>
        <v>293.8339814085864</v>
      </c>
      <c r="CN79" s="37">
        <f t="shared" si="875"/>
        <v>192.67306921191727</v>
      </c>
      <c r="CO79" s="37">
        <f t="shared" si="875"/>
        <v>64.602376954231048</v>
      </c>
      <c r="CP79" s="37">
        <f t="shared" si="875"/>
        <v>69.385503926098238</v>
      </c>
      <c r="CQ79" s="37">
        <f t="shared" si="875"/>
        <v>72.500212508674139</v>
      </c>
      <c r="CR79" s="37">
        <f t="shared" si="875"/>
        <v>75.494033596453221</v>
      </c>
      <c r="CS79" s="37">
        <f t="shared" si="875"/>
        <v>78.927085933165159</v>
      </c>
      <c r="CT79" s="37">
        <f t="shared" si="875"/>
        <v>82.692735241668061</v>
      </c>
      <c r="CU79" s="37">
        <f t="shared" si="875"/>
        <v>85.604278992770617</v>
      </c>
      <c r="CV79" s="37">
        <f t="shared" si="875"/>
        <v>88.97936046416217</v>
      </c>
      <c r="CW79" s="37">
        <f t="shared" si="875"/>
        <v>93.11759616394653</v>
      </c>
      <c r="CX79" s="37">
        <f t="shared" si="875"/>
        <v>97.793718579300517</v>
      </c>
      <c r="CY79" s="37">
        <f t="shared" si="875"/>
        <v>101.0696956173775</v>
      </c>
      <c r="CZ79" s="37">
        <f t="shared" si="875"/>
        <v>105.02619173963612</v>
      </c>
      <c r="DA79" s="37">
        <f t="shared" si="875"/>
        <v>109.92648255278068</v>
      </c>
      <c r="DB79" s="37">
        <f t="shared" si="875"/>
        <v>115.43985802001309</v>
      </c>
      <c r="DE79" s="134"/>
      <c r="DF79" s="13">
        <v>205.72499999999999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6">+AB78/AB77-1</f>
        <v>1.6140569712690622E-2</v>
      </c>
      <c r="AC81" s="48">
        <f t="shared" si="876"/>
        <v>-0.71403088677232951</v>
      </c>
      <c r="AD81" s="48">
        <f t="shared" si="876"/>
        <v>-0.66180846600818266</v>
      </c>
      <c r="AE81" s="48">
        <f t="shared" ref="AE81" si="877">+AE78/AE77-1</f>
        <v>-0.60078435266854258</v>
      </c>
      <c r="CM81" s="48">
        <f t="shared" ref="CM81:DB81" si="878">+CM78/CM77-1</f>
        <v>1.6140569712690622E-2</v>
      </c>
      <c r="CN81" s="48">
        <f t="shared" si="878"/>
        <v>-0.33369543788385969</v>
      </c>
      <c r="CO81" s="48">
        <f t="shared" si="878"/>
        <v>-0.77659120361649203</v>
      </c>
      <c r="CP81" s="48">
        <f t="shared" si="878"/>
        <v>-0.76005013051493409</v>
      </c>
      <c r="CQ81" s="48">
        <f t="shared" si="878"/>
        <v>-0.74927880400458513</v>
      </c>
      <c r="CR81" s="48">
        <f t="shared" si="878"/>
        <v>-0.73892553223128576</v>
      </c>
      <c r="CS81" s="48">
        <f t="shared" si="878"/>
        <v>-0.72705330513026456</v>
      </c>
      <c r="CT81" s="48">
        <f t="shared" si="878"/>
        <v>-0.71403088677232951</v>
      </c>
      <c r="CU81" s="48">
        <f t="shared" si="878"/>
        <v>-0.70396214757543296</v>
      </c>
      <c r="CV81" s="48">
        <f t="shared" si="878"/>
        <v>-0.69229039608935272</v>
      </c>
      <c r="CW81" s="48">
        <f t="shared" si="878"/>
        <v>-0.67797949453390249</v>
      </c>
      <c r="CX81" s="48">
        <f t="shared" si="878"/>
        <v>-0.66180846600818266</v>
      </c>
      <c r="CY81" s="48">
        <f t="shared" si="878"/>
        <v>-0.65047943878716707</v>
      </c>
      <c r="CZ81" s="48">
        <f t="shared" si="878"/>
        <v>-0.63679703144794431</v>
      </c>
      <c r="DA81" s="48">
        <f t="shared" si="878"/>
        <v>-0.61985078079730027</v>
      </c>
      <c r="DB81" s="48">
        <f t="shared" si="878"/>
        <v>-0.60078435266854258</v>
      </c>
      <c r="DE81" s="129"/>
    </row>
    <row r="82" spans="1:110" s="51" customFormat="1" x14ac:dyDescent="0.2">
      <c r="A82" s="51" t="s">
        <v>347</v>
      </c>
      <c r="AB82" s="48">
        <f t="shared" ref="AB82:AD82" si="879">+AB79/AB77-1</f>
        <v>-0.81382600301374342</v>
      </c>
      <c r="AC82" s="48">
        <f t="shared" si="879"/>
        <v>-0.79106567000382089</v>
      </c>
      <c r="AD82" s="48">
        <f t="shared" si="879"/>
        <v>-0.75330178964619421</v>
      </c>
      <c r="AE82" s="48">
        <f t="shared" ref="AE82" si="880">+AE79/AE77-1</f>
        <v>-0.7087328656559726</v>
      </c>
      <c r="CM82" s="48">
        <f t="shared" ref="CM82:DB82" si="881">+CM79/CM77-1</f>
        <v>-0.15321619190609104</v>
      </c>
      <c r="CN82" s="48">
        <f t="shared" si="881"/>
        <v>-0.44474619823654971</v>
      </c>
      <c r="CO82" s="48">
        <f t="shared" si="881"/>
        <v>-0.81382600301374342</v>
      </c>
      <c r="CP82" s="48">
        <f t="shared" si="881"/>
        <v>-0.8000417754291117</v>
      </c>
      <c r="CQ82" s="48">
        <f t="shared" si="881"/>
        <v>-0.79106567000382089</v>
      </c>
      <c r="CR82" s="48">
        <f t="shared" si="881"/>
        <v>-0.78243794352607143</v>
      </c>
      <c r="CS82" s="48">
        <f t="shared" si="881"/>
        <v>-0.77254442094188713</v>
      </c>
      <c r="CT82" s="48">
        <f t="shared" si="881"/>
        <v>-0.76169240564360785</v>
      </c>
      <c r="CU82" s="48">
        <f t="shared" si="881"/>
        <v>-0.75330178964619421</v>
      </c>
      <c r="CV82" s="48">
        <f t="shared" si="881"/>
        <v>-0.74357533007446053</v>
      </c>
      <c r="CW82" s="48">
        <f t="shared" si="881"/>
        <v>-0.7316495787782521</v>
      </c>
      <c r="CX82" s="48">
        <f t="shared" si="881"/>
        <v>-0.71817372167348559</v>
      </c>
      <c r="CY82" s="48">
        <f t="shared" si="881"/>
        <v>-0.7087328656559726</v>
      </c>
      <c r="CZ82" s="48">
        <f t="shared" si="881"/>
        <v>-0.69733085953995355</v>
      </c>
      <c r="DA82" s="48">
        <f t="shared" si="881"/>
        <v>-0.68320898399775021</v>
      </c>
      <c r="DB82" s="48">
        <f t="shared" si="881"/>
        <v>-0.66732029389045211</v>
      </c>
      <c r="DE82" s="129"/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82">+B77/B69</f>
        <v>#DIV/0!</v>
      </c>
      <c r="C85" s="13" t="e">
        <f t="shared" si="882"/>
        <v>#DIV/0!</v>
      </c>
      <c r="D85" s="13" t="e">
        <f t="shared" si="882"/>
        <v>#DIV/0!</v>
      </c>
      <c r="E85" s="13" t="e">
        <f t="shared" ref="E85:AE85" ca="1" si="883">+E77/E69</f>
        <v>#DIV/0!</v>
      </c>
      <c r="F85" s="13" t="e">
        <f t="shared" ca="1" si="883"/>
        <v>#DIV/0!</v>
      </c>
      <c r="G85" s="13" t="e">
        <f t="shared" ca="1" si="883"/>
        <v>#DIV/0!</v>
      </c>
      <c r="H85" s="13" t="e">
        <f t="shared" ca="1" si="883"/>
        <v>#DIV/0!</v>
      </c>
      <c r="I85" s="13">
        <f t="shared" ca="1" si="883"/>
        <v>0</v>
      </c>
      <c r="J85" s="13">
        <f t="shared" ca="1" si="883"/>
        <v>0</v>
      </c>
      <c r="K85" s="13">
        <f t="shared" ca="1" si="883"/>
        <v>0</v>
      </c>
      <c r="L85" s="13">
        <f t="shared" ca="1" si="883"/>
        <v>0</v>
      </c>
      <c r="M85" s="13">
        <f t="shared" ca="1" si="883"/>
        <v>0</v>
      </c>
      <c r="N85" s="13">
        <f t="shared" ca="1" si="883"/>
        <v>0</v>
      </c>
      <c r="O85" s="13">
        <f t="shared" ca="1" si="883"/>
        <v>0</v>
      </c>
      <c r="P85" s="13">
        <f t="shared" ca="1" si="883"/>
        <v>0</v>
      </c>
      <c r="Q85" s="13">
        <f t="shared" ca="1" si="883"/>
        <v>0</v>
      </c>
      <c r="R85" s="13">
        <f t="shared" ca="1" si="883"/>
        <v>0</v>
      </c>
      <c r="S85" s="13">
        <f t="shared" ca="1" si="883"/>
        <v>0</v>
      </c>
      <c r="T85" s="13">
        <f t="shared" ca="1" si="883"/>
        <v>0</v>
      </c>
      <c r="U85" s="13">
        <f t="shared" ca="1" si="883"/>
        <v>0</v>
      </c>
      <c r="V85" s="13">
        <f t="shared" ca="1" si="883"/>
        <v>8.895964745116725</v>
      </c>
      <c r="W85" s="13">
        <f t="shared" ca="1" si="883"/>
        <v>22.381103949086157</v>
      </c>
      <c r="X85" s="13">
        <f t="shared" ca="1" si="883"/>
        <v>11.903088749393387</v>
      </c>
      <c r="Y85" s="13">
        <f t="shared" ca="1" si="883"/>
        <v>24.633476501695203</v>
      </c>
      <c r="Z85" s="13">
        <f t="shared" ref="Z85:AA85" ca="1" si="884">+Z77/Z69</f>
        <v>17.972310608225886</v>
      </c>
      <c r="AA85" s="13">
        <f t="shared" ref="AA85" ca="1" si="885">+AA77/AA69</f>
        <v>17.972310608225886</v>
      </c>
      <c r="AB85" s="37">
        <f t="shared" ca="1" si="883"/>
        <v>25.00522301960839</v>
      </c>
      <c r="AC85" s="37">
        <f t="shared" ca="1" si="883"/>
        <v>20.981286867939414</v>
      </c>
      <c r="AD85" s="37">
        <f t="shared" ca="1" si="883"/>
        <v>17.741425780768282</v>
      </c>
      <c r="AE85" s="37">
        <f t="shared" ca="1" si="883"/>
        <v>15.029471014242009</v>
      </c>
      <c r="AL85" s="13" t="e">
        <f t="shared" ref="AL85:BQ85" si="886">+AL77/AL69</f>
        <v>#DIV/0!</v>
      </c>
      <c r="AM85" s="13" t="e">
        <f t="shared" si="886"/>
        <v>#DIV/0!</v>
      </c>
      <c r="AN85" s="13" t="e">
        <f t="shared" si="886"/>
        <v>#DIV/0!</v>
      </c>
      <c r="AO85" s="13" t="e">
        <f t="shared" si="886"/>
        <v>#DIV/0!</v>
      </c>
      <c r="AP85" s="13" t="e">
        <f t="shared" si="886"/>
        <v>#DIV/0!</v>
      </c>
      <c r="AQ85" s="13" t="e">
        <f t="shared" si="886"/>
        <v>#DIV/0!</v>
      </c>
      <c r="AR85" s="13" t="e">
        <f t="shared" si="886"/>
        <v>#DIV/0!</v>
      </c>
      <c r="AS85" s="13" t="e">
        <f t="shared" si="886"/>
        <v>#DIV/0!</v>
      </c>
      <c r="AT85" s="13" t="e">
        <f t="shared" si="886"/>
        <v>#DIV/0!</v>
      </c>
      <c r="AU85" s="13" t="e">
        <f t="shared" si="886"/>
        <v>#DIV/0!</v>
      </c>
      <c r="AV85" s="13" t="e">
        <f t="shared" si="886"/>
        <v>#DIV/0!</v>
      </c>
      <c r="AW85" s="13" t="e">
        <f t="shared" si="886"/>
        <v>#DIV/0!</v>
      </c>
      <c r="AX85" s="13" t="e">
        <f t="shared" si="886"/>
        <v>#DIV/0!</v>
      </c>
      <c r="AY85" s="13" t="e">
        <f t="shared" si="886"/>
        <v>#DIV/0!</v>
      </c>
      <c r="AZ85" s="13" t="e">
        <f t="shared" si="886"/>
        <v>#DIV/0!</v>
      </c>
      <c r="BA85" s="13" t="e">
        <f t="shared" si="886"/>
        <v>#DIV/0!</v>
      </c>
      <c r="BB85" s="13" t="e">
        <f t="shared" si="886"/>
        <v>#DIV/0!</v>
      </c>
      <c r="BC85" s="13" t="e">
        <f t="shared" si="886"/>
        <v>#DIV/0!</v>
      </c>
      <c r="BD85" s="13" t="e">
        <f t="shared" si="886"/>
        <v>#DIV/0!</v>
      </c>
      <c r="BE85" s="13" t="e">
        <f t="shared" si="886"/>
        <v>#DIV/0!</v>
      </c>
      <c r="BF85" s="13" t="e">
        <f t="shared" si="886"/>
        <v>#DIV/0!</v>
      </c>
      <c r="BG85" s="13" t="e">
        <f t="shared" si="886"/>
        <v>#DIV/0!</v>
      </c>
      <c r="BH85" s="13" t="e">
        <f t="shared" si="886"/>
        <v>#DIV/0!</v>
      </c>
      <c r="BI85" s="13" t="e">
        <f t="shared" si="886"/>
        <v>#DIV/0!</v>
      </c>
      <c r="BJ85" s="13" t="e">
        <f t="shared" si="886"/>
        <v>#DIV/0!</v>
      </c>
      <c r="BK85" s="13" t="e">
        <f t="shared" si="886"/>
        <v>#DIV/0!</v>
      </c>
      <c r="BL85" s="13">
        <f t="shared" si="886"/>
        <v>0</v>
      </c>
      <c r="BM85" s="13">
        <f t="shared" si="886"/>
        <v>0</v>
      </c>
      <c r="BN85" s="13">
        <f t="shared" si="886"/>
        <v>0</v>
      </c>
      <c r="BO85" s="13">
        <f t="shared" si="886"/>
        <v>0</v>
      </c>
      <c r="BP85" s="13">
        <f t="shared" si="886"/>
        <v>0</v>
      </c>
      <c r="BQ85" s="13">
        <f t="shared" si="886"/>
        <v>1.3401879941921491</v>
      </c>
      <c r="BR85" s="13">
        <f t="shared" ref="BR85:DB85" si="887">+BR77/BR69</f>
        <v>0.88599261553120512</v>
      </c>
      <c r="BS85" s="13">
        <f t="shared" si="887"/>
        <v>2.092040613635751</v>
      </c>
      <c r="BT85" s="13">
        <f t="shared" si="887"/>
        <v>2.783444320412908</v>
      </c>
      <c r="BU85" s="13">
        <f t="shared" si="887"/>
        <v>2.0539730886323162</v>
      </c>
      <c r="BV85" s="13">
        <f t="shared" si="887"/>
        <v>2.2290435488980189</v>
      </c>
      <c r="BW85" s="13">
        <f t="shared" si="887"/>
        <v>1.5971540559670179</v>
      </c>
      <c r="BX85" s="13">
        <f t="shared" si="887"/>
        <v>1.6227983051822863</v>
      </c>
      <c r="BY85" s="13">
        <f t="shared" si="887"/>
        <v>1.4369766690500461</v>
      </c>
      <c r="BZ85" s="13">
        <f t="shared" si="887"/>
        <v>1.1855187571334846</v>
      </c>
      <c r="CA85" s="13">
        <f t="shared" si="887"/>
        <v>1.6775060302799785</v>
      </c>
      <c r="CB85" s="13">
        <f t="shared" si="887"/>
        <v>1.64583043700711</v>
      </c>
      <c r="CC85" s="13">
        <f t="shared" si="887"/>
        <v>3.007384072435074</v>
      </c>
      <c r="CD85" s="13">
        <f t="shared" si="887"/>
        <v>2.4533029510696025</v>
      </c>
      <c r="CE85" s="13">
        <f t="shared" si="887"/>
        <v>1.9697058521419104</v>
      </c>
      <c r="CF85" s="13">
        <f t="shared" si="887"/>
        <v>1.7653938574647403</v>
      </c>
      <c r="CG85" s="13">
        <f t="shared" si="887"/>
        <v>1.9889206206794461</v>
      </c>
      <c r="CH85" s="13">
        <f t="shared" si="887"/>
        <v>1.7899502683688246</v>
      </c>
      <c r="CI85" s="13">
        <f t="shared" ref="CI85:CJ85" si="888">+CI77/CI69</f>
        <v>2.6682759258942497</v>
      </c>
      <c r="CJ85" s="13">
        <f t="shared" si="888"/>
        <v>2.472845318562745</v>
      </c>
      <c r="CK85" s="13">
        <f t="shared" ref="CK85:CL85" si="889">+CK77/CK69</f>
        <v>2.7654250947474845</v>
      </c>
      <c r="CL85" s="13">
        <f t="shared" si="889"/>
        <v>3.2957168953734151</v>
      </c>
      <c r="CM85" s="37">
        <f t="shared" si="887"/>
        <v>5.9046948609644376</v>
      </c>
      <c r="CN85" s="37">
        <f t="shared" si="887"/>
        <v>9.0048910680491012</v>
      </c>
      <c r="CO85" s="37">
        <f t="shared" si="887"/>
        <v>26.856596951985193</v>
      </c>
      <c r="CP85" s="37">
        <f t="shared" si="887"/>
        <v>25.005223019608394</v>
      </c>
      <c r="CQ85" s="37">
        <f t="shared" si="887"/>
        <v>23.930964337413766</v>
      </c>
      <c r="CR85" s="37">
        <f t="shared" si="887"/>
        <v>22.981948603704122</v>
      </c>
      <c r="CS85" s="37">
        <f t="shared" si="887"/>
        <v>21.982314176266236</v>
      </c>
      <c r="CT85" s="37">
        <f t="shared" si="887"/>
        <v>20.981286867939403</v>
      </c>
      <c r="CU85" s="37">
        <f t="shared" si="887"/>
        <v>20.267678443346536</v>
      </c>
      <c r="CV85" s="37">
        <f t="shared" si="887"/>
        <v>19.498903913776708</v>
      </c>
      <c r="CW85" s="37">
        <f t="shared" si="887"/>
        <v>18.632353835093532</v>
      </c>
      <c r="CX85" s="37">
        <f t="shared" si="887"/>
        <v>17.741425780768278</v>
      </c>
      <c r="CY85" s="37">
        <f t="shared" si="887"/>
        <v>17.166372070301271</v>
      </c>
      <c r="CZ85" s="37">
        <f t="shared" si="887"/>
        <v>16.519688767742146</v>
      </c>
      <c r="DA85" s="37">
        <f t="shared" si="887"/>
        <v>15.783275874100202</v>
      </c>
      <c r="DB85" s="37">
        <f t="shared" si="887"/>
        <v>15.029471014242011</v>
      </c>
      <c r="DE85" s="134"/>
      <c r="DF85" s="13">
        <v>17.972310608225886</v>
      </c>
    </row>
    <row r="86" spans="1:110" s="13" customFormat="1" x14ac:dyDescent="0.2">
      <c r="A86" s="13" t="s">
        <v>461</v>
      </c>
      <c r="B86" s="13" t="e">
        <f t="shared" ref="B86:D86" si="890">+B78/B69</f>
        <v>#DIV/0!</v>
      </c>
      <c r="C86" s="13" t="e">
        <f t="shared" si="890"/>
        <v>#DIV/0!</v>
      </c>
      <c r="D86" s="13" t="e">
        <f t="shared" si="890"/>
        <v>#DIV/0!</v>
      </c>
      <c r="E86" s="13" t="e">
        <f t="shared" ref="E86:AE86" ca="1" si="891">+E78/E69</f>
        <v>#DIV/0!</v>
      </c>
      <c r="F86" s="13" t="e">
        <f t="shared" ca="1" si="891"/>
        <v>#DIV/0!</v>
      </c>
      <c r="G86" s="13" t="e">
        <f t="shared" ca="1" si="891"/>
        <v>#DIV/0!</v>
      </c>
      <c r="H86" s="13" t="e">
        <f t="shared" ca="1" si="891"/>
        <v>#DIV/0!</v>
      </c>
      <c r="I86" s="13">
        <f t="shared" ca="1" si="891"/>
        <v>0</v>
      </c>
      <c r="J86" s="13">
        <f t="shared" ca="1" si="891"/>
        <v>0</v>
      </c>
      <c r="K86" s="13">
        <f t="shared" ca="1" si="891"/>
        <v>0</v>
      </c>
      <c r="L86" s="13">
        <f t="shared" ca="1" si="891"/>
        <v>0</v>
      </c>
      <c r="M86" s="13">
        <f t="shared" ca="1" si="891"/>
        <v>0</v>
      </c>
      <c r="N86" s="13">
        <f t="shared" ca="1" si="891"/>
        <v>0</v>
      </c>
      <c r="O86" s="13">
        <f t="shared" ca="1" si="891"/>
        <v>0</v>
      </c>
      <c r="P86" s="13">
        <f t="shared" ca="1" si="891"/>
        <v>0</v>
      </c>
      <c r="Q86" s="13">
        <f t="shared" ca="1" si="891"/>
        <v>0</v>
      </c>
      <c r="R86" s="13">
        <f t="shared" ca="1" si="891"/>
        <v>0</v>
      </c>
      <c r="S86" s="13">
        <f t="shared" ca="1" si="891"/>
        <v>0</v>
      </c>
      <c r="T86" s="13">
        <f t="shared" ca="1" si="891"/>
        <v>0</v>
      </c>
      <c r="U86" s="13">
        <f t="shared" ca="1" si="891"/>
        <v>0</v>
      </c>
      <c r="V86" s="13">
        <f t="shared" ca="1" si="891"/>
        <v>12.445488294224617</v>
      </c>
      <c r="W86" s="13">
        <f t="shared" ca="1" si="891"/>
        <v>25.020904046997384</v>
      </c>
      <c r="X86" s="13">
        <f t="shared" ca="1" si="891"/>
        <v>20.68945710588277</v>
      </c>
      <c r="Y86" s="13">
        <f t="shared" ca="1" si="891"/>
        <v>31.564499514894344</v>
      </c>
      <c r="Z86" s="13">
        <f t="shared" ref="Z86:AA86" ca="1" si="892">+Z78/Z69</f>
        <v>27.219776073496636</v>
      </c>
      <c r="AA86" s="13">
        <f t="shared" ref="AA86" ca="1" si="893">+AA78/AA69</f>
        <v>27.219776073496636</v>
      </c>
      <c r="AB86" s="60">
        <f t="shared" ca="1" si="891"/>
        <v>25.408821564937753</v>
      </c>
      <c r="AC86" s="60">
        <f t="shared" ca="1" si="891"/>
        <v>6.0000000000000027</v>
      </c>
      <c r="AD86" s="60">
        <f t="shared" ca="1" si="891"/>
        <v>6.0000000000000009</v>
      </c>
      <c r="AE86" s="60">
        <f t="shared" ca="1" si="891"/>
        <v>5.9999999999999991</v>
      </c>
      <c r="AL86" s="13" t="e">
        <f t="shared" ref="AL86:BQ86" si="894">+AL78/AL69</f>
        <v>#DIV/0!</v>
      </c>
      <c r="AM86" s="13" t="e">
        <f t="shared" si="894"/>
        <v>#DIV/0!</v>
      </c>
      <c r="AN86" s="13" t="e">
        <f t="shared" si="894"/>
        <v>#DIV/0!</v>
      </c>
      <c r="AO86" s="13" t="e">
        <f t="shared" si="894"/>
        <v>#DIV/0!</v>
      </c>
      <c r="AP86" s="13" t="e">
        <f t="shared" si="894"/>
        <v>#DIV/0!</v>
      </c>
      <c r="AQ86" s="13" t="e">
        <f t="shared" si="894"/>
        <v>#DIV/0!</v>
      </c>
      <c r="AR86" s="13" t="e">
        <f t="shared" si="894"/>
        <v>#DIV/0!</v>
      </c>
      <c r="AS86" s="13" t="e">
        <f t="shared" si="894"/>
        <v>#DIV/0!</v>
      </c>
      <c r="AT86" s="13" t="e">
        <f t="shared" si="894"/>
        <v>#DIV/0!</v>
      </c>
      <c r="AU86" s="13" t="e">
        <f t="shared" si="894"/>
        <v>#DIV/0!</v>
      </c>
      <c r="AV86" s="13" t="e">
        <f t="shared" si="894"/>
        <v>#DIV/0!</v>
      </c>
      <c r="AW86" s="13" t="e">
        <f t="shared" si="894"/>
        <v>#DIV/0!</v>
      </c>
      <c r="AX86" s="13" t="e">
        <f t="shared" si="894"/>
        <v>#DIV/0!</v>
      </c>
      <c r="AY86" s="13" t="e">
        <f t="shared" si="894"/>
        <v>#DIV/0!</v>
      </c>
      <c r="AZ86" s="13" t="e">
        <f t="shared" si="894"/>
        <v>#DIV/0!</v>
      </c>
      <c r="BA86" s="13" t="e">
        <f t="shared" si="894"/>
        <v>#DIV/0!</v>
      </c>
      <c r="BB86" s="13" t="e">
        <f t="shared" si="894"/>
        <v>#DIV/0!</v>
      </c>
      <c r="BC86" s="13" t="e">
        <f t="shared" si="894"/>
        <v>#DIV/0!</v>
      </c>
      <c r="BD86" s="13" t="e">
        <f t="shared" si="894"/>
        <v>#DIV/0!</v>
      </c>
      <c r="BE86" s="13" t="e">
        <f t="shared" si="894"/>
        <v>#DIV/0!</v>
      </c>
      <c r="BF86" s="13" t="e">
        <f t="shared" si="894"/>
        <v>#DIV/0!</v>
      </c>
      <c r="BG86" s="13" t="e">
        <f t="shared" si="894"/>
        <v>#DIV/0!</v>
      </c>
      <c r="BH86" s="13" t="e">
        <f t="shared" si="894"/>
        <v>#DIV/0!</v>
      </c>
      <c r="BI86" s="13" t="e">
        <f t="shared" si="894"/>
        <v>#DIV/0!</v>
      </c>
      <c r="BJ86" s="13" t="e">
        <f t="shared" si="894"/>
        <v>#DIV/0!</v>
      </c>
      <c r="BK86" s="13" t="e">
        <f t="shared" si="894"/>
        <v>#DIV/0!</v>
      </c>
      <c r="BL86" s="13">
        <f t="shared" si="894"/>
        <v>0</v>
      </c>
      <c r="BM86" s="13">
        <f t="shared" si="894"/>
        <v>0</v>
      </c>
      <c r="BN86" s="13">
        <f t="shared" si="894"/>
        <v>0</v>
      </c>
      <c r="BO86" s="13">
        <f t="shared" si="894"/>
        <v>0</v>
      </c>
      <c r="BP86" s="13">
        <f t="shared" si="894"/>
        <v>0</v>
      </c>
      <c r="BQ86" s="13">
        <f t="shared" si="894"/>
        <v>1.6157239805646912</v>
      </c>
      <c r="BR86" s="13">
        <f t="shared" ref="BR86:CH86" si="895">+BR78/BR69</f>
        <v>1.1714825067604289</v>
      </c>
      <c r="BS86" s="13">
        <f t="shared" si="895"/>
        <v>2.3555922783718986</v>
      </c>
      <c r="BT86" s="13">
        <f t="shared" si="895"/>
        <v>3.1242957200610815</v>
      </c>
      <c r="BU86" s="13">
        <f t="shared" si="895"/>
        <v>2.9342720834051343</v>
      </c>
      <c r="BV86" s="13">
        <f t="shared" si="895"/>
        <v>2.491954144908616</v>
      </c>
      <c r="BW86" s="13">
        <f t="shared" si="895"/>
        <v>2.6769276369075845</v>
      </c>
      <c r="BX86" s="13">
        <f t="shared" si="895"/>
        <v>1.9340215233217275</v>
      </c>
      <c r="BY86" s="13">
        <f t="shared" si="895"/>
        <v>1.8330628801530515</v>
      </c>
      <c r="BZ86" s="13">
        <f t="shared" si="895"/>
        <v>1.3923450545290323</v>
      </c>
      <c r="CA86" s="13">
        <f t="shared" si="895"/>
        <v>1.7031283585092638</v>
      </c>
      <c r="CB86" s="13">
        <f t="shared" si="895"/>
        <v>1.7452826976117806</v>
      </c>
      <c r="CC86" s="13">
        <f t="shared" si="895"/>
        <v>3.0164765947420822</v>
      </c>
      <c r="CD86" s="13">
        <f t="shared" si="895"/>
        <v>3.143579015474991</v>
      </c>
      <c r="CE86" s="13">
        <f t="shared" si="895"/>
        <v>2.4448973889711465</v>
      </c>
      <c r="CF86" s="13">
        <f t="shared" si="895"/>
        <v>1.9654194526277728</v>
      </c>
      <c r="CG86" s="13">
        <f t="shared" si="895"/>
        <v>2.3756627219996682</v>
      </c>
      <c r="CH86" s="13">
        <f t="shared" si="895"/>
        <v>2.3554217690586237</v>
      </c>
      <c r="CI86" s="13">
        <f t="shared" ref="CI86:CJ86" si="896">+CI78/CI69</f>
        <v>2.9967500349659857</v>
      </c>
      <c r="CJ86" s="13">
        <f t="shared" si="896"/>
        <v>3.4492141628898545</v>
      </c>
      <c r="CK86" s="13">
        <f t="shared" ref="CK86:CL86" si="897">+CK78/CK69</f>
        <v>3.378994018143243</v>
      </c>
      <c r="CL86" s="13">
        <f t="shared" si="897"/>
        <v>4.0655140959407499</v>
      </c>
      <c r="CM86" s="60">
        <v>6</v>
      </c>
      <c r="CN86" s="60">
        <f t="shared" ref="CN86:CN87" si="898">+CM86</f>
        <v>6</v>
      </c>
      <c r="CO86" s="60">
        <f t="shared" ref="CO86:CO87" si="899">+CN86</f>
        <v>6</v>
      </c>
      <c r="CP86" s="60">
        <f t="shared" ref="CP86:CP87" si="900">+CO86</f>
        <v>6</v>
      </c>
      <c r="CQ86" s="60">
        <f t="shared" ref="CQ86:CQ87" si="901">+CP86</f>
        <v>6</v>
      </c>
      <c r="CR86" s="60">
        <f t="shared" ref="CR86:CR87" si="902">+CQ86</f>
        <v>6</v>
      </c>
      <c r="CS86" s="60">
        <f t="shared" ref="CS86:CS87" si="903">+CR86</f>
        <v>6</v>
      </c>
      <c r="CT86" s="60">
        <f t="shared" ref="CT86:CT87" si="904">+CS86</f>
        <v>6</v>
      </c>
      <c r="CU86" s="60">
        <f t="shared" ref="CU86:CU87" si="905">+CT86</f>
        <v>6</v>
      </c>
      <c r="CV86" s="60">
        <f t="shared" ref="CV86:CV87" si="906">+CU86</f>
        <v>6</v>
      </c>
      <c r="CW86" s="60">
        <f t="shared" ref="CW86:CW87" si="907">+CV86</f>
        <v>6</v>
      </c>
      <c r="CX86" s="60">
        <f t="shared" ref="CX86:CX87" si="908">+CW86</f>
        <v>6</v>
      </c>
      <c r="CY86" s="60">
        <f t="shared" ref="CY86:CY87" si="909">+CX86</f>
        <v>6</v>
      </c>
      <c r="CZ86" s="60">
        <f t="shared" ref="CZ86:CZ87" si="910">+CY86</f>
        <v>6</v>
      </c>
      <c r="DA86" s="60">
        <f t="shared" ref="DA86:DA87" si="911">+CZ86</f>
        <v>6</v>
      </c>
      <c r="DB86" s="60">
        <f t="shared" ref="DB86:DB87" si="912">+DA86</f>
        <v>6</v>
      </c>
      <c r="DE86" s="136"/>
      <c r="DF86" s="13">
        <v>27.219776073496636</v>
      </c>
    </row>
    <row r="87" spans="1:110" s="13" customFormat="1" x14ac:dyDescent="0.2">
      <c r="A87" s="13" t="s">
        <v>462</v>
      </c>
      <c r="B87" s="13" t="e">
        <f t="shared" ref="B87:D87" si="913">+B79/B69</f>
        <v>#DIV/0!</v>
      </c>
      <c r="C87" s="13" t="e">
        <f t="shared" si="913"/>
        <v>#DIV/0!</v>
      </c>
      <c r="D87" s="13" t="e">
        <f t="shared" si="913"/>
        <v>#DIV/0!</v>
      </c>
      <c r="E87" s="13" t="e">
        <f t="shared" ref="E87:AE87" ca="1" si="914">+E79/E69</f>
        <v>#DIV/0!</v>
      </c>
      <c r="F87" s="13" t="e">
        <f t="shared" ca="1" si="914"/>
        <v>#DIV/0!</v>
      </c>
      <c r="G87" s="13" t="e">
        <f t="shared" ca="1" si="914"/>
        <v>#DIV/0!</v>
      </c>
      <c r="H87" s="13" t="e">
        <f t="shared" ca="1" si="914"/>
        <v>#DIV/0!</v>
      </c>
      <c r="I87" s="13">
        <f t="shared" ca="1" si="914"/>
        <v>0</v>
      </c>
      <c r="J87" s="13">
        <f t="shared" ca="1" si="914"/>
        <v>0</v>
      </c>
      <c r="K87" s="13">
        <f t="shared" ca="1" si="914"/>
        <v>0</v>
      </c>
      <c r="L87" s="13">
        <f t="shared" ca="1" si="914"/>
        <v>0</v>
      </c>
      <c r="M87" s="13">
        <f t="shared" ca="1" si="914"/>
        <v>0</v>
      </c>
      <c r="N87" s="13">
        <f t="shared" ca="1" si="914"/>
        <v>0</v>
      </c>
      <c r="O87" s="13">
        <f t="shared" ca="1" si="914"/>
        <v>0</v>
      </c>
      <c r="P87" s="13">
        <f t="shared" ca="1" si="914"/>
        <v>0</v>
      </c>
      <c r="Q87" s="13">
        <f t="shared" ca="1" si="914"/>
        <v>0</v>
      </c>
      <c r="R87" s="13">
        <f t="shared" ca="1" si="914"/>
        <v>0</v>
      </c>
      <c r="S87" s="13">
        <f t="shared" ca="1" si="914"/>
        <v>0</v>
      </c>
      <c r="T87" s="13">
        <f t="shared" ca="1" si="914"/>
        <v>0</v>
      </c>
      <c r="U87" s="13">
        <f t="shared" ca="1" si="914"/>
        <v>0</v>
      </c>
      <c r="V87" s="13">
        <f t="shared" ca="1" si="914"/>
        <v>6.8148407356957392</v>
      </c>
      <c r="W87" s="13">
        <f t="shared" ca="1" si="914"/>
        <v>4.1108893603133154</v>
      </c>
      <c r="X87" s="13">
        <f t="shared" ca="1" si="914"/>
        <v>10.232174631989501</v>
      </c>
      <c r="Y87" s="13">
        <f t="shared" ca="1" si="914"/>
        <v>9.3782661204341426</v>
      </c>
      <c r="Z87" s="13">
        <f t="shared" ref="Z87:AA87" ca="1" si="915">+Z79/Z69</f>
        <v>15.091876073411312</v>
      </c>
      <c r="AA87" s="13">
        <f t="shared" ref="AA87" ca="1" si="916">+AA79/AA69</f>
        <v>15.091876073411312</v>
      </c>
      <c r="AB87" s="60">
        <f t="shared" ca="1" si="914"/>
        <v>4.6553223150932475</v>
      </c>
      <c r="AC87" s="60">
        <f t="shared" ca="1" si="914"/>
        <v>4.383711114210552</v>
      </c>
      <c r="AD87" s="60">
        <f t="shared" ca="1" si="914"/>
        <v>4.3767779892404075</v>
      </c>
      <c r="AE87" s="60">
        <f t="shared" ca="1" si="914"/>
        <v>4.3775909530248933</v>
      </c>
      <c r="AL87" s="13" t="e">
        <f t="shared" ref="AL87:BQ87" si="917">+AL79/AL69</f>
        <v>#DIV/0!</v>
      </c>
      <c r="AM87" s="13" t="e">
        <f t="shared" si="917"/>
        <v>#DIV/0!</v>
      </c>
      <c r="AN87" s="13" t="e">
        <f t="shared" si="917"/>
        <v>#DIV/0!</v>
      </c>
      <c r="AO87" s="13" t="e">
        <f t="shared" si="917"/>
        <v>#DIV/0!</v>
      </c>
      <c r="AP87" s="13" t="e">
        <f t="shared" si="917"/>
        <v>#DIV/0!</v>
      </c>
      <c r="AQ87" s="13" t="e">
        <f t="shared" si="917"/>
        <v>#DIV/0!</v>
      </c>
      <c r="AR87" s="13" t="e">
        <f t="shared" si="917"/>
        <v>#DIV/0!</v>
      </c>
      <c r="AS87" s="13" t="e">
        <f t="shared" si="917"/>
        <v>#DIV/0!</v>
      </c>
      <c r="AT87" s="13" t="e">
        <f t="shared" si="917"/>
        <v>#DIV/0!</v>
      </c>
      <c r="AU87" s="13" t="e">
        <f t="shared" si="917"/>
        <v>#DIV/0!</v>
      </c>
      <c r="AV87" s="13" t="e">
        <f t="shared" si="917"/>
        <v>#DIV/0!</v>
      </c>
      <c r="AW87" s="13" t="e">
        <f t="shared" si="917"/>
        <v>#DIV/0!</v>
      </c>
      <c r="AX87" s="13" t="e">
        <f t="shared" si="917"/>
        <v>#DIV/0!</v>
      </c>
      <c r="AY87" s="13" t="e">
        <f t="shared" si="917"/>
        <v>#DIV/0!</v>
      </c>
      <c r="AZ87" s="13" t="e">
        <f t="shared" si="917"/>
        <v>#DIV/0!</v>
      </c>
      <c r="BA87" s="13" t="e">
        <f t="shared" si="917"/>
        <v>#DIV/0!</v>
      </c>
      <c r="BB87" s="13" t="e">
        <f t="shared" si="917"/>
        <v>#DIV/0!</v>
      </c>
      <c r="BC87" s="13" t="e">
        <f t="shared" si="917"/>
        <v>#DIV/0!</v>
      </c>
      <c r="BD87" s="13" t="e">
        <f t="shared" si="917"/>
        <v>#DIV/0!</v>
      </c>
      <c r="BE87" s="13" t="e">
        <f t="shared" si="917"/>
        <v>#DIV/0!</v>
      </c>
      <c r="BF87" s="13" t="e">
        <f t="shared" si="917"/>
        <v>#DIV/0!</v>
      </c>
      <c r="BG87" s="13" t="e">
        <f t="shared" si="917"/>
        <v>#DIV/0!</v>
      </c>
      <c r="BH87" s="13" t="e">
        <f t="shared" si="917"/>
        <v>#DIV/0!</v>
      </c>
      <c r="BI87" s="13" t="e">
        <f t="shared" si="917"/>
        <v>#DIV/0!</v>
      </c>
      <c r="BJ87" s="13" t="e">
        <f t="shared" si="917"/>
        <v>#DIV/0!</v>
      </c>
      <c r="BK87" s="13" t="e">
        <f t="shared" si="917"/>
        <v>#DIV/0!</v>
      </c>
      <c r="BL87" s="13">
        <f t="shared" si="917"/>
        <v>0</v>
      </c>
      <c r="BM87" s="13">
        <f t="shared" si="917"/>
        <v>0</v>
      </c>
      <c r="BN87" s="13">
        <f t="shared" si="917"/>
        <v>0</v>
      </c>
      <c r="BO87" s="13">
        <f t="shared" si="917"/>
        <v>0</v>
      </c>
      <c r="BP87" s="13">
        <f t="shared" si="917"/>
        <v>0</v>
      </c>
      <c r="BQ87" s="13">
        <f t="shared" si="917"/>
        <v>0.88473038100902679</v>
      </c>
      <c r="BR87" s="13">
        <f t="shared" ref="BR87:CH87" si="918">+BR79/BR69</f>
        <v>0.88340555361708095</v>
      </c>
      <c r="BS87" s="13">
        <f t="shared" si="918"/>
        <v>0.68936415968537024</v>
      </c>
      <c r="BT87" s="13">
        <f t="shared" si="918"/>
        <v>1.795838442865298</v>
      </c>
      <c r="BU87" s="13">
        <f t="shared" si="918"/>
        <v>1.7230793267849958</v>
      </c>
      <c r="BV87" s="13">
        <f t="shared" si="918"/>
        <v>1.7176632093764397</v>
      </c>
      <c r="BW87" s="13">
        <f t="shared" si="918"/>
        <v>1.411079783282863</v>
      </c>
      <c r="BX87" s="13">
        <f t="shared" si="918"/>
        <v>1.4036487497482231</v>
      </c>
      <c r="BY87" s="13">
        <f t="shared" si="918"/>
        <v>1.314863783220364</v>
      </c>
      <c r="BZ87" s="13">
        <f t="shared" si="918"/>
        <v>1.0190997654375351</v>
      </c>
      <c r="CA87" s="13">
        <f t="shared" si="918"/>
        <v>1.1311403835621745</v>
      </c>
      <c r="CB87" s="13">
        <f t="shared" si="918"/>
        <v>1.2857661282734367</v>
      </c>
      <c r="CC87" s="13">
        <f t="shared" si="918"/>
        <v>1.5739113020908546</v>
      </c>
      <c r="CD87" s="13">
        <f t="shared" si="918"/>
        <v>1.8820691830185559</v>
      </c>
      <c r="CE87" s="13">
        <f t="shared" si="918"/>
        <v>1.6106890816303523</v>
      </c>
      <c r="CF87" s="13">
        <f t="shared" si="918"/>
        <v>1.3970779941231972</v>
      </c>
      <c r="CG87" s="13">
        <f t="shared" si="918"/>
        <v>1.6606103538536767</v>
      </c>
      <c r="CH87" s="13">
        <f t="shared" si="918"/>
        <v>1.5030737124823288</v>
      </c>
      <c r="CI87" s="13">
        <f t="shared" ref="CI87:CJ87" si="919">+CI79/CI69</f>
        <v>1.8778751170983168</v>
      </c>
      <c r="CJ87" s="13">
        <f t="shared" si="919"/>
        <v>2.4378776632126677</v>
      </c>
      <c r="CK87" s="13">
        <f t="shared" ref="CK87:CL87" si="920">+CK79/CK69</f>
        <v>2.4975711742379541</v>
      </c>
      <c r="CL87" s="13">
        <f t="shared" si="920"/>
        <v>3.0255999096616408</v>
      </c>
      <c r="CM87" s="60">
        <v>5</v>
      </c>
      <c r="CN87" s="60">
        <f t="shared" si="898"/>
        <v>5</v>
      </c>
      <c r="CO87" s="60">
        <f t="shared" si="899"/>
        <v>5</v>
      </c>
      <c r="CP87" s="60">
        <f t="shared" si="900"/>
        <v>5</v>
      </c>
      <c r="CQ87" s="60">
        <f t="shared" si="901"/>
        <v>5</v>
      </c>
      <c r="CR87" s="60">
        <f t="shared" si="902"/>
        <v>5</v>
      </c>
      <c r="CS87" s="60">
        <f t="shared" si="903"/>
        <v>5</v>
      </c>
      <c r="CT87" s="60">
        <f t="shared" si="904"/>
        <v>5</v>
      </c>
      <c r="CU87" s="60">
        <f t="shared" si="905"/>
        <v>5</v>
      </c>
      <c r="CV87" s="60">
        <f t="shared" si="906"/>
        <v>5</v>
      </c>
      <c r="CW87" s="60">
        <f t="shared" si="907"/>
        <v>5</v>
      </c>
      <c r="CX87" s="60">
        <f t="shared" si="908"/>
        <v>5</v>
      </c>
      <c r="CY87" s="60">
        <f t="shared" si="909"/>
        <v>5</v>
      </c>
      <c r="CZ87" s="60">
        <f t="shared" si="910"/>
        <v>5</v>
      </c>
      <c r="DA87" s="60">
        <f t="shared" si="911"/>
        <v>5</v>
      </c>
      <c r="DB87" s="60">
        <f t="shared" si="912"/>
        <v>5</v>
      </c>
      <c r="DE87" s="136"/>
      <c r="DF87" s="13">
        <v>15.091876073411312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21">+B78/C69</f>
        <v>#DIV/0!</v>
      </c>
      <c r="C89" s="13" t="e">
        <f t="shared" si="921"/>
        <v>#DIV/0!</v>
      </c>
      <c r="D89" s="13" t="e">
        <f t="shared" ca="1" si="921"/>
        <v>#DIV/0!</v>
      </c>
      <c r="E89" s="13" t="e">
        <f t="shared" ca="1" si="921"/>
        <v>#DIV/0!</v>
      </c>
      <c r="F89" s="13" t="e">
        <f t="shared" ca="1" si="921"/>
        <v>#DIV/0!</v>
      </c>
      <c r="G89" s="13" t="e">
        <f t="shared" ca="1" si="921"/>
        <v>#DIV/0!</v>
      </c>
      <c r="H89" s="13">
        <f t="shared" ca="1" si="921"/>
        <v>0</v>
      </c>
      <c r="I89" s="13">
        <f t="shared" ca="1" si="921"/>
        <v>0</v>
      </c>
      <c r="J89" s="13">
        <f t="shared" ca="1" si="921"/>
        <v>0</v>
      </c>
      <c r="K89" s="13">
        <f t="shared" ca="1" si="921"/>
        <v>0</v>
      </c>
      <c r="L89" s="13">
        <f t="shared" ca="1" si="921"/>
        <v>0</v>
      </c>
      <c r="M89" s="13">
        <f t="shared" ca="1" si="921"/>
        <v>0</v>
      </c>
      <c r="N89" s="13">
        <f t="shared" ca="1" si="921"/>
        <v>0</v>
      </c>
      <c r="O89" s="13">
        <f t="shared" ca="1" si="921"/>
        <v>0</v>
      </c>
      <c r="P89" s="13">
        <f t="shared" ca="1" si="921"/>
        <v>0</v>
      </c>
      <c r="Q89" s="13">
        <f t="shared" ca="1" si="921"/>
        <v>0</v>
      </c>
      <c r="R89" s="13">
        <f t="shared" ca="1" si="921"/>
        <v>0</v>
      </c>
      <c r="S89" s="13">
        <f t="shared" ca="1" si="921"/>
        <v>0</v>
      </c>
      <c r="T89" s="13">
        <f t="shared" ca="1" si="921"/>
        <v>0</v>
      </c>
      <c r="U89" s="13">
        <f t="shared" ca="1" si="921"/>
        <v>0</v>
      </c>
      <c r="V89" s="13">
        <f t="shared" ca="1" si="921"/>
        <v>5.9346320169712783</v>
      </c>
      <c r="W89" s="13">
        <f t="shared" ca="1" si="921"/>
        <v>17.568643843125972</v>
      </c>
      <c r="X89" s="13">
        <f t="shared" ca="1" si="921"/>
        <v>16.363510459091199</v>
      </c>
      <c r="Y89" s="13">
        <f t="shared" ca="1" si="921"/>
        <v>30.310812998419063</v>
      </c>
      <c r="Z89" s="13">
        <f t="shared" ref="Z89:AA89" ca="1" si="922">+Z78/AA69</f>
        <v>34.863749561522859</v>
      </c>
      <c r="AA89" s="13">
        <f t="shared" ca="1" si="922"/>
        <v>34.863749561522859</v>
      </c>
      <c r="AB89" s="37">
        <f t="shared" ca="1" si="921"/>
        <v>21.319936791293348</v>
      </c>
      <c r="AC89" s="37">
        <f t="shared" ca="1" si="921"/>
        <v>5.0734997979208378</v>
      </c>
      <c r="AD89" s="37">
        <f t="shared" ca="1" si="921"/>
        <v>5.0828398573920603</v>
      </c>
      <c r="AE89" s="37"/>
      <c r="AL89" s="13" t="e">
        <f t="shared" ref="AL89:BQ89" si="923">+AL78/AP69</f>
        <v>#DIV/0!</v>
      </c>
      <c r="AM89" s="13" t="e">
        <f t="shared" si="923"/>
        <v>#DIV/0!</v>
      </c>
      <c r="AN89" s="13" t="e">
        <f t="shared" si="923"/>
        <v>#DIV/0!</v>
      </c>
      <c r="AO89" s="13" t="e">
        <f t="shared" si="923"/>
        <v>#DIV/0!</v>
      </c>
      <c r="AP89" s="13" t="e">
        <f t="shared" si="923"/>
        <v>#DIV/0!</v>
      </c>
      <c r="AQ89" s="13" t="e">
        <f t="shared" si="923"/>
        <v>#DIV/0!</v>
      </c>
      <c r="AR89" s="13" t="e">
        <f t="shared" si="923"/>
        <v>#DIV/0!</v>
      </c>
      <c r="AS89" s="13" t="e">
        <f t="shared" si="923"/>
        <v>#DIV/0!</v>
      </c>
      <c r="AT89" s="13" t="e">
        <f t="shared" si="923"/>
        <v>#DIV/0!</v>
      </c>
      <c r="AU89" s="13" t="e">
        <f t="shared" si="923"/>
        <v>#DIV/0!</v>
      </c>
      <c r="AV89" s="13" t="e">
        <f t="shared" si="923"/>
        <v>#DIV/0!</v>
      </c>
      <c r="AW89" s="13" t="e">
        <f t="shared" si="923"/>
        <v>#DIV/0!</v>
      </c>
      <c r="AX89" s="13" t="e">
        <f t="shared" si="923"/>
        <v>#DIV/0!</v>
      </c>
      <c r="AY89" s="13" t="e">
        <f t="shared" si="923"/>
        <v>#DIV/0!</v>
      </c>
      <c r="AZ89" s="13" t="e">
        <f t="shared" si="923"/>
        <v>#DIV/0!</v>
      </c>
      <c r="BA89" s="13" t="e">
        <f t="shared" si="923"/>
        <v>#DIV/0!</v>
      </c>
      <c r="BB89" s="13" t="e">
        <f t="shared" si="923"/>
        <v>#DIV/0!</v>
      </c>
      <c r="BC89" s="13" t="e">
        <f t="shared" si="923"/>
        <v>#DIV/0!</v>
      </c>
      <c r="BD89" s="13" t="e">
        <f t="shared" si="923"/>
        <v>#DIV/0!</v>
      </c>
      <c r="BE89" s="13" t="e">
        <f t="shared" si="923"/>
        <v>#DIV/0!</v>
      </c>
      <c r="BF89" s="13" t="e">
        <f t="shared" si="923"/>
        <v>#DIV/0!</v>
      </c>
      <c r="BG89" s="13" t="e">
        <f t="shared" si="923"/>
        <v>#DIV/0!</v>
      </c>
      <c r="BH89" s="13">
        <f t="shared" si="923"/>
        <v>0</v>
      </c>
      <c r="BI89" s="13">
        <f t="shared" si="923"/>
        <v>0</v>
      </c>
      <c r="BJ89" s="13">
        <f t="shared" si="923"/>
        <v>0</v>
      </c>
      <c r="BK89" s="13">
        <f t="shared" si="923"/>
        <v>0</v>
      </c>
      <c r="BL89" s="13">
        <f t="shared" si="923"/>
        <v>0</v>
      </c>
      <c r="BM89" s="13">
        <f t="shared" si="923"/>
        <v>0</v>
      </c>
      <c r="BN89" s="13">
        <f t="shared" si="923"/>
        <v>0</v>
      </c>
      <c r="BO89" s="13">
        <f t="shared" si="923"/>
        <v>0</v>
      </c>
      <c r="BP89" s="13">
        <f t="shared" si="923"/>
        <v>0</v>
      </c>
      <c r="BQ89" s="13">
        <f t="shared" si="923"/>
        <v>0.70738312079958621</v>
      </c>
      <c r="BR89" s="13">
        <f t="shared" ref="BR89:CL89" si="924">+BR78/BV69</f>
        <v>0.55862152031178003</v>
      </c>
      <c r="BS89" s="13">
        <f t="shared" si="924"/>
        <v>1.276174280710715</v>
      </c>
      <c r="BT89" s="13">
        <f t="shared" si="924"/>
        <v>1.7607901476131556</v>
      </c>
      <c r="BU89" s="13">
        <f t="shared" si="924"/>
        <v>1.85092236906309</v>
      </c>
      <c r="BV89" s="13">
        <f t="shared" si="924"/>
        <v>1.7497942972562477</v>
      </c>
      <c r="BW89" s="13">
        <f t="shared" si="924"/>
        <v>1.973651340175792</v>
      </c>
      <c r="BX89" s="13">
        <f t="shared" si="924"/>
        <v>1.4493266409084762</v>
      </c>
      <c r="BY89" s="13">
        <f t="shared" si="924"/>
        <v>1.4418758122867155</v>
      </c>
      <c r="BZ89" s="13">
        <f t="shared" si="924"/>
        <v>1.1011613906169204</v>
      </c>
      <c r="CA89" s="13">
        <f t="shared" si="924"/>
        <v>1.3218620215806971</v>
      </c>
      <c r="CB89" s="13">
        <f t="shared" si="924"/>
        <v>1.3526967767984794</v>
      </c>
      <c r="CC89" s="13">
        <f t="shared" si="924"/>
        <v>2.3738992539824242</v>
      </c>
      <c r="CD89" s="13">
        <f t="shared" si="924"/>
        <v>3.0188020362927146</v>
      </c>
      <c r="CE89" s="13">
        <f t="shared" si="924"/>
        <v>2.9458609656850374</v>
      </c>
      <c r="CF89" s="13">
        <f t="shared" si="924"/>
        <v>3.3076618466219641</v>
      </c>
      <c r="CG89" s="13">
        <f t="shared" si="924"/>
        <v>4.1320640474639161</v>
      </c>
      <c r="CH89" s="13">
        <f t="shared" si="924"/>
        <v>4.407686416983144</v>
      </c>
      <c r="CI89" s="13">
        <f t="shared" si="924"/>
        <v>5.586487962117074</v>
      </c>
      <c r="CJ89" s="13">
        <f t="shared" si="924"/>
        <v>7.7177366099072122</v>
      </c>
      <c r="CK89" s="13">
        <f t="shared" si="924"/>
        <v>22.168301965338209</v>
      </c>
      <c r="CL89" s="13">
        <f t="shared" si="924"/>
        <v>20.227568016150073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34.863749561522859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25">+CORREL(AL69:AO69,AL86:AO86)</f>
        <v>#DIV/0!</v>
      </c>
      <c r="AP90" s="175" t="e">
        <f t="shared" si="925"/>
        <v>#DIV/0!</v>
      </c>
      <c r="AQ90" s="175" t="e">
        <f t="shared" si="925"/>
        <v>#DIV/0!</v>
      </c>
      <c r="AR90" s="175" t="e">
        <f t="shared" si="925"/>
        <v>#DIV/0!</v>
      </c>
      <c r="AS90" s="175" t="e">
        <f t="shared" si="925"/>
        <v>#DIV/0!</v>
      </c>
      <c r="AT90" s="175" t="e">
        <f t="shared" si="925"/>
        <v>#DIV/0!</v>
      </c>
      <c r="AU90" s="175" t="e">
        <f t="shared" si="925"/>
        <v>#DIV/0!</v>
      </c>
      <c r="AV90" s="175" t="e">
        <f t="shared" si="925"/>
        <v>#DIV/0!</v>
      </c>
      <c r="AW90" s="175" t="e">
        <f t="shared" si="925"/>
        <v>#DIV/0!</v>
      </c>
      <c r="AX90" s="175" t="e">
        <f t="shared" si="925"/>
        <v>#DIV/0!</v>
      </c>
      <c r="AY90" s="175" t="e">
        <f t="shared" si="925"/>
        <v>#DIV/0!</v>
      </c>
      <c r="AZ90" s="175" t="e">
        <f t="shared" si="925"/>
        <v>#DIV/0!</v>
      </c>
      <c r="BA90" s="175" t="e">
        <f t="shared" si="925"/>
        <v>#DIV/0!</v>
      </c>
      <c r="BB90" s="175" t="e">
        <f t="shared" si="925"/>
        <v>#DIV/0!</v>
      </c>
      <c r="BC90" s="175" t="e">
        <f t="shared" si="925"/>
        <v>#DIV/0!</v>
      </c>
      <c r="BD90" s="175" t="e">
        <f t="shared" si="925"/>
        <v>#DIV/0!</v>
      </c>
      <c r="BE90" s="175" t="e">
        <f t="shared" si="925"/>
        <v>#DIV/0!</v>
      </c>
      <c r="BF90" s="175" t="e">
        <f t="shared" si="925"/>
        <v>#DIV/0!</v>
      </c>
      <c r="BG90" s="175" t="e">
        <f t="shared" si="925"/>
        <v>#DIV/0!</v>
      </c>
      <c r="BH90" s="175" t="e">
        <f t="shared" si="925"/>
        <v>#DIV/0!</v>
      </c>
      <c r="BI90" s="175" t="e">
        <f t="shared" si="925"/>
        <v>#DIV/0!</v>
      </c>
      <c r="BJ90" s="175" t="e">
        <f t="shared" si="925"/>
        <v>#DIV/0!</v>
      </c>
      <c r="BK90" s="175" t="e">
        <f t="shared" si="925"/>
        <v>#DIV/0!</v>
      </c>
      <c r="BL90" s="175" t="e">
        <f t="shared" si="925"/>
        <v>#DIV/0!</v>
      </c>
      <c r="BM90" s="175" t="e">
        <f t="shared" si="925"/>
        <v>#DIV/0!</v>
      </c>
      <c r="BN90" s="175" t="e">
        <f t="shared" si="925"/>
        <v>#DIV/0!</v>
      </c>
      <c r="BO90" s="175" t="e">
        <f t="shared" si="925"/>
        <v>#DIV/0!</v>
      </c>
      <c r="BP90" s="175" t="e">
        <f t="shared" si="925"/>
        <v>#DIV/0!</v>
      </c>
      <c r="BQ90" s="175">
        <f t="shared" si="925"/>
        <v>0.75870555031638531</v>
      </c>
      <c r="BR90" s="175">
        <f t="shared" si="925"/>
        <v>0.75625243448729207</v>
      </c>
      <c r="BS90" s="175">
        <f t="shared" si="925"/>
        <v>0.83425562546182352</v>
      </c>
      <c r="BT90" s="175">
        <f t="shared" si="925"/>
        <v>0.85349845157426207</v>
      </c>
      <c r="BU90" s="175">
        <f t="shared" si="925"/>
        <v>0.8560332440482542</v>
      </c>
      <c r="BV90" s="175">
        <f t="shared" si="925"/>
        <v>-3.6773006329469539E-2</v>
      </c>
      <c r="BW90" s="175">
        <f t="shared" si="925"/>
        <v>-0.87870881682477153</v>
      </c>
      <c r="BX90" s="175">
        <f t="shared" si="925"/>
        <v>-0.87575640829253598</v>
      </c>
      <c r="BY90" s="175">
        <f t="shared" si="925"/>
        <v>-0.87456597954147119</v>
      </c>
      <c r="BZ90" s="175">
        <f t="shared" si="925"/>
        <v>-0.97010845989889294</v>
      </c>
      <c r="CA90" s="175">
        <f t="shared" si="925"/>
        <v>-0.69044506299593011</v>
      </c>
      <c r="CB90" s="175">
        <f t="shared" si="925"/>
        <v>2.4027717328850513E-2</v>
      </c>
      <c r="CC90" s="175">
        <f t="shared" si="925"/>
        <v>0.80622576018594061</v>
      </c>
      <c r="CD90" s="175">
        <f t="shared" si="925"/>
        <v>0.84328594164884207</v>
      </c>
      <c r="CE90" s="175">
        <f t="shared" si="925"/>
        <v>0.31123638324652986</v>
      </c>
      <c r="CF90" s="175">
        <f t="shared" si="925"/>
        <v>-0.93026990488456274</v>
      </c>
      <c r="CG90" s="175">
        <f t="shared" si="925"/>
        <v>-0.84261250973834723</v>
      </c>
      <c r="CH90" s="175">
        <f t="shared" si="925"/>
        <v>-0.50248684079237416</v>
      </c>
      <c r="CI90" s="175">
        <f t="shared" si="925"/>
        <v>-0.86737849887670526</v>
      </c>
      <c r="CJ90" s="175">
        <f>+CORREL(CG69:CJ69,CG86:CJ86)</f>
        <v>-0.95408055548178072</v>
      </c>
      <c r="CK90" s="175">
        <f>+CORREL(CH69:CK69,CH86:CK86)</f>
        <v>-0.98332012553227233</v>
      </c>
      <c r="CL90" s="175">
        <f>+CORREL(CI69:CL69,CI86:CL86)</f>
        <v>-0.95454660835040428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26">+E$120/E$65</f>
        <v>0</v>
      </c>
      <c r="F92" s="162">
        <f t="shared" ca="1" si="926"/>
        <v>0</v>
      </c>
      <c r="G92" s="162">
        <f t="shared" ca="1" si="926"/>
        <v>0</v>
      </c>
      <c r="H92" s="162">
        <f t="shared" ca="1" si="926"/>
        <v>0</v>
      </c>
      <c r="I92" s="162">
        <f t="shared" ca="1" si="926"/>
        <v>1.9812148606811146</v>
      </c>
      <c r="J92" s="162">
        <f t="shared" ca="1" si="926"/>
        <v>2.0024057418264061</v>
      </c>
      <c r="K92" s="162">
        <f t="shared" ca="1" si="926"/>
        <v>2.1013992951715963</v>
      </c>
      <c r="L92" s="162">
        <f t="shared" ca="1" si="926"/>
        <v>2.1476767450541248</v>
      </c>
      <c r="M92" s="162">
        <f t="shared" ca="1" si="926"/>
        <v>2.1814011033528753</v>
      </c>
      <c r="N92" s="162">
        <f t="shared" ca="1" si="926"/>
        <v>3.3904417133258677</v>
      </c>
      <c r="O92" s="162">
        <f t="shared" ca="1" si="926"/>
        <v>3.4195294534835208</v>
      </c>
      <c r="P92" s="162">
        <f t="shared" ca="1" si="926"/>
        <v>3.8068652152910434</v>
      </c>
      <c r="Q92" s="162">
        <f t="shared" ca="1" si="926"/>
        <v>4.0544481028917732</v>
      </c>
      <c r="R92" s="162">
        <f t="shared" ca="1" si="926"/>
        <v>4.2754649968161953</v>
      </c>
      <c r="S92" s="162">
        <f t="shared" ca="1" si="926"/>
        <v>5.2142274312188484</v>
      </c>
      <c r="T92" s="162">
        <f t="shared" ca="1" si="926"/>
        <v>5.8344311968908515</v>
      </c>
      <c r="U92" s="162">
        <f t="shared" ca="1" si="926"/>
        <v>6.4929736732318908</v>
      </c>
      <c r="V92" s="162">
        <f t="shared" ca="1" si="926"/>
        <v>12.416803899611358</v>
      </c>
      <c r="W92" s="162">
        <f t="shared" ca="1" si="926"/>
        <v>17.394297696682255</v>
      </c>
      <c r="X92" s="162">
        <f t="shared" ca="1" si="926"/>
        <v>23.730957556594866</v>
      </c>
      <c r="Y92" s="162">
        <f t="shared" ca="1" si="926"/>
        <v>33.359714994620468</v>
      </c>
      <c r="Z92" s="162">
        <f t="shared" ca="1" si="926"/>
        <v>61.715280064993514</v>
      </c>
      <c r="AA92" s="162">
        <f t="shared" ca="1" si="926"/>
        <v>61.715280064993514</v>
      </c>
      <c r="AB92" s="21">
        <f t="shared" ca="1" si="926"/>
        <v>81.042098699278881</v>
      </c>
      <c r="AC92" s="21">
        <f t="shared" ca="1" si="926"/>
        <v>97.580645747612493</v>
      </c>
      <c r="AD92" s="21">
        <f t="shared" ca="1" si="926"/>
        <v>117.13938946347261</v>
      </c>
      <c r="AE92" s="21">
        <f t="shared" ca="1" si="926"/>
        <v>140.22736106747521</v>
      </c>
      <c r="AL92" s="162">
        <f t="shared" ref="AL92:BQ92" si="927">+AL$120/AL$65</f>
        <v>0</v>
      </c>
      <c r="AM92" s="162">
        <f t="shared" si="927"/>
        <v>0</v>
      </c>
      <c r="AN92" s="162">
        <f t="shared" si="927"/>
        <v>0</v>
      </c>
      <c r="AO92" s="162">
        <f t="shared" si="927"/>
        <v>0</v>
      </c>
      <c r="AP92" s="162">
        <f t="shared" si="927"/>
        <v>0</v>
      </c>
      <c r="AQ92" s="162">
        <f t="shared" si="927"/>
        <v>0</v>
      </c>
      <c r="AR92" s="162">
        <f t="shared" si="927"/>
        <v>0</v>
      </c>
      <c r="AS92" s="162">
        <f t="shared" si="927"/>
        <v>0</v>
      </c>
      <c r="AT92" s="162">
        <f t="shared" si="927"/>
        <v>0</v>
      </c>
      <c r="AU92" s="162">
        <f t="shared" si="927"/>
        <v>0</v>
      </c>
      <c r="AV92" s="162">
        <f t="shared" si="927"/>
        <v>0</v>
      </c>
      <c r="AW92" s="162">
        <f t="shared" si="927"/>
        <v>0</v>
      </c>
      <c r="AX92" s="162">
        <f t="shared" si="927"/>
        <v>0</v>
      </c>
      <c r="AY92" s="162">
        <f t="shared" si="927"/>
        <v>0</v>
      </c>
      <c r="AZ92" s="162">
        <f t="shared" si="927"/>
        <v>0</v>
      </c>
      <c r="BA92" s="162">
        <f t="shared" si="927"/>
        <v>0</v>
      </c>
      <c r="BB92" s="162">
        <f t="shared" si="927"/>
        <v>0</v>
      </c>
      <c r="BC92" s="162">
        <f t="shared" si="927"/>
        <v>0</v>
      </c>
      <c r="BD92" s="162">
        <f t="shared" si="927"/>
        <v>0</v>
      </c>
      <c r="BE92" s="162">
        <f t="shared" si="927"/>
        <v>0</v>
      </c>
      <c r="BF92" s="162">
        <f t="shared" si="927"/>
        <v>0</v>
      </c>
      <c r="BG92" s="162">
        <f t="shared" si="927"/>
        <v>0</v>
      </c>
      <c r="BH92" s="162">
        <f t="shared" si="927"/>
        <v>0</v>
      </c>
      <c r="BI92" s="162">
        <f t="shared" si="927"/>
        <v>0</v>
      </c>
      <c r="BJ92" s="162">
        <f t="shared" si="927"/>
        <v>0</v>
      </c>
      <c r="BK92" s="162">
        <f t="shared" si="927"/>
        <v>0</v>
      </c>
      <c r="BL92" s="162">
        <f t="shared" si="927"/>
        <v>0</v>
      </c>
      <c r="BM92" s="162">
        <f t="shared" si="927"/>
        <v>2.9777219264305481</v>
      </c>
      <c r="BN92" s="162">
        <f t="shared" si="927"/>
        <v>65.193844593626338</v>
      </c>
      <c r="BO92" s="162">
        <f t="shared" si="927"/>
        <v>70.407861812008775</v>
      </c>
      <c r="BP92" s="162">
        <f t="shared" si="927"/>
        <v>109.04846941587574</v>
      </c>
      <c r="BQ92" s="162">
        <f t="shared" si="927"/>
        <v>117.11399186481034</v>
      </c>
      <c r="BR92" s="162">
        <f t="shared" ref="BR92:DB92" si="928">+BR$120/BR$65</f>
        <v>124.67310426932109</v>
      </c>
      <c r="BS92" s="162">
        <f t="shared" si="928"/>
        <v>138.05174333366404</v>
      </c>
      <c r="BT92" s="162">
        <f t="shared" si="928"/>
        <v>143.86906533505297</v>
      </c>
      <c r="BU92" s="162">
        <f t="shared" si="928"/>
        <v>162.00756197846047</v>
      </c>
      <c r="BV92" s="162">
        <f t="shared" si="928"/>
        <v>174.65050652027733</v>
      </c>
      <c r="BW92" s="162">
        <f t="shared" si="928"/>
        <v>194.6577818931402</v>
      </c>
      <c r="BX92" s="162">
        <f t="shared" si="928"/>
        <v>208.00004409316887</v>
      </c>
      <c r="BY92" s="162">
        <f t="shared" si="928"/>
        <v>233.13315034668253</v>
      </c>
      <c r="BZ92" s="162">
        <f t="shared" si="928"/>
        <v>238.27485476812504</v>
      </c>
      <c r="CA92" s="162">
        <f t="shared" si="928"/>
        <v>262.61483514666492</v>
      </c>
      <c r="CB92" s="162">
        <f t="shared" si="928"/>
        <v>287.99453244706064</v>
      </c>
      <c r="CC92" s="162">
        <f t="shared" si="928"/>
        <v>316.6892644157104</v>
      </c>
      <c r="CD92" s="162">
        <f t="shared" si="928"/>
        <v>334.95408798791846</v>
      </c>
      <c r="CE92" s="162">
        <f t="shared" si="928"/>
        <v>367.22213036145371</v>
      </c>
      <c r="CF92" s="162">
        <f t="shared" si="928"/>
        <v>581.80848132103142</v>
      </c>
      <c r="CG92" s="162">
        <f t="shared" si="928"/>
        <v>612.83530099099403</v>
      </c>
      <c r="CH92" s="162">
        <f t="shared" si="928"/>
        <v>619.66312818986512</v>
      </c>
      <c r="CI92" s="162">
        <f t="shared" si="928"/>
        <v>632.28127032419491</v>
      </c>
      <c r="CJ92" s="162">
        <f t="shared" si="928"/>
        <v>640.47576529206208</v>
      </c>
      <c r="CK92" s="162">
        <f t="shared" si="928"/>
        <v>669.07357877937375</v>
      </c>
      <c r="CL92" s="162">
        <f t="shared" si="928"/>
        <v>67.164997914059242</v>
      </c>
      <c r="CM92" s="21">
        <f t="shared" si="928"/>
        <v>69.505777737649979</v>
      </c>
      <c r="CN92" s="21">
        <f t="shared" si="928"/>
        <v>72.613211908212861</v>
      </c>
      <c r="CO92" s="21">
        <f t="shared" si="928"/>
        <v>76.569707984219505</v>
      </c>
      <c r="CP92" s="21">
        <f t="shared" si="928"/>
        <v>81.042098699278881</v>
      </c>
      <c r="CQ92" s="21">
        <f t="shared" si="928"/>
        <v>84.005820239384803</v>
      </c>
      <c r="CR92" s="21">
        <f t="shared" si="928"/>
        <v>87.712018627503511</v>
      </c>
      <c r="CS92" s="21">
        <f t="shared" si="928"/>
        <v>92.355125170852531</v>
      </c>
      <c r="CT92" s="21">
        <f t="shared" si="928"/>
        <v>97.580645747612493</v>
      </c>
      <c r="CU92" s="21">
        <f t="shared" si="928"/>
        <v>101.12667603793892</v>
      </c>
      <c r="CV92" s="21">
        <f t="shared" si="928"/>
        <v>105.50789072033594</v>
      </c>
      <c r="CW92" s="21">
        <f t="shared" si="928"/>
        <v>110.97864440364185</v>
      </c>
      <c r="CX92" s="21">
        <f t="shared" si="928"/>
        <v>117.13938946347261</v>
      </c>
      <c r="CY92" s="21">
        <f t="shared" si="928"/>
        <v>121.34061516141445</v>
      </c>
      <c r="CZ92" s="21">
        <f t="shared" si="928"/>
        <v>126.51312906826317</v>
      </c>
      <c r="DA92" s="21">
        <f t="shared" si="928"/>
        <v>132.96394091419799</v>
      </c>
      <c r="DB92" s="21">
        <f t="shared" si="928"/>
        <v>140.22736106747521</v>
      </c>
      <c r="DE92" s="22"/>
      <c r="DF92" s="162">
        <v>61.715280064993514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9">+E77/E$92</f>
        <v>#DIV/0!</v>
      </c>
      <c r="F94" s="162" t="e">
        <f t="shared" ca="1" si="929"/>
        <v>#DIV/0!</v>
      </c>
      <c r="G94" s="162" t="e">
        <f t="shared" ca="1" si="929"/>
        <v>#DIV/0!</v>
      </c>
      <c r="H94" s="162" t="e">
        <f t="shared" ca="1" si="929"/>
        <v>#DIV/0!</v>
      </c>
      <c r="I94" s="162">
        <f t="shared" ca="1" si="929"/>
        <v>0</v>
      </c>
      <c r="J94" s="162">
        <f t="shared" ca="1" si="929"/>
        <v>0</v>
      </c>
      <c r="K94" s="162">
        <f t="shared" ca="1" si="929"/>
        <v>0</v>
      </c>
      <c r="L94" s="162">
        <f t="shared" ca="1" si="929"/>
        <v>0</v>
      </c>
      <c r="M94" s="162">
        <f t="shared" ca="1" si="929"/>
        <v>0</v>
      </c>
      <c r="N94" s="162">
        <f t="shared" ca="1" si="929"/>
        <v>0</v>
      </c>
      <c r="O94" s="162">
        <f t="shared" ca="1" si="929"/>
        <v>0</v>
      </c>
      <c r="P94" s="162">
        <f t="shared" ca="1" si="929"/>
        <v>0</v>
      </c>
      <c r="Q94" s="162">
        <f t="shared" ca="1" si="929"/>
        <v>0</v>
      </c>
      <c r="R94" s="162">
        <f t="shared" ca="1" si="929"/>
        <v>0</v>
      </c>
      <c r="S94" s="162">
        <f t="shared" ca="1" si="929"/>
        <v>0</v>
      </c>
      <c r="T94" s="162">
        <f t="shared" ca="1" si="929"/>
        <v>0</v>
      </c>
      <c r="U94" s="162">
        <f t="shared" ca="1" si="929"/>
        <v>0</v>
      </c>
      <c r="V94" s="162">
        <f t="shared" ca="1" si="929"/>
        <v>2.3444036191077426</v>
      </c>
      <c r="W94" s="162">
        <f t="shared" ca="1" si="929"/>
        <v>8.8296177677408867</v>
      </c>
      <c r="X94" s="162">
        <f t="shared" ca="1" si="929"/>
        <v>4.9020356520620778</v>
      </c>
      <c r="Y94" s="162">
        <f t="shared" ca="1" si="929"/>
        <v>9.1244784330167512</v>
      </c>
      <c r="Z94" s="162">
        <f t="shared" ca="1" si="929"/>
        <v>3.7472891600986094</v>
      </c>
      <c r="AA94" s="162">
        <f t="shared" ref="AA94" ca="1" si="930">+AA77/AA$92</f>
        <v>3.7472891600986094</v>
      </c>
      <c r="AB94" s="21">
        <f t="shared" ca="1" si="929"/>
        <v>4.2817252461292394</v>
      </c>
      <c r="AC94" s="21">
        <f t="shared" ca="1" si="929"/>
        <v>3.5560330364844921</v>
      </c>
      <c r="AD94" s="21">
        <f t="shared" ca="1" si="929"/>
        <v>2.9622828118649571</v>
      </c>
      <c r="AE94" s="21">
        <f t="shared" ca="1" si="929"/>
        <v>2.4745527360600406</v>
      </c>
      <c r="AL94" s="162" t="e">
        <f t="shared" ref="AL94:CI96" si="931">+AL77/AL$92</f>
        <v>#DIV/0!</v>
      </c>
      <c r="AM94" s="162" t="e">
        <f t="shared" si="931"/>
        <v>#DIV/0!</v>
      </c>
      <c r="AN94" s="162" t="e">
        <f t="shared" si="931"/>
        <v>#DIV/0!</v>
      </c>
      <c r="AO94" s="162" t="e">
        <f t="shared" si="931"/>
        <v>#DIV/0!</v>
      </c>
      <c r="AP94" s="162" t="e">
        <f t="shared" si="931"/>
        <v>#DIV/0!</v>
      </c>
      <c r="AQ94" s="162" t="e">
        <f t="shared" si="931"/>
        <v>#DIV/0!</v>
      </c>
      <c r="AR94" s="162" t="e">
        <f t="shared" si="931"/>
        <v>#DIV/0!</v>
      </c>
      <c r="AS94" s="162" t="e">
        <f t="shared" si="931"/>
        <v>#DIV/0!</v>
      </c>
      <c r="AT94" s="162" t="e">
        <f t="shared" si="931"/>
        <v>#DIV/0!</v>
      </c>
      <c r="AU94" s="162" t="e">
        <f t="shared" si="931"/>
        <v>#DIV/0!</v>
      </c>
      <c r="AV94" s="162" t="e">
        <f t="shared" si="931"/>
        <v>#DIV/0!</v>
      </c>
      <c r="AW94" s="162" t="e">
        <f t="shared" si="931"/>
        <v>#DIV/0!</v>
      </c>
      <c r="AX94" s="162" t="e">
        <f t="shared" si="931"/>
        <v>#DIV/0!</v>
      </c>
      <c r="AY94" s="162" t="e">
        <f t="shared" si="931"/>
        <v>#DIV/0!</v>
      </c>
      <c r="AZ94" s="162" t="e">
        <f t="shared" si="931"/>
        <v>#DIV/0!</v>
      </c>
      <c r="BA94" s="162" t="e">
        <f t="shared" si="931"/>
        <v>#DIV/0!</v>
      </c>
      <c r="BB94" s="162" t="e">
        <f t="shared" si="931"/>
        <v>#DIV/0!</v>
      </c>
      <c r="BC94" s="162" t="e">
        <f t="shared" si="931"/>
        <v>#DIV/0!</v>
      </c>
      <c r="BD94" s="162" t="e">
        <f t="shared" si="931"/>
        <v>#DIV/0!</v>
      </c>
      <c r="BE94" s="162" t="e">
        <f t="shared" si="931"/>
        <v>#DIV/0!</v>
      </c>
      <c r="BF94" s="162" t="e">
        <f t="shared" si="931"/>
        <v>#DIV/0!</v>
      </c>
      <c r="BG94" s="162" t="e">
        <f t="shared" si="931"/>
        <v>#DIV/0!</v>
      </c>
      <c r="BH94" s="162" t="e">
        <f t="shared" si="931"/>
        <v>#DIV/0!</v>
      </c>
      <c r="BI94" s="162" t="e">
        <f t="shared" si="931"/>
        <v>#DIV/0!</v>
      </c>
      <c r="BJ94" s="162" t="e">
        <f t="shared" si="931"/>
        <v>#DIV/0!</v>
      </c>
      <c r="BK94" s="162" t="e">
        <f t="shared" si="931"/>
        <v>#DIV/0!</v>
      </c>
      <c r="BL94" s="162" t="e">
        <f t="shared" si="931"/>
        <v>#DIV/0!</v>
      </c>
      <c r="BM94" s="162">
        <f t="shared" si="931"/>
        <v>0</v>
      </c>
      <c r="BN94" s="162">
        <f t="shared" si="931"/>
        <v>0</v>
      </c>
      <c r="BO94" s="162">
        <f t="shared" si="931"/>
        <v>0</v>
      </c>
      <c r="BP94" s="162">
        <f t="shared" si="931"/>
        <v>0</v>
      </c>
      <c r="BQ94" s="162">
        <f t="shared" si="931"/>
        <v>0.28843692766440487</v>
      </c>
      <c r="BR94" s="162">
        <f t="shared" si="931"/>
        <v>0.23349061668598589</v>
      </c>
      <c r="BS94" s="162">
        <f t="shared" si="931"/>
        <v>0.62012980012200924</v>
      </c>
      <c r="BT94" s="162">
        <f t="shared" si="931"/>
        <v>0.91896058191592156</v>
      </c>
      <c r="BU94" s="162">
        <f t="shared" si="931"/>
        <v>0.72990420049480031</v>
      </c>
      <c r="BV94" s="162">
        <f t="shared" si="931"/>
        <v>0.87938479572727968</v>
      </c>
      <c r="BW94" s="162">
        <f t="shared" si="931"/>
        <v>0.61975431357903188</v>
      </c>
      <c r="BX94" s="162">
        <f t="shared" si="931"/>
        <v>0.65754793753186425</v>
      </c>
      <c r="BY94" s="162">
        <f t="shared" si="931"/>
        <v>0.56255405893572985</v>
      </c>
      <c r="BZ94" s="162">
        <f t="shared" si="931"/>
        <v>0.48821769344148991</v>
      </c>
      <c r="CA94" s="162">
        <f t="shared" si="931"/>
        <v>0.65441847527014152</v>
      </c>
      <c r="CB94" s="162">
        <f t="shared" si="931"/>
        <v>0.64272053509913496</v>
      </c>
      <c r="CC94" s="162">
        <f t="shared" si="931"/>
        <v>1.1018529492744291</v>
      </c>
      <c r="CD94" s="162">
        <f t="shared" si="931"/>
        <v>0.90875141076343302</v>
      </c>
      <c r="CE94" s="162">
        <f t="shared" si="931"/>
        <v>0.70801833142268455</v>
      </c>
      <c r="CF94" s="162">
        <f t="shared" si="931"/>
        <v>0.44029952849492759</v>
      </c>
      <c r="CG94" s="162">
        <f t="shared" si="931"/>
        <v>0.47849723983884757</v>
      </c>
      <c r="CH94" s="162">
        <f t="shared" si="931"/>
        <v>0.3732108455049794</v>
      </c>
      <c r="CI94" s="162">
        <f t="shared" si="931"/>
        <v>0.46231798049326822</v>
      </c>
      <c r="CJ94" s="162">
        <f>+CJ77/CJ$92</f>
        <v>0.33290096449281303</v>
      </c>
      <c r="CK94" s="162">
        <f>+CK77/CK$92</f>
        <v>0.35035758014485591</v>
      </c>
      <c r="CL94" s="162">
        <f>+CL77/CL$92</f>
        <v>3.3879253639099471</v>
      </c>
      <c r="CM94" s="21">
        <f t="shared" ref="CM94:DB94" si="932">+CM77/CM$92</f>
        <v>4.9923907233978992</v>
      </c>
      <c r="CN94" s="21">
        <f t="shared" si="932"/>
        <v>4.7787446785665848</v>
      </c>
      <c r="CO94" s="21">
        <f t="shared" si="932"/>
        <v>4.53181824947686</v>
      </c>
      <c r="CP94" s="21">
        <f t="shared" si="932"/>
        <v>4.2817252461292394</v>
      </c>
      <c r="CQ94" s="21">
        <f t="shared" si="932"/>
        <v>4.1306661730244558</v>
      </c>
      <c r="CR94" s="21">
        <f t="shared" si="932"/>
        <v>3.9561283097775219</v>
      </c>
      <c r="CS94" s="21">
        <f t="shared" si="932"/>
        <v>3.7572359883446285</v>
      </c>
      <c r="CT94" s="21">
        <f t="shared" si="932"/>
        <v>3.5560330364844921</v>
      </c>
      <c r="CU94" s="21">
        <f t="shared" si="932"/>
        <v>3.4313399153930328</v>
      </c>
      <c r="CV94" s="21">
        <f t="shared" si="932"/>
        <v>3.2888535410093085</v>
      </c>
      <c r="CW94" s="21">
        <f t="shared" si="932"/>
        <v>3.1267276858953319</v>
      </c>
      <c r="CX94" s="21">
        <f t="shared" si="932"/>
        <v>2.9622828118649571</v>
      </c>
      <c r="CY94" s="21">
        <f t="shared" si="932"/>
        <v>2.8597184836948464</v>
      </c>
      <c r="CZ94" s="21">
        <f t="shared" si="932"/>
        <v>2.7427983368648472</v>
      </c>
      <c r="DA94" s="21">
        <f t="shared" si="932"/>
        <v>2.6097301088865898</v>
      </c>
      <c r="DB94" s="21">
        <f t="shared" si="932"/>
        <v>2.4745527360600406</v>
      </c>
      <c r="DE94" s="22"/>
      <c r="DF94" s="162">
        <v>3.7472891600986094</v>
      </c>
    </row>
    <row r="95" spans="1:110" s="162" customFormat="1" x14ac:dyDescent="0.2">
      <c r="A95" s="49" t="s">
        <v>503</v>
      </c>
      <c r="E95" s="162" t="e">
        <f t="shared" ca="1" si="929"/>
        <v>#DIV/0!</v>
      </c>
      <c r="F95" s="162" t="e">
        <f t="shared" ca="1" si="929"/>
        <v>#DIV/0!</v>
      </c>
      <c r="G95" s="162" t="e">
        <f t="shared" ca="1" si="929"/>
        <v>#DIV/0!</v>
      </c>
      <c r="H95" s="162" t="e">
        <f t="shared" ca="1" si="929"/>
        <v>#DIV/0!</v>
      </c>
      <c r="I95" s="162">
        <f t="shared" ca="1" si="929"/>
        <v>0</v>
      </c>
      <c r="J95" s="162">
        <f t="shared" ca="1" si="929"/>
        <v>0</v>
      </c>
      <c r="K95" s="162">
        <f t="shared" ca="1" si="929"/>
        <v>0</v>
      </c>
      <c r="L95" s="162">
        <f t="shared" ca="1" si="929"/>
        <v>0</v>
      </c>
      <c r="M95" s="162">
        <f t="shared" ca="1" si="929"/>
        <v>0</v>
      </c>
      <c r="N95" s="162">
        <f t="shared" ca="1" si="929"/>
        <v>0</v>
      </c>
      <c r="O95" s="162">
        <f t="shared" ca="1" si="929"/>
        <v>0</v>
      </c>
      <c r="P95" s="162">
        <f t="shared" ca="1" si="929"/>
        <v>0</v>
      </c>
      <c r="Q95" s="162">
        <f t="shared" ca="1" si="929"/>
        <v>0</v>
      </c>
      <c r="R95" s="162">
        <f t="shared" ca="1" si="929"/>
        <v>0</v>
      </c>
      <c r="S95" s="162">
        <f t="shared" ca="1" si="929"/>
        <v>0</v>
      </c>
      <c r="T95" s="162">
        <f t="shared" ca="1" si="929"/>
        <v>0</v>
      </c>
      <c r="U95" s="162">
        <f t="shared" ca="1" si="929"/>
        <v>0</v>
      </c>
      <c r="V95" s="162">
        <f t="shared" ca="1" si="929"/>
        <v>3.2798295220942228</v>
      </c>
      <c r="W95" s="162">
        <f t="shared" ca="1" si="929"/>
        <v>9.8710510187916132</v>
      </c>
      <c r="X95" s="162">
        <f t="shared" ca="1" si="929"/>
        <v>8.5205158501414253</v>
      </c>
      <c r="Y95" s="162">
        <f t="shared" ca="1" si="929"/>
        <v>11.691796529523602</v>
      </c>
      <c r="Z95" s="162">
        <f t="shared" ca="1" si="929"/>
        <v>5.6754178159952389</v>
      </c>
      <c r="AA95" s="162">
        <f t="shared" ref="AA95" ca="1" si="933">+AA78/AA$92</f>
        <v>5.6754178159952389</v>
      </c>
      <c r="AB95" s="21">
        <f t="shared" ca="1" si="929"/>
        <v>4.3508347309549755</v>
      </c>
      <c r="AC95" s="21">
        <f t="shared" ca="1" si="929"/>
        <v>1.0169156140517708</v>
      </c>
      <c r="AD95" s="21">
        <f t="shared" ca="1" si="929"/>
        <v>1.0018189682622041</v>
      </c>
      <c r="AE95" s="21">
        <f t="shared" ca="1" si="929"/>
        <v>0.98788017238203807</v>
      </c>
      <c r="AL95" s="162" t="e">
        <f t="shared" si="931"/>
        <v>#DIV/0!</v>
      </c>
      <c r="AM95" s="162" t="e">
        <f t="shared" si="931"/>
        <v>#DIV/0!</v>
      </c>
      <c r="AN95" s="162" t="e">
        <f t="shared" si="931"/>
        <v>#DIV/0!</v>
      </c>
      <c r="AO95" s="162" t="e">
        <f t="shared" si="931"/>
        <v>#DIV/0!</v>
      </c>
      <c r="AP95" s="162" t="e">
        <f t="shared" si="931"/>
        <v>#DIV/0!</v>
      </c>
      <c r="AQ95" s="162" t="e">
        <f t="shared" si="931"/>
        <v>#DIV/0!</v>
      </c>
      <c r="AR95" s="162" t="e">
        <f t="shared" si="931"/>
        <v>#DIV/0!</v>
      </c>
      <c r="AS95" s="162" t="e">
        <f t="shared" si="931"/>
        <v>#DIV/0!</v>
      </c>
      <c r="AT95" s="162" t="e">
        <f t="shared" si="931"/>
        <v>#DIV/0!</v>
      </c>
      <c r="AU95" s="162" t="e">
        <f t="shared" si="931"/>
        <v>#DIV/0!</v>
      </c>
      <c r="AV95" s="162" t="e">
        <f t="shared" si="931"/>
        <v>#DIV/0!</v>
      </c>
      <c r="AW95" s="162" t="e">
        <f t="shared" si="931"/>
        <v>#DIV/0!</v>
      </c>
      <c r="AX95" s="162" t="e">
        <f t="shared" si="931"/>
        <v>#DIV/0!</v>
      </c>
      <c r="AY95" s="162" t="e">
        <f t="shared" si="931"/>
        <v>#DIV/0!</v>
      </c>
      <c r="AZ95" s="162" t="e">
        <f t="shared" si="931"/>
        <v>#DIV/0!</v>
      </c>
      <c r="BA95" s="162" t="e">
        <f t="shared" si="931"/>
        <v>#DIV/0!</v>
      </c>
      <c r="BB95" s="162" t="e">
        <f t="shared" si="931"/>
        <v>#DIV/0!</v>
      </c>
      <c r="BC95" s="162" t="e">
        <f t="shared" si="931"/>
        <v>#DIV/0!</v>
      </c>
      <c r="BD95" s="162" t="e">
        <f t="shared" si="931"/>
        <v>#DIV/0!</v>
      </c>
      <c r="BE95" s="162" t="e">
        <f t="shared" si="931"/>
        <v>#DIV/0!</v>
      </c>
      <c r="BF95" s="162" t="e">
        <f t="shared" si="931"/>
        <v>#DIV/0!</v>
      </c>
      <c r="BG95" s="162" t="e">
        <f t="shared" si="931"/>
        <v>#DIV/0!</v>
      </c>
      <c r="BH95" s="162" t="e">
        <f t="shared" si="931"/>
        <v>#DIV/0!</v>
      </c>
      <c r="BI95" s="162" t="e">
        <f t="shared" si="931"/>
        <v>#DIV/0!</v>
      </c>
      <c r="BJ95" s="162" t="e">
        <f t="shared" si="931"/>
        <v>#DIV/0!</v>
      </c>
      <c r="BK95" s="162" t="e">
        <f t="shared" si="931"/>
        <v>#DIV/0!</v>
      </c>
      <c r="BL95" s="162" t="e">
        <f t="shared" si="931"/>
        <v>#DIV/0!</v>
      </c>
      <c r="BM95" s="162">
        <f t="shared" si="931"/>
        <v>0</v>
      </c>
      <c r="BN95" s="162">
        <f t="shared" si="931"/>
        <v>0</v>
      </c>
      <c r="BO95" s="162">
        <f t="shared" si="931"/>
        <v>0</v>
      </c>
      <c r="BP95" s="162">
        <f t="shared" si="931"/>
        <v>0</v>
      </c>
      <c r="BQ95" s="162">
        <f t="shared" si="931"/>
        <v>0.34773812549238864</v>
      </c>
      <c r="BR95" s="162">
        <f t="shared" si="931"/>
        <v>0.30872737328215721</v>
      </c>
      <c r="BS95" s="162">
        <f t="shared" si="931"/>
        <v>0.69825268172831534</v>
      </c>
      <c r="BT95" s="162">
        <f t="shared" si="931"/>
        <v>1.0314934600735401</v>
      </c>
      <c r="BU95" s="162">
        <f t="shared" si="931"/>
        <v>1.042729104351684</v>
      </c>
      <c r="BV95" s="162">
        <f t="shared" si="931"/>
        <v>0.98310622408681769</v>
      </c>
      <c r="BW95" s="162">
        <f t="shared" si="931"/>
        <v>1.0387460395033177</v>
      </c>
      <c r="BX95" s="162">
        <f t="shared" si="931"/>
        <v>0.78365368002993252</v>
      </c>
      <c r="BY95" s="162">
        <f t="shared" si="931"/>
        <v>0.71761566191343962</v>
      </c>
      <c r="BZ95" s="162">
        <f t="shared" si="931"/>
        <v>0.57339243846336763</v>
      </c>
      <c r="CA95" s="162">
        <f t="shared" si="931"/>
        <v>0.66441410251082644</v>
      </c>
      <c r="CB95" s="162">
        <f t="shared" si="931"/>
        <v>0.68155807796830747</v>
      </c>
      <c r="CC95" s="162">
        <f t="shared" si="931"/>
        <v>1.1051842904929148</v>
      </c>
      <c r="CD95" s="162">
        <f t="shared" si="931"/>
        <v>1.1644431699369744</v>
      </c>
      <c r="CE95" s="162">
        <f t="shared" si="931"/>
        <v>0.87882775387840728</v>
      </c>
      <c r="CF95" s="162">
        <f t="shared" si="931"/>
        <v>0.4901870790065615</v>
      </c>
      <c r="CG95" s="162">
        <f t="shared" si="931"/>
        <v>0.57154018287394193</v>
      </c>
      <c r="CH95" s="162">
        <f t="shared" si="931"/>
        <v>0.49111361666617454</v>
      </c>
      <c r="CI95" s="162">
        <f t="shared" si="931"/>
        <v>0.51923094263359726</v>
      </c>
      <c r="CJ95" s="162">
        <f t="shared" ref="CJ95:CK96" si="934">+CJ78/CJ$92</f>
        <v>0.46434231569149725</v>
      </c>
      <c r="CK95" s="162">
        <f t="shared" si="934"/>
        <v>0.42809193052061667</v>
      </c>
      <c r="CL95" s="162">
        <f t="shared" ref="CL95" si="935">+CL78/CL$92</f>
        <v>4.1792601610614026</v>
      </c>
      <c r="CM95" s="94">
        <f t="shared" ref="CM95:DB95" si="936">+CL95</f>
        <v>4.1792601610614026</v>
      </c>
      <c r="CN95" s="94">
        <f t="shared" si="936"/>
        <v>4.1792601610614026</v>
      </c>
      <c r="CO95" s="94">
        <f t="shared" si="936"/>
        <v>4.1792601610614026</v>
      </c>
      <c r="CP95" s="94">
        <f t="shared" si="936"/>
        <v>4.1792601610614026</v>
      </c>
      <c r="CQ95" s="94">
        <f t="shared" si="936"/>
        <v>4.1792601610614026</v>
      </c>
      <c r="CR95" s="94">
        <f t="shared" si="936"/>
        <v>4.1792601610614026</v>
      </c>
      <c r="CS95" s="94">
        <f t="shared" si="936"/>
        <v>4.1792601610614026</v>
      </c>
      <c r="CT95" s="94">
        <f t="shared" si="936"/>
        <v>4.1792601610614026</v>
      </c>
      <c r="CU95" s="94">
        <f t="shared" si="936"/>
        <v>4.1792601610614026</v>
      </c>
      <c r="CV95" s="94">
        <f t="shared" si="936"/>
        <v>4.1792601610614026</v>
      </c>
      <c r="CW95" s="94">
        <f t="shared" si="936"/>
        <v>4.1792601610614026</v>
      </c>
      <c r="CX95" s="94">
        <f t="shared" si="936"/>
        <v>4.1792601610614026</v>
      </c>
      <c r="CY95" s="94">
        <f t="shared" si="936"/>
        <v>4.1792601610614026</v>
      </c>
      <c r="CZ95" s="94">
        <f t="shared" si="936"/>
        <v>4.1792601610614026</v>
      </c>
      <c r="DA95" s="94">
        <f t="shared" si="936"/>
        <v>4.1792601610614026</v>
      </c>
      <c r="DB95" s="94">
        <f t="shared" si="936"/>
        <v>4.1792601610614026</v>
      </c>
      <c r="DC95" s="94"/>
      <c r="DE95" s="22"/>
      <c r="DF95" s="162">
        <v>5.6754178159952389</v>
      </c>
    </row>
    <row r="96" spans="1:110" s="162" customFormat="1" x14ac:dyDescent="0.2">
      <c r="A96" s="49" t="s">
        <v>504</v>
      </c>
      <c r="E96" s="162" t="e">
        <f t="shared" ca="1" si="929"/>
        <v>#DIV/0!</v>
      </c>
      <c r="F96" s="162" t="e">
        <f t="shared" ca="1" si="929"/>
        <v>#DIV/0!</v>
      </c>
      <c r="G96" s="162" t="e">
        <f t="shared" ca="1" si="929"/>
        <v>#DIV/0!</v>
      </c>
      <c r="H96" s="162" t="e">
        <f t="shared" ca="1" si="929"/>
        <v>#DIV/0!</v>
      </c>
      <c r="I96" s="162">
        <f t="shared" ca="1" si="929"/>
        <v>0</v>
      </c>
      <c r="J96" s="162">
        <f t="shared" ca="1" si="929"/>
        <v>0</v>
      </c>
      <c r="K96" s="162">
        <f t="shared" ca="1" si="929"/>
        <v>0</v>
      </c>
      <c r="L96" s="162">
        <f t="shared" ca="1" si="929"/>
        <v>0</v>
      </c>
      <c r="M96" s="162">
        <f t="shared" ca="1" si="929"/>
        <v>0</v>
      </c>
      <c r="N96" s="162">
        <f t="shared" ca="1" si="929"/>
        <v>0</v>
      </c>
      <c r="O96" s="162">
        <f t="shared" ca="1" si="929"/>
        <v>0</v>
      </c>
      <c r="P96" s="162">
        <f t="shared" ca="1" si="929"/>
        <v>0</v>
      </c>
      <c r="Q96" s="162">
        <f t="shared" ca="1" si="929"/>
        <v>0</v>
      </c>
      <c r="R96" s="162">
        <f t="shared" ca="1" si="929"/>
        <v>0</v>
      </c>
      <c r="S96" s="162">
        <f t="shared" ca="1" si="929"/>
        <v>0</v>
      </c>
      <c r="T96" s="162">
        <f t="shared" ca="1" si="929"/>
        <v>0</v>
      </c>
      <c r="U96" s="162">
        <f t="shared" ca="1" si="929"/>
        <v>0</v>
      </c>
      <c r="V96" s="162">
        <f t="shared" ca="1" si="929"/>
        <v>1.795953304915928</v>
      </c>
      <c r="W96" s="162">
        <f t="shared" ca="1" si="929"/>
        <v>1.6217958604549298</v>
      </c>
      <c r="X96" s="162">
        <f t="shared" ca="1" si="929"/>
        <v>4.2139049703963529</v>
      </c>
      <c r="Y96" s="162">
        <f t="shared" ca="1" si="929"/>
        <v>3.4738006610274526</v>
      </c>
      <c r="Z96" s="162">
        <f t="shared" ca="1" si="929"/>
        <v>3.1467085589741202</v>
      </c>
      <c r="AA96" s="162">
        <f t="shared" ref="AA96" ca="1" si="937">+AA79/AA$92</f>
        <v>3.1467085589741202</v>
      </c>
      <c r="AB96" s="21">
        <f t="shared" ca="1" si="929"/>
        <v>0.79714590306884392</v>
      </c>
      <c r="AC96" s="21">
        <f t="shared" ca="1" si="929"/>
        <v>0.74297737992216561</v>
      </c>
      <c r="AD96" s="21">
        <f t="shared" ca="1" si="929"/>
        <v>0.73078986824892456</v>
      </c>
      <c r="AE96" s="21">
        <f t="shared" ca="1" si="929"/>
        <v>0.72075588421538039</v>
      </c>
      <c r="AL96" s="162" t="e">
        <f t="shared" si="931"/>
        <v>#DIV/0!</v>
      </c>
      <c r="AM96" s="162" t="e">
        <f t="shared" si="931"/>
        <v>#DIV/0!</v>
      </c>
      <c r="AN96" s="162" t="e">
        <f t="shared" si="931"/>
        <v>#DIV/0!</v>
      </c>
      <c r="AO96" s="162" t="e">
        <f t="shared" si="931"/>
        <v>#DIV/0!</v>
      </c>
      <c r="AP96" s="162" t="e">
        <f t="shared" si="931"/>
        <v>#DIV/0!</v>
      </c>
      <c r="AQ96" s="162" t="e">
        <f t="shared" si="931"/>
        <v>#DIV/0!</v>
      </c>
      <c r="AR96" s="162" t="e">
        <f t="shared" si="931"/>
        <v>#DIV/0!</v>
      </c>
      <c r="AS96" s="162" t="e">
        <f t="shared" si="931"/>
        <v>#DIV/0!</v>
      </c>
      <c r="AT96" s="162" t="e">
        <f t="shared" si="931"/>
        <v>#DIV/0!</v>
      </c>
      <c r="AU96" s="162" t="e">
        <f t="shared" si="931"/>
        <v>#DIV/0!</v>
      </c>
      <c r="AV96" s="162" t="e">
        <f t="shared" si="931"/>
        <v>#DIV/0!</v>
      </c>
      <c r="AW96" s="162" t="e">
        <f t="shared" si="931"/>
        <v>#DIV/0!</v>
      </c>
      <c r="AX96" s="162" t="e">
        <f t="shared" si="931"/>
        <v>#DIV/0!</v>
      </c>
      <c r="AY96" s="162" t="e">
        <f t="shared" si="931"/>
        <v>#DIV/0!</v>
      </c>
      <c r="AZ96" s="162" t="e">
        <f t="shared" si="931"/>
        <v>#DIV/0!</v>
      </c>
      <c r="BA96" s="162" t="e">
        <f t="shared" si="931"/>
        <v>#DIV/0!</v>
      </c>
      <c r="BB96" s="162" t="e">
        <f t="shared" si="931"/>
        <v>#DIV/0!</v>
      </c>
      <c r="BC96" s="162" t="e">
        <f t="shared" si="931"/>
        <v>#DIV/0!</v>
      </c>
      <c r="BD96" s="162" t="e">
        <f t="shared" si="931"/>
        <v>#DIV/0!</v>
      </c>
      <c r="BE96" s="162" t="e">
        <f t="shared" si="931"/>
        <v>#DIV/0!</v>
      </c>
      <c r="BF96" s="162" t="e">
        <f t="shared" si="931"/>
        <v>#DIV/0!</v>
      </c>
      <c r="BG96" s="162" t="e">
        <f t="shared" si="931"/>
        <v>#DIV/0!</v>
      </c>
      <c r="BH96" s="162" t="e">
        <f t="shared" si="931"/>
        <v>#DIV/0!</v>
      </c>
      <c r="BI96" s="162" t="e">
        <f t="shared" si="931"/>
        <v>#DIV/0!</v>
      </c>
      <c r="BJ96" s="162" t="e">
        <f t="shared" si="931"/>
        <v>#DIV/0!</v>
      </c>
      <c r="BK96" s="162" t="e">
        <f t="shared" si="931"/>
        <v>#DIV/0!</v>
      </c>
      <c r="BL96" s="162" t="e">
        <f t="shared" si="931"/>
        <v>#DIV/0!</v>
      </c>
      <c r="BM96" s="162">
        <f t="shared" si="931"/>
        <v>0</v>
      </c>
      <c r="BN96" s="162">
        <f t="shared" si="931"/>
        <v>0</v>
      </c>
      <c r="BO96" s="162">
        <f t="shared" si="931"/>
        <v>0</v>
      </c>
      <c r="BP96" s="162">
        <f t="shared" si="931"/>
        <v>0</v>
      </c>
      <c r="BQ96" s="162">
        <f t="shared" si="931"/>
        <v>0.19041277344334601</v>
      </c>
      <c r="BR96" s="162">
        <f t="shared" si="931"/>
        <v>0.2328088337104342</v>
      </c>
      <c r="BS96" s="162">
        <f t="shared" si="931"/>
        <v>0.20434367084968907</v>
      </c>
      <c r="BT96" s="162">
        <f t="shared" si="931"/>
        <v>0.59290021660561298</v>
      </c>
      <c r="BU96" s="162">
        <f t="shared" si="931"/>
        <v>0.61231709673644141</v>
      </c>
      <c r="BV96" s="162">
        <f t="shared" si="931"/>
        <v>0.67763903098820544</v>
      </c>
      <c r="BW96" s="162">
        <f t="shared" si="931"/>
        <v>0.5475506756699362</v>
      </c>
      <c r="BX96" s="162">
        <f t="shared" si="931"/>
        <v>0.56874987943276689</v>
      </c>
      <c r="BY96" s="162">
        <f t="shared" si="931"/>
        <v>0.51474875976044421</v>
      </c>
      <c r="BZ96" s="162">
        <f t="shared" si="931"/>
        <v>0.419683395032657</v>
      </c>
      <c r="CA96" s="162">
        <f t="shared" si="931"/>
        <v>0.44127362391877306</v>
      </c>
      <c r="CB96" s="162">
        <f t="shared" si="931"/>
        <v>0.5021102267855776</v>
      </c>
      <c r="CC96" s="162">
        <f t="shared" si="931"/>
        <v>0.57665358608518891</v>
      </c>
      <c r="CD96" s="162">
        <f t="shared" si="931"/>
        <v>0.69715524716456867</v>
      </c>
      <c r="CE96" s="162">
        <f t="shared" si="931"/>
        <v>0.57896837478375762</v>
      </c>
      <c r="CF96" s="162">
        <f t="shared" si="931"/>
        <v>0.34843940318590855</v>
      </c>
      <c r="CG96" s="162">
        <f t="shared" si="931"/>
        <v>0.39951190736578995</v>
      </c>
      <c r="CH96" s="162">
        <f t="shared" si="931"/>
        <v>0.31339608759244586</v>
      </c>
      <c r="CI96" s="162">
        <f t="shared" si="931"/>
        <v>0.3253694354958781</v>
      </c>
      <c r="CJ96" s="162">
        <f t="shared" si="934"/>
        <v>0.32819352642351285</v>
      </c>
      <c r="CK96" s="162">
        <f t="shared" si="934"/>
        <v>0.31642259792448202</v>
      </c>
      <c r="CL96" s="162">
        <f t="shared" ref="CL96" si="938">+CL79/CL$92</f>
        <v>3.1102509713064732</v>
      </c>
      <c r="CM96" s="94">
        <f t="shared" ref="CM96:DB96" si="939">+CL96</f>
        <v>3.1102509713064732</v>
      </c>
      <c r="CN96" s="94">
        <f t="shared" si="939"/>
        <v>3.1102509713064732</v>
      </c>
      <c r="CO96" s="94">
        <f t="shared" si="939"/>
        <v>3.1102509713064732</v>
      </c>
      <c r="CP96" s="94">
        <f t="shared" si="939"/>
        <v>3.1102509713064732</v>
      </c>
      <c r="CQ96" s="94">
        <f t="shared" si="939"/>
        <v>3.1102509713064732</v>
      </c>
      <c r="CR96" s="94">
        <f t="shared" si="939"/>
        <v>3.1102509713064732</v>
      </c>
      <c r="CS96" s="94">
        <f t="shared" si="939"/>
        <v>3.1102509713064732</v>
      </c>
      <c r="CT96" s="94">
        <f t="shared" si="939"/>
        <v>3.1102509713064732</v>
      </c>
      <c r="CU96" s="94">
        <f t="shared" si="939"/>
        <v>3.1102509713064732</v>
      </c>
      <c r="CV96" s="94">
        <f t="shared" si="939"/>
        <v>3.1102509713064732</v>
      </c>
      <c r="CW96" s="94">
        <f t="shared" si="939"/>
        <v>3.1102509713064732</v>
      </c>
      <c r="CX96" s="94">
        <f t="shared" si="939"/>
        <v>3.1102509713064732</v>
      </c>
      <c r="CY96" s="94">
        <f t="shared" si="939"/>
        <v>3.1102509713064732</v>
      </c>
      <c r="CZ96" s="94">
        <f t="shared" si="939"/>
        <v>3.1102509713064732</v>
      </c>
      <c r="DA96" s="94">
        <f t="shared" si="939"/>
        <v>3.1102509713064732</v>
      </c>
      <c r="DB96" s="94">
        <f t="shared" si="939"/>
        <v>3.1102509713064732</v>
      </c>
      <c r="DC96" s="94"/>
      <c r="DE96" s="22"/>
      <c r="DF96" s="162">
        <v>3.1467085589741202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0">+E10</f>
        <v>0</v>
      </c>
      <c r="F98" s="177">
        <f t="shared" si="940"/>
        <v>0</v>
      </c>
      <c r="G98" s="177">
        <f t="shared" si="940"/>
        <v>0</v>
      </c>
      <c r="H98" s="177">
        <f t="shared" si="940"/>
        <v>0</v>
      </c>
      <c r="I98" s="177">
        <f t="shared" si="940"/>
        <v>9.0669000000000004</v>
      </c>
      <c r="J98" s="177">
        <f t="shared" si="940"/>
        <v>10.6424</v>
      </c>
      <c r="K98" s="177">
        <f t="shared" si="940"/>
        <v>25.4221</v>
      </c>
      <c r="L98" s="177">
        <f t="shared" si="940"/>
        <v>24.959099999999999</v>
      </c>
      <c r="M98" s="177">
        <f t="shared" si="940"/>
        <v>27.248899999999999</v>
      </c>
      <c r="N98" s="177">
        <f t="shared" si="940"/>
        <v>0</v>
      </c>
      <c r="O98" s="177">
        <f t="shared" si="940"/>
        <v>328.31615859999999</v>
      </c>
      <c r="P98" s="177">
        <f t="shared" si="940"/>
        <v>447.28469960000001</v>
      </c>
      <c r="Q98" s="177">
        <f t="shared" si="940"/>
        <v>447.73601020000001</v>
      </c>
      <c r="R98" s="177">
        <f t="shared" si="940"/>
        <v>430.8894621</v>
      </c>
      <c r="S98" s="177">
        <f t="shared" si="940"/>
        <v>764.84797300000002</v>
      </c>
      <c r="T98" s="177">
        <f t="shared" si="940"/>
        <v>762.62</v>
      </c>
      <c r="U98" s="177">
        <f t="shared" si="940"/>
        <v>724.62400000000002</v>
      </c>
      <c r="V98" s="177">
        <f t="shared" si="940"/>
        <v>1263.684</v>
      </c>
      <c r="W98" s="177">
        <f t="shared" si="940"/>
        <v>2291.114</v>
      </c>
      <c r="X98" s="177">
        <f t="shared" si="940"/>
        <v>3001.585</v>
      </c>
      <c r="Y98" s="177">
        <f t="shared" si="940"/>
        <v>4271.6840000000002</v>
      </c>
      <c r="Z98" s="177">
        <f>+Z10</f>
        <v>5238.3789999999999</v>
      </c>
      <c r="AA98" s="177">
        <f>+AA10</f>
        <v>5136.607</v>
      </c>
      <c r="AB98" s="178">
        <f t="shared" ref="AB98:AE98" si="941">+AB10</f>
        <v>5757.3858050468807</v>
      </c>
      <c r="AC98" s="178">
        <f t="shared" si="941"/>
        <v>6725.8550136212061</v>
      </c>
      <c r="AD98" s="178">
        <f t="shared" si="941"/>
        <v>7888.7554414624819</v>
      </c>
      <c r="AE98" s="178">
        <f t="shared" si="941"/>
        <v>9259.4266616283712</v>
      </c>
      <c r="AL98" s="177">
        <f t="shared" ref="AL98:BQ98" si="942">+SUM(AI8:AL8)</f>
        <v>0</v>
      </c>
      <c r="AM98" s="177">
        <f t="shared" si="942"/>
        <v>0</v>
      </c>
      <c r="AN98" s="177">
        <f t="shared" si="942"/>
        <v>0</v>
      </c>
      <c r="AO98" s="177">
        <f t="shared" si="942"/>
        <v>0</v>
      </c>
      <c r="AP98" s="177">
        <f t="shared" si="942"/>
        <v>0</v>
      </c>
      <c r="AQ98" s="177">
        <f t="shared" si="942"/>
        <v>0</v>
      </c>
      <c r="AR98" s="177">
        <f t="shared" si="942"/>
        <v>0</v>
      </c>
      <c r="AS98" s="177">
        <f t="shared" si="942"/>
        <v>0</v>
      </c>
      <c r="AT98" s="177">
        <f t="shared" si="942"/>
        <v>0</v>
      </c>
      <c r="AU98" s="177">
        <f t="shared" si="942"/>
        <v>0</v>
      </c>
      <c r="AV98" s="177">
        <f t="shared" si="942"/>
        <v>0</v>
      </c>
      <c r="AW98" s="177">
        <f t="shared" si="942"/>
        <v>0</v>
      </c>
      <c r="AX98" s="177">
        <f t="shared" si="942"/>
        <v>0</v>
      </c>
      <c r="AY98" s="177">
        <f t="shared" si="942"/>
        <v>0</v>
      </c>
      <c r="AZ98" s="177">
        <f t="shared" si="942"/>
        <v>0</v>
      </c>
      <c r="BA98" s="177">
        <f t="shared" si="942"/>
        <v>0</v>
      </c>
      <c r="BB98" s="177">
        <f t="shared" si="942"/>
        <v>0</v>
      </c>
      <c r="BC98" s="177">
        <f t="shared" si="942"/>
        <v>0</v>
      </c>
      <c r="BD98" s="177">
        <f t="shared" si="942"/>
        <v>0</v>
      </c>
      <c r="BE98" s="177">
        <f t="shared" si="942"/>
        <v>0</v>
      </c>
      <c r="BF98" s="177">
        <f t="shared" si="942"/>
        <v>0</v>
      </c>
      <c r="BG98" s="177">
        <f t="shared" si="942"/>
        <v>0</v>
      </c>
      <c r="BH98" s="177">
        <f t="shared" si="942"/>
        <v>0</v>
      </c>
      <c r="BI98" s="177">
        <f t="shared" si="942"/>
        <v>0</v>
      </c>
      <c r="BJ98" s="177">
        <f t="shared" si="942"/>
        <v>0</v>
      </c>
      <c r="BK98" s="177">
        <f t="shared" si="942"/>
        <v>0</v>
      </c>
      <c r="BL98" s="177">
        <f t="shared" si="942"/>
        <v>171.81800000000001</v>
      </c>
      <c r="BM98" s="177">
        <f t="shared" si="942"/>
        <v>350.56299999999999</v>
      </c>
      <c r="BN98" s="177">
        <f t="shared" si="942"/>
        <v>543.31600000000003</v>
      </c>
      <c r="BO98" s="177">
        <f t="shared" si="942"/>
        <v>781.74</v>
      </c>
      <c r="BP98" s="177">
        <f t="shared" si="942"/>
        <v>919.77700000000004</v>
      </c>
      <c r="BQ98" s="177">
        <f t="shared" si="942"/>
        <v>1047.825</v>
      </c>
      <c r="BR98" s="177">
        <f t="shared" ref="BR98:CW98" si="943">+SUM(BO8:BR8)</f>
        <v>1263.684</v>
      </c>
      <c r="BS98" s="177">
        <f t="shared" si="943"/>
        <v>1487.9279999999999</v>
      </c>
      <c r="BT98" s="177">
        <f t="shared" si="943"/>
        <v>1705.413</v>
      </c>
      <c r="BU98" s="177">
        <f t="shared" si="943"/>
        <v>1995.9389999999999</v>
      </c>
      <c r="BV98" s="177">
        <f t="shared" si="943"/>
        <v>2268.136</v>
      </c>
      <c r="BW98" s="177">
        <f t="shared" si="943"/>
        <v>2487.4679999999998</v>
      </c>
      <c r="BX98" s="177">
        <f t="shared" si="943"/>
        <v>2705.4279999999999</v>
      </c>
      <c r="BY98" s="177">
        <f t="shared" si="943"/>
        <v>2856.7089999999998</v>
      </c>
      <c r="BZ98" s="177">
        <f t="shared" si="943"/>
        <v>3001.6379999999999</v>
      </c>
      <c r="CA98" s="177">
        <f t="shared" si="943"/>
        <v>3127.143</v>
      </c>
      <c r="CB98" s="177">
        <f t="shared" si="943"/>
        <v>3429.71</v>
      </c>
      <c r="CC98" s="177">
        <f t="shared" si="943"/>
        <v>3740.1559999999999</v>
      </c>
      <c r="CD98" s="177">
        <f t="shared" si="943"/>
        <v>4271.6939999999995</v>
      </c>
      <c r="CE98" s="177">
        <f t="shared" si="943"/>
        <v>4869.643</v>
      </c>
      <c r="CF98" s="177">
        <f t="shared" si="943"/>
        <v>5336.482</v>
      </c>
      <c r="CG98" s="177">
        <f t="shared" si="943"/>
        <v>5539.6419999999998</v>
      </c>
      <c r="CH98" s="177">
        <f t="shared" si="943"/>
        <v>5238.3789999999999</v>
      </c>
      <c r="CI98" s="177">
        <f t="shared" si="943"/>
        <v>4973.4560000000001</v>
      </c>
      <c r="CJ98" s="177">
        <f t="shared" si="943"/>
        <v>4660.5079999999998</v>
      </c>
      <c r="CK98" s="177">
        <f t="shared" si="943"/>
        <v>4733.1979999999994</v>
      </c>
      <c r="CL98" s="177">
        <f t="shared" si="943"/>
        <v>5136.607</v>
      </c>
      <c r="CM98" s="178">
        <f t="shared" si="943"/>
        <v>5172.1055219818927</v>
      </c>
      <c r="CN98" s="178">
        <f t="shared" si="943"/>
        <v>5275.4925135423819</v>
      </c>
      <c r="CO98" s="178">
        <f t="shared" si="943"/>
        <v>5487.9930705914639</v>
      </c>
      <c r="CP98" s="178">
        <f t="shared" si="943"/>
        <v>5757.3858050468807</v>
      </c>
      <c r="CQ98" s="178">
        <f t="shared" si="943"/>
        <v>5916.4237602365793</v>
      </c>
      <c r="CR98" s="178">
        <f t="shared" si="943"/>
        <v>6126.8915235171544</v>
      </c>
      <c r="CS98" s="178">
        <f t="shared" si="943"/>
        <v>6405.5275547038</v>
      </c>
      <c r="CT98" s="178">
        <f t="shared" si="943"/>
        <v>6725.8550136212061</v>
      </c>
      <c r="CU98" s="178">
        <f t="shared" si="943"/>
        <v>6946.7579420146776</v>
      </c>
      <c r="CV98" s="178">
        <f t="shared" si="943"/>
        <v>7208.9881294525549</v>
      </c>
      <c r="CW98" s="178">
        <f t="shared" si="943"/>
        <v>7530.2950911009884</v>
      </c>
      <c r="CX98" s="178">
        <f t="shared" ref="CX98:DB98" si="944">+SUM(CU8:CX8)</f>
        <v>7888.7554414624819</v>
      </c>
      <c r="CY98" s="178">
        <f t="shared" si="944"/>
        <v>8156.9161292771978</v>
      </c>
      <c r="CZ98" s="178">
        <f t="shared" si="944"/>
        <v>8466.3733665256259</v>
      </c>
      <c r="DA98" s="178">
        <f t="shared" si="944"/>
        <v>8840.7068974072863</v>
      </c>
      <c r="DB98" s="178">
        <f t="shared" si="944"/>
        <v>9259.4266616283712</v>
      </c>
      <c r="DE98" s="179"/>
      <c r="DF98" s="177">
        <v>5136.607</v>
      </c>
    </row>
    <row r="99" spans="1:110" s="163" customFormat="1" x14ac:dyDescent="0.2">
      <c r="A99" s="163" t="s">
        <v>511</v>
      </c>
      <c r="E99" s="163">
        <f t="shared" ref="E99:AE99" ca="1" si="945">+E98/E65</f>
        <v>0</v>
      </c>
      <c r="F99" s="163">
        <f t="shared" ca="1" si="945"/>
        <v>0</v>
      </c>
      <c r="G99" s="163">
        <f t="shared" ca="1" si="945"/>
        <v>0</v>
      </c>
      <c r="H99" s="163">
        <f t="shared" ca="1" si="945"/>
        <v>0</v>
      </c>
      <c r="I99" s="163">
        <f t="shared" ca="1" si="945"/>
        <v>9.9542190896515392E-2</v>
      </c>
      <c r="J99" s="163">
        <f t="shared" ca="1" si="945"/>
        <v>0.11683903124519686</v>
      </c>
      <c r="K99" s="163">
        <f t="shared" ca="1" si="945"/>
        <v>0.27909997145554749</v>
      </c>
      <c r="L99" s="163">
        <f t="shared" ca="1" si="945"/>
        <v>0.27401686318424345</v>
      </c>
      <c r="M99" s="163">
        <f t="shared" ca="1" si="945"/>
        <v>0.29915574292426939</v>
      </c>
      <c r="N99" s="163">
        <f t="shared" ca="1" si="945"/>
        <v>0</v>
      </c>
      <c r="O99" s="163">
        <f t="shared" ca="1" si="945"/>
        <v>3.6044634587093518</v>
      </c>
      <c r="P99" s="163">
        <f t="shared" ca="1" si="945"/>
        <v>4.9105757152581075</v>
      </c>
      <c r="Q99" s="163">
        <f t="shared" ca="1" si="945"/>
        <v>4.9155304898667191</v>
      </c>
      <c r="R99" s="163">
        <f t="shared" ca="1" si="945"/>
        <v>4.7305783775772348</v>
      </c>
      <c r="S99" s="163">
        <f t="shared" ca="1" si="945"/>
        <v>8.3969871659750126</v>
      </c>
      <c r="T99" s="163">
        <f t="shared" ca="1" si="945"/>
        <v>8.3725270623366939</v>
      </c>
      <c r="U99" s="163">
        <f t="shared" ca="1" si="945"/>
        <v>7.9553828250225065</v>
      </c>
      <c r="V99" s="163">
        <f t="shared" ca="1" si="945"/>
        <v>13.873526118174032</v>
      </c>
      <c r="W99" s="163">
        <f t="shared" ca="1" si="945"/>
        <v>25.153305667171686</v>
      </c>
      <c r="X99" s="163">
        <f t="shared" ca="1" si="945"/>
        <v>32.953307862898797</v>
      </c>
      <c r="Y99" s="163">
        <f t="shared" ca="1" si="945"/>
        <v>46.897261928287556</v>
      </c>
      <c r="Z99" s="163">
        <f t="shared" ref="Z99:AA99" ca="1" si="946">+Z98/Z65</f>
        <v>57.510254045627207</v>
      </c>
      <c r="AA99" s="163">
        <f t="shared" ref="AA99" ca="1" si="947">+AA98/AA65</f>
        <v>57.510254045627207</v>
      </c>
      <c r="AB99" s="94">
        <f t="shared" ca="1" si="945"/>
        <v>63.20824061927059</v>
      </c>
      <c r="AC99" s="94">
        <f t="shared" ca="1" si="945"/>
        <v>73.840711125982111</v>
      </c>
      <c r="AD99" s="94">
        <f t="shared" ca="1" si="945"/>
        <v>86.607771133461583</v>
      </c>
      <c r="AE99" s="94">
        <f t="shared" ca="1" si="945"/>
        <v>101.65587095303748</v>
      </c>
      <c r="AL99" s="163">
        <f t="shared" ref="AL99:BQ99" si="948">+AL98/AL65</f>
        <v>0</v>
      </c>
      <c r="AM99" s="163">
        <f t="shared" si="948"/>
        <v>0</v>
      </c>
      <c r="AN99" s="163">
        <f t="shared" si="948"/>
        <v>0</v>
      </c>
      <c r="AO99" s="163">
        <f t="shared" si="948"/>
        <v>0</v>
      </c>
      <c r="AP99" s="163">
        <f t="shared" si="948"/>
        <v>0</v>
      </c>
      <c r="AQ99" s="163">
        <f t="shared" si="948"/>
        <v>0</v>
      </c>
      <c r="AR99" s="163">
        <f t="shared" si="948"/>
        <v>0</v>
      </c>
      <c r="AS99" s="163">
        <f t="shared" si="948"/>
        <v>0</v>
      </c>
      <c r="AT99" s="163">
        <f t="shared" si="948"/>
        <v>0</v>
      </c>
      <c r="AU99" s="163">
        <f t="shared" si="948"/>
        <v>0</v>
      </c>
      <c r="AV99" s="163">
        <f t="shared" si="948"/>
        <v>0</v>
      </c>
      <c r="AW99" s="163">
        <f t="shared" si="948"/>
        <v>0</v>
      </c>
      <c r="AX99" s="163">
        <f t="shared" si="948"/>
        <v>0</v>
      </c>
      <c r="AY99" s="163">
        <f t="shared" si="948"/>
        <v>0</v>
      </c>
      <c r="AZ99" s="163">
        <f t="shared" si="948"/>
        <v>0</v>
      </c>
      <c r="BA99" s="163">
        <f t="shared" si="948"/>
        <v>0</v>
      </c>
      <c r="BB99" s="163">
        <f t="shared" si="948"/>
        <v>0</v>
      </c>
      <c r="BC99" s="163">
        <f t="shared" si="948"/>
        <v>0</v>
      </c>
      <c r="BD99" s="163">
        <f t="shared" si="948"/>
        <v>0</v>
      </c>
      <c r="BE99" s="163">
        <f t="shared" si="948"/>
        <v>0</v>
      </c>
      <c r="BF99" s="163">
        <f t="shared" si="948"/>
        <v>0</v>
      </c>
      <c r="BG99" s="163">
        <f t="shared" si="948"/>
        <v>0</v>
      </c>
      <c r="BH99" s="163">
        <f t="shared" si="948"/>
        <v>0</v>
      </c>
      <c r="BI99" s="163">
        <f t="shared" si="948"/>
        <v>0</v>
      </c>
      <c r="BJ99" s="163">
        <f t="shared" si="948"/>
        <v>0</v>
      </c>
      <c r="BK99" s="163">
        <f t="shared" si="948"/>
        <v>0</v>
      </c>
      <c r="BL99" s="163">
        <f t="shared" si="948"/>
        <v>18.940000220465844</v>
      </c>
      <c r="BM99" s="163">
        <f t="shared" si="948"/>
        <v>38.643583892765413</v>
      </c>
      <c r="BN99" s="163">
        <f t="shared" si="948"/>
        <v>59.891310338745775</v>
      </c>
      <c r="BO99" s="163">
        <f t="shared" si="948"/>
        <v>86.173484572902552</v>
      </c>
      <c r="BP99" s="163">
        <f t="shared" si="948"/>
        <v>101.38970644972828</v>
      </c>
      <c r="BQ99" s="163">
        <f t="shared" si="948"/>
        <v>115.50481166705249</v>
      </c>
      <c r="BR99" s="163">
        <f t="shared" ref="BR99:CW99" si="949">+BR98/BR65</f>
        <v>139.29958001256657</v>
      </c>
      <c r="BS99" s="163">
        <f t="shared" si="949"/>
        <v>164.01865141043024</v>
      </c>
      <c r="BT99" s="163">
        <f t="shared" si="949"/>
        <v>187.99265848738384</v>
      </c>
      <c r="BU99" s="163">
        <f t="shared" si="949"/>
        <v>220.01818843215713</v>
      </c>
      <c r="BV99" s="163">
        <f t="shared" si="949"/>
        <v>250.02325914657672</v>
      </c>
      <c r="BW99" s="163">
        <f t="shared" si="949"/>
        <v>274.2008664307682</v>
      </c>
      <c r="BX99" s="163">
        <f t="shared" si="949"/>
        <v>298.22723414574995</v>
      </c>
      <c r="BY99" s="163">
        <f t="shared" si="949"/>
        <v>314.9033808437228</v>
      </c>
      <c r="BZ99" s="163">
        <f t="shared" si="949"/>
        <v>330.87932802010647</v>
      </c>
      <c r="CA99" s="163">
        <f t="shared" si="949"/>
        <v>344.71411091636628</v>
      </c>
      <c r="CB99" s="163">
        <f t="shared" si="949"/>
        <v>378.06695547692277</v>
      </c>
      <c r="CC99" s="163">
        <f t="shared" si="949"/>
        <v>412.28832523121355</v>
      </c>
      <c r="CD99" s="163">
        <f t="shared" si="949"/>
        <v>470.88131221270538</v>
      </c>
      <c r="CE99" s="163">
        <f t="shared" si="949"/>
        <v>536.79497778806615</v>
      </c>
      <c r="CF99" s="163">
        <f t="shared" si="949"/>
        <v>588.2560049384349</v>
      </c>
      <c r="CG99" s="163">
        <f t="shared" si="949"/>
        <v>610.6509254053816</v>
      </c>
      <c r="CH99" s="163">
        <f t="shared" si="949"/>
        <v>577.4418245753277</v>
      </c>
      <c r="CI99" s="163">
        <f t="shared" si="949"/>
        <v>548.23858813673291</v>
      </c>
      <c r="CJ99" s="163">
        <f t="shared" si="949"/>
        <v>513.74141561118643</v>
      </c>
      <c r="CK99" s="163">
        <f t="shared" ref="CK99:CL99" si="950">+CK98/CK65</f>
        <v>520.96175224258434</v>
      </c>
      <c r="CL99" s="163">
        <f t="shared" si="950"/>
        <v>56.392936345870936</v>
      </c>
      <c r="CM99" s="50">
        <f t="shared" si="949"/>
        <v>56.782661682167323</v>
      </c>
      <c r="CN99" s="50">
        <f t="shared" si="949"/>
        <v>57.917709785723183</v>
      </c>
      <c r="CO99" s="50">
        <f t="shared" si="949"/>
        <v>60.250675961085832</v>
      </c>
      <c r="CP99" s="50">
        <f t="shared" si="949"/>
        <v>63.20824061927059</v>
      </c>
      <c r="CQ99" s="50">
        <f t="shared" si="949"/>
        <v>64.954260371918622</v>
      </c>
      <c r="CR99" s="50">
        <f t="shared" si="949"/>
        <v>67.264909245297346</v>
      </c>
      <c r="CS99" s="50">
        <f t="shared" si="949"/>
        <v>70.323952689807442</v>
      </c>
      <c r="CT99" s="50">
        <f t="shared" si="949"/>
        <v>73.840711125982111</v>
      </c>
      <c r="CU99" s="50">
        <f t="shared" si="949"/>
        <v>76.265923874302061</v>
      </c>
      <c r="CV99" s="50">
        <f t="shared" si="949"/>
        <v>79.144853538991228</v>
      </c>
      <c r="CW99" s="50">
        <f t="shared" si="949"/>
        <v>82.672365578694738</v>
      </c>
      <c r="CX99" s="50">
        <f t="shared" ref="CX99:DB99" si="951">+CX98/CX65</f>
        <v>86.607771133461583</v>
      </c>
      <c r="CY99" s="50">
        <f t="shared" si="951"/>
        <v>89.551809600566472</v>
      </c>
      <c r="CZ99" s="50">
        <f t="shared" si="951"/>
        <v>92.949227834416106</v>
      </c>
      <c r="DA99" s="50">
        <f t="shared" si="951"/>
        <v>97.058899253532772</v>
      </c>
      <c r="DB99" s="50">
        <f t="shared" si="951"/>
        <v>101.65587095303748</v>
      </c>
      <c r="DE99" s="164"/>
      <c r="DF99" s="163">
        <v>57.510254045627207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52">+E77/E$99</f>
        <v>#DIV/0!</v>
      </c>
      <c r="F102" s="163" t="e">
        <f t="shared" ca="1" si="952"/>
        <v>#DIV/0!</v>
      </c>
      <c r="G102" s="163" t="e">
        <f t="shared" ca="1" si="952"/>
        <v>#DIV/0!</v>
      </c>
      <c r="H102" s="163" t="e">
        <f t="shared" ca="1" si="952"/>
        <v>#DIV/0!</v>
      </c>
      <c r="I102" s="163">
        <f t="shared" ca="1" si="952"/>
        <v>0</v>
      </c>
      <c r="J102" s="163">
        <f t="shared" ca="1" si="952"/>
        <v>0</v>
      </c>
      <c r="K102" s="163">
        <f t="shared" ca="1" si="952"/>
        <v>0</v>
      </c>
      <c r="L102" s="163">
        <f t="shared" ca="1" si="952"/>
        <v>0</v>
      </c>
      <c r="M102" s="163">
        <f t="shared" ca="1" si="952"/>
        <v>0</v>
      </c>
      <c r="N102" s="163" t="e">
        <f t="shared" ca="1" si="952"/>
        <v>#DIV/0!</v>
      </c>
      <c r="O102" s="163">
        <f t="shared" ca="1" si="952"/>
        <v>0</v>
      </c>
      <c r="P102" s="163">
        <f t="shared" ca="1" si="952"/>
        <v>0</v>
      </c>
      <c r="Q102" s="163">
        <f t="shared" ca="1" si="952"/>
        <v>0</v>
      </c>
      <c r="R102" s="163">
        <f t="shared" ca="1" si="952"/>
        <v>0</v>
      </c>
      <c r="S102" s="163">
        <f t="shared" ca="1" si="952"/>
        <v>0</v>
      </c>
      <c r="T102" s="163">
        <f t="shared" ca="1" si="952"/>
        <v>0</v>
      </c>
      <c r="U102" s="163">
        <f t="shared" ca="1" si="952"/>
        <v>0</v>
      </c>
      <c r="V102" s="163">
        <f t="shared" ca="1" si="952"/>
        <v>2.0982409051629998</v>
      </c>
      <c r="W102" s="163">
        <f t="shared" ca="1" si="952"/>
        <v>6.1059568882211881</v>
      </c>
      <c r="X102" s="163">
        <f t="shared" ca="1" si="952"/>
        <v>3.530146366003295</v>
      </c>
      <c r="Y102" s="163">
        <f t="shared" ca="1" si="952"/>
        <v>6.4905708240590823</v>
      </c>
      <c r="Z102" s="163">
        <f ca="1">+Z77/Z$99</f>
        <v>4.0212828796847271</v>
      </c>
      <c r="AA102" s="163">
        <f ca="1">+AA77/AA$99</f>
        <v>4.0212828796847271</v>
      </c>
      <c r="AB102" s="50">
        <f t="shared" ref="AB102:AE102" ca="1" si="953">+AB77/AB$99</f>
        <v>5.4897905178238497</v>
      </c>
      <c r="AC102" s="50">
        <f t="shared" ca="1" si="953"/>
        <v>4.6993046885473744</v>
      </c>
      <c r="AD102" s="50">
        <f t="shared" ca="1" si="953"/>
        <v>4.0065688731935722</v>
      </c>
      <c r="AE102" s="50">
        <f t="shared" ca="1" si="953"/>
        <v>3.413477222189218</v>
      </c>
      <c r="AL102" s="163" t="e">
        <f t="shared" ref="AL102:BQ102" si="954">+AL77/AL99</f>
        <v>#DIV/0!</v>
      </c>
      <c r="AM102" s="163" t="e">
        <f t="shared" si="954"/>
        <v>#DIV/0!</v>
      </c>
      <c r="AN102" s="163" t="e">
        <f t="shared" si="954"/>
        <v>#DIV/0!</v>
      </c>
      <c r="AO102" s="163" t="e">
        <f t="shared" si="954"/>
        <v>#DIV/0!</v>
      </c>
      <c r="AP102" s="163" t="e">
        <f t="shared" si="954"/>
        <v>#DIV/0!</v>
      </c>
      <c r="AQ102" s="163" t="e">
        <f t="shared" si="954"/>
        <v>#DIV/0!</v>
      </c>
      <c r="AR102" s="163" t="e">
        <f t="shared" si="954"/>
        <v>#DIV/0!</v>
      </c>
      <c r="AS102" s="163" t="e">
        <f t="shared" si="954"/>
        <v>#DIV/0!</v>
      </c>
      <c r="AT102" s="163" t="e">
        <f t="shared" si="954"/>
        <v>#DIV/0!</v>
      </c>
      <c r="AU102" s="163" t="e">
        <f t="shared" si="954"/>
        <v>#DIV/0!</v>
      </c>
      <c r="AV102" s="163" t="e">
        <f t="shared" si="954"/>
        <v>#DIV/0!</v>
      </c>
      <c r="AW102" s="163" t="e">
        <f t="shared" si="954"/>
        <v>#DIV/0!</v>
      </c>
      <c r="AX102" s="163" t="e">
        <f t="shared" si="954"/>
        <v>#DIV/0!</v>
      </c>
      <c r="AY102" s="163" t="e">
        <f t="shared" si="954"/>
        <v>#DIV/0!</v>
      </c>
      <c r="AZ102" s="163" t="e">
        <f t="shared" si="954"/>
        <v>#DIV/0!</v>
      </c>
      <c r="BA102" s="163" t="e">
        <f t="shared" si="954"/>
        <v>#DIV/0!</v>
      </c>
      <c r="BB102" s="163" t="e">
        <f t="shared" si="954"/>
        <v>#DIV/0!</v>
      </c>
      <c r="BC102" s="163" t="e">
        <f t="shared" si="954"/>
        <v>#DIV/0!</v>
      </c>
      <c r="BD102" s="163" t="e">
        <f t="shared" si="954"/>
        <v>#DIV/0!</v>
      </c>
      <c r="BE102" s="163" t="e">
        <f t="shared" si="954"/>
        <v>#DIV/0!</v>
      </c>
      <c r="BF102" s="163" t="e">
        <f t="shared" si="954"/>
        <v>#DIV/0!</v>
      </c>
      <c r="BG102" s="163" t="e">
        <f t="shared" si="954"/>
        <v>#DIV/0!</v>
      </c>
      <c r="BH102" s="163" t="e">
        <f t="shared" si="954"/>
        <v>#DIV/0!</v>
      </c>
      <c r="BI102" s="163" t="e">
        <f t="shared" si="954"/>
        <v>#DIV/0!</v>
      </c>
      <c r="BJ102" s="163" t="e">
        <f t="shared" si="954"/>
        <v>#DIV/0!</v>
      </c>
      <c r="BK102" s="163" t="e">
        <f t="shared" si="954"/>
        <v>#DIV/0!</v>
      </c>
      <c r="BL102" s="163">
        <f t="shared" si="954"/>
        <v>0</v>
      </c>
      <c r="BM102" s="163">
        <f t="shared" si="954"/>
        <v>0</v>
      </c>
      <c r="BN102" s="163">
        <f t="shared" si="954"/>
        <v>0</v>
      </c>
      <c r="BO102" s="163">
        <f t="shared" si="954"/>
        <v>0</v>
      </c>
      <c r="BP102" s="163">
        <f t="shared" si="954"/>
        <v>0</v>
      </c>
      <c r="BQ102" s="163">
        <f t="shared" si="954"/>
        <v>0.29245534893708391</v>
      </c>
      <c r="BR102" s="163">
        <f t="shared" ref="BR102:DB102" si="955">+BR77/BR99</f>
        <v>0.20897406867539667</v>
      </c>
      <c r="BS102" s="163">
        <f t="shared" si="955"/>
        <v>0.52195283441134244</v>
      </c>
      <c r="BT102" s="163">
        <f t="shared" si="955"/>
        <v>0.70327214404956462</v>
      </c>
      <c r="BU102" s="163">
        <f t="shared" si="955"/>
        <v>0.53745556602681754</v>
      </c>
      <c r="BV102" s="163">
        <f t="shared" si="955"/>
        <v>0.61428284922068166</v>
      </c>
      <c r="BW102" s="163">
        <f t="shared" si="955"/>
        <v>0.43996943397864818</v>
      </c>
      <c r="BX102" s="163">
        <f t="shared" si="955"/>
        <v>0.45861002732284878</v>
      </c>
      <c r="BY102" s="163">
        <f t="shared" si="955"/>
        <v>0.41647695127505113</v>
      </c>
      <c r="BZ102" s="163">
        <f t="shared" si="955"/>
        <v>0.35157832523442201</v>
      </c>
      <c r="CA102" s="163">
        <f t="shared" si="955"/>
        <v>0.4985580646615777</v>
      </c>
      <c r="CB102" s="163">
        <f t="shared" si="955"/>
        <v>0.48959581713905836</v>
      </c>
      <c r="CC102" s="163">
        <f t="shared" si="955"/>
        <v>0.84636158398205852</v>
      </c>
      <c r="CD102" s="163">
        <f t="shared" si="955"/>
        <v>0.64642616325045765</v>
      </c>
      <c r="CE102" s="163">
        <f t="shared" si="955"/>
        <v>0.48435624541675854</v>
      </c>
      <c r="CF102" s="163">
        <f t="shared" si="955"/>
        <v>0.43547366767094881</v>
      </c>
      <c r="CG102" s="163">
        <f t="shared" si="955"/>
        <v>0.48020888497848779</v>
      </c>
      <c r="CH102" s="163">
        <f t="shared" si="955"/>
        <v>0.40049921941501365</v>
      </c>
      <c r="CI102" s="163">
        <f t="shared" si="955"/>
        <v>0.53318939294928913</v>
      </c>
      <c r="CJ102" s="163">
        <f t="shared" si="955"/>
        <v>0.41502396637877248</v>
      </c>
      <c r="CK102" s="163">
        <f t="shared" ref="CK102:CL102" si="956">+CK77/CK99</f>
        <v>0.44996585448147319</v>
      </c>
      <c r="CL102" s="163">
        <f t="shared" si="956"/>
        <v>4.0350798299344293</v>
      </c>
      <c r="CM102" s="50">
        <f t="shared" si="955"/>
        <v>6.1110203312109945</v>
      </c>
      <c r="CN102" s="50">
        <f t="shared" si="955"/>
        <v>5.9912589997737813</v>
      </c>
      <c r="CO102" s="50">
        <f t="shared" si="955"/>
        <v>5.7592714847567397</v>
      </c>
      <c r="CP102" s="50">
        <f t="shared" si="955"/>
        <v>5.4897905178238497</v>
      </c>
      <c r="CQ102" s="50">
        <f t="shared" si="955"/>
        <v>5.3422207875684924</v>
      </c>
      <c r="CR102" s="50">
        <f t="shared" si="955"/>
        <v>5.1587076217494428</v>
      </c>
      <c r="CS102" s="50">
        <f t="shared" si="955"/>
        <v>4.9343073978020753</v>
      </c>
      <c r="CT102" s="50">
        <f t="shared" si="955"/>
        <v>4.6993046885473744</v>
      </c>
      <c r="CU102" s="50">
        <f t="shared" si="955"/>
        <v>4.5498694878712707</v>
      </c>
      <c r="CV102" s="50">
        <f t="shared" si="955"/>
        <v>4.3843659376923121</v>
      </c>
      <c r="CW102" s="50">
        <f t="shared" si="955"/>
        <v>4.1972912903973372</v>
      </c>
      <c r="CX102" s="50">
        <f t="shared" si="955"/>
        <v>4.0065688731935722</v>
      </c>
      <c r="CY102" s="50">
        <f t="shared" si="955"/>
        <v>3.8748519046990313</v>
      </c>
      <c r="CZ102" s="50">
        <f t="shared" si="955"/>
        <v>3.7332209001043157</v>
      </c>
      <c r="DA102" s="50">
        <f t="shared" si="955"/>
        <v>3.5751487258636905</v>
      </c>
      <c r="DB102" s="50">
        <f t="shared" si="955"/>
        <v>3.413477222189218</v>
      </c>
      <c r="DE102" s="106"/>
      <c r="DF102" s="163">
        <v>4.0212828796847271</v>
      </c>
    </row>
    <row r="103" spans="1:110" s="163" customFormat="1" x14ac:dyDescent="0.2">
      <c r="A103" s="163" t="s">
        <v>508</v>
      </c>
      <c r="E103" s="163" t="e">
        <f t="shared" ca="1" si="952"/>
        <v>#DIV/0!</v>
      </c>
      <c r="F103" s="163" t="e">
        <f t="shared" ca="1" si="952"/>
        <v>#DIV/0!</v>
      </c>
      <c r="G103" s="163" t="e">
        <f t="shared" ca="1" si="952"/>
        <v>#DIV/0!</v>
      </c>
      <c r="H103" s="163" t="e">
        <f t="shared" ca="1" si="952"/>
        <v>#DIV/0!</v>
      </c>
      <c r="I103" s="163">
        <f t="shared" ca="1" si="952"/>
        <v>0</v>
      </c>
      <c r="J103" s="163">
        <f t="shared" ca="1" si="952"/>
        <v>0</v>
      </c>
      <c r="K103" s="163">
        <f t="shared" ca="1" si="952"/>
        <v>0</v>
      </c>
      <c r="L103" s="163">
        <f t="shared" ca="1" si="952"/>
        <v>0</v>
      </c>
      <c r="M103" s="163">
        <f t="shared" ca="1" si="952"/>
        <v>0</v>
      </c>
      <c r="N103" s="163" t="e">
        <f t="shared" ca="1" si="952"/>
        <v>#DIV/0!</v>
      </c>
      <c r="O103" s="163">
        <f t="shared" ca="1" si="952"/>
        <v>0</v>
      </c>
      <c r="P103" s="163">
        <f t="shared" ca="1" si="952"/>
        <v>0</v>
      </c>
      <c r="Q103" s="163">
        <f t="shared" ca="1" si="952"/>
        <v>0</v>
      </c>
      <c r="R103" s="163">
        <f t="shared" ca="1" si="952"/>
        <v>0</v>
      </c>
      <c r="S103" s="163">
        <f t="shared" ca="1" si="952"/>
        <v>0</v>
      </c>
      <c r="T103" s="163">
        <f t="shared" ca="1" si="952"/>
        <v>0</v>
      </c>
      <c r="U103" s="163">
        <f t="shared" ca="1" si="952"/>
        <v>0</v>
      </c>
      <c r="V103" s="163">
        <f t="shared" ca="1" si="952"/>
        <v>2.9354469550932039</v>
      </c>
      <c r="W103" s="163">
        <f t="shared" ca="1" si="952"/>
        <v>6.8261405586976451</v>
      </c>
      <c r="X103" s="163">
        <f t="shared" ca="1" si="952"/>
        <v>6.1359545706684973</v>
      </c>
      <c r="Y103" s="163">
        <f t="shared" ca="1" si="952"/>
        <v>8.3167968440549433</v>
      </c>
      <c r="Z103" s="163">
        <f t="shared" ref="Z103:AA104" ca="1" si="957">+Z78/Z$99</f>
        <v>6.0903921537559613</v>
      </c>
      <c r="AA103" s="163">
        <f t="shared" ref="AA103" ca="1" si="958">+AA78/AA$99</f>
        <v>6.0903921537559613</v>
      </c>
      <c r="AB103" s="94">
        <f t="shared" ca="1" si="952"/>
        <v>5.5783988643848534</v>
      </c>
      <c r="AC103" s="94">
        <f t="shared" ca="1" si="952"/>
        <v>1.3438559945705271</v>
      </c>
      <c r="AD103" s="94">
        <f t="shared" ca="1" si="952"/>
        <v>1.3549876732692014</v>
      </c>
      <c r="AE103" s="94">
        <f t="shared" ca="1" si="952"/>
        <v>1.3627135189074537</v>
      </c>
      <c r="AL103" s="163" t="e">
        <f t="shared" ref="AL103:BQ103" si="959">+AL78/AL99</f>
        <v>#DIV/0!</v>
      </c>
      <c r="AM103" s="163" t="e">
        <f t="shared" si="959"/>
        <v>#DIV/0!</v>
      </c>
      <c r="AN103" s="163" t="e">
        <f t="shared" si="959"/>
        <v>#DIV/0!</v>
      </c>
      <c r="AO103" s="163" t="e">
        <f t="shared" si="959"/>
        <v>#DIV/0!</v>
      </c>
      <c r="AP103" s="163" t="e">
        <f t="shared" si="959"/>
        <v>#DIV/0!</v>
      </c>
      <c r="AQ103" s="163" t="e">
        <f t="shared" si="959"/>
        <v>#DIV/0!</v>
      </c>
      <c r="AR103" s="163" t="e">
        <f t="shared" si="959"/>
        <v>#DIV/0!</v>
      </c>
      <c r="AS103" s="163" t="e">
        <f t="shared" si="959"/>
        <v>#DIV/0!</v>
      </c>
      <c r="AT103" s="163" t="e">
        <f t="shared" si="959"/>
        <v>#DIV/0!</v>
      </c>
      <c r="AU103" s="163" t="e">
        <f t="shared" si="959"/>
        <v>#DIV/0!</v>
      </c>
      <c r="AV103" s="163" t="e">
        <f t="shared" si="959"/>
        <v>#DIV/0!</v>
      </c>
      <c r="AW103" s="163" t="e">
        <f t="shared" si="959"/>
        <v>#DIV/0!</v>
      </c>
      <c r="AX103" s="163" t="e">
        <f t="shared" si="959"/>
        <v>#DIV/0!</v>
      </c>
      <c r="AY103" s="163" t="e">
        <f t="shared" si="959"/>
        <v>#DIV/0!</v>
      </c>
      <c r="AZ103" s="163" t="e">
        <f t="shared" si="959"/>
        <v>#DIV/0!</v>
      </c>
      <c r="BA103" s="163" t="e">
        <f t="shared" si="959"/>
        <v>#DIV/0!</v>
      </c>
      <c r="BB103" s="163" t="e">
        <f t="shared" si="959"/>
        <v>#DIV/0!</v>
      </c>
      <c r="BC103" s="163" t="e">
        <f t="shared" si="959"/>
        <v>#DIV/0!</v>
      </c>
      <c r="BD103" s="163" t="e">
        <f t="shared" si="959"/>
        <v>#DIV/0!</v>
      </c>
      <c r="BE103" s="163" t="e">
        <f t="shared" si="959"/>
        <v>#DIV/0!</v>
      </c>
      <c r="BF103" s="163" t="e">
        <f t="shared" si="959"/>
        <v>#DIV/0!</v>
      </c>
      <c r="BG103" s="163" t="e">
        <f t="shared" si="959"/>
        <v>#DIV/0!</v>
      </c>
      <c r="BH103" s="163" t="e">
        <f t="shared" si="959"/>
        <v>#DIV/0!</v>
      </c>
      <c r="BI103" s="163" t="e">
        <f t="shared" si="959"/>
        <v>#DIV/0!</v>
      </c>
      <c r="BJ103" s="163" t="e">
        <f t="shared" si="959"/>
        <v>#DIV/0!</v>
      </c>
      <c r="BK103" s="163" t="e">
        <f t="shared" si="959"/>
        <v>#DIV/0!</v>
      </c>
      <c r="BL103" s="163">
        <f t="shared" si="959"/>
        <v>0</v>
      </c>
      <c r="BM103" s="163">
        <f t="shared" si="959"/>
        <v>0</v>
      </c>
      <c r="BN103" s="163">
        <f t="shared" si="959"/>
        <v>0</v>
      </c>
      <c r="BO103" s="163">
        <f t="shared" si="959"/>
        <v>0</v>
      </c>
      <c r="BP103" s="163">
        <f t="shared" si="959"/>
        <v>0</v>
      </c>
      <c r="BQ103" s="163">
        <f t="shared" si="959"/>
        <v>0.35258271419368692</v>
      </c>
      <c r="BR103" s="163">
        <f t="shared" ref="BR103:CJ103" si="960">+BR78/BR99</f>
        <v>0.27631095511219578</v>
      </c>
      <c r="BS103" s="163">
        <f t="shared" si="960"/>
        <v>0.58770755137345354</v>
      </c>
      <c r="BT103" s="163">
        <f t="shared" si="960"/>
        <v>0.7893925283787564</v>
      </c>
      <c r="BU103" s="163">
        <f t="shared" si="960"/>
        <v>0.76780015872228569</v>
      </c>
      <c r="BV103" s="163">
        <f t="shared" si="960"/>
        <v>0.68673610841677923</v>
      </c>
      <c r="BW103" s="163">
        <f t="shared" si="960"/>
        <v>0.7374156129847701</v>
      </c>
      <c r="BX103" s="163">
        <f t="shared" si="960"/>
        <v>0.54656309463789099</v>
      </c>
      <c r="BY103" s="163">
        <f t="shared" si="960"/>
        <v>0.53127406746714489</v>
      </c>
      <c r="BZ103" s="163">
        <f t="shared" si="960"/>
        <v>0.41291488597225917</v>
      </c>
      <c r="CA103" s="163">
        <f t="shared" si="960"/>
        <v>0.50617307059510874</v>
      </c>
      <c r="CB103" s="163">
        <f t="shared" si="960"/>
        <v>0.51918052386353364</v>
      </c>
      <c r="CC103" s="163">
        <f t="shared" si="960"/>
        <v>0.84892047283589245</v>
      </c>
      <c r="CD103" s="163">
        <f t="shared" si="960"/>
        <v>0.82830851402277428</v>
      </c>
      <c r="CE103" s="163">
        <f t="shared" si="960"/>
        <v>0.60120718962355157</v>
      </c>
      <c r="CF103" s="163">
        <f t="shared" si="960"/>
        <v>0.48481443046186606</v>
      </c>
      <c r="CG103" s="163">
        <f t="shared" si="960"/>
        <v>0.57358465438741346</v>
      </c>
      <c r="CH103" s="163">
        <f t="shared" si="960"/>
        <v>0.52702278748826681</v>
      </c>
      <c r="CI103" s="163">
        <f t="shared" si="960"/>
        <v>0.59882687410927127</v>
      </c>
      <c r="CJ103" s="163">
        <f t="shared" si="960"/>
        <v>0.57889045142718343</v>
      </c>
      <c r="CK103" s="163">
        <f t="shared" ref="CK103:CL103" si="961">+CK78/CK99</f>
        <v>0.54980043883649066</v>
      </c>
      <c r="CL103" s="163">
        <f t="shared" si="961"/>
        <v>4.9775737563726405</v>
      </c>
      <c r="CM103" s="94">
        <f t="shared" ref="CM103:DB103" si="962">+CL103</f>
        <v>4.9775737563726405</v>
      </c>
      <c r="CN103" s="94">
        <f t="shared" si="962"/>
        <v>4.9775737563726405</v>
      </c>
      <c r="CO103" s="94">
        <f t="shared" si="962"/>
        <v>4.9775737563726405</v>
      </c>
      <c r="CP103" s="94">
        <f t="shared" si="962"/>
        <v>4.9775737563726405</v>
      </c>
      <c r="CQ103" s="94">
        <f t="shared" si="962"/>
        <v>4.9775737563726405</v>
      </c>
      <c r="CR103" s="94">
        <f t="shared" si="962"/>
        <v>4.9775737563726405</v>
      </c>
      <c r="CS103" s="94">
        <f t="shared" si="962"/>
        <v>4.9775737563726405</v>
      </c>
      <c r="CT103" s="94">
        <f t="shared" si="962"/>
        <v>4.9775737563726405</v>
      </c>
      <c r="CU103" s="94">
        <f t="shared" si="962"/>
        <v>4.9775737563726405</v>
      </c>
      <c r="CV103" s="94">
        <f t="shared" si="962"/>
        <v>4.9775737563726405</v>
      </c>
      <c r="CW103" s="94">
        <f t="shared" si="962"/>
        <v>4.9775737563726405</v>
      </c>
      <c r="CX103" s="94">
        <f t="shared" si="962"/>
        <v>4.9775737563726405</v>
      </c>
      <c r="CY103" s="94">
        <f t="shared" si="962"/>
        <v>4.9775737563726405</v>
      </c>
      <c r="CZ103" s="94">
        <f t="shared" si="962"/>
        <v>4.9775737563726405</v>
      </c>
      <c r="DA103" s="94">
        <f t="shared" si="962"/>
        <v>4.9775737563726405</v>
      </c>
      <c r="DB103" s="94">
        <f t="shared" si="962"/>
        <v>4.9775737563726405</v>
      </c>
      <c r="DE103" s="164"/>
      <c r="DF103" s="163">
        <v>6.0903921537559613</v>
      </c>
    </row>
    <row r="104" spans="1:110" s="163" customFormat="1" x14ac:dyDescent="0.2">
      <c r="A104" s="163" t="s">
        <v>509</v>
      </c>
      <c r="E104" s="163" t="e">
        <f t="shared" ca="1" si="952"/>
        <v>#DIV/0!</v>
      </c>
      <c r="F104" s="163" t="e">
        <f t="shared" ca="1" si="952"/>
        <v>#DIV/0!</v>
      </c>
      <c r="G104" s="163" t="e">
        <f t="shared" ca="1" si="952"/>
        <v>#DIV/0!</v>
      </c>
      <c r="H104" s="163" t="e">
        <f t="shared" ca="1" si="952"/>
        <v>#DIV/0!</v>
      </c>
      <c r="I104" s="163">
        <f t="shared" ca="1" si="952"/>
        <v>0</v>
      </c>
      <c r="J104" s="163">
        <f t="shared" ca="1" si="952"/>
        <v>0</v>
      </c>
      <c r="K104" s="163">
        <f t="shared" ca="1" si="952"/>
        <v>0</v>
      </c>
      <c r="L104" s="163">
        <f t="shared" ca="1" si="952"/>
        <v>0</v>
      </c>
      <c r="M104" s="163">
        <f t="shared" ca="1" si="952"/>
        <v>0</v>
      </c>
      <c r="N104" s="163" t="e">
        <f t="shared" ca="1" si="952"/>
        <v>#DIV/0!</v>
      </c>
      <c r="O104" s="163">
        <f t="shared" ca="1" si="952"/>
        <v>0</v>
      </c>
      <c r="P104" s="163">
        <f t="shared" ca="1" si="952"/>
        <v>0</v>
      </c>
      <c r="Q104" s="163">
        <f t="shared" ca="1" si="952"/>
        <v>0</v>
      </c>
      <c r="R104" s="163">
        <f t="shared" ca="1" si="952"/>
        <v>0</v>
      </c>
      <c r="S104" s="163">
        <f t="shared" ca="1" si="952"/>
        <v>0</v>
      </c>
      <c r="T104" s="163">
        <f t="shared" ca="1" si="952"/>
        <v>0</v>
      </c>
      <c r="U104" s="163">
        <f t="shared" ca="1" si="952"/>
        <v>0</v>
      </c>
      <c r="V104" s="163">
        <f t="shared" ca="1" si="952"/>
        <v>1.6073779520829576</v>
      </c>
      <c r="W104" s="163">
        <f t="shared" ca="1" si="952"/>
        <v>1.121522569370184</v>
      </c>
      <c r="X104" s="163">
        <f t="shared" ca="1" si="952"/>
        <v>3.0345967213988612</v>
      </c>
      <c r="Y104" s="163">
        <f t="shared" ca="1" si="952"/>
        <v>2.4710397843098879</v>
      </c>
      <c r="Z104" s="163">
        <f t="shared" ca="1" si="957"/>
        <v>3.3767891173968132</v>
      </c>
      <c r="AA104" s="163">
        <f t="shared" ref="AA104" ca="1" si="963">+AA79/AA$99</f>
        <v>3.3767891173968132</v>
      </c>
      <c r="AB104" s="94">
        <f t="shared" ca="1" si="952"/>
        <v>1.0220562433205176</v>
      </c>
      <c r="AC104" s="94">
        <f t="shared" ca="1" si="952"/>
        <v>0.98184607654954859</v>
      </c>
      <c r="AD104" s="94">
        <f t="shared" ca="1" si="952"/>
        <v>0.98841337067611867</v>
      </c>
      <c r="AE104" s="94">
        <f t="shared" ca="1" si="952"/>
        <v>0.99423372865566439</v>
      </c>
      <c r="AL104" s="163" t="e">
        <f t="shared" ref="AL104:BQ104" si="964">+AL79/AL99</f>
        <v>#DIV/0!</v>
      </c>
      <c r="AM104" s="163" t="e">
        <f t="shared" si="964"/>
        <v>#DIV/0!</v>
      </c>
      <c r="AN104" s="163" t="e">
        <f t="shared" si="964"/>
        <v>#DIV/0!</v>
      </c>
      <c r="AO104" s="163" t="e">
        <f t="shared" si="964"/>
        <v>#DIV/0!</v>
      </c>
      <c r="AP104" s="163" t="e">
        <f t="shared" si="964"/>
        <v>#DIV/0!</v>
      </c>
      <c r="AQ104" s="163" t="e">
        <f t="shared" si="964"/>
        <v>#DIV/0!</v>
      </c>
      <c r="AR104" s="163" t="e">
        <f t="shared" si="964"/>
        <v>#DIV/0!</v>
      </c>
      <c r="AS104" s="163" t="e">
        <f t="shared" si="964"/>
        <v>#DIV/0!</v>
      </c>
      <c r="AT104" s="163" t="e">
        <f t="shared" si="964"/>
        <v>#DIV/0!</v>
      </c>
      <c r="AU104" s="163" t="e">
        <f t="shared" si="964"/>
        <v>#DIV/0!</v>
      </c>
      <c r="AV104" s="163" t="e">
        <f t="shared" si="964"/>
        <v>#DIV/0!</v>
      </c>
      <c r="AW104" s="163" t="e">
        <f t="shared" si="964"/>
        <v>#DIV/0!</v>
      </c>
      <c r="AX104" s="163" t="e">
        <f t="shared" si="964"/>
        <v>#DIV/0!</v>
      </c>
      <c r="AY104" s="163" t="e">
        <f t="shared" si="964"/>
        <v>#DIV/0!</v>
      </c>
      <c r="AZ104" s="163" t="e">
        <f t="shared" si="964"/>
        <v>#DIV/0!</v>
      </c>
      <c r="BA104" s="163" t="e">
        <f t="shared" si="964"/>
        <v>#DIV/0!</v>
      </c>
      <c r="BB104" s="163" t="e">
        <f t="shared" si="964"/>
        <v>#DIV/0!</v>
      </c>
      <c r="BC104" s="163" t="e">
        <f t="shared" si="964"/>
        <v>#DIV/0!</v>
      </c>
      <c r="BD104" s="163" t="e">
        <f t="shared" si="964"/>
        <v>#DIV/0!</v>
      </c>
      <c r="BE104" s="163" t="e">
        <f t="shared" si="964"/>
        <v>#DIV/0!</v>
      </c>
      <c r="BF104" s="163" t="e">
        <f t="shared" si="964"/>
        <v>#DIV/0!</v>
      </c>
      <c r="BG104" s="163" t="e">
        <f t="shared" si="964"/>
        <v>#DIV/0!</v>
      </c>
      <c r="BH104" s="163" t="e">
        <f t="shared" si="964"/>
        <v>#DIV/0!</v>
      </c>
      <c r="BI104" s="163" t="e">
        <f t="shared" si="964"/>
        <v>#DIV/0!</v>
      </c>
      <c r="BJ104" s="163" t="e">
        <f t="shared" si="964"/>
        <v>#DIV/0!</v>
      </c>
      <c r="BK104" s="163" t="e">
        <f t="shared" si="964"/>
        <v>#DIV/0!</v>
      </c>
      <c r="BL104" s="163">
        <f t="shared" si="964"/>
        <v>0</v>
      </c>
      <c r="BM104" s="163">
        <f t="shared" si="964"/>
        <v>0</v>
      </c>
      <c r="BN104" s="163">
        <f t="shared" si="964"/>
        <v>0</v>
      </c>
      <c r="BO104" s="163">
        <f t="shared" si="964"/>
        <v>0</v>
      </c>
      <c r="BP104" s="163">
        <f t="shared" si="964"/>
        <v>0</v>
      </c>
      <c r="BQ104" s="163">
        <f t="shared" si="964"/>
        <v>0.19306555006799797</v>
      </c>
      <c r="BR104" s="163">
        <f t="shared" ref="BR104:CJ104" si="965">+BR79/BR99</f>
        <v>0.20836387300939155</v>
      </c>
      <c r="BS104" s="163">
        <f t="shared" si="965"/>
        <v>0.17199263472426085</v>
      </c>
      <c r="BT104" s="163">
        <f t="shared" si="965"/>
        <v>0.45374112311797787</v>
      </c>
      <c r="BU104" s="163">
        <f t="shared" si="965"/>
        <v>0.45087181522080588</v>
      </c>
      <c r="BV104" s="163">
        <f t="shared" si="965"/>
        <v>0.47335596057731982</v>
      </c>
      <c r="BW104" s="163">
        <f t="shared" si="965"/>
        <v>0.38871139025708068</v>
      </c>
      <c r="BX104" s="163">
        <f t="shared" si="965"/>
        <v>0.39667738708995398</v>
      </c>
      <c r="BY104" s="163">
        <f t="shared" si="965"/>
        <v>0.38108514325400311</v>
      </c>
      <c r="BZ104" s="163">
        <f t="shared" si="965"/>
        <v>0.3022249851581037</v>
      </c>
      <c r="CA104" s="163">
        <f t="shared" si="965"/>
        <v>0.33617712861228288</v>
      </c>
      <c r="CB104" s="163">
        <f t="shared" si="965"/>
        <v>0.3824851601155782</v>
      </c>
      <c r="CC104" s="163">
        <f t="shared" si="965"/>
        <v>0.44294244785511622</v>
      </c>
      <c r="CD104" s="163">
        <f t="shared" si="965"/>
        <v>0.49591052765015475</v>
      </c>
      <c r="CE104" s="163">
        <f t="shared" si="965"/>
        <v>0.39607300514637322</v>
      </c>
      <c r="CF104" s="163">
        <f t="shared" si="965"/>
        <v>0.34462036646989536</v>
      </c>
      <c r="CG104" s="163">
        <f t="shared" si="965"/>
        <v>0.40094101198236276</v>
      </c>
      <c r="CH104" s="163">
        <f t="shared" si="965"/>
        <v>0.33631093511943289</v>
      </c>
      <c r="CI104" s="163">
        <f t="shared" si="965"/>
        <v>0.3752472088825155</v>
      </c>
      <c r="CJ104" s="163">
        <f t="shared" si="965"/>
        <v>0.40915525517819085</v>
      </c>
      <c r="CK104" s="163">
        <f t="shared" ref="CK104:CL104" si="966">+CK79/CK99</f>
        <v>0.40638300045761871</v>
      </c>
      <c r="CL104" s="163">
        <f t="shared" si="966"/>
        <v>3.7043646516075692</v>
      </c>
      <c r="CM104" s="94">
        <f t="shared" ref="CM104:DB104" si="967">+CL104</f>
        <v>3.7043646516075692</v>
      </c>
      <c r="CN104" s="94">
        <f t="shared" si="967"/>
        <v>3.7043646516075692</v>
      </c>
      <c r="CO104" s="94">
        <f t="shared" si="967"/>
        <v>3.7043646516075692</v>
      </c>
      <c r="CP104" s="94">
        <f t="shared" si="967"/>
        <v>3.7043646516075692</v>
      </c>
      <c r="CQ104" s="94">
        <f t="shared" si="967"/>
        <v>3.7043646516075692</v>
      </c>
      <c r="CR104" s="94">
        <f t="shared" si="967"/>
        <v>3.7043646516075692</v>
      </c>
      <c r="CS104" s="94">
        <f t="shared" si="967"/>
        <v>3.7043646516075692</v>
      </c>
      <c r="CT104" s="94">
        <f t="shared" si="967"/>
        <v>3.7043646516075692</v>
      </c>
      <c r="CU104" s="94">
        <f t="shared" si="967"/>
        <v>3.7043646516075692</v>
      </c>
      <c r="CV104" s="94">
        <f t="shared" si="967"/>
        <v>3.7043646516075692</v>
      </c>
      <c r="CW104" s="94">
        <f t="shared" si="967"/>
        <v>3.7043646516075692</v>
      </c>
      <c r="CX104" s="94">
        <f t="shared" si="967"/>
        <v>3.7043646516075692</v>
      </c>
      <c r="CY104" s="94">
        <f t="shared" si="967"/>
        <v>3.7043646516075692</v>
      </c>
      <c r="CZ104" s="94">
        <f t="shared" si="967"/>
        <v>3.7043646516075692</v>
      </c>
      <c r="DA104" s="94">
        <f t="shared" si="967"/>
        <v>3.7043646516075692</v>
      </c>
      <c r="DB104" s="94">
        <f t="shared" si="967"/>
        <v>3.7043646516075692</v>
      </c>
      <c r="DE104" s="164"/>
      <c r="DF104" s="163">
        <v>3.3767891173968132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68">+B78*B65</f>
        <v>#DIV/0!</v>
      </c>
      <c r="C107" s="162" t="e">
        <f t="shared" si="968"/>
        <v>#DIV/0!</v>
      </c>
      <c r="D107" s="162" t="e">
        <f t="shared" si="968"/>
        <v>#DIV/0!</v>
      </c>
      <c r="E107" s="162">
        <f t="shared" ca="1" si="968"/>
        <v>0</v>
      </c>
      <c r="F107" s="162">
        <f t="shared" ca="1" si="968"/>
        <v>0</v>
      </c>
      <c r="G107" s="162">
        <f t="shared" ca="1" si="968"/>
        <v>0</v>
      </c>
      <c r="H107" s="162">
        <f t="shared" ca="1" si="968"/>
        <v>0</v>
      </c>
      <c r="I107" s="162">
        <f t="shared" ca="1" si="968"/>
        <v>0</v>
      </c>
      <c r="J107" s="162">
        <f t="shared" ca="1" si="968"/>
        <v>0</v>
      </c>
      <c r="K107" s="162">
        <f t="shared" ca="1" si="968"/>
        <v>0</v>
      </c>
      <c r="L107" s="162">
        <f t="shared" ca="1" si="968"/>
        <v>0</v>
      </c>
      <c r="M107" s="162">
        <f t="shared" ca="1" si="968"/>
        <v>0</v>
      </c>
      <c r="N107" s="162">
        <f t="shared" ca="1" si="968"/>
        <v>0</v>
      </c>
      <c r="O107" s="162">
        <f t="shared" ca="1" si="968"/>
        <v>0</v>
      </c>
      <c r="P107" s="162">
        <f t="shared" ca="1" si="968"/>
        <v>0</v>
      </c>
      <c r="Q107" s="162">
        <f t="shared" ca="1" si="968"/>
        <v>0</v>
      </c>
      <c r="R107" s="162">
        <f t="shared" ca="1" si="968"/>
        <v>0</v>
      </c>
      <c r="S107" s="162">
        <f t="shared" ca="1" si="968"/>
        <v>0</v>
      </c>
      <c r="T107" s="162">
        <f t="shared" ca="1" si="968"/>
        <v>0</v>
      </c>
      <c r="U107" s="162">
        <f t="shared" ca="1" si="968"/>
        <v>0</v>
      </c>
      <c r="V107" s="162">
        <f t="shared" ca="1" si="968"/>
        <v>3709.4773500000001</v>
      </c>
      <c r="W107" s="162">
        <f t="shared" ca="1" si="968"/>
        <v>15639.466199999999</v>
      </c>
      <c r="X107" s="162">
        <f t="shared" ca="1" si="968"/>
        <v>18417.589199999999</v>
      </c>
      <c r="Y107" s="162">
        <f t="shared" ca="1" si="968"/>
        <v>35526.728009999999</v>
      </c>
      <c r="Z107" s="162">
        <f t="shared" ca="1" si="968"/>
        <v>31903.782359999997</v>
      </c>
      <c r="AA107" s="162">
        <f t="shared" ref="AA107" ca="1" si="969">+AA78*AA65</f>
        <v>31903.782359999997</v>
      </c>
      <c r="AB107" s="21">
        <f t="shared" ca="1" si="968"/>
        <v>32116.994436698995</v>
      </c>
      <c r="AC107" s="21">
        <f t="shared" ca="1" si="968"/>
        <v>9038.5805786670917</v>
      </c>
      <c r="AD107" s="21">
        <f t="shared" ca="1" si="968"/>
        <v>10689.166380617</v>
      </c>
      <c r="AE107" s="21">
        <f t="shared" ca="1" si="968"/>
        <v>12617.945889133094</v>
      </c>
      <c r="AL107" s="162">
        <f t="shared" ref="AL107:BQ107" si="970">+AL78*AL65</f>
        <v>0</v>
      </c>
      <c r="AM107" s="162">
        <f t="shared" si="970"/>
        <v>0</v>
      </c>
      <c r="AN107" s="162">
        <f t="shared" si="970"/>
        <v>0</v>
      </c>
      <c r="AO107" s="162">
        <f t="shared" si="970"/>
        <v>0</v>
      </c>
      <c r="AP107" s="162">
        <f t="shared" si="970"/>
        <v>0</v>
      </c>
      <c r="AQ107" s="162">
        <f t="shared" si="970"/>
        <v>0</v>
      </c>
      <c r="AR107" s="162">
        <f t="shared" si="970"/>
        <v>0</v>
      </c>
      <c r="AS107" s="162">
        <f t="shared" si="970"/>
        <v>0</v>
      </c>
      <c r="AT107" s="162">
        <f t="shared" si="970"/>
        <v>0</v>
      </c>
      <c r="AU107" s="162">
        <f t="shared" si="970"/>
        <v>0</v>
      </c>
      <c r="AV107" s="162">
        <f t="shared" si="970"/>
        <v>0</v>
      </c>
      <c r="AW107" s="162">
        <f t="shared" si="970"/>
        <v>0</v>
      </c>
      <c r="AX107" s="162">
        <f t="shared" si="970"/>
        <v>0</v>
      </c>
      <c r="AY107" s="162">
        <f t="shared" si="970"/>
        <v>0</v>
      </c>
      <c r="AZ107" s="162">
        <f t="shared" si="970"/>
        <v>0</v>
      </c>
      <c r="BA107" s="162">
        <f t="shared" si="970"/>
        <v>0</v>
      </c>
      <c r="BB107" s="162">
        <f t="shared" si="970"/>
        <v>0</v>
      </c>
      <c r="BC107" s="162">
        <f t="shared" si="970"/>
        <v>0</v>
      </c>
      <c r="BD107" s="162">
        <f t="shared" si="970"/>
        <v>0</v>
      </c>
      <c r="BE107" s="162">
        <f t="shared" si="970"/>
        <v>0</v>
      </c>
      <c r="BF107" s="162">
        <f t="shared" si="970"/>
        <v>0</v>
      </c>
      <c r="BG107" s="162">
        <f t="shared" si="970"/>
        <v>0</v>
      </c>
      <c r="BH107" s="162">
        <f t="shared" si="970"/>
        <v>0</v>
      </c>
      <c r="BI107" s="162">
        <f t="shared" si="970"/>
        <v>0</v>
      </c>
      <c r="BJ107" s="162">
        <f t="shared" si="970"/>
        <v>0</v>
      </c>
      <c r="BK107" s="162">
        <f t="shared" si="970"/>
        <v>0</v>
      </c>
      <c r="BL107" s="162">
        <f t="shared" si="970"/>
        <v>0</v>
      </c>
      <c r="BM107" s="162">
        <f t="shared" si="970"/>
        <v>0</v>
      </c>
      <c r="BN107" s="162">
        <f t="shared" si="970"/>
        <v>0</v>
      </c>
      <c r="BO107" s="162">
        <f t="shared" si="970"/>
        <v>0</v>
      </c>
      <c r="BP107" s="162">
        <f t="shared" si="970"/>
        <v>0</v>
      </c>
      <c r="BQ107" s="162">
        <f t="shared" si="970"/>
        <v>369.44498249999998</v>
      </c>
      <c r="BR107" s="162">
        <f t="shared" ref="BR107:CJ107" si="971">+BR78*BR65</f>
        <v>349.16973300000001</v>
      </c>
      <c r="BS107" s="162">
        <f t="shared" si="971"/>
        <v>874.4665215</v>
      </c>
      <c r="BT107" s="162">
        <f t="shared" si="971"/>
        <v>1346.24028</v>
      </c>
      <c r="BU107" s="162">
        <f t="shared" si="971"/>
        <v>1532.4822810000001</v>
      </c>
      <c r="BV107" s="162">
        <f t="shared" si="971"/>
        <v>1557.6108899999999</v>
      </c>
      <c r="BW107" s="162">
        <f t="shared" si="971"/>
        <v>1834.29774</v>
      </c>
      <c r="BX107" s="162">
        <f t="shared" si="971"/>
        <v>1478.6870999999999</v>
      </c>
      <c r="BY107" s="162">
        <f t="shared" si="971"/>
        <v>1517.69541</v>
      </c>
      <c r="BZ107" s="162">
        <f t="shared" si="971"/>
        <v>1239.4210125</v>
      </c>
      <c r="CA107" s="162">
        <f t="shared" si="971"/>
        <v>1582.8755745000001</v>
      </c>
      <c r="CB107" s="162">
        <f t="shared" si="971"/>
        <v>1780.6386344999999</v>
      </c>
      <c r="CC107" s="162">
        <f t="shared" si="971"/>
        <v>3175.0949999999998</v>
      </c>
      <c r="CD107" s="162">
        <f t="shared" si="971"/>
        <v>3538.2805095000003</v>
      </c>
      <c r="CE107" s="162">
        <f t="shared" si="971"/>
        <v>2927.6643825000001</v>
      </c>
      <c r="CF107" s="162">
        <f t="shared" si="971"/>
        <v>2587.2034814999997</v>
      </c>
      <c r="CG107" s="162">
        <f t="shared" si="971"/>
        <v>3177.4536419999999</v>
      </c>
      <c r="CH107" s="162">
        <f t="shared" si="971"/>
        <v>2760.7451025</v>
      </c>
      <c r="CI107" s="162">
        <f t="shared" si="971"/>
        <v>2978.23911</v>
      </c>
      <c r="CJ107" s="162">
        <f t="shared" si="971"/>
        <v>2697.9235799999997</v>
      </c>
      <c r="CK107" s="162">
        <f t="shared" ref="CK107:CL107" si="972">+CK78*CK65</f>
        <v>2602.3143375</v>
      </c>
      <c r="CL107" s="162">
        <f t="shared" si="972"/>
        <v>25567.840199999999</v>
      </c>
      <c r="CM107" s="21">
        <f t="shared" ref="CM107:DB107" si="973">+CM78*CM65</f>
        <v>32116.994436698995</v>
      </c>
      <c r="CN107" s="21">
        <f t="shared" si="973"/>
        <v>21059.783018684033</v>
      </c>
      <c r="CO107" s="21">
        <f t="shared" si="973"/>
        <v>7061.2465287037076</v>
      </c>
      <c r="CP107" s="21">
        <f t="shared" si="973"/>
        <v>7584.0576127350996</v>
      </c>
      <c r="CQ107" s="21">
        <f t="shared" si="973"/>
        <v>7924.5052278781104</v>
      </c>
      <c r="CR107" s="21">
        <f t="shared" si="973"/>
        <v>8251.7394529998455</v>
      </c>
      <c r="CS107" s="21">
        <f t="shared" si="973"/>
        <v>8626.9830591699392</v>
      </c>
      <c r="CT107" s="21">
        <f t="shared" si="973"/>
        <v>9038.5805786670917</v>
      </c>
      <c r="CU107" s="21">
        <f t="shared" si="973"/>
        <v>9356.8216276026051</v>
      </c>
      <c r="CV107" s="21">
        <f t="shared" si="973"/>
        <v>9725.7288326864091</v>
      </c>
      <c r="CW107" s="21">
        <f t="shared" si="973"/>
        <v>10178.051237027081</v>
      </c>
      <c r="CX107" s="21">
        <f t="shared" si="973"/>
        <v>10689.166380617</v>
      </c>
      <c r="CY107" s="21">
        <f t="shared" si="973"/>
        <v>11047.241154005338</v>
      </c>
      <c r="CZ107" s="21">
        <f t="shared" si="973"/>
        <v>11479.698840955794</v>
      </c>
      <c r="DA107" s="21">
        <f t="shared" si="973"/>
        <v>12015.316307763096</v>
      </c>
      <c r="DB107" s="21">
        <f t="shared" si="973"/>
        <v>12617.945889133094</v>
      </c>
      <c r="DE107" s="22"/>
      <c r="DF107" s="162">
        <v>31903.782359999997</v>
      </c>
    </row>
    <row r="108" spans="1:110" s="162" customFormat="1" x14ac:dyDescent="0.2">
      <c r="A108" s="49" t="s">
        <v>341</v>
      </c>
      <c r="B108" s="162" t="e">
        <f t="shared" ref="B108:AE108" si="974">+B79*B65</f>
        <v>#DIV/0!</v>
      </c>
      <c r="C108" s="162" t="e">
        <f t="shared" si="974"/>
        <v>#DIV/0!</v>
      </c>
      <c r="D108" s="162" t="e">
        <f t="shared" si="974"/>
        <v>#DIV/0!</v>
      </c>
      <c r="E108" s="162">
        <f t="shared" ca="1" si="974"/>
        <v>0</v>
      </c>
      <c r="F108" s="162">
        <f t="shared" ca="1" si="974"/>
        <v>0</v>
      </c>
      <c r="G108" s="162">
        <f t="shared" ca="1" si="974"/>
        <v>0</v>
      </c>
      <c r="H108" s="162">
        <f t="shared" ca="1" si="974"/>
        <v>0</v>
      </c>
      <c r="I108" s="162">
        <f t="shared" ca="1" si="974"/>
        <v>0</v>
      </c>
      <c r="J108" s="162">
        <f t="shared" ca="1" si="974"/>
        <v>0</v>
      </c>
      <c r="K108" s="162">
        <f t="shared" ca="1" si="974"/>
        <v>0</v>
      </c>
      <c r="L108" s="162">
        <f t="shared" ca="1" si="974"/>
        <v>0</v>
      </c>
      <c r="M108" s="162">
        <f t="shared" ca="1" si="974"/>
        <v>0</v>
      </c>
      <c r="N108" s="162">
        <f t="shared" ca="1" si="974"/>
        <v>0</v>
      </c>
      <c r="O108" s="162">
        <f t="shared" ca="1" si="974"/>
        <v>0</v>
      </c>
      <c r="P108" s="162">
        <f t="shared" ca="1" si="974"/>
        <v>0</v>
      </c>
      <c r="Q108" s="162">
        <f t="shared" ca="1" si="974"/>
        <v>0</v>
      </c>
      <c r="R108" s="162">
        <f t="shared" ca="1" si="974"/>
        <v>0</v>
      </c>
      <c r="S108" s="162">
        <f t="shared" ca="1" si="974"/>
        <v>0</v>
      </c>
      <c r="T108" s="162">
        <f t="shared" ca="1" si="974"/>
        <v>0</v>
      </c>
      <c r="U108" s="162">
        <f t="shared" ca="1" si="974"/>
        <v>0</v>
      </c>
      <c r="V108" s="162">
        <f t="shared" ca="1" si="974"/>
        <v>2031.2178000000001</v>
      </c>
      <c r="W108" s="162">
        <f t="shared" ca="1" si="974"/>
        <v>2569.5360599999999</v>
      </c>
      <c r="X108" s="162">
        <f t="shared" ca="1" si="974"/>
        <v>9108.6</v>
      </c>
      <c r="Y108" s="162">
        <f t="shared" ca="1" si="974"/>
        <v>10555.501110000001</v>
      </c>
      <c r="Z108" s="162">
        <f t="shared" ca="1" si="974"/>
        <v>17688.9012</v>
      </c>
      <c r="AA108" s="162">
        <f t="shared" ref="AA108" ca="1" si="975">+AA79*AA65</f>
        <v>17688.9012</v>
      </c>
      <c r="AB108" s="21">
        <f t="shared" ca="1" si="974"/>
        <v>5884.3721072530889</v>
      </c>
      <c r="AC108" s="21">
        <f t="shared" ca="1" si="974"/>
        <v>6603.7543565650922</v>
      </c>
      <c r="AD108" s="21">
        <f t="shared" ca="1" si="974"/>
        <v>7797.3513563355045</v>
      </c>
      <c r="AE108" s="21">
        <f t="shared" ca="1" si="974"/>
        <v>9206.0342950044469</v>
      </c>
      <c r="AL108" s="162">
        <f t="shared" ref="AL108:BQ108" si="976">+AL79*AL65</f>
        <v>0</v>
      </c>
      <c r="AM108" s="162">
        <f t="shared" si="976"/>
        <v>0</v>
      </c>
      <c r="AN108" s="162">
        <f t="shared" si="976"/>
        <v>0</v>
      </c>
      <c r="AO108" s="162">
        <f t="shared" si="976"/>
        <v>0</v>
      </c>
      <c r="AP108" s="162">
        <f t="shared" si="976"/>
        <v>0</v>
      </c>
      <c r="AQ108" s="162">
        <f t="shared" si="976"/>
        <v>0</v>
      </c>
      <c r="AR108" s="162">
        <f t="shared" si="976"/>
        <v>0</v>
      </c>
      <c r="AS108" s="162">
        <f t="shared" si="976"/>
        <v>0</v>
      </c>
      <c r="AT108" s="162">
        <f t="shared" si="976"/>
        <v>0</v>
      </c>
      <c r="AU108" s="162">
        <f t="shared" si="976"/>
        <v>0</v>
      </c>
      <c r="AV108" s="162">
        <f t="shared" si="976"/>
        <v>0</v>
      </c>
      <c r="AW108" s="162">
        <f t="shared" si="976"/>
        <v>0</v>
      </c>
      <c r="AX108" s="162">
        <f t="shared" si="976"/>
        <v>0</v>
      </c>
      <c r="AY108" s="162">
        <f t="shared" si="976"/>
        <v>0</v>
      </c>
      <c r="AZ108" s="162">
        <f t="shared" si="976"/>
        <v>0</v>
      </c>
      <c r="BA108" s="162">
        <f t="shared" si="976"/>
        <v>0</v>
      </c>
      <c r="BB108" s="162">
        <f t="shared" si="976"/>
        <v>0</v>
      </c>
      <c r="BC108" s="162">
        <f t="shared" si="976"/>
        <v>0</v>
      </c>
      <c r="BD108" s="162">
        <f t="shared" si="976"/>
        <v>0</v>
      </c>
      <c r="BE108" s="162">
        <f t="shared" si="976"/>
        <v>0</v>
      </c>
      <c r="BF108" s="162">
        <f t="shared" si="976"/>
        <v>0</v>
      </c>
      <c r="BG108" s="162">
        <f t="shared" si="976"/>
        <v>0</v>
      </c>
      <c r="BH108" s="162">
        <f t="shared" si="976"/>
        <v>0</v>
      </c>
      <c r="BI108" s="162">
        <f t="shared" si="976"/>
        <v>0</v>
      </c>
      <c r="BJ108" s="162">
        <f t="shared" si="976"/>
        <v>0</v>
      </c>
      <c r="BK108" s="162">
        <f t="shared" si="976"/>
        <v>0</v>
      </c>
      <c r="BL108" s="162">
        <f t="shared" si="976"/>
        <v>0</v>
      </c>
      <c r="BM108" s="162">
        <f t="shared" si="976"/>
        <v>0</v>
      </c>
      <c r="BN108" s="162">
        <f t="shared" si="976"/>
        <v>0</v>
      </c>
      <c r="BO108" s="162">
        <f t="shared" si="976"/>
        <v>0</v>
      </c>
      <c r="BP108" s="162">
        <f t="shared" si="976"/>
        <v>0</v>
      </c>
      <c r="BQ108" s="162">
        <f t="shared" si="976"/>
        <v>202.29891000000001</v>
      </c>
      <c r="BR108" s="162">
        <f t="shared" ref="BR108:CJ108" si="977">+BR79*BR65</f>
        <v>263.30609249999998</v>
      </c>
      <c r="BS108" s="162">
        <f t="shared" si="977"/>
        <v>255.912657</v>
      </c>
      <c r="BT108" s="162">
        <f t="shared" si="977"/>
        <v>773.81601000000001</v>
      </c>
      <c r="BU108" s="162">
        <f t="shared" si="977"/>
        <v>899.91264000000001</v>
      </c>
      <c r="BV108" s="162">
        <f t="shared" si="977"/>
        <v>1073.6356949999999</v>
      </c>
      <c r="BW108" s="162">
        <f t="shared" si="977"/>
        <v>966.90714449999996</v>
      </c>
      <c r="BX108" s="162">
        <f t="shared" si="977"/>
        <v>1073.18211</v>
      </c>
      <c r="BY108" s="162">
        <f t="shared" si="977"/>
        <v>1088.6493584999998</v>
      </c>
      <c r="BZ108" s="162">
        <f t="shared" si="977"/>
        <v>907.17</v>
      </c>
      <c r="CA108" s="162">
        <f t="shared" si="977"/>
        <v>1051.2739544999999</v>
      </c>
      <c r="CB108" s="162">
        <f t="shared" si="977"/>
        <v>1311.8131784999998</v>
      </c>
      <c r="CC108" s="162">
        <f t="shared" si="977"/>
        <v>1656.6738540000001</v>
      </c>
      <c r="CD108" s="162">
        <f t="shared" si="977"/>
        <v>2118.3780254999997</v>
      </c>
      <c r="CE108" s="162">
        <f t="shared" si="977"/>
        <v>1928.7341370000001</v>
      </c>
      <c r="CF108" s="162">
        <f t="shared" si="977"/>
        <v>1839.0603824999998</v>
      </c>
      <c r="CG108" s="162">
        <f t="shared" si="977"/>
        <v>2221.0696695000001</v>
      </c>
      <c r="CH108" s="162">
        <f t="shared" si="977"/>
        <v>1761.7241399999998</v>
      </c>
      <c r="CI108" s="162">
        <f t="shared" si="977"/>
        <v>1866.2754825</v>
      </c>
      <c r="CJ108" s="162">
        <f t="shared" si="977"/>
        <v>1906.8713399999999</v>
      </c>
      <c r="CK108" s="162">
        <f t="shared" ref="CK108:CL108" si="978">+CK79*CK65</f>
        <v>1923.491205</v>
      </c>
      <c r="CL108" s="162">
        <f t="shared" si="978"/>
        <v>19027.865399999999</v>
      </c>
      <c r="CM108" s="21">
        <f t="shared" ref="CM108:DB108" si="979">+CM79*CM65</f>
        <v>26764.162030582502</v>
      </c>
      <c r="CN108" s="21">
        <f t="shared" si="979"/>
        <v>17549.819182236697</v>
      </c>
      <c r="CO108" s="21">
        <f t="shared" si="979"/>
        <v>5884.3721072530889</v>
      </c>
      <c r="CP108" s="21">
        <f t="shared" si="979"/>
        <v>6320.0480106125842</v>
      </c>
      <c r="CQ108" s="21">
        <f t="shared" si="979"/>
        <v>6603.7543565650922</v>
      </c>
      <c r="CR108" s="21">
        <f t="shared" si="979"/>
        <v>6876.4495441665376</v>
      </c>
      <c r="CS108" s="21">
        <f t="shared" si="979"/>
        <v>7189.1525493082818</v>
      </c>
      <c r="CT108" s="21">
        <f t="shared" si="979"/>
        <v>7532.150482222577</v>
      </c>
      <c r="CU108" s="21">
        <f t="shared" si="979"/>
        <v>7797.3513563355045</v>
      </c>
      <c r="CV108" s="21">
        <f t="shared" si="979"/>
        <v>8104.7740272386754</v>
      </c>
      <c r="CW108" s="21">
        <f t="shared" si="979"/>
        <v>8481.7093641892334</v>
      </c>
      <c r="CX108" s="21">
        <f t="shared" si="979"/>
        <v>8907.6386505141672</v>
      </c>
      <c r="CY108" s="21">
        <f t="shared" si="979"/>
        <v>9206.0342950044469</v>
      </c>
      <c r="CZ108" s="21">
        <f t="shared" si="979"/>
        <v>9566.415700796495</v>
      </c>
      <c r="DA108" s="21">
        <f t="shared" si="979"/>
        <v>10012.763589802582</v>
      </c>
      <c r="DB108" s="21">
        <f t="shared" si="979"/>
        <v>10514.954907610912</v>
      </c>
      <c r="DE108" s="22"/>
      <c r="DF108" s="162">
        <v>17688.9012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80">+C168</f>
        <v>0</v>
      </c>
      <c r="D109" s="162">
        <f t="shared" si="980"/>
        <v>0</v>
      </c>
      <c r="E109" s="162">
        <f t="shared" si="980"/>
        <v>0</v>
      </c>
      <c r="F109" s="162">
        <f t="shared" si="980"/>
        <v>0</v>
      </c>
      <c r="G109" s="162">
        <f t="shared" si="980"/>
        <v>0</v>
      </c>
      <c r="H109" s="162">
        <f t="shared" si="980"/>
        <v>0</v>
      </c>
      <c r="I109" s="162">
        <f t="shared" si="980"/>
        <v>-0.20202789999999998</v>
      </c>
      <c r="J109" s="162">
        <f t="shared" si="980"/>
        <v>-1.3723447</v>
      </c>
      <c r="K109" s="162">
        <f t="shared" si="980"/>
        <v>66.415730800000006</v>
      </c>
      <c r="L109" s="162">
        <f t="shared" si="980"/>
        <v>54.921680600000002</v>
      </c>
      <c r="M109" s="162">
        <f t="shared" si="980"/>
        <v>25.5569928</v>
      </c>
      <c r="N109" s="162">
        <f t="shared" si="980"/>
        <v>-342.71722340000002</v>
      </c>
      <c r="O109" s="162">
        <f t="shared" si="980"/>
        <v>-41.793429099999969</v>
      </c>
      <c r="P109" s="162">
        <f t="shared" si="980"/>
        <v>-82.0826639</v>
      </c>
      <c r="Q109" s="162">
        <f t="shared" si="980"/>
        <v>-79.111754799999972</v>
      </c>
      <c r="R109" s="162">
        <f t="shared" si="980"/>
        <v>104.83631609999998</v>
      </c>
      <c r="S109" s="162">
        <f t="shared" si="980"/>
        <v>191.97712960000024</v>
      </c>
      <c r="T109" s="162">
        <f t="shared" si="980"/>
        <v>-129.06299999999999</v>
      </c>
      <c r="U109" s="162">
        <f t="shared" si="980"/>
        <v>-957.94500000000016</v>
      </c>
      <c r="V109" s="162">
        <f t="shared" si="980"/>
        <v>-711.5179999999998</v>
      </c>
      <c r="W109" s="162">
        <f t="shared" si="980"/>
        <v>-3635.8770000000004</v>
      </c>
      <c r="X109" s="162">
        <f t="shared" ref="X109:Y109" si="981">+X168</f>
        <v>-4707.7969999999996</v>
      </c>
      <c r="Y109" s="162">
        <f t="shared" si="981"/>
        <v>-4306.0339999999997</v>
      </c>
      <c r="Z109" s="162">
        <f t="shared" ref="Z109:AA109" si="982">+Z168</f>
        <v>-4572.3410000000003</v>
      </c>
      <c r="AA109" s="162">
        <f t="shared" ref="AA109" si="983">+AA168</f>
        <v>-7605.4160000000002</v>
      </c>
      <c r="AB109" s="21">
        <f t="shared" ref="AB109:AD109" si="984">+AB168</f>
        <v>-14291.420286830187</v>
      </c>
      <c r="AC109" s="21">
        <f t="shared" si="984"/>
        <v>-17149.14315183794</v>
      </c>
      <c r="AD109" s="21">
        <f t="shared" si="984"/>
        <v>-20443.268291070992</v>
      </c>
      <c r="AE109" s="21">
        <f t="shared" ref="AE109" si="985">+AE168</f>
        <v>-24313.491757045391</v>
      </c>
      <c r="AL109" s="162">
        <f t="shared" ref="AL109:AM109" si="986">+AL168</f>
        <v>0</v>
      </c>
      <c r="AM109" s="162" t="e">
        <f t="shared" si="986"/>
        <v>#DIV/0!</v>
      </c>
      <c r="AN109" s="162">
        <f t="shared" ref="AN109:AO109" si="987">+AN168</f>
        <v>0</v>
      </c>
      <c r="AO109" s="162" t="e">
        <f t="shared" si="987"/>
        <v>#DIV/0!</v>
      </c>
      <c r="AP109" s="162">
        <f t="shared" ref="AP109:CD109" si="988">+AP168</f>
        <v>0</v>
      </c>
      <c r="AQ109" s="162" t="e">
        <f t="shared" si="988"/>
        <v>#DIV/0!</v>
      </c>
      <c r="AR109" s="162">
        <f t="shared" si="988"/>
        <v>0</v>
      </c>
      <c r="AS109" s="162" t="e">
        <f t="shared" si="988"/>
        <v>#DIV/0!</v>
      </c>
      <c r="AT109" s="162">
        <f t="shared" si="988"/>
        <v>0</v>
      </c>
      <c r="AU109" s="162" t="e">
        <f t="shared" si="988"/>
        <v>#DIV/0!</v>
      </c>
      <c r="AV109" s="162">
        <f t="shared" si="988"/>
        <v>0</v>
      </c>
      <c r="AW109" s="162" t="e">
        <f t="shared" si="988"/>
        <v>#DIV/0!</v>
      </c>
      <c r="AX109" s="162">
        <f t="shared" si="988"/>
        <v>0</v>
      </c>
      <c r="AY109" s="162" t="e">
        <f t="shared" si="988"/>
        <v>#DIV/0!</v>
      </c>
      <c r="AZ109" s="162">
        <f t="shared" si="988"/>
        <v>0</v>
      </c>
      <c r="BA109" s="162" t="e">
        <f t="shared" si="988"/>
        <v>#DIV/0!</v>
      </c>
      <c r="BB109" s="162">
        <f t="shared" si="988"/>
        <v>0</v>
      </c>
      <c r="BC109" s="162" t="e">
        <f t="shared" si="988"/>
        <v>#DIV/0!</v>
      </c>
      <c r="BD109" s="162">
        <f t="shared" si="988"/>
        <v>0</v>
      </c>
      <c r="BE109" s="162" t="e">
        <f t="shared" si="988"/>
        <v>#DIV/0!</v>
      </c>
      <c r="BF109" s="162">
        <f t="shared" si="988"/>
        <v>0</v>
      </c>
      <c r="BG109" s="162" t="e">
        <f t="shared" si="988"/>
        <v>#DIV/0!</v>
      </c>
      <c r="BH109" s="162">
        <f t="shared" si="988"/>
        <v>0</v>
      </c>
      <c r="BI109" s="162" t="e">
        <f t="shared" si="988"/>
        <v>#DIV/0!</v>
      </c>
      <c r="BJ109" s="162">
        <f t="shared" si="988"/>
        <v>0</v>
      </c>
      <c r="BK109" s="162" t="e">
        <f t="shared" si="988"/>
        <v>#DIV/0!</v>
      </c>
      <c r="BL109" s="162">
        <f t="shared" si="988"/>
        <v>0</v>
      </c>
      <c r="BM109" s="162">
        <f t="shared" si="988"/>
        <v>-27.013000000000002</v>
      </c>
      <c r="BN109" s="162">
        <f t="shared" si="988"/>
        <v>-957.94500000000005</v>
      </c>
      <c r="BO109" s="162">
        <f t="shared" si="988"/>
        <v>-1218.6019007278746</v>
      </c>
      <c r="BP109" s="162">
        <f t="shared" si="988"/>
        <v>-2011.2749999999996</v>
      </c>
      <c r="BQ109" s="162">
        <f t="shared" si="988"/>
        <v>-2069.6583293314611</v>
      </c>
      <c r="BR109" s="162">
        <f t="shared" si="988"/>
        <v>-711.5179999999998</v>
      </c>
      <c r="BS109" s="162">
        <f t="shared" si="988"/>
        <v>-1103.9156234373927</v>
      </c>
      <c r="BT109" s="162">
        <f t="shared" si="988"/>
        <v>-3422.7940000000003</v>
      </c>
      <c r="BU109" s="162">
        <f t="shared" si="988"/>
        <v>-4077.4499818921372</v>
      </c>
      <c r="BV109" s="162">
        <f t="shared" si="988"/>
        <v>-3660.4440000000004</v>
      </c>
      <c r="BW109" s="162">
        <f t="shared" si="988"/>
        <v>-3848.0694622456531</v>
      </c>
      <c r="BX109" s="162">
        <f t="shared" si="988"/>
        <v>-2416.8409999999999</v>
      </c>
      <c r="BY109" s="162">
        <f t="shared" si="988"/>
        <v>-2661.3204552529182</v>
      </c>
      <c r="BZ109" s="162">
        <f t="shared" si="988"/>
        <v>-4844.433</v>
      </c>
      <c r="CA109" s="162">
        <f t="shared" si="988"/>
        <v>-4983.5979516323569</v>
      </c>
      <c r="CB109" s="162">
        <f t="shared" si="988"/>
        <v>-6261.6</v>
      </c>
      <c r="CC109" s="162">
        <f t="shared" si="988"/>
        <v>-6583.914384144171</v>
      </c>
      <c r="CD109" s="162">
        <f t="shared" si="988"/>
        <v>-7442.0110000000004</v>
      </c>
      <c r="CE109" s="162">
        <f t="shared" ref="CE109:CF109" si="989">+CE168</f>
        <v>-7972.9169795133785</v>
      </c>
      <c r="CF109" s="162">
        <f t="shared" si="989"/>
        <v>-9279.4240000000009</v>
      </c>
      <c r="CG109" s="162">
        <f t="shared" ref="CG109:CH109" si="990">+CG168</f>
        <v>-8084.0244003390744</v>
      </c>
      <c r="CH109" s="162">
        <f t="shared" si="990"/>
        <v>-4572.3410000000003</v>
      </c>
      <c r="CI109" s="162">
        <f t="shared" ref="CI109:CJ109" si="991">+CI168</f>
        <v>-4669.5562525139394</v>
      </c>
      <c r="CJ109" s="162">
        <f t="shared" si="991"/>
        <v>-9587.3370000000014</v>
      </c>
      <c r="CK109" s="162">
        <f t="shared" ref="CK109:CL109" si="992">+CK168</f>
        <v>-10350.934921268676</v>
      </c>
      <c r="CL109" s="162">
        <f t="shared" si="992"/>
        <v>-11891.591</v>
      </c>
      <c r="CM109" s="21">
        <f t="shared" ref="CM109:DB109" si="993">+CM168</f>
        <v>-10907.90351606824</v>
      </c>
      <c r="CN109" s="21">
        <f t="shared" si="993"/>
        <v>-11735.665600064458</v>
      </c>
      <c r="CO109" s="21">
        <f t="shared" si="993"/>
        <v>-13118.450578416152</v>
      </c>
      <c r="CP109" s="21">
        <f t="shared" si="993"/>
        <v>-14291.420286830187</v>
      </c>
      <c r="CQ109" s="21">
        <f t="shared" si="993"/>
        <v>-12898.68368524357</v>
      </c>
      <c r="CR109" s="21">
        <f t="shared" si="993"/>
        <v>-13998.229843888475</v>
      </c>
      <c r="CS109" s="21">
        <f t="shared" si="993"/>
        <v>-15731.460494458013</v>
      </c>
      <c r="CT109" s="21">
        <f t="shared" si="993"/>
        <v>-17149.14315183794</v>
      </c>
      <c r="CU109" s="21">
        <f t="shared" si="993"/>
        <v>-15389.769464184377</v>
      </c>
      <c r="CV109" s="21">
        <f t="shared" si="993"/>
        <v>-16725.361745562222</v>
      </c>
      <c r="CW109" s="21">
        <f t="shared" si="993"/>
        <v>-18783.472142312614</v>
      </c>
      <c r="CX109" s="21">
        <f t="shared" si="993"/>
        <v>-20443.268291070992</v>
      </c>
      <c r="CY109" s="21">
        <f t="shared" si="993"/>
        <v>-18362.396797342841</v>
      </c>
      <c r="CZ109" s="21">
        <f t="shared" si="993"/>
        <v>-19944.474879257981</v>
      </c>
      <c r="DA109" s="21">
        <f t="shared" si="993"/>
        <v>-22365.812103867869</v>
      </c>
      <c r="DB109" s="21">
        <f t="shared" si="993"/>
        <v>-24313.491757045391</v>
      </c>
      <c r="DE109" s="22"/>
      <c r="DF109" s="162">
        <v>-7605.4160000000002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94">+C107+C109</f>
        <v>#DIV/0!</v>
      </c>
      <c r="D110" s="162" t="e">
        <f t="shared" si="994"/>
        <v>#DIV/0!</v>
      </c>
      <c r="E110" s="162">
        <f t="shared" ca="1" si="994"/>
        <v>0</v>
      </c>
      <c r="F110" s="162">
        <f t="shared" ca="1" si="994"/>
        <v>0</v>
      </c>
      <c r="G110" s="162">
        <f t="shared" ca="1" si="994"/>
        <v>0</v>
      </c>
      <c r="H110" s="162">
        <f t="shared" ca="1" si="994"/>
        <v>0</v>
      </c>
      <c r="I110" s="162">
        <f t="shared" ca="1" si="994"/>
        <v>-0.20202789999999998</v>
      </c>
      <c r="J110" s="162">
        <f t="shared" ca="1" si="994"/>
        <v>-1.3723447</v>
      </c>
      <c r="K110" s="162">
        <f t="shared" ca="1" si="994"/>
        <v>66.415730800000006</v>
      </c>
      <c r="L110" s="162">
        <f t="shared" ca="1" si="994"/>
        <v>54.921680600000002</v>
      </c>
      <c r="M110" s="162">
        <f t="shared" ca="1" si="994"/>
        <v>25.5569928</v>
      </c>
      <c r="N110" s="162">
        <f t="shared" ca="1" si="994"/>
        <v>-342.71722340000002</v>
      </c>
      <c r="O110" s="162">
        <f t="shared" ca="1" si="994"/>
        <v>-41.793429099999969</v>
      </c>
      <c r="P110" s="162">
        <f t="shared" ca="1" si="994"/>
        <v>-82.0826639</v>
      </c>
      <c r="Q110" s="162">
        <f t="shared" ca="1" si="994"/>
        <v>-79.111754799999972</v>
      </c>
      <c r="R110" s="162">
        <f t="shared" ca="1" si="994"/>
        <v>104.83631609999998</v>
      </c>
      <c r="S110" s="162">
        <f t="shared" ca="1" si="994"/>
        <v>191.97712960000024</v>
      </c>
      <c r="T110" s="162">
        <f t="shared" ca="1" si="994"/>
        <v>-129.06299999999999</v>
      </c>
      <c r="U110" s="162">
        <f t="shared" ca="1" si="994"/>
        <v>-957.94500000000016</v>
      </c>
      <c r="V110" s="162">
        <f t="shared" ca="1" si="994"/>
        <v>2997.9593500000001</v>
      </c>
      <c r="W110" s="162">
        <f t="shared" ca="1" si="994"/>
        <v>12003.589199999999</v>
      </c>
      <c r="X110" s="162">
        <f t="shared" ref="X110:Y110" ca="1" si="995">+X107+X109</f>
        <v>13709.7922</v>
      </c>
      <c r="Y110" s="162">
        <f t="shared" ca="1" si="995"/>
        <v>31220.694009999999</v>
      </c>
      <c r="Z110" s="162">
        <f t="shared" ref="Z110:AA110" ca="1" si="996">+Z107+Z109</f>
        <v>27331.441359999997</v>
      </c>
      <c r="AA110" s="162">
        <f t="shared" ref="AA110" ca="1" si="997">+AA107+AA109</f>
        <v>27331.441359999997</v>
      </c>
      <c r="AB110" s="21">
        <f t="shared" ref="AB110:AD110" ca="1" si="998">+AB107+AB109</f>
        <v>17825.574149868808</v>
      </c>
      <c r="AC110" s="21">
        <f t="shared" ca="1" si="998"/>
        <v>-8110.5625731708478</v>
      </c>
      <c r="AD110" s="21">
        <f t="shared" ca="1" si="998"/>
        <v>-9754.1019104539919</v>
      </c>
      <c r="AE110" s="21">
        <f t="shared" ref="AE110" ca="1" si="999">+AE107+AE109</f>
        <v>-11695.545867912297</v>
      </c>
      <c r="AL110" s="162">
        <f t="shared" ref="AL110" si="1000">+AL107+AL109</f>
        <v>0</v>
      </c>
      <c r="AM110" s="162" t="e">
        <f t="shared" ref="AM110:AO110" si="1001">+AM107+AM109</f>
        <v>#DIV/0!</v>
      </c>
      <c r="AN110" s="162">
        <f t="shared" si="1001"/>
        <v>0</v>
      </c>
      <c r="AO110" s="162" t="e">
        <f t="shared" si="1001"/>
        <v>#DIV/0!</v>
      </c>
      <c r="AP110" s="162">
        <f t="shared" ref="AP110:CD110" si="1002">+AP107+AP109</f>
        <v>0</v>
      </c>
      <c r="AQ110" s="162" t="e">
        <f t="shared" si="1002"/>
        <v>#DIV/0!</v>
      </c>
      <c r="AR110" s="162">
        <f t="shared" si="1002"/>
        <v>0</v>
      </c>
      <c r="AS110" s="162" t="e">
        <f t="shared" si="1002"/>
        <v>#DIV/0!</v>
      </c>
      <c r="AT110" s="162">
        <f t="shared" si="1002"/>
        <v>0</v>
      </c>
      <c r="AU110" s="162" t="e">
        <f t="shared" si="1002"/>
        <v>#DIV/0!</v>
      </c>
      <c r="AV110" s="162">
        <f t="shared" si="1002"/>
        <v>0</v>
      </c>
      <c r="AW110" s="162" t="e">
        <f t="shared" si="1002"/>
        <v>#DIV/0!</v>
      </c>
      <c r="AX110" s="162">
        <f t="shared" si="1002"/>
        <v>0</v>
      </c>
      <c r="AY110" s="162" t="e">
        <f t="shared" si="1002"/>
        <v>#DIV/0!</v>
      </c>
      <c r="AZ110" s="162">
        <f t="shared" si="1002"/>
        <v>0</v>
      </c>
      <c r="BA110" s="162" t="e">
        <f t="shared" si="1002"/>
        <v>#DIV/0!</v>
      </c>
      <c r="BB110" s="162">
        <f t="shared" si="1002"/>
        <v>0</v>
      </c>
      <c r="BC110" s="162" t="e">
        <f t="shared" si="1002"/>
        <v>#DIV/0!</v>
      </c>
      <c r="BD110" s="162">
        <f t="shared" si="1002"/>
        <v>0</v>
      </c>
      <c r="BE110" s="162" t="e">
        <f t="shared" si="1002"/>
        <v>#DIV/0!</v>
      </c>
      <c r="BF110" s="162">
        <f t="shared" si="1002"/>
        <v>0</v>
      </c>
      <c r="BG110" s="162" t="e">
        <f t="shared" si="1002"/>
        <v>#DIV/0!</v>
      </c>
      <c r="BH110" s="162">
        <f t="shared" si="1002"/>
        <v>0</v>
      </c>
      <c r="BI110" s="162" t="e">
        <f t="shared" si="1002"/>
        <v>#DIV/0!</v>
      </c>
      <c r="BJ110" s="162">
        <f t="shared" si="1002"/>
        <v>0</v>
      </c>
      <c r="BK110" s="162" t="e">
        <f t="shared" si="1002"/>
        <v>#DIV/0!</v>
      </c>
      <c r="BL110" s="162">
        <f t="shared" si="1002"/>
        <v>0</v>
      </c>
      <c r="BM110" s="162">
        <f t="shared" si="1002"/>
        <v>-27.013000000000002</v>
      </c>
      <c r="BN110" s="162">
        <f t="shared" si="1002"/>
        <v>-957.94500000000005</v>
      </c>
      <c r="BO110" s="162">
        <f t="shared" si="1002"/>
        <v>-1218.6019007278746</v>
      </c>
      <c r="BP110" s="162">
        <f t="shared" si="1002"/>
        <v>-2011.2749999999996</v>
      </c>
      <c r="BQ110" s="162">
        <f t="shared" si="1002"/>
        <v>-1700.2133468314612</v>
      </c>
      <c r="BR110" s="162">
        <f t="shared" si="1002"/>
        <v>-362.34826699999979</v>
      </c>
      <c r="BS110" s="162">
        <f t="shared" si="1002"/>
        <v>-229.4491019373927</v>
      </c>
      <c r="BT110" s="162">
        <f t="shared" si="1002"/>
        <v>-2076.5537200000003</v>
      </c>
      <c r="BU110" s="162">
        <f t="shared" si="1002"/>
        <v>-2544.9677008921371</v>
      </c>
      <c r="BV110" s="162">
        <f t="shared" si="1002"/>
        <v>-2102.8331100000005</v>
      </c>
      <c r="BW110" s="162">
        <f t="shared" si="1002"/>
        <v>-2013.7717222456531</v>
      </c>
      <c r="BX110" s="162">
        <f t="shared" si="1002"/>
        <v>-938.15390000000002</v>
      </c>
      <c r="BY110" s="162">
        <f t="shared" si="1002"/>
        <v>-1143.6250452529182</v>
      </c>
      <c r="BZ110" s="162">
        <f t="shared" si="1002"/>
        <v>-3605.0119875</v>
      </c>
      <c r="CA110" s="162">
        <f t="shared" si="1002"/>
        <v>-3400.722377132357</v>
      </c>
      <c r="CB110" s="162">
        <f t="shared" si="1002"/>
        <v>-4480.9613655000003</v>
      </c>
      <c r="CC110" s="162">
        <f t="shared" si="1002"/>
        <v>-3408.8193841441712</v>
      </c>
      <c r="CD110" s="162">
        <f t="shared" si="1002"/>
        <v>-3903.7304905000001</v>
      </c>
      <c r="CE110" s="162">
        <f t="shared" ref="CE110:CF110" si="1003">+CE107+CE109</f>
        <v>-5045.2525970133784</v>
      </c>
      <c r="CF110" s="162">
        <f t="shared" si="1003"/>
        <v>-6692.2205185000012</v>
      </c>
      <c r="CG110" s="162">
        <f t="shared" ref="CG110:CH110" si="1004">+CG107+CG109</f>
        <v>-4906.570758339074</v>
      </c>
      <c r="CH110" s="162">
        <f t="shared" si="1004"/>
        <v>-1811.5958975000003</v>
      </c>
      <c r="CI110" s="162">
        <f t="shared" ref="CI110:CJ110" si="1005">+CI107+CI109</f>
        <v>-1691.3171425139394</v>
      </c>
      <c r="CJ110" s="162">
        <f t="shared" si="1005"/>
        <v>-6889.4134200000017</v>
      </c>
      <c r="CK110" s="162">
        <f t="shared" ref="CK110:CL110" si="1006">+CK107+CK109</f>
        <v>-7748.6205837686757</v>
      </c>
      <c r="CL110" s="162">
        <f t="shared" si="1006"/>
        <v>13676.249199999998</v>
      </c>
      <c r="CM110" s="21">
        <f t="shared" ref="CM110:DB110" si="1007">+CM107+CM109</f>
        <v>21209.090920630755</v>
      </c>
      <c r="CN110" s="21">
        <f t="shared" si="1007"/>
        <v>9324.1174186195749</v>
      </c>
      <c r="CO110" s="21">
        <f t="shared" si="1007"/>
        <v>-6057.2040497124444</v>
      </c>
      <c r="CP110" s="21">
        <f t="shared" si="1007"/>
        <v>-6707.3626740950876</v>
      </c>
      <c r="CQ110" s="21">
        <f t="shared" si="1007"/>
        <v>-4974.1784573654595</v>
      </c>
      <c r="CR110" s="21">
        <f t="shared" si="1007"/>
        <v>-5746.4903908886299</v>
      </c>
      <c r="CS110" s="21">
        <f t="shared" si="1007"/>
        <v>-7104.477435288074</v>
      </c>
      <c r="CT110" s="21">
        <f t="shared" si="1007"/>
        <v>-8110.5625731708478</v>
      </c>
      <c r="CU110" s="21">
        <f t="shared" si="1007"/>
        <v>-6032.9478365817722</v>
      </c>
      <c r="CV110" s="21">
        <f t="shared" si="1007"/>
        <v>-6999.6329128758134</v>
      </c>
      <c r="CW110" s="21">
        <f t="shared" si="1007"/>
        <v>-8605.4209052855331</v>
      </c>
      <c r="CX110" s="21">
        <f t="shared" si="1007"/>
        <v>-9754.1019104539919</v>
      </c>
      <c r="CY110" s="21">
        <f t="shared" si="1007"/>
        <v>-7315.1556433375026</v>
      </c>
      <c r="CZ110" s="21">
        <f t="shared" si="1007"/>
        <v>-8464.7760383021869</v>
      </c>
      <c r="DA110" s="21">
        <f t="shared" si="1007"/>
        <v>-10350.495796104773</v>
      </c>
      <c r="DB110" s="21">
        <f t="shared" si="1007"/>
        <v>-11695.545867912297</v>
      </c>
      <c r="DE110" s="22"/>
      <c r="DF110" s="162">
        <v>27331.441359999997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08">+C108+C109</f>
        <v>#DIV/0!</v>
      </c>
      <c r="D111" s="162" t="e">
        <f t="shared" si="1008"/>
        <v>#DIV/0!</v>
      </c>
      <c r="E111" s="162">
        <f t="shared" ca="1" si="1008"/>
        <v>0</v>
      </c>
      <c r="F111" s="162">
        <f t="shared" ca="1" si="1008"/>
        <v>0</v>
      </c>
      <c r="G111" s="162">
        <f t="shared" ca="1" si="1008"/>
        <v>0</v>
      </c>
      <c r="H111" s="162">
        <f t="shared" ca="1" si="1008"/>
        <v>0</v>
      </c>
      <c r="I111" s="162">
        <f t="shared" ca="1" si="1008"/>
        <v>-0.20202789999999998</v>
      </c>
      <c r="J111" s="162">
        <f t="shared" ca="1" si="1008"/>
        <v>-1.3723447</v>
      </c>
      <c r="K111" s="162">
        <f t="shared" ca="1" si="1008"/>
        <v>66.415730800000006</v>
      </c>
      <c r="L111" s="162">
        <f t="shared" ca="1" si="1008"/>
        <v>54.921680600000002</v>
      </c>
      <c r="M111" s="162">
        <f t="shared" ca="1" si="1008"/>
        <v>25.5569928</v>
      </c>
      <c r="N111" s="162">
        <f t="shared" ca="1" si="1008"/>
        <v>-342.71722340000002</v>
      </c>
      <c r="O111" s="162">
        <f t="shared" ca="1" si="1008"/>
        <v>-41.793429099999969</v>
      </c>
      <c r="P111" s="162">
        <f t="shared" ca="1" si="1008"/>
        <v>-82.0826639</v>
      </c>
      <c r="Q111" s="162">
        <f t="shared" ca="1" si="1008"/>
        <v>-79.111754799999972</v>
      </c>
      <c r="R111" s="162">
        <f t="shared" ca="1" si="1008"/>
        <v>104.83631609999998</v>
      </c>
      <c r="S111" s="162">
        <f t="shared" ca="1" si="1008"/>
        <v>191.97712960000024</v>
      </c>
      <c r="T111" s="162">
        <f t="shared" ca="1" si="1008"/>
        <v>-129.06299999999999</v>
      </c>
      <c r="U111" s="162">
        <f t="shared" ca="1" si="1008"/>
        <v>-957.94500000000016</v>
      </c>
      <c r="V111" s="162">
        <f t="shared" ca="1" si="1008"/>
        <v>1319.6998000000003</v>
      </c>
      <c r="W111" s="162">
        <f t="shared" ca="1" si="1008"/>
        <v>-1066.3409400000005</v>
      </c>
      <c r="X111" s="162">
        <f t="shared" ref="X111:Y111" ca="1" si="1009">+X108+X109</f>
        <v>4400.8030000000008</v>
      </c>
      <c r="Y111" s="162">
        <f t="shared" ca="1" si="1009"/>
        <v>6249.4671100000014</v>
      </c>
      <c r="Z111" s="162">
        <f t="shared" ref="Z111:AA111" ca="1" si="1010">+Z108+Z109</f>
        <v>13116.5602</v>
      </c>
      <c r="AA111" s="162">
        <f t="shared" ref="AA111" ca="1" si="1011">+AA108+AA109</f>
        <v>13116.5602</v>
      </c>
      <c r="AB111" s="21">
        <f t="shared" ref="AB111:AD111" ca="1" si="1012">+AB108+AB109</f>
        <v>-8407.0481795770975</v>
      </c>
      <c r="AC111" s="21">
        <f t="shared" ca="1" si="1012"/>
        <v>-10545.388795272847</v>
      </c>
      <c r="AD111" s="21">
        <f t="shared" ca="1" si="1012"/>
        <v>-12645.916934735487</v>
      </c>
      <c r="AE111" s="21">
        <f t="shared" ref="AE111" ca="1" si="1013">+AE108+AE109</f>
        <v>-15107.457462040944</v>
      </c>
      <c r="AL111" s="162">
        <f t="shared" ref="AL111:AM111" si="1014">+AL108+AL109</f>
        <v>0</v>
      </c>
      <c r="AM111" s="162" t="e">
        <f t="shared" si="1014"/>
        <v>#DIV/0!</v>
      </c>
      <c r="AN111" s="162">
        <f t="shared" ref="AN111:AO111" si="1015">+AN108+AN109</f>
        <v>0</v>
      </c>
      <c r="AO111" s="162" t="e">
        <f t="shared" si="1015"/>
        <v>#DIV/0!</v>
      </c>
      <c r="AP111" s="162">
        <f t="shared" ref="AP111:CD111" si="1016">+AP108+AP109</f>
        <v>0</v>
      </c>
      <c r="AQ111" s="162" t="e">
        <f t="shared" si="1016"/>
        <v>#DIV/0!</v>
      </c>
      <c r="AR111" s="162">
        <f t="shared" si="1016"/>
        <v>0</v>
      </c>
      <c r="AS111" s="162" t="e">
        <f t="shared" si="1016"/>
        <v>#DIV/0!</v>
      </c>
      <c r="AT111" s="162">
        <f t="shared" si="1016"/>
        <v>0</v>
      </c>
      <c r="AU111" s="162" t="e">
        <f t="shared" si="1016"/>
        <v>#DIV/0!</v>
      </c>
      <c r="AV111" s="162">
        <f t="shared" si="1016"/>
        <v>0</v>
      </c>
      <c r="AW111" s="162" t="e">
        <f t="shared" si="1016"/>
        <v>#DIV/0!</v>
      </c>
      <c r="AX111" s="162">
        <f t="shared" si="1016"/>
        <v>0</v>
      </c>
      <c r="AY111" s="162" t="e">
        <f t="shared" si="1016"/>
        <v>#DIV/0!</v>
      </c>
      <c r="AZ111" s="162">
        <f t="shared" si="1016"/>
        <v>0</v>
      </c>
      <c r="BA111" s="162" t="e">
        <f t="shared" si="1016"/>
        <v>#DIV/0!</v>
      </c>
      <c r="BB111" s="162">
        <f t="shared" si="1016"/>
        <v>0</v>
      </c>
      <c r="BC111" s="162" t="e">
        <f t="shared" si="1016"/>
        <v>#DIV/0!</v>
      </c>
      <c r="BD111" s="162">
        <f t="shared" si="1016"/>
        <v>0</v>
      </c>
      <c r="BE111" s="162" t="e">
        <f t="shared" si="1016"/>
        <v>#DIV/0!</v>
      </c>
      <c r="BF111" s="162">
        <f t="shared" si="1016"/>
        <v>0</v>
      </c>
      <c r="BG111" s="162" t="e">
        <f t="shared" si="1016"/>
        <v>#DIV/0!</v>
      </c>
      <c r="BH111" s="162">
        <f t="shared" si="1016"/>
        <v>0</v>
      </c>
      <c r="BI111" s="162" t="e">
        <f t="shared" si="1016"/>
        <v>#DIV/0!</v>
      </c>
      <c r="BJ111" s="162">
        <f t="shared" si="1016"/>
        <v>0</v>
      </c>
      <c r="BK111" s="162" t="e">
        <f t="shared" si="1016"/>
        <v>#DIV/0!</v>
      </c>
      <c r="BL111" s="162">
        <f t="shared" si="1016"/>
        <v>0</v>
      </c>
      <c r="BM111" s="162">
        <f t="shared" si="1016"/>
        <v>-27.013000000000002</v>
      </c>
      <c r="BN111" s="162">
        <f t="shared" si="1016"/>
        <v>-957.94500000000005</v>
      </c>
      <c r="BO111" s="162">
        <f t="shared" si="1016"/>
        <v>-1218.6019007278746</v>
      </c>
      <c r="BP111" s="162">
        <f t="shared" si="1016"/>
        <v>-2011.2749999999996</v>
      </c>
      <c r="BQ111" s="162">
        <f t="shared" si="1016"/>
        <v>-1867.3594193314611</v>
      </c>
      <c r="BR111" s="162">
        <f t="shared" si="1016"/>
        <v>-448.21190749999982</v>
      </c>
      <c r="BS111" s="162">
        <f t="shared" si="1016"/>
        <v>-848.00296643739273</v>
      </c>
      <c r="BT111" s="162">
        <f t="shared" si="1016"/>
        <v>-2648.9779900000003</v>
      </c>
      <c r="BU111" s="162">
        <f t="shared" si="1016"/>
        <v>-3177.5373418921372</v>
      </c>
      <c r="BV111" s="162">
        <f t="shared" si="1016"/>
        <v>-2586.8083050000005</v>
      </c>
      <c r="BW111" s="162">
        <f t="shared" si="1016"/>
        <v>-2881.1623177456531</v>
      </c>
      <c r="BX111" s="162">
        <f t="shared" si="1016"/>
        <v>-1343.6588899999999</v>
      </c>
      <c r="BY111" s="162">
        <f t="shared" si="1016"/>
        <v>-1572.6710967529184</v>
      </c>
      <c r="BZ111" s="162">
        <f t="shared" si="1016"/>
        <v>-3937.2629999999999</v>
      </c>
      <c r="CA111" s="162">
        <f t="shared" si="1016"/>
        <v>-3932.3239971323569</v>
      </c>
      <c r="CB111" s="162">
        <f t="shared" si="1016"/>
        <v>-4949.7868215000008</v>
      </c>
      <c r="CC111" s="162">
        <f t="shared" si="1016"/>
        <v>-4927.2405301441704</v>
      </c>
      <c r="CD111" s="162">
        <f t="shared" si="1016"/>
        <v>-5323.6329745000003</v>
      </c>
      <c r="CE111" s="162">
        <f t="shared" ref="CE111:CF111" si="1017">+CE108+CE109</f>
        <v>-6044.1828425133781</v>
      </c>
      <c r="CF111" s="162">
        <f t="shared" si="1017"/>
        <v>-7440.3636175000011</v>
      </c>
      <c r="CG111" s="162">
        <f t="shared" ref="CG111:CH111" si="1018">+CG108+CG109</f>
        <v>-5862.9547308390738</v>
      </c>
      <c r="CH111" s="162">
        <f t="shared" si="1018"/>
        <v>-2810.6168600000005</v>
      </c>
      <c r="CI111" s="162">
        <f t="shared" ref="CI111:CJ111" si="1019">+CI108+CI109</f>
        <v>-2803.2807700139392</v>
      </c>
      <c r="CJ111" s="162">
        <f t="shared" si="1019"/>
        <v>-7680.4656600000017</v>
      </c>
      <c r="CK111" s="162">
        <f t="shared" ref="CK111:CL111" si="1020">+CK108+CK109</f>
        <v>-8427.4437162686754</v>
      </c>
      <c r="CL111" s="162">
        <f t="shared" si="1020"/>
        <v>7136.2743999999984</v>
      </c>
      <c r="CM111" s="21">
        <f t="shared" ref="CM111:DB111" si="1021">+CM108+CM109</f>
        <v>15856.258514514262</v>
      </c>
      <c r="CN111" s="21">
        <f t="shared" si="1021"/>
        <v>5814.1535821722391</v>
      </c>
      <c r="CO111" s="21">
        <f t="shared" si="1021"/>
        <v>-7234.0784711630631</v>
      </c>
      <c r="CP111" s="21">
        <f t="shared" si="1021"/>
        <v>-7971.372276217603</v>
      </c>
      <c r="CQ111" s="21">
        <f t="shared" si="1021"/>
        <v>-6294.9293286784778</v>
      </c>
      <c r="CR111" s="21">
        <f t="shared" si="1021"/>
        <v>-7121.7802997219378</v>
      </c>
      <c r="CS111" s="21">
        <f t="shared" si="1021"/>
        <v>-8542.3079451497324</v>
      </c>
      <c r="CT111" s="21">
        <f t="shared" si="1021"/>
        <v>-9616.9926696153634</v>
      </c>
      <c r="CU111" s="21">
        <f t="shared" si="1021"/>
        <v>-7592.4181078488728</v>
      </c>
      <c r="CV111" s="21">
        <f t="shared" si="1021"/>
        <v>-8620.5877183235461</v>
      </c>
      <c r="CW111" s="21">
        <f t="shared" si="1021"/>
        <v>-10301.76277812338</v>
      </c>
      <c r="CX111" s="21">
        <f t="shared" si="1021"/>
        <v>-11535.629640556825</v>
      </c>
      <c r="CY111" s="21">
        <f t="shared" si="1021"/>
        <v>-9156.3625023383938</v>
      </c>
      <c r="CZ111" s="21">
        <f t="shared" si="1021"/>
        <v>-10378.059178461486</v>
      </c>
      <c r="DA111" s="21">
        <f t="shared" si="1021"/>
        <v>-12353.048514065287</v>
      </c>
      <c r="DB111" s="21">
        <f t="shared" si="1021"/>
        <v>-13798.536849434478</v>
      </c>
      <c r="DE111" s="22"/>
      <c r="DF111" s="162">
        <v>13116.5602</v>
      </c>
    </row>
    <row r="112" spans="1:110" s="162" customFormat="1" x14ac:dyDescent="0.2">
      <c r="A112" s="49" t="s">
        <v>13</v>
      </c>
      <c r="B112" s="162">
        <f t="shared" ref="B112:AE112" si="1022">+B28</f>
        <v>0</v>
      </c>
      <c r="C112" s="162">
        <f t="shared" si="1022"/>
        <v>0</v>
      </c>
      <c r="D112" s="162">
        <f t="shared" si="1022"/>
        <v>0</v>
      </c>
      <c r="E112" s="162">
        <f t="shared" si="1022"/>
        <v>0</v>
      </c>
      <c r="F112" s="162">
        <f t="shared" si="1022"/>
        <v>0</v>
      </c>
      <c r="G112" s="162">
        <f t="shared" si="1022"/>
        <v>0</v>
      </c>
      <c r="H112" s="162">
        <f t="shared" si="1022"/>
        <v>0</v>
      </c>
      <c r="I112" s="162">
        <f t="shared" si="1022"/>
        <v>6.3978982000000038</v>
      </c>
      <c r="J112" s="162">
        <f t="shared" si="1022"/>
        <v>4.1539738999999969</v>
      </c>
      <c r="K112" s="162">
        <f t="shared" si="1022"/>
        <v>3.1735168999999992</v>
      </c>
      <c r="L112" s="162">
        <f t="shared" si="1022"/>
        <v>-9.2416138000000032</v>
      </c>
      <c r="M112" s="162">
        <f t="shared" si="1022"/>
        <v>22.663896899999997</v>
      </c>
      <c r="N112" s="162">
        <f t="shared" si="1022"/>
        <v>0</v>
      </c>
      <c r="O112" s="162">
        <f t="shared" si="1022"/>
        <v>27.019779200000016</v>
      </c>
      <c r="P112" s="162">
        <f t="shared" si="1022"/>
        <v>108.51476710000003</v>
      </c>
      <c r="Q112" s="162">
        <f t="shared" si="1022"/>
        <v>86.135730000000024</v>
      </c>
      <c r="R112" s="162">
        <f t="shared" si="1022"/>
        <v>-6.1356488000000127</v>
      </c>
      <c r="S112" s="162">
        <f t="shared" si="1022"/>
        <v>248.28872050000007</v>
      </c>
      <c r="T112" s="162">
        <f t="shared" si="1022"/>
        <v>187.673</v>
      </c>
      <c r="U112" s="162">
        <f t="shared" si="1022"/>
        <v>159.55700000000002</v>
      </c>
      <c r="V112" s="162">
        <f t="shared" si="1022"/>
        <v>436.54499999999996</v>
      </c>
      <c r="W112" s="162">
        <f t="shared" si="1022"/>
        <v>925.33300000000008</v>
      </c>
      <c r="X112" s="162">
        <f t="shared" si="1022"/>
        <v>1292.364</v>
      </c>
      <c r="Y112" s="162">
        <f t="shared" si="1022"/>
        <v>1692.2530000000002</v>
      </c>
      <c r="Z112" s="162">
        <f t="shared" si="1022"/>
        <v>1981.9679999999998</v>
      </c>
      <c r="AA112" s="162">
        <f t="shared" ref="AA112" si="1023">+AA28</f>
        <v>1818.9499999999998</v>
      </c>
      <c r="AB112" s="21">
        <f t="shared" si="1022"/>
        <v>2146.4823209697188</v>
      </c>
      <c r="AC112" s="21">
        <f t="shared" si="1022"/>
        <v>2527.1677989685231</v>
      </c>
      <c r="AD112" s="21">
        <f t="shared" si="1022"/>
        <v>2967.5693160902592</v>
      </c>
      <c r="AE112" s="21">
        <f t="shared" si="1022"/>
        <v>3483.7191596862358</v>
      </c>
      <c r="AL112" s="162">
        <f t="shared" ref="AL112:BQ112" si="1024">+SUM(AI28:AL28)</f>
        <v>0</v>
      </c>
      <c r="AM112" s="162">
        <f t="shared" si="1024"/>
        <v>0</v>
      </c>
      <c r="AN112" s="162">
        <f t="shared" si="1024"/>
        <v>0</v>
      </c>
      <c r="AO112" s="162">
        <f t="shared" si="1024"/>
        <v>0</v>
      </c>
      <c r="AP112" s="162">
        <f t="shared" si="1024"/>
        <v>0</v>
      </c>
      <c r="AQ112" s="162">
        <f t="shared" si="1024"/>
        <v>0</v>
      </c>
      <c r="AR112" s="162">
        <f t="shared" si="1024"/>
        <v>0</v>
      </c>
      <c r="AS112" s="162">
        <f t="shared" si="1024"/>
        <v>0</v>
      </c>
      <c r="AT112" s="162">
        <f t="shared" si="1024"/>
        <v>0</v>
      </c>
      <c r="AU112" s="162">
        <f t="shared" si="1024"/>
        <v>0</v>
      </c>
      <c r="AV112" s="162">
        <f t="shared" si="1024"/>
        <v>0</v>
      </c>
      <c r="AW112" s="162">
        <f t="shared" si="1024"/>
        <v>0</v>
      </c>
      <c r="AX112" s="162">
        <f t="shared" si="1024"/>
        <v>0</v>
      </c>
      <c r="AY112" s="162">
        <f t="shared" si="1024"/>
        <v>0</v>
      </c>
      <c r="AZ112" s="162">
        <f t="shared" si="1024"/>
        <v>0</v>
      </c>
      <c r="BA112" s="162">
        <f t="shared" si="1024"/>
        <v>0</v>
      </c>
      <c r="BB112" s="162">
        <f t="shared" si="1024"/>
        <v>0</v>
      </c>
      <c r="BC112" s="162">
        <f t="shared" si="1024"/>
        <v>0</v>
      </c>
      <c r="BD112" s="162">
        <f t="shared" si="1024"/>
        <v>0</v>
      </c>
      <c r="BE112" s="162">
        <f t="shared" si="1024"/>
        <v>0</v>
      </c>
      <c r="BF112" s="162">
        <f t="shared" si="1024"/>
        <v>0</v>
      </c>
      <c r="BG112" s="162">
        <f t="shared" si="1024"/>
        <v>0</v>
      </c>
      <c r="BH112" s="162">
        <f t="shared" si="1024"/>
        <v>0</v>
      </c>
      <c r="BI112" s="162">
        <f t="shared" si="1024"/>
        <v>0</v>
      </c>
      <c r="BJ112" s="162">
        <f t="shared" si="1024"/>
        <v>0</v>
      </c>
      <c r="BK112" s="162">
        <f t="shared" si="1024"/>
        <v>0</v>
      </c>
      <c r="BL112" s="162">
        <f t="shared" si="1024"/>
        <v>37.319000000000017</v>
      </c>
      <c r="BM112" s="162">
        <f t="shared" si="1024"/>
        <v>83.152000000000015</v>
      </c>
      <c r="BN112" s="162">
        <f t="shared" si="1024"/>
        <v>135.81399999999999</v>
      </c>
      <c r="BO112" s="162">
        <f t="shared" si="1024"/>
        <v>205.41800000000001</v>
      </c>
      <c r="BP112" s="162">
        <f t="shared" si="1024"/>
        <v>278.66800000000001</v>
      </c>
      <c r="BQ112" s="162">
        <f t="shared" si="1024"/>
        <v>338.952</v>
      </c>
      <c r="BR112" s="162">
        <f t="shared" ref="BR112:CW112" si="1025">+SUM(BO28:BR28)</f>
        <v>433.16300000000012</v>
      </c>
      <c r="BS112" s="162">
        <f t="shared" si="1025"/>
        <v>534.45800000000008</v>
      </c>
      <c r="BT112" s="162">
        <f t="shared" si="1025"/>
        <v>616.94800000000009</v>
      </c>
      <c r="BU112" s="162">
        <f t="shared" si="1025"/>
        <v>746.78200000000015</v>
      </c>
      <c r="BV112" s="162">
        <f t="shared" si="1025"/>
        <v>896.29000000000008</v>
      </c>
      <c r="BW112" s="162">
        <f t="shared" si="1025"/>
        <v>991.79100000000005</v>
      </c>
      <c r="BX112" s="162">
        <f t="shared" si="1025"/>
        <v>1115.1319999999998</v>
      </c>
      <c r="BY112" s="162">
        <f t="shared" si="1025"/>
        <v>1203.4809999999998</v>
      </c>
      <c r="BZ112" s="162">
        <f t="shared" si="1025"/>
        <v>1292.828</v>
      </c>
      <c r="CA112" s="162">
        <f t="shared" si="1025"/>
        <v>1346.819</v>
      </c>
      <c r="CB112" s="162">
        <f t="shared" si="1025"/>
        <v>1473.759</v>
      </c>
      <c r="CC112" s="162">
        <f t="shared" si="1025"/>
        <v>1547.3980000000001</v>
      </c>
      <c r="CD112" s="162">
        <f t="shared" si="1025"/>
        <v>1691.5220000000002</v>
      </c>
      <c r="CE112" s="162">
        <f t="shared" si="1025"/>
        <v>1841.5329999999999</v>
      </c>
      <c r="CF112" s="162">
        <f t="shared" si="1025"/>
        <v>2070.029</v>
      </c>
      <c r="CG112" s="162">
        <f t="shared" si="1025"/>
        <v>2168.0149999999994</v>
      </c>
      <c r="CH112" s="162">
        <f t="shared" si="1025"/>
        <v>1980.8839999999996</v>
      </c>
      <c r="CI112" s="162">
        <f t="shared" si="1025"/>
        <v>1785.1539999999995</v>
      </c>
      <c r="CJ112" s="162">
        <f t="shared" si="1025"/>
        <v>1528.7219999999998</v>
      </c>
      <c r="CK112" s="162">
        <f t="shared" si="1025"/>
        <v>1562.1339999999998</v>
      </c>
      <c r="CL112" s="162">
        <f t="shared" si="1025"/>
        <v>1818.008</v>
      </c>
      <c r="CM112" s="21">
        <f t="shared" si="1025"/>
        <v>1952.9437717668579</v>
      </c>
      <c r="CN112" s="21">
        <f t="shared" si="1025"/>
        <v>2027.1837578700524</v>
      </c>
      <c r="CO112" s="21">
        <f t="shared" si="1025"/>
        <v>2089.7872885294546</v>
      </c>
      <c r="CP112" s="21">
        <f t="shared" si="1025"/>
        <v>2146.4823209697188</v>
      </c>
      <c r="CQ112" s="21">
        <f t="shared" si="1025"/>
        <v>2232.5321422975553</v>
      </c>
      <c r="CR112" s="21">
        <f t="shared" si="1025"/>
        <v>2314.2758579867068</v>
      </c>
      <c r="CS112" s="21">
        <f t="shared" si="1025"/>
        <v>2411.5901125231849</v>
      </c>
      <c r="CT112" s="21">
        <f t="shared" si="1025"/>
        <v>2527.167798968524</v>
      </c>
      <c r="CU112" s="21">
        <f t="shared" si="1025"/>
        <v>2615.7429328749836</v>
      </c>
      <c r="CV112" s="21">
        <f t="shared" si="1025"/>
        <v>2713.7708332502439</v>
      </c>
      <c r="CW112" s="21">
        <f t="shared" si="1025"/>
        <v>2832.8075383786654</v>
      </c>
      <c r="CX112" s="21">
        <f t="shared" ref="CX112:DB112" si="1026">+SUM(CU28:CX28)</f>
        <v>2967.5693160902588</v>
      </c>
      <c r="CY112" s="21">
        <f t="shared" si="1026"/>
        <v>3069.4743354928046</v>
      </c>
      <c r="CZ112" s="21">
        <f t="shared" si="1026"/>
        <v>3185.5342302988001</v>
      </c>
      <c r="DA112" s="21">
        <f t="shared" si="1026"/>
        <v>3326.0386708108317</v>
      </c>
      <c r="DB112" s="21">
        <f t="shared" si="1026"/>
        <v>3483.7191596862358</v>
      </c>
      <c r="DE112" s="22"/>
      <c r="DF112" s="162">
        <v>1818.9499999999998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27">+C110/C112</f>
        <v>#DIV/0!</v>
      </c>
      <c r="D113" s="162" t="e">
        <f t="shared" si="1027"/>
        <v>#DIV/0!</v>
      </c>
      <c r="E113" s="162" t="e">
        <f t="shared" ca="1" si="1027"/>
        <v>#DIV/0!</v>
      </c>
      <c r="F113" s="162" t="e">
        <f t="shared" ca="1" si="1027"/>
        <v>#DIV/0!</v>
      </c>
      <c r="G113" s="162" t="e">
        <f t="shared" ca="1" si="1027"/>
        <v>#DIV/0!</v>
      </c>
      <c r="H113" s="162" t="e">
        <f t="shared" ca="1" si="1027"/>
        <v>#DIV/0!</v>
      </c>
      <c r="I113" s="162">
        <f t="shared" ca="1" si="1027"/>
        <v>-3.1577229534536802E-2</v>
      </c>
      <c r="J113" s="162">
        <f t="shared" ca="1" si="1027"/>
        <v>-0.33036911955561421</v>
      </c>
      <c r="K113" s="162">
        <f t="shared" ca="1" si="1027"/>
        <v>20.928116311591101</v>
      </c>
      <c r="L113" s="162">
        <f t="shared" ca="1" si="1027"/>
        <v>-5.9428668832709697</v>
      </c>
      <c r="M113" s="162">
        <f t="shared" ca="1" si="1027"/>
        <v>1.1276521823570422</v>
      </c>
      <c r="N113" s="162" t="e">
        <f t="shared" ca="1" si="1027"/>
        <v>#DIV/0!</v>
      </c>
      <c r="O113" s="162">
        <f t="shared" ca="1" si="1027"/>
        <v>-1.5467716738410633</v>
      </c>
      <c r="P113" s="162">
        <f t="shared" ca="1" si="1027"/>
        <v>-0.75641929751697345</v>
      </c>
      <c r="Q113" s="162">
        <f t="shared" ca="1" si="1027"/>
        <v>-0.91845456931751723</v>
      </c>
      <c r="R113" s="162">
        <f t="shared" ca="1" si="1027"/>
        <v>-17.086427127315332</v>
      </c>
      <c r="S113" s="162">
        <f t="shared" ca="1" si="1027"/>
        <v>0.77320117165773616</v>
      </c>
      <c r="T113" s="162">
        <f t="shared" ca="1" si="1027"/>
        <v>-0.68770148076707882</v>
      </c>
      <c r="U113" s="162">
        <f t="shared" ca="1" si="1027"/>
        <v>-6.0037792136979267</v>
      </c>
      <c r="V113" s="162">
        <f t="shared" ca="1" si="1027"/>
        <v>6.8674692185227189</v>
      </c>
      <c r="W113" s="162">
        <f t="shared" ca="1" si="1027"/>
        <v>12.972183203236021</v>
      </c>
      <c r="X113" s="162">
        <f t="shared" ref="X113:Y113" ca="1" si="1028">+X110/X112</f>
        <v>10.608305554781779</v>
      </c>
      <c r="Y113" s="162">
        <f t="shared" ca="1" si="1028"/>
        <v>18.449188159217325</v>
      </c>
      <c r="Z113" s="162">
        <f t="shared" ref="Z113:AA113" ca="1" si="1029">+Z110/Z112</f>
        <v>13.790051786910787</v>
      </c>
      <c r="AA113" s="162">
        <f t="shared" ref="AA113" ca="1" si="1030">+AA110/AA112</f>
        <v>13.790051786910787</v>
      </c>
      <c r="AB113" s="21">
        <f t="shared" ref="AB113:AD113" ca="1" si="1031">+AB110/AB112</f>
        <v>8.3045520457935691</v>
      </c>
      <c r="AC113" s="21">
        <f t="shared" ca="1" si="1031"/>
        <v>-3.2093486536514182</v>
      </c>
      <c r="AD113" s="21">
        <f t="shared" ca="1" si="1031"/>
        <v>-3.2868994356987478</v>
      </c>
      <c r="AE113" s="21">
        <f t="shared" ref="AE113" ca="1" si="1032">+AE110/AE112</f>
        <v>-3.3572011209323964</v>
      </c>
      <c r="AL113" s="162" t="e">
        <f t="shared" ref="AL113" si="1033">+AL110/AL112</f>
        <v>#DIV/0!</v>
      </c>
      <c r="AM113" s="162" t="e">
        <f t="shared" ref="AM113:AO113" si="1034">+AM110/AM112</f>
        <v>#DIV/0!</v>
      </c>
      <c r="AN113" s="162" t="e">
        <f t="shared" si="1034"/>
        <v>#DIV/0!</v>
      </c>
      <c r="AO113" s="162" t="e">
        <f t="shared" si="1034"/>
        <v>#DIV/0!</v>
      </c>
      <c r="AP113" s="162" t="e">
        <f t="shared" ref="AP113:CD113" si="1035">+AP110/AP112</f>
        <v>#DIV/0!</v>
      </c>
      <c r="AQ113" s="162" t="e">
        <f t="shared" si="1035"/>
        <v>#DIV/0!</v>
      </c>
      <c r="AR113" s="162" t="e">
        <f t="shared" si="1035"/>
        <v>#DIV/0!</v>
      </c>
      <c r="AS113" s="162" t="e">
        <f t="shared" si="1035"/>
        <v>#DIV/0!</v>
      </c>
      <c r="AT113" s="162" t="e">
        <f t="shared" si="1035"/>
        <v>#DIV/0!</v>
      </c>
      <c r="AU113" s="162" t="e">
        <f t="shared" si="1035"/>
        <v>#DIV/0!</v>
      </c>
      <c r="AV113" s="162" t="e">
        <f t="shared" si="1035"/>
        <v>#DIV/0!</v>
      </c>
      <c r="AW113" s="162" t="e">
        <f t="shared" si="1035"/>
        <v>#DIV/0!</v>
      </c>
      <c r="AX113" s="162" t="e">
        <f t="shared" si="1035"/>
        <v>#DIV/0!</v>
      </c>
      <c r="AY113" s="162" t="e">
        <f t="shared" si="1035"/>
        <v>#DIV/0!</v>
      </c>
      <c r="AZ113" s="162" t="e">
        <f t="shared" si="1035"/>
        <v>#DIV/0!</v>
      </c>
      <c r="BA113" s="162" t="e">
        <f t="shared" si="1035"/>
        <v>#DIV/0!</v>
      </c>
      <c r="BB113" s="162" t="e">
        <f t="shared" si="1035"/>
        <v>#DIV/0!</v>
      </c>
      <c r="BC113" s="162" t="e">
        <f t="shared" si="1035"/>
        <v>#DIV/0!</v>
      </c>
      <c r="BD113" s="162" t="e">
        <f t="shared" si="1035"/>
        <v>#DIV/0!</v>
      </c>
      <c r="BE113" s="162" t="e">
        <f t="shared" si="1035"/>
        <v>#DIV/0!</v>
      </c>
      <c r="BF113" s="162" t="e">
        <f t="shared" si="1035"/>
        <v>#DIV/0!</v>
      </c>
      <c r="BG113" s="162" t="e">
        <f t="shared" si="1035"/>
        <v>#DIV/0!</v>
      </c>
      <c r="BH113" s="162" t="e">
        <f t="shared" si="1035"/>
        <v>#DIV/0!</v>
      </c>
      <c r="BI113" s="162" t="e">
        <f t="shared" si="1035"/>
        <v>#DIV/0!</v>
      </c>
      <c r="BJ113" s="162" t="e">
        <f t="shared" si="1035"/>
        <v>#DIV/0!</v>
      </c>
      <c r="BK113" s="162" t="e">
        <f t="shared" si="1035"/>
        <v>#DIV/0!</v>
      </c>
      <c r="BL113" s="162">
        <f t="shared" si="1035"/>
        <v>0</v>
      </c>
      <c r="BM113" s="162">
        <f t="shared" si="1035"/>
        <v>-0.32486290167404269</v>
      </c>
      <c r="BN113" s="162">
        <f t="shared" si="1035"/>
        <v>-7.0533597420000893</v>
      </c>
      <c r="BO113" s="162">
        <f t="shared" si="1035"/>
        <v>-5.932303404413803</v>
      </c>
      <c r="BP113" s="162">
        <f t="shared" si="1035"/>
        <v>-7.2174594858397789</v>
      </c>
      <c r="BQ113" s="162">
        <f t="shared" si="1035"/>
        <v>-5.0160888468911855</v>
      </c>
      <c r="BR113" s="162">
        <f t="shared" si="1035"/>
        <v>-0.83651712403875611</v>
      </c>
      <c r="BS113" s="162">
        <f t="shared" si="1035"/>
        <v>-0.42931175496931967</v>
      </c>
      <c r="BT113" s="162">
        <f t="shared" si="1035"/>
        <v>-3.3658488559813793</v>
      </c>
      <c r="BU113" s="162">
        <f t="shared" si="1035"/>
        <v>-3.4079124843557245</v>
      </c>
      <c r="BV113" s="162">
        <f t="shared" si="1035"/>
        <v>-2.3461525957000529</v>
      </c>
      <c r="BW113" s="162">
        <f t="shared" si="1035"/>
        <v>-2.0304396009296846</v>
      </c>
      <c r="BX113" s="162">
        <f t="shared" si="1035"/>
        <v>-0.84129403514561518</v>
      </c>
      <c r="BY113" s="162">
        <f t="shared" si="1035"/>
        <v>-0.95026431265048505</v>
      </c>
      <c r="BZ113" s="162">
        <f t="shared" si="1035"/>
        <v>-2.7884699182721908</v>
      </c>
      <c r="CA113" s="162">
        <f t="shared" si="1035"/>
        <v>-2.5250032685404329</v>
      </c>
      <c r="CB113" s="162">
        <f t="shared" si="1035"/>
        <v>-3.040498049884683</v>
      </c>
      <c r="CC113" s="162">
        <f t="shared" si="1035"/>
        <v>-2.2029364030095495</v>
      </c>
      <c r="CD113" s="162">
        <f t="shared" si="1035"/>
        <v>-2.3078212937815765</v>
      </c>
      <c r="CE113" s="162">
        <f t="shared" ref="CE113:CF113" si="1036">+CE110/CE112</f>
        <v>-2.7397025179637717</v>
      </c>
      <c r="CF113" s="162">
        <f t="shared" si="1036"/>
        <v>-3.2329114802256398</v>
      </c>
      <c r="CG113" s="162">
        <f t="shared" ref="CG113:CH113" si="1037">+CG110/CG112</f>
        <v>-2.2631627356540776</v>
      </c>
      <c r="CH113" s="162">
        <f t="shared" si="1037"/>
        <v>-0.91453911359776785</v>
      </c>
      <c r="CI113" s="162">
        <f t="shared" ref="CI113:CJ113" si="1038">+CI110/CI112</f>
        <v>-0.94743486697166734</v>
      </c>
      <c r="CJ113" s="162">
        <f t="shared" si="1038"/>
        <v>-4.5066489656065674</v>
      </c>
      <c r="CK113" s="162">
        <f t="shared" ref="CK113:CL113" si="1039">+CK110/CK112</f>
        <v>-4.9602790693811647</v>
      </c>
      <c r="CL113" s="162">
        <f t="shared" si="1039"/>
        <v>7.5226562259351981</v>
      </c>
      <c r="CM113" s="21">
        <f t="shared" ref="CM113:DB113" si="1040">+CM110/CM112</f>
        <v>10.860062244107811</v>
      </c>
      <c r="CN113" s="21">
        <f t="shared" si="1040"/>
        <v>4.5995422873831426</v>
      </c>
      <c r="CO113" s="21">
        <f t="shared" si="1040"/>
        <v>-2.8984787509042556</v>
      </c>
      <c r="CP113" s="21">
        <f t="shared" si="1040"/>
        <v>-3.1248161741508751</v>
      </c>
      <c r="CQ113" s="21">
        <f t="shared" si="1040"/>
        <v>-2.2280433786930418</v>
      </c>
      <c r="CR113" s="21">
        <f t="shared" si="1040"/>
        <v>-2.4830619785697294</v>
      </c>
      <c r="CS113" s="21">
        <f t="shared" si="1040"/>
        <v>-2.9459722024879436</v>
      </c>
      <c r="CT113" s="21">
        <f t="shared" si="1040"/>
        <v>-3.2093486536514173</v>
      </c>
      <c r="CU113" s="21">
        <f t="shared" si="1040"/>
        <v>-2.3063993639279041</v>
      </c>
      <c r="CV113" s="21">
        <f t="shared" si="1040"/>
        <v>-2.579301401250766</v>
      </c>
      <c r="CW113" s="21">
        <f t="shared" si="1040"/>
        <v>-3.0377711117680719</v>
      </c>
      <c r="CX113" s="21">
        <f t="shared" si="1040"/>
        <v>-3.2868994356987482</v>
      </c>
      <c r="CY113" s="21">
        <f t="shared" si="1040"/>
        <v>-2.3831949199741569</v>
      </c>
      <c r="CZ113" s="21">
        <f t="shared" si="1040"/>
        <v>-2.6572547730897242</v>
      </c>
      <c r="DA113" s="21">
        <f t="shared" si="1040"/>
        <v>-3.1119589459197412</v>
      </c>
      <c r="DB113" s="21">
        <f t="shared" si="1040"/>
        <v>-3.3572011209323964</v>
      </c>
      <c r="DE113" s="22"/>
      <c r="DF113" s="162">
        <v>13.790051786910787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41">+C111/C112</f>
        <v>#DIV/0!</v>
      </c>
      <c r="D114" s="162" t="e">
        <f t="shared" si="1041"/>
        <v>#DIV/0!</v>
      </c>
      <c r="E114" s="162" t="e">
        <f t="shared" ca="1" si="1041"/>
        <v>#DIV/0!</v>
      </c>
      <c r="F114" s="162" t="e">
        <f t="shared" ca="1" si="1041"/>
        <v>#DIV/0!</v>
      </c>
      <c r="G114" s="162" t="e">
        <f t="shared" ca="1" si="1041"/>
        <v>#DIV/0!</v>
      </c>
      <c r="H114" s="162" t="e">
        <f t="shared" ca="1" si="1041"/>
        <v>#DIV/0!</v>
      </c>
      <c r="I114" s="162">
        <f t="shared" ca="1" si="1041"/>
        <v>-3.1577229534536802E-2</v>
      </c>
      <c r="J114" s="162">
        <f t="shared" ca="1" si="1041"/>
        <v>-0.33036911955561421</v>
      </c>
      <c r="K114" s="162">
        <f t="shared" ca="1" si="1041"/>
        <v>20.928116311591101</v>
      </c>
      <c r="L114" s="162">
        <f t="shared" ca="1" si="1041"/>
        <v>-5.9428668832709697</v>
      </c>
      <c r="M114" s="162">
        <f t="shared" ca="1" si="1041"/>
        <v>1.1276521823570422</v>
      </c>
      <c r="N114" s="162" t="e">
        <f t="shared" ca="1" si="1041"/>
        <v>#DIV/0!</v>
      </c>
      <c r="O114" s="162">
        <f t="shared" ca="1" si="1041"/>
        <v>-1.5467716738410633</v>
      </c>
      <c r="P114" s="162">
        <f t="shared" ca="1" si="1041"/>
        <v>-0.75641929751697345</v>
      </c>
      <c r="Q114" s="162">
        <f t="shared" ca="1" si="1041"/>
        <v>-0.91845456931751723</v>
      </c>
      <c r="R114" s="162">
        <f t="shared" ca="1" si="1041"/>
        <v>-17.086427127315332</v>
      </c>
      <c r="S114" s="162">
        <f t="shared" ca="1" si="1041"/>
        <v>0.77320117165773616</v>
      </c>
      <c r="T114" s="162">
        <f t="shared" ca="1" si="1041"/>
        <v>-0.68770148076707882</v>
      </c>
      <c r="U114" s="162">
        <f t="shared" ca="1" si="1041"/>
        <v>-6.0037792136979267</v>
      </c>
      <c r="V114" s="162">
        <f t="shared" ca="1" si="1041"/>
        <v>3.0230555841894891</v>
      </c>
      <c r="W114" s="162">
        <f t="shared" ca="1" si="1041"/>
        <v>-1.1523861571996248</v>
      </c>
      <c r="X114" s="162">
        <f t="shared" ref="X114:Y114" ca="1" si="1042">+X111/X112</f>
        <v>3.4052349028601854</v>
      </c>
      <c r="Y114" s="162">
        <f t="shared" ca="1" si="1042"/>
        <v>3.6929862792383887</v>
      </c>
      <c r="Z114" s="162">
        <f t="shared" ref="Z114:AA114" ca="1" si="1043">+Z111/Z112</f>
        <v>6.6179475147933777</v>
      </c>
      <c r="AA114" s="162">
        <f t="shared" ref="AA114" ca="1" si="1044">+AA111/AA112</f>
        <v>6.6179475147933777</v>
      </c>
      <c r="AB114" s="21">
        <f t="shared" ref="AB114:AD114" ca="1" si="1045">+AB111/AB112</f>
        <v>-3.9166631364469082</v>
      </c>
      <c r="AC114" s="21">
        <f t="shared" ca="1" si="1045"/>
        <v>-4.1728091025760152</v>
      </c>
      <c r="AD114" s="21">
        <f t="shared" ca="1" si="1045"/>
        <v>-4.2613720482176802</v>
      </c>
      <c r="AE114" s="21">
        <f t="shared" ref="AE114" ca="1" si="1046">+AE111/AE112</f>
        <v>-4.3365887919052613</v>
      </c>
      <c r="AL114" s="162" t="e">
        <f t="shared" ref="AL114:AM114" si="1047">+AL111/AL112</f>
        <v>#DIV/0!</v>
      </c>
      <c r="AM114" s="162" t="e">
        <f t="shared" si="1047"/>
        <v>#DIV/0!</v>
      </c>
      <c r="AN114" s="162" t="e">
        <f t="shared" ref="AN114:AO114" si="1048">+AN111/AN112</f>
        <v>#DIV/0!</v>
      </c>
      <c r="AO114" s="162" t="e">
        <f t="shared" si="1048"/>
        <v>#DIV/0!</v>
      </c>
      <c r="AP114" s="162" t="e">
        <f t="shared" ref="AP114:CD114" si="1049">+AP111/AP112</f>
        <v>#DIV/0!</v>
      </c>
      <c r="AQ114" s="162" t="e">
        <f t="shared" si="1049"/>
        <v>#DIV/0!</v>
      </c>
      <c r="AR114" s="162" t="e">
        <f t="shared" si="1049"/>
        <v>#DIV/0!</v>
      </c>
      <c r="AS114" s="162" t="e">
        <f t="shared" si="1049"/>
        <v>#DIV/0!</v>
      </c>
      <c r="AT114" s="162" t="e">
        <f t="shared" si="1049"/>
        <v>#DIV/0!</v>
      </c>
      <c r="AU114" s="162" t="e">
        <f t="shared" si="1049"/>
        <v>#DIV/0!</v>
      </c>
      <c r="AV114" s="162" t="e">
        <f t="shared" si="1049"/>
        <v>#DIV/0!</v>
      </c>
      <c r="AW114" s="162" t="e">
        <f t="shared" si="1049"/>
        <v>#DIV/0!</v>
      </c>
      <c r="AX114" s="162" t="e">
        <f t="shared" si="1049"/>
        <v>#DIV/0!</v>
      </c>
      <c r="AY114" s="162" t="e">
        <f t="shared" si="1049"/>
        <v>#DIV/0!</v>
      </c>
      <c r="AZ114" s="162" t="e">
        <f t="shared" si="1049"/>
        <v>#DIV/0!</v>
      </c>
      <c r="BA114" s="162" t="e">
        <f t="shared" si="1049"/>
        <v>#DIV/0!</v>
      </c>
      <c r="BB114" s="162" t="e">
        <f t="shared" si="1049"/>
        <v>#DIV/0!</v>
      </c>
      <c r="BC114" s="162" t="e">
        <f t="shared" si="1049"/>
        <v>#DIV/0!</v>
      </c>
      <c r="BD114" s="162" t="e">
        <f t="shared" si="1049"/>
        <v>#DIV/0!</v>
      </c>
      <c r="BE114" s="162" t="e">
        <f t="shared" si="1049"/>
        <v>#DIV/0!</v>
      </c>
      <c r="BF114" s="162" t="e">
        <f t="shared" si="1049"/>
        <v>#DIV/0!</v>
      </c>
      <c r="BG114" s="162" t="e">
        <f t="shared" si="1049"/>
        <v>#DIV/0!</v>
      </c>
      <c r="BH114" s="162" t="e">
        <f t="shared" si="1049"/>
        <v>#DIV/0!</v>
      </c>
      <c r="BI114" s="162" t="e">
        <f t="shared" si="1049"/>
        <v>#DIV/0!</v>
      </c>
      <c r="BJ114" s="162" t="e">
        <f t="shared" si="1049"/>
        <v>#DIV/0!</v>
      </c>
      <c r="BK114" s="162" t="e">
        <f t="shared" si="1049"/>
        <v>#DIV/0!</v>
      </c>
      <c r="BL114" s="162">
        <f t="shared" si="1049"/>
        <v>0</v>
      </c>
      <c r="BM114" s="162">
        <f t="shared" si="1049"/>
        <v>-0.32486290167404269</v>
      </c>
      <c r="BN114" s="162">
        <f t="shared" si="1049"/>
        <v>-7.0533597420000893</v>
      </c>
      <c r="BO114" s="162">
        <f t="shared" si="1049"/>
        <v>-5.932303404413803</v>
      </c>
      <c r="BP114" s="162">
        <f t="shared" si="1049"/>
        <v>-7.2174594858397789</v>
      </c>
      <c r="BQ114" s="162">
        <f t="shared" si="1049"/>
        <v>-5.5092149311155003</v>
      </c>
      <c r="BR114" s="162">
        <f t="shared" si="1049"/>
        <v>-1.0347419043177735</v>
      </c>
      <c r="BS114" s="162">
        <f t="shared" si="1049"/>
        <v>-1.5866596934415662</v>
      </c>
      <c r="BT114" s="162">
        <f t="shared" si="1049"/>
        <v>-4.2936811368219034</v>
      </c>
      <c r="BU114" s="162">
        <f t="shared" si="1049"/>
        <v>-4.2549731272207101</v>
      </c>
      <c r="BV114" s="162">
        <f t="shared" si="1049"/>
        <v>-2.8861287139207179</v>
      </c>
      <c r="BW114" s="162">
        <f t="shared" si="1049"/>
        <v>-2.9050095410682824</v>
      </c>
      <c r="BX114" s="162">
        <f t="shared" si="1049"/>
        <v>-1.2049325909399067</v>
      </c>
      <c r="BY114" s="162">
        <f t="shared" si="1049"/>
        <v>-1.306768529584529</v>
      </c>
      <c r="BZ114" s="162">
        <f t="shared" si="1049"/>
        <v>-3.0454654447459366</v>
      </c>
      <c r="CA114" s="162">
        <f t="shared" si="1049"/>
        <v>-2.9197122977418326</v>
      </c>
      <c r="CB114" s="162">
        <f t="shared" si="1049"/>
        <v>-3.3586134649559396</v>
      </c>
      <c r="CC114" s="162">
        <f t="shared" si="1049"/>
        <v>-3.1842102226732685</v>
      </c>
      <c r="CD114" s="162">
        <f t="shared" si="1049"/>
        <v>-3.1472443009904687</v>
      </c>
      <c r="CE114" s="162">
        <f t="shared" ref="CE114:CF114" si="1050">+CE111/CE112</f>
        <v>-3.282147451342647</v>
      </c>
      <c r="CF114" s="162">
        <f t="shared" si="1050"/>
        <v>-3.5943282038560818</v>
      </c>
      <c r="CG114" s="162">
        <f t="shared" ref="CG114:CH114" si="1051">+CG111/CG112</f>
        <v>-2.7042962022121966</v>
      </c>
      <c r="CH114" s="162">
        <f t="shared" si="1051"/>
        <v>-1.418869989358287</v>
      </c>
      <c r="CI114" s="162">
        <f t="shared" ref="CI114:CJ114" si="1052">+CI111/CI112</f>
        <v>-1.5703299379291311</v>
      </c>
      <c r="CJ114" s="162">
        <f t="shared" si="1052"/>
        <v>-5.0241088046093418</v>
      </c>
      <c r="CK114" s="162">
        <f t="shared" ref="CK114:CL114" si="1053">+CK111/CK112</f>
        <v>-5.3948276628436975</v>
      </c>
      <c r="CL114" s="162">
        <f t="shared" si="1053"/>
        <v>3.9253261811829203</v>
      </c>
      <c r="CM114" s="21">
        <f t="shared" ref="CM114:DB114" si="1054">+CM111/CM112</f>
        <v>8.1191577267833281</v>
      </c>
      <c r="CN114" s="21">
        <f t="shared" si="1054"/>
        <v>2.8680940046013039</v>
      </c>
      <c r="CO114" s="21">
        <f t="shared" si="1054"/>
        <v>-3.4616338757872112</v>
      </c>
      <c r="CP114" s="21">
        <f t="shared" si="1054"/>
        <v>-3.7136910927905369</v>
      </c>
      <c r="CQ114" s="21">
        <f t="shared" si="1054"/>
        <v>-2.8196365953326015</v>
      </c>
      <c r="CR114" s="21">
        <f t="shared" si="1054"/>
        <v>-3.0773255811938931</v>
      </c>
      <c r="CS114" s="21">
        <f t="shared" si="1054"/>
        <v>-3.5421889900734973</v>
      </c>
      <c r="CT114" s="21">
        <f t="shared" si="1054"/>
        <v>-3.8054428651475325</v>
      </c>
      <c r="CU114" s="21">
        <f t="shared" si="1054"/>
        <v>-2.9025857290586221</v>
      </c>
      <c r="CV114" s="21">
        <f t="shared" si="1054"/>
        <v>-3.1766085819408683</v>
      </c>
      <c r="CW114" s="21">
        <f t="shared" si="1054"/>
        <v>-3.636591133903686</v>
      </c>
      <c r="CX114" s="21">
        <f t="shared" si="1054"/>
        <v>-3.8872317414829234</v>
      </c>
      <c r="CY114" s="21">
        <f t="shared" si="1054"/>
        <v>-2.9830392769413199</v>
      </c>
      <c r="CZ114" s="21">
        <f t="shared" si="1054"/>
        <v>-3.2578708713131719</v>
      </c>
      <c r="DA114" s="21">
        <f t="shared" si="1054"/>
        <v>-3.7140423599025154</v>
      </c>
      <c r="DB114" s="21">
        <f t="shared" si="1054"/>
        <v>-3.9608637255011265</v>
      </c>
      <c r="DE114" s="22"/>
      <c r="DF114" s="162">
        <v>6.6179475147933777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13.438247</v>
      </c>
      <c r="J117" s="23">
        <f>'Annual Raw'!K41</f>
        <v>13.438247</v>
      </c>
      <c r="K117" s="23">
        <f>'Annual Raw'!L41</f>
        <v>13.438247</v>
      </c>
      <c r="L117" s="23">
        <f>'Annual Raw'!M41</f>
        <v>13.438247</v>
      </c>
      <c r="M117" s="23">
        <f>'Annual Raw'!N41</f>
        <v>14.364174999999999</v>
      </c>
      <c r="N117" s="23">
        <f>'Annual Raw'!O41</f>
        <v>14.364174999999999</v>
      </c>
      <c r="O117" s="23">
        <f>'Annual Raw'!P41</f>
        <v>14.364174999999999</v>
      </c>
      <c r="P117" s="23">
        <f>'Annual Raw'!Q41</f>
        <v>14.364174999999999</v>
      </c>
      <c r="Q117" s="23">
        <f>'Annual Raw'!R41</f>
        <v>14.364174999999999</v>
      </c>
      <c r="R117" s="23">
        <f>'Annual Raw'!S41</f>
        <v>14.364174999999999</v>
      </c>
      <c r="S117" s="23">
        <f>'Annual Raw'!T41</f>
        <v>71.995002999999997</v>
      </c>
      <c r="T117" s="23">
        <f>'Annual Raw'!U41</f>
        <v>71.995000000000005</v>
      </c>
      <c r="U117" s="23">
        <f>'Annual Raw'!V41</f>
        <v>71.995000000000005</v>
      </c>
      <c r="V117" s="23">
        <f>'Annual Raw'!W41</f>
        <v>81.826999999999998</v>
      </c>
      <c r="W117" s="23">
        <f>'Annual Raw'!X41</f>
        <v>82.858999999999995</v>
      </c>
      <c r="X117" s="23">
        <f>'Annual Raw'!Y41</f>
        <v>83.42</v>
      </c>
      <c r="Y117" s="23">
        <f>'Annual Raw'!Z41</f>
        <v>84.007999999999996</v>
      </c>
      <c r="Z117" s="23">
        <f>'Annual Raw'!AA41</f>
        <v>90.293999999999997</v>
      </c>
      <c r="AA117" s="23">
        <f>'Annual Raw'!AB41</f>
        <v>91.085999999999999</v>
      </c>
      <c r="AB117" s="24">
        <f>+CP117</f>
        <v>91.085999999999999</v>
      </c>
      <c r="AC117" s="24">
        <f>+CT117</f>
        <v>91.085999999999999</v>
      </c>
      <c r="AD117" s="24">
        <f>+CX117</f>
        <v>91.085999999999999</v>
      </c>
      <c r="AE117" s="24">
        <f>+DB117</f>
        <v>91.085999999999999</v>
      </c>
      <c r="AJ117" s="23">
        <f>+'QTR Raw'!D56</f>
        <v>0</v>
      </c>
      <c r="AK117" s="23">
        <f t="shared" ref="AK117:CE117" si="1055">+AJ117</f>
        <v>0</v>
      </c>
      <c r="AL117" s="23">
        <f>+'QTR Raw'!F56</f>
        <v>0</v>
      </c>
      <c r="AM117" s="23">
        <f t="shared" si="1055"/>
        <v>0</v>
      </c>
      <c r="AN117" s="23">
        <f>+'QTR Raw'!H56</f>
        <v>0</v>
      </c>
      <c r="AO117" s="23">
        <f t="shared" si="1055"/>
        <v>0</v>
      </c>
      <c r="AP117" s="23">
        <f>+'QTR Raw'!J56</f>
        <v>0</v>
      </c>
      <c r="AQ117" s="23">
        <f t="shared" si="1055"/>
        <v>0</v>
      </c>
      <c r="AR117" s="23">
        <f>+'QTR Raw'!L56</f>
        <v>0</v>
      </c>
      <c r="AS117" s="23">
        <f t="shared" si="1055"/>
        <v>0</v>
      </c>
      <c r="AT117" s="23">
        <f>+'QTR Raw'!N56</f>
        <v>0</v>
      </c>
      <c r="AU117" s="23">
        <f t="shared" si="1055"/>
        <v>0</v>
      </c>
      <c r="AV117" s="23">
        <f>+'QTR Raw'!P56</f>
        <v>0</v>
      </c>
      <c r="AW117" s="23">
        <f t="shared" si="1055"/>
        <v>0</v>
      </c>
      <c r="AX117" s="23">
        <f>+'QTR Raw'!R56</f>
        <v>0</v>
      </c>
      <c r="AY117" s="23">
        <f t="shared" si="1055"/>
        <v>0</v>
      </c>
      <c r="AZ117" s="23">
        <f>+'QTR Raw'!T56</f>
        <v>0</v>
      </c>
      <c r="BA117" s="23">
        <f t="shared" si="1055"/>
        <v>0</v>
      </c>
      <c r="BB117" s="23">
        <f>+'QTR Raw'!V56</f>
        <v>0</v>
      </c>
      <c r="BC117" s="23">
        <f t="shared" si="1055"/>
        <v>0</v>
      </c>
      <c r="BD117" s="23">
        <f>+'QTR Raw'!X56</f>
        <v>0</v>
      </c>
      <c r="BE117" s="23">
        <f t="shared" si="1055"/>
        <v>0</v>
      </c>
      <c r="BF117" s="23">
        <f>+'QTR Raw'!Z56</f>
        <v>0</v>
      </c>
      <c r="BG117" s="23">
        <f t="shared" si="1055"/>
        <v>0</v>
      </c>
      <c r="BH117" s="23">
        <f>+'QTR Raw'!AB56</f>
        <v>0</v>
      </c>
      <c r="BI117" s="23">
        <f t="shared" si="1055"/>
        <v>0</v>
      </c>
      <c r="BJ117" s="23">
        <f>+'QTR Raw'!AD56</f>
        <v>0</v>
      </c>
      <c r="BK117" s="23">
        <f t="shared" si="1055"/>
        <v>0</v>
      </c>
      <c r="BL117" s="23">
        <f>+'QTR Raw'!AF56</f>
        <v>0</v>
      </c>
      <c r="BM117" s="23">
        <f t="shared" si="1055"/>
        <v>0</v>
      </c>
      <c r="BN117" s="23">
        <f>+'QTR Raw'!AH56</f>
        <v>71.995000000000005</v>
      </c>
      <c r="BO117" s="23">
        <f t="shared" si="1055"/>
        <v>71.995000000000005</v>
      </c>
      <c r="BP117" s="23">
        <f>+'QTR Raw'!AJ56</f>
        <v>81.799000000000007</v>
      </c>
      <c r="BQ117" s="23">
        <f t="shared" si="1055"/>
        <v>81.799000000000007</v>
      </c>
      <c r="BR117" s="23">
        <f>+'QTR Raw'!AL56</f>
        <v>81.826999999999998</v>
      </c>
      <c r="BS117" s="23">
        <f t="shared" si="1055"/>
        <v>81.826999999999998</v>
      </c>
      <c r="BT117" s="23">
        <f>+'QTR Raw'!AN56</f>
        <v>82.61</v>
      </c>
      <c r="BU117" s="23">
        <f t="shared" si="1055"/>
        <v>82.61</v>
      </c>
      <c r="BV117" s="23">
        <f>+'QTR Raw'!AP56</f>
        <v>82.858999999999995</v>
      </c>
      <c r="BW117" s="23">
        <f t="shared" si="1055"/>
        <v>82.858999999999995</v>
      </c>
      <c r="BX117" s="23">
        <f>+'QTR Raw'!AR56</f>
        <v>83.316000000000003</v>
      </c>
      <c r="BY117" s="23">
        <f t="shared" si="1055"/>
        <v>83.316000000000003</v>
      </c>
      <c r="BZ117" s="23">
        <f>+'QTR Raw'!AT56</f>
        <v>83.42</v>
      </c>
      <c r="CA117" s="23">
        <f t="shared" si="1055"/>
        <v>83.42</v>
      </c>
      <c r="CB117" s="23">
        <f>+'QTR Raw'!AV56</f>
        <v>83.9</v>
      </c>
      <c r="CC117" s="23">
        <f t="shared" si="1055"/>
        <v>83.9</v>
      </c>
      <c r="CD117" s="23">
        <f>+'QTR Raw'!AX56</f>
        <v>84.007999999999996</v>
      </c>
      <c r="CE117" s="23">
        <f t="shared" si="1055"/>
        <v>84.007999999999996</v>
      </c>
      <c r="CF117" s="23">
        <f>+'QTR Raw'!AZ56</f>
        <v>90.150999999999996</v>
      </c>
      <c r="CG117" s="23">
        <f t="shared" ref="CG117:CG118" si="1056">+CF117</f>
        <v>90.150999999999996</v>
      </c>
      <c r="CH117" s="23">
        <f>Z117</f>
        <v>90.293999999999997</v>
      </c>
      <c r="CI117" s="23">
        <f>CH117</f>
        <v>90.293999999999997</v>
      </c>
      <c r="CJ117" s="23">
        <f>+'QTR Raw'!BD56</f>
        <v>90.716999999999999</v>
      </c>
      <c r="CK117" s="23">
        <f t="shared" ref="CK117:DB117" si="1057">CJ117</f>
        <v>90.716999999999999</v>
      </c>
      <c r="CL117" s="23">
        <f>+'QTR Raw'!BF56</f>
        <v>91.085999999999999</v>
      </c>
      <c r="CM117" s="24">
        <f t="shared" si="1057"/>
        <v>91.085999999999999</v>
      </c>
      <c r="CN117" s="24">
        <f t="shared" si="1057"/>
        <v>91.085999999999999</v>
      </c>
      <c r="CO117" s="24">
        <f t="shared" si="1057"/>
        <v>91.085999999999999</v>
      </c>
      <c r="CP117" s="24">
        <f t="shared" si="1057"/>
        <v>91.085999999999999</v>
      </c>
      <c r="CQ117" s="24">
        <f t="shared" si="1057"/>
        <v>91.085999999999999</v>
      </c>
      <c r="CR117" s="24">
        <f t="shared" si="1057"/>
        <v>91.085999999999999</v>
      </c>
      <c r="CS117" s="24">
        <f t="shared" si="1057"/>
        <v>91.085999999999999</v>
      </c>
      <c r="CT117" s="24">
        <f t="shared" si="1057"/>
        <v>91.085999999999999</v>
      </c>
      <c r="CU117" s="24">
        <f t="shared" si="1057"/>
        <v>91.085999999999999</v>
      </c>
      <c r="CV117" s="24">
        <f t="shared" si="1057"/>
        <v>91.085999999999999</v>
      </c>
      <c r="CW117" s="24">
        <f t="shared" si="1057"/>
        <v>91.085999999999999</v>
      </c>
      <c r="CX117" s="24">
        <f t="shared" si="1057"/>
        <v>91.085999999999999</v>
      </c>
      <c r="CY117" s="24">
        <f t="shared" si="1057"/>
        <v>91.085999999999999</v>
      </c>
      <c r="CZ117" s="24">
        <f t="shared" si="1057"/>
        <v>91.085999999999999</v>
      </c>
      <c r="DA117" s="24">
        <f t="shared" si="1057"/>
        <v>91.085999999999999</v>
      </c>
      <c r="DB117" s="24">
        <f t="shared" si="1057"/>
        <v>91.085999999999999</v>
      </c>
      <c r="DE117" s="123"/>
      <c r="DF117" s="23">
        <v>91.085999999999999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2.0000045000000002</v>
      </c>
      <c r="J118" s="23">
        <f>'Annual Raw'!K42</f>
        <v>2.0000045000000002</v>
      </c>
      <c r="K118" s="23">
        <f>'Annual Raw'!L42</f>
        <v>2.0000045000000002</v>
      </c>
      <c r="L118" s="23">
        <f>'Annual Raw'!M42</f>
        <v>2.0000045000000002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1.544</v>
      </c>
      <c r="U118" s="23">
        <f>'Annual Raw'!V42</f>
        <v>3.4289999999999998</v>
      </c>
      <c r="V118" s="23">
        <f>'Annual Raw'!W42</f>
        <v>3.919</v>
      </c>
      <c r="W118" s="23">
        <f>'Annual Raw'!X42</f>
        <v>13.446</v>
      </c>
      <c r="X118" s="23">
        <f>'Annual Raw'!Y42</f>
        <v>57.81</v>
      </c>
      <c r="Y118" s="23">
        <f>'Annual Raw'!Z42</f>
        <v>81.86</v>
      </c>
      <c r="Z118" s="23">
        <f>'Annual Raw'!AA42</f>
        <v>144.21299999999999</v>
      </c>
      <c r="AA118" s="23">
        <f>'Annual Raw'!AB42</f>
        <v>208.239</v>
      </c>
      <c r="AB118" s="24">
        <f t="shared" ref="AB118:AB119" si="1058">+CP118</f>
        <v>0</v>
      </c>
      <c r="AC118" s="24">
        <f t="shared" ref="AC118:AC119" si="1059">+CT118</f>
        <v>0</v>
      </c>
      <c r="AD118" s="24">
        <f t="shared" ref="AD118:AD119" si="1060">+CX118</f>
        <v>0</v>
      </c>
      <c r="AE118" s="24">
        <f t="shared" ref="AE118:AE119" si="1061">+DB118</f>
        <v>0</v>
      </c>
      <c r="AJ118" s="23">
        <f>+'QTR Raw'!D57</f>
        <v>0</v>
      </c>
      <c r="AK118" s="23">
        <f t="shared" ref="AK118:CE118" si="1062">+AJ118</f>
        <v>0</v>
      </c>
      <c r="AL118" s="23">
        <f>+'QTR Raw'!F57</f>
        <v>0</v>
      </c>
      <c r="AM118" s="23">
        <f t="shared" si="1062"/>
        <v>0</v>
      </c>
      <c r="AN118" s="23">
        <f>+'QTR Raw'!H57</f>
        <v>0</v>
      </c>
      <c r="AO118" s="23">
        <f t="shared" si="1062"/>
        <v>0</v>
      </c>
      <c r="AP118" s="23">
        <f>+'QTR Raw'!J57</f>
        <v>0</v>
      </c>
      <c r="AQ118" s="23">
        <f t="shared" si="1062"/>
        <v>0</v>
      </c>
      <c r="AR118" s="23">
        <f>+'QTR Raw'!L57</f>
        <v>0</v>
      </c>
      <c r="AS118" s="23">
        <f t="shared" si="1062"/>
        <v>0</v>
      </c>
      <c r="AT118" s="23">
        <f>+'QTR Raw'!N57</f>
        <v>0</v>
      </c>
      <c r="AU118" s="23">
        <f t="shared" si="1062"/>
        <v>0</v>
      </c>
      <c r="AV118" s="23">
        <f>+'QTR Raw'!P57</f>
        <v>0</v>
      </c>
      <c r="AW118" s="23">
        <f t="shared" si="1062"/>
        <v>0</v>
      </c>
      <c r="AX118" s="23">
        <f>+'QTR Raw'!R57</f>
        <v>0</v>
      </c>
      <c r="AY118" s="23">
        <f t="shared" si="1062"/>
        <v>0</v>
      </c>
      <c r="AZ118" s="23">
        <f>+'QTR Raw'!T57</f>
        <v>0</v>
      </c>
      <c r="BA118" s="23">
        <f t="shared" si="1062"/>
        <v>0</v>
      </c>
      <c r="BB118" s="23">
        <f>+'QTR Raw'!V57</f>
        <v>0</v>
      </c>
      <c r="BC118" s="23">
        <f t="shared" si="1062"/>
        <v>0</v>
      </c>
      <c r="BD118" s="23">
        <f>+'QTR Raw'!X57</f>
        <v>0</v>
      </c>
      <c r="BE118" s="23">
        <f t="shared" si="1062"/>
        <v>0</v>
      </c>
      <c r="BF118" s="23">
        <f>+'QTR Raw'!Z57</f>
        <v>0</v>
      </c>
      <c r="BG118" s="23">
        <f t="shared" si="1062"/>
        <v>0</v>
      </c>
      <c r="BH118" s="23">
        <f>+'QTR Raw'!AB57</f>
        <v>0</v>
      </c>
      <c r="BI118" s="23">
        <f t="shared" si="1062"/>
        <v>0</v>
      </c>
      <c r="BJ118" s="23">
        <f>+'QTR Raw'!AD57</f>
        <v>0</v>
      </c>
      <c r="BK118" s="23">
        <f t="shared" si="1062"/>
        <v>0</v>
      </c>
      <c r="BL118" s="23">
        <f>+'QTR Raw'!AF57</f>
        <v>0</v>
      </c>
      <c r="BM118" s="23">
        <f t="shared" si="1062"/>
        <v>0</v>
      </c>
      <c r="BN118" s="23">
        <f>+'QTR Raw'!AH57</f>
        <v>0</v>
      </c>
      <c r="BO118" s="23">
        <f t="shared" si="1062"/>
        <v>0</v>
      </c>
      <c r="BP118" s="23">
        <f>+'QTR Raw'!AJ57</f>
        <v>0</v>
      </c>
      <c r="BQ118" s="23">
        <f t="shared" si="1062"/>
        <v>0</v>
      </c>
      <c r="BR118" s="23">
        <f>+'QTR Raw'!AL57</f>
        <v>0</v>
      </c>
      <c r="BS118" s="23">
        <f t="shared" si="1062"/>
        <v>0</v>
      </c>
      <c r="BT118" s="23">
        <f>+'QTR Raw'!AN57</f>
        <v>0</v>
      </c>
      <c r="BU118" s="23">
        <f t="shared" si="1062"/>
        <v>0</v>
      </c>
      <c r="BV118" s="23">
        <f>+'QTR Raw'!AP57</f>
        <v>0</v>
      </c>
      <c r="BW118" s="23">
        <f t="shared" si="1062"/>
        <v>0</v>
      </c>
      <c r="BX118" s="23">
        <f>+'QTR Raw'!AR57</f>
        <v>0</v>
      </c>
      <c r="BY118" s="23">
        <f t="shared" si="1062"/>
        <v>0</v>
      </c>
      <c r="BZ118" s="23">
        <f>+'QTR Raw'!AT57</f>
        <v>0</v>
      </c>
      <c r="CA118" s="23">
        <f t="shared" si="1062"/>
        <v>0</v>
      </c>
      <c r="CB118" s="23">
        <f>+'QTR Raw'!AV57</f>
        <v>0</v>
      </c>
      <c r="CC118" s="23">
        <f t="shared" si="1062"/>
        <v>0</v>
      </c>
      <c r="CD118" s="23">
        <f>+'QTR Raw'!AX57</f>
        <v>0</v>
      </c>
      <c r="CE118" s="23">
        <f t="shared" si="1062"/>
        <v>0</v>
      </c>
      <c r="CF118" s="23">
        <f>+'QTR Raw'!AZ57</f>
        <v>0</v>
      </c>
      <c r="CG118" s="23">
        <f t="shared" si="1056"/>
        <v>0</v>
      </c>
      <c r="CH118" s="23">
        <f t="shared" ref="CH118:CH119" si="1063">Z118</f>
        <v>144.21299999999999</v>
      </c>
      <c r="CI118" s="23">
        <f>CH118</f>
        <v>144.21299999999999</v>
      </c>
      <c r="CJ118" s="23">
        <f>+'QTR Raw'!BD57</f>
        <v>0</v>
      </c>
      <c r="CK118" s="23">
        <f t="shared" ref="CK118:DB118" si="1064">CJ118</f>
        <v>0</v>
      </c>
      <c r="CL118" s="23">
        <f>+'QTR Raw'!BF57</f>
        <v>0</v>
      </c>
      <c r="CM118" s="24">
        <f t="shared" si="1064"/>
        <v>0</v>
      </c>
      <c r="CN118" s="24">
        <f t="shared" si="1064"/>
        <v>0</v>
      </c>
      <c r="CO118" s="24">
        <f t="shared" si="1064"/>
        <v>0</v>
      </c>
      <c r="CP118" s="24">
        <f t="shared" si="1064"/>
        <v>0</v>
      </c>
      <c r="CQ118" s="24">
        <f t="shared" si="1064"/>
        <v>0</v>
      </c>
      <c r="CR118" s="24">
        <f t="shared" si="1064"/>
        <v>0</v>
      </c>
      <c r="CS118" s="24">
        <f t="shared" si="1064"/>
        <v>0</v>
      </c>
      <c r="CT118" s="24">
        <f t="shared" si="1064"/>
        <v>0</v>
      </c>
      <c r="CU118" s="24">
        <f t="shared" si="1064"/>
        <v>0</v>
      </c>
      <c r="CV118" s="24">
        <f t="shared" si="1064"/>
        <v>0</v>
      </c>
      <c r="CW118" s="24">
        <f t="shared" si="1064"/>
        <v>0</v>
      </c>
      <c r="CX118" s="24">
        <f t="shared" si="1064"/>
        <v>0</v>
      </c>
      <c r="CY118" s="24">
        <f t="shared" si="1064"/>
        <v>0</v>
      </c>
      <c r="CZ118" s="24">
        <f t="shared" si="1064"/>
        <v>0</v>
      </c>
      <c r="DA118" s="24">
        <f t="shared" si="1064"/>
        <v>0</v>
      </c>
      <c r="DB118" s="24">
        <f t="shared" si="1064"/>
        <v>0</v>
      </c>
      <c r="DE118" s="123"/>
      <c r="DF118" s="23">
        <v>208.239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165.02268530000001</v>
      </c>
      <c r="J119" s="23">
        <f>'Annual Raw'!K43</f>
        <v>166.9528779</v>
      </c>
      <c r="K119" s="23">
        <f>'Annual Raw'!L43</f>
        <v>175.9698047</v>
      </c>
      <c r="L119" s="23">
        <f>'Annual Raw'!M43</f>
        <v>180.18503250000001</v>
      </c>
      <c r="M119" s="23">
        <f>'Annual Raw'!N43</f>
        <v>184.33092590000001</v>
      </c>
      <c r="N119" s="23">
        <f>'Annual Raw'!O43</f>
        <v>294.45759889999999</v>
      </c>
      <c r="O119" s="23">
        <f>'Annual Raw'!P43</f>
        <v>297.1070848</v>
      </c>
      <c r="P119" s="23">
        <f>'Annual Raw'!Q43</f>
        <v>332.38794999999999</v>
      </c>
      <c r="Q119" s="23">
        <f>'Annual Raw'!R43</f>
        <v>354.93928490000002</v>
      </c>
      <c r="R119" s="23">
        <f>'Annual Raw'!S43</f>
        <v>375.07082969999999</v>
      </c>
      <c r="S119" s="23">
        <f>'Annual Raw'!T43</f>
        <v>402.94811679999998</v>
      </c>
      <c r="T119" s="23">
        <f>'Annual Raw'!U43</f>
        <v>457.89600000000002</v>
      </c>
      <c r="U119" s="23">
        <f>'Annual Raw'!V43</f>
        <v>515.995</v>
      </c>
      <c r="V119" s="23">
        <f>'Annual Raw'!W43</f>
        <v>1045.251</v>
      </c>
      <c r="W119" s="23">
        <f>'Annual Raw'!X43</f>
        <v>1488.0719999999999</v>
      </c>
      <c r="X119" s="23">
        <f>'Annual Raw'!Y43</f>
        <v>2020.328</v>
      </c>
      <c r="Y119" s="23">
        <f>'Annual Raw'!Z43</f>
        <v>2872.7350000000001</v>
      </c>
      <c r="Z119" s="23">
        <f>'Annual Raw'!AA43</f>
        <v>5386.8909999999996</v>
      </c>
      <c r="AA119" s="23">
        <f>'Annual Raw'!AB43</f>
        <v>5818.4660000000003</v>
      </c>
      <c r="AB119" s="24">
        <f t="shared" si="1058"/>
        <v>7290.7146021225162</v>
      </c>
      <c r="AC119" s="24">
        <f t="shared" si="1059"/>
        <v>8797.1446985670318</v>
      </c>
      <c r="AD119" s="24">
        <f t="shared" si="1060"/>
        <v>10578.672428669866</v>
      </c>
      <c r="AE119" s="24">
        <f t="shared" si="1061"/>
        <v>12681.663410192048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27.013000000000002</v>
      </c>
      <c r="BN119" s="23">
        <f>+'QTR Raw'!AH58</f>
        <v>519.42399999999998</v>
      </c>
      <c r="BO119" s="23">
        <f>+BN119+BO48</f>
        <v>566.72399999999993</v>
      </c>
      <c r="BP119" s="23">
        <f>+'QTR Raw'!AJ58</f>
        <v>907.45600000000002</v>
      </c>
      <c r="BQ119" s="23">
        <f>+BP119+BQ48</f>
        <v>980.62400000000002</v>
      </c>
      <c r="BR119" s="23">
        <f>+'QTR Raw'!AL58</f>
        <v>1049.17</v>
      </c>
      <c r="BS119" s="23">
        <f>+BR119+BS48</f>
        <v>1170.537</v>
      </c>
      <c r="BT119" s="23">
        <f>+'QTR Raw'!AN58</f>
        <v>1222.527</v>
      </c>
      <c r="BU119" s="23">
        <f>+BT119+BU48</f>
        <v>1387.0740000000001</v>
      </c>
      <c r="BV119" s="23">
        <f>+'QTR Raw'!AP58</f>
        <v>1501.518</v>
      </c>
      <c r="BW119" s="23">
        <f>+BV119+BW48</f>
        <v>1683.018</v>
      </c>
      <c r="BX119" s="23">
        <f>+'QTR Raw'!AR58</f>
        <v>1803.598</v>
      </c>
      <c r="BY119" s="23">
        <f>+BX119+BY48</f>
        <v>2031.598</v>
      </c>
      <c r="BZ119" s="23">
        <f>+'QTR Raw'!AT58</f>
        <v>2078.1379999999999</v>
      </c>
      <c r="CA119" s="23">
        <f>+BZ119+CA48</f>
        <v>2298.9429999999998</v>
      </c>
      <c r="CB119" s="23">
        <f>+'QTR Raw'!AV58</f>
        <v>2528.6999999999998</v>
      </c>
      <c r="CC119" s="23">
        <f>+CB119+CC48</f>
        <v>2789.0099999999998</v>
      </c>
      <c r="CD119" s="23">
        <f>+'QTR Raw'!AX58</f>
        <v>2954.5949999999998</v>
      </c>
      <c r="CE119" s="23">
        <f>+CD119+CE48</f>
        <v>3247.3209999999999</v>
      </c>
      <c r="CF119" s="23">
        <f>+'QTR Raw'!AZ58</f>
        <v>5187.8410000000003</v>
      </c>
      <c r="CG119" s="23">
        <f>+CF119+CG48</f>
        <v>5469.3070000000007</v>
      </c>
      <c r="CH119" s="23">
        <f t="shared" si="1063"/>
        <v>5386.8909999999996</v>
      </c>
      <c r="CI119" s="23">
        <f>CH119+CI48</f>
        <v>5501.3589999999995</v>
      </c>
      <c r="CJ119" s="23">
        <f>+'QTR Raw'!BD58</f>
        <v>5719.4870000000001</v>
      </c>
      <c r="CK119" s="23">
        <f t="shared" ref="CK119:DB119" si="1065">CJ119+CK48</f>
        <v>5988.1509999999998</v>
      </c>
      <c r="CL119" s="23">
        <f>+'QTR Raw'!BF58</f>
        <v>6026.7049999999999</v>
      </c>
      <c r="CM119" s="24">
        <f t="shared" si="1065"/>
        <v>6239.9172710115854</v>
      </c>
      <c r="CN119" s="24">
        <f t="shared" si="1065"/>
        <v>6522.9610198714763</v>
      </c>
      <c r="CO119" s="24">
        <f t="shared" si="1065"/>
        <v>6883.3424214506176</v>
      </c>
      <c r="CP119" s="24">
        <f t="shared" si="1065"/>
        <v>7290.7146021225162</v>
      </c>
      <c r="CQ119" s="24">
        <f t="shared" si="1065"/>
        <v>7560.6681423246037</v>
      </c>
      <c r="CR119" s="24">
        <f t="shared" si="1065"/>
        <v>7898.2509287047842</v>
      </c>
      <c r="CS119" s="24">
        <f t="shared" si="1065"/>
        <v>8321.1729313122742</v>
      </c>
      <c r="CT119" s="24">
        <f t="shared" si="1065"/>
        <v>8797.1446985670318</v>
      </c>
      <c r="CU119" s="24">
        <f t="shared" si="1065"/>
        <v>9120.1384135917051</v>
      </c>
      <c r="CV119" s="24">
        <f t="shared" si="1065"/>
        <v>9519.2057341525197</v>
      </c>
      <c r="CW119" s="24">
        <f t="shared" si="1065"/>
        <v>10017.514804150122</v>
      </c>
      <c r="CX119" s="24">
        <f t="shared" si="1065"/>
        <v>10578.672428669866</v>
      </c>
      <c r="CY119" s="24">
        <f t="shared" si="1065"/>
        <v>10961.345272592596</v>
      </c>
      <c r="CZ119" s="24">
        <f t="shared" si="1065"/>
        <v>11432.488874311819</v>
      </c>
      <c r="DA119" s="24">
        <f t="shared" si="1065"/>
        <v>12020.067522110638</v>
      </c>
      <c r="DB119" s="24">
        <f t="shared" si="1065"/>
        <v>12681.663410192048</v>
      </c>
      <c r="DE119" s="123"/>
      <c r="DF119" s="23">
        <v>5818.4660000000003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66">C117+C118+C119</f>
        <v>0</v>
      </c>
      <c r="D120" s="22">
        <f t="shared" si="1066"/>
        <v>0</v>
      </c>
      <c r="E120" s="22">
        <f t="shared" si="1066"/>
        <v>0</v>
      </c>
      <c r="F120" s="22">
        <f t="shared" si="1066"/>
        <v>0</v>
      </c>
      <c r="G120" s="22">
        <f t="shared" si="1066"/>
        <v>0</v>
      </c>
      <c r="H120" s="22">
        <f t="shared" si="1066"/>
        <v>0</v>
      </c>
      <c r="I120" s="22">
        <f t="shared" si="1066"/>
        <v>180.46093680000001</v>
      </c>
      <c r="J120" s="22">
        <f t="shared" si="1066"/>
        <v>182.39112940000001</v>
      </c>
      <c r="K120" s="22">
        <f t="shared" si="1066"/>
        <v>191.4080562</v>
      </c>
      <c r="L120" s="22">
        <f t="shared" si="1066"/>
        <v>195.62328400000001</v>
      </c>
      <c r="M120" s="22">
        <f>M117+M118+M119</f>
        <v>198.6951009</v>
      </c>
      <c r="N120" s="22">
        <f t="shared" si="1066"/>
        <v>308.82177389999998</v>
      </c>
      <c r="O120" s="22">
        <f t="shared" si="1066"/>
        <v>311.47125979999998</v>
      </c>
      <c r="P120" s="22">
        <f t="shared" si="1066"/>
        <v>346.75212499999998</v>
      </c>
      <c r="Q120" s="22">
        <f t="shared" si="1066"/>
        <v>369.30345990000001</v>
      </c>
      <c r="R120" s="22">
        <f t="shared" si="1066"/>
        <v>389.43500469999998</v>
      </c>
      <c r="S120" s="22">
        <f t="shared" si="1066"/>
        <v>474.94311979999998</v>
      </c>
      <c r="T120" s="22">
        <f t="shared" si="1066"/>
        <v>531.43500000000006</v>
      </c>
      <c r="U120" s="22">
        <f t="shared" si="1066"/>
        <v>591.41899999999998</v>
      </c>
      <c r="V120" s="22">
        <f t="shared" si="1066"/>
        <v>1130.9970000000001</v>
      </c>
      <c r="W120" s="22">
        <f t="shared" ref="W120" si="1067">W117+W118+W119</f>
        <v>1584.377</v>
      </c>
      <c r="X120" s="22">
        <f t="shared" ref="X120:Y120" si="1068">X117+X118+X119</f>
        <v>2161.558</v>
      </c>
      <c r="Y120" s="22">
        <f t="shared" si="1068"/>
        <v>3038.6030000000001</v>
      </c>
      <c r="Z120" s="22">
        <f t="shared" ref="Z120:AA120" si="1069">Z117+Z118+Z119</f>
        <v>5621.3979999999992</v>
      </c>
      <c r="AA120" s="22">
        <f t="shared" ref="AA120" si="1070">AA117+AA118+AA119</f>
        <v>6117.7910000000002</v>
      </c>
      <c r="AB120" s="21">
        <f t="shared" ref="AB120:AD120" si="1071">AB117+AB118+AB119</f>
        <v>7381.8006021225165</v>
      </c>
      <c r="AC120" s="21">
        <f t="shared" si="1071"/>
        <v>8888.2306985670311</v>
      </c>
      <c r="AD120" s="21">
        <f t="shared" si="1071"/>
        <v>10669.758428669866</v>
      </c>
      <c r="AE120" s="21">
        <f t="shared" ref="AE120" si="1072">AE117+AE118+AE119</f>
        <v>12772.749410192047</v>
      </c>
      <c r="AJ120" s="22">
        <f t="shared" ref="AJ120" si="1073">AJ117+AJ118+AJ119</f>
        <v>0</v>
      </c>
      <c r="AK120" s="22">
        <f t="shared" ref="AK120" si="1074">AK117+AK118+AK119</f>
        <v>0</v>
      </c>
      <c r="AL120" s="22">
        <f t="shared" ref="AL120:AM120" si="1075">AL117+AL118+AL119</f>
        <v>0</v>
      </c>
      <c r="AM120" s="22">
        <f t="shared" si="1075"/>
        <v>0</v>
      </c>
      <c r="AN120" s="22">
        <f t="shared" ref="AN120:AO120" si="1076">AN117+AN118+AN119</f>
        <v>0</v>
      </c>
      <c r="AO120" s="22">
        <f t="shared" si="1076"/>
        <v>0</v>
      </c>
      <c r="AP120" s="22">
        <f t="shared" ref="AP120:CE120" si="1077">AP117+AP118+AP119</f>
        <v>0</v>
      </c>
      <c r="AQ120" s="22">
        <f t="shared" si="1077"/>
        <v>0</v>
      </c>
      <c r="AR120" s="22">
        <f t="shared" si="1077"/>
        <v>0</v>
      </c>
      <c r="AS120" s="22">
        <f t="shared" si="1077"/>
        <v>0</v>
      </c>
      <c r="AT120" s="22">
        <f t="shared" si="1077"/>
        <v>0</v>
      </c>
      <c r="AU120" s="22">
        <f t="shared" si="1077"/>
        <v>0</v>
      </c>
      <c r="AV120" s="22">
        <f t="shared" si="1077"/>
        <v>0</v>
      </c>
      <c r="AW120" s="22">
        <f t="shared" si="1077"/>
        <v>0</v>
      </c>
      <c r="AX120" s="22">
        <f t="shared" si="1077"/>
        <v>0</v>
      </c>
      <c r="AY120" s="22">
        <f t="shared" si="1077"/>
        <v>0</v>
      </c>
      <c r="AZ120" s="22">
        <f t="shared" si="1077"/>
        <v>0</v>
      </c>
      <c r="BA120" s="22">
        <f t="shared" si="1077"/>
        <v>0</v>
      </c>
      <c r="BB120" s="22">
        <f t="shared" si="1077"/>
        <v>0</v>
      </c>
      <c r="BC120" s="22">
        <f t="shared" si="1077"/>
        <v>0</v>
      </c>
      <c r="BD120" s="22">
        <f t="shared" si="1077"/>
        <v>0</v>
      </c>
      <c r="BE120" s="22">
        <f t="shared" si="1077"/>
        <v>0</v>
      </c>
      <c r="BF120" s="22">
        <f t="shared" si="1077"/>
        <v>0</v>
      </c>
      <c r="BG120" s="22">
        <f t="shared" si="1077"/>
        <v>0</v>
      </c>
      <c r="BH120" s="22">
        <f t="shared" si="1077"/>
        <v>0</v>
      </c>
      <c r="BI120" s="22">
        <f t="shared" si="1077"/>
        <v>0</v>
      </c>
      <c r="BJ120" s="22">
        <f t="shared" si="1077"/>
        <v>0</v>
      </c>
      <c r="BK120" s="22">
        <f t="shared" si="1077"/>
        <v>0</v>
      </c>
      <c r="BL120" s="22">
        <f t="shared" si="1077"/>
        <v>0</v>
      </c>
      <c r="BM120" s="22">
        <f t="shared" si="1077"/>
        <v>27.013000000000002</v>
      </c>
      <c r="BN120" s="22">
        <f t="shared" si="1077"/>
        <v>591.41899999999998</v>
      </c>
      <c r="BO120" s="22">
        <f t="shared" si="1077"/>
        <v>638.71899999999994</v>
      </c>
      <c r="BP120" s="22">
        <f t="shared" si="1077"/>
        <v>989.255</v>
      </c>
      <c r="BQ120" s="22">
        <f t="shared" si="1077"/>
        <v>1062.423</v>
      </c>
      <c r="BR120" s="22">
        <f t="shared" si="1077"/>
        <v>1130.9970000000001</v>
      </c>
      <c r="BS120" s="22">
        <f t="shared" si="1077"/>
        <v>1252.364</v>
      </c>
      <c r="BT120" s="22">
        <f t="shared" si="1077"/>
        <v>1305.1369999999999</v>
      </c>
      <c r="BU120" s="22">
        <f t="shared" si="1077"/>
        <v>1469.684</v>
      </c>
      <c r="BV120" s="22">
        <f t="shared" si="1077"/>
        <v>1584.377</v>
      </c>
      <c r="BW120" s="22">
        <f t="shared" si="1077"/>
        <v>1765.877</v>
      </c>
      <c r="BX120" s="22">
        <f t="shared" si="1077"/>
        <v>1886.914</v>
      </c>
      <c r="BY120" s="22">
        <f t="shared" si="1077"/>
        <v>2114.9139999999998</v>
      </c>
      <c r="BZ120" s="22">
        <f t="shared" si="1077"/>
        <v>2161.558</v>
      </c>
      <c r="CA120" s="22">
        <f t="shared" si="1077"/>
        <v>2382.3629999999998</v>
      </c>
      <c r="CB120" s="22">
        <f t="shared" si="1077"/>
        <v>2612.6</v>
      </c>
      <c r="CC120" s="22">
        <f t="shared" si="1077"/>
        <v>2872.91</v>
      </c>
      <c r="CD120" s="22">
        <f t="shared" si="1077"/>
        <v>3038.6029999999996</v>
      </c>
      <c r="CE120" s="22">
        <f t="shared" si="1077"/>
        <v>3331.3289999999997</v>
      </c>
      <c r="CF120" s="22">
        <f t="shared" ref="CF120:CG120" si="1078">CF117+CF118+CF119</f>
        <v>5277.9920000000002</v>
      </c>
      <c r="CG120" s="22">
        <f t="shared" si="1078"/>
        <v>5559.4580000000005</v>
      </c>
      <c r="CH120" s="22">
        <f t="shared" ref="CH120:CI120" si="1079">CH117+CH118+CH119</f>
        <v>5621.3979999999992</v>
      </c>
      <c r="CI120" s="22">
        <f t="shared" si="1079"/>
        <v>5735.8659999999991</v>
      </c>
      <c r="CJ120" s="22">
        <f t="shared" ref="CJ120:DB120" si="1080">CJ117+CJ118+CJ119</f>
        <v>5810.2039999999997</v>
      </c>
      <c r="CK120" s="22">
        <f t="shared" si="1080"/>
        <v>6078.8679999999995</v>
      </c>
      <c r="CL120" s="22">
        <f t="shared" ref="CL120" si="1081">CL117+CL118+CL119</f>
        <v>6117.7910000000002</v>
      </c>
      <c r="CM120" s="21">
        <f t="shared" si="1080"/>
        <v>6331.0032710115856</v>
      </c>
      <c r="CN120" s="21">
        <f t="shared" si="1080"/>
        <v>6614.0470198714766</v>
      </c>
      <c r="CO120" s="21">
        <f t="shared" si="1080"/>
        <v>6974.4284214506179</v>
      </c>
      <c r="CP120" s="21">
        <f t="shared" si="1080"/>
        <v>7381.8006021225165</v>
      </c>
      <c r="CQ120" s="21">
        <f t="shared" si="1080"/>
        <v>7651.7541423246039</v>
      </c>
      <c r="CR120" s="21">
        <f t="shared" si="1080"/>
        <v>7989.3369287047844</v>
      </c>
      <c r="CS120" s="21">
        <f t="shared" si="1080"/>
        <v>8412.2589313122735</v>
      </c>
      <c r="CT120" s="21">
        <f t="shared" si="1080"/>
        <v>8888.2306985670311</v>
      </c>
      <c r="CU120" s="21">
        <f t="shared" si="1080"/>
        <v>9211.2244135917044</v>
      </c>
      <c r="CV120" s="21">
        <f t="shared" si="1080"/>
        <v>9610.291734152519</v>
      </c>
      <c r="CW120" s="21">
        <f t="shared" si="1080"/>
        <v>10108.600804150121</v>
      </c>
      <c r="CX120" s="21">
        <f t="shared" si="1080"/>
        <v>10669.758428669866</v>
      </c>
      <c r="CY120" s="21">
        <f t="shared" si="1080"/>
        <v>11052.431272592596</v>
      </c>
      <c r="CZ120" s="21">
        <f t="shared" si="1080"/>
        <v>11523.574874311818</v>
      </c>
      <c r="DA120" s="21">
        <f t="shared" si="1080"/>
        <v>12111.153522110637</v>
      </c>
      <c r="DB120" s="21">
        <f t="shared" si="1080"/>
        <v>12772.749410192047</v>
      </c>
      <c r="DE120" s="126"/>
      <c r="DF120" s="22">
        <v>6117.7910000000002</v>
      </c>
    </row>
    <row r="121" spans="1:110" s="22" customFormat="1" x14ac:dyDescent="0.2">
      <c r="AB121" s="21"/>
      <c r="AC121" s="21"/>
      <c r="AD121" s="21"/>
      <c r="AE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17.704000000000001</v>
      </c>
      <c r="AA122" s="23">
        <f>'Annual Raw'!AB45</f>
        <v>31.138999999999999</v>
      </c>
      <c r="AB122" s="24">
        <f>+CP122</f>
        <v>31.138999999999999</v>
      </c>
      <c r="AC122" s="24">
        <f>+CT122</f>
        <v>31.138999999999999</v>
      </c>
      <c r="AD122" s="24">
        <f>+CX122</f>
        <v>31.138999999999999</v>
      </c>
      <c r="AE122" s="24">
        <f>+DB122</f>
        <v>31.138999999999999</v>
      </c>
      <c r="AJ122" s="23">
        <f>+'QTR Raw'!D60</f>
        <v>0</v>
      </c>
      <c r="AK122" s="23">
        <f t="shared" ref="AK122:CE122" si="1082">+AJ122</f>
        <v>0</v>
      </c>
      <c r="AL122" s="23">
        <f>+'QTR Raw'!F60</f>
        <v>0</v>
      </c>
      <c r="AM122" s="23">
        <f t="shared" si="1082"/>
        <v>0</v>
      </c>
      <c r="AN122" s="23">
        <f>+'QTR Raw'!H60</f>
        <v>0</v>
      </c>
      <c r="AO122" s="23">
        <f t="shared" si="1082"/>
        <v>0</v>
      </c>
      <c r="AP122" s="23">
        <f>+'QTR Raw'!J60</f>
        <v>0</v>
      </c>
      <c r="AQ122" s="23">
        <f t="shared" si="1082"/>
        <v>0</v>
      </c>
      <c r="AR122" s="23">
        <f>+'QTR Raw'!L60</f>
        <v>0</v>
      </c>
      <c r="AS122" s="23">
        <f t="shared" si="1082"/>
        <v>0</v>
      </c>
      <c r="AT122" s="23">
        <f>+'QTR Raw'!N60</f>
        <v>0</v>
      </c>
      <c r="AU122" s="23">
        <f t="shared" si="1082"/>
        <v>0</v>
      </c>
      <c r="AV122" s="23">
        <f>+'QTR Raw'!P60</f>
        <v>0</v>
      </c>
      <c r="AW122" s="23">
        <f t="shared" si="1082"/>
        <v>0</v>
      </c>
      <c r="AX122" s="23">
        <f>+'QTR Raw'!R60</f>
        <v>0</v>
      </c>
      <c r="AY122" s="23">
        <f t="shared" si="1082"/>
        <v>0</v>
      </c>
      <c r="AZ122" s="23">
        <f>+'QTR Raw'!T60</f>
        <v>0</v>
      </c>
      <c r="BA122" s="23">
        <f t="shared" si="1082"/>
        <v>0</v>
      </c>
      <c r="BB122" s="23">
        <f>+'QTR Raw'!V60</f>
        <v>0</v>
      </c>
      <c r="BC122" s="23">
        <f t="shared" si="1082"/>
        <v>0</v>
      </c>
      <c r="BD122" s="23">
        <f>+'QTR Raw'!X60</f>
        <v>0</v>
      </c>
      <c r="BE122" s="23">
        <f t="shared" si="1082"/>
        <v>0</v>
      </c>
      <c r="BF122" s="23">
        <f>+'QTR Raw'!Z60</f>
        <v>0</v>
      </c>
      <c r="BG122" s="23">
        <f t="shared" si="1082"/>
        <v>0</v>
      </c>
      <c r="BH122" s="22">
        <f>+'QTR Raw'!AB60</f>
        <v>0</v>
      </c>
      <c r="BI122" s="23">
        <f t="shared" si="1082"/>
        <v>0</v>
      </c>
      <c r="BJ122" s="23">
        <f>+'QTR Raw'!AD60</f>
        <v>0</v>
      </c>
      <c r="BK122" s="23">
        <f t="shared" si="1082"/>
        <v>0</v>
      </c>
      <c r="BL122" s="23">
        <f>+'QTR Raw'!AF60</f>
        <v>0</v>
      </c>
      <c r="BM122" s="23">
        <f t="shared" si="1082"/>
        <v>0</v>
      </c>
      <c r="BN122" s="23">
        <f>+'QTR Raw'!AH60</f>
        <v>0</v>
      </c>
      <c r="BO122" s="23">
        <f t="shared" si="1082"/>
        <v>0</v>
      </c>
      <c r="BP122" s="23">
        <f>+'QTR Raw'!AJ60</f>
        <v>0</v>
      </c>
      <c r="BQ122" s="23">
        <f t="shared" si="1082"/>
        <v>0</v>
      </c>
      <c r="BR122" s="23">
        <f>+'QTR Raw'!AL60</f>
        <v>0</v>
      </c>
      <c r="BS122" s="23">
        <f t="shared" si="1082"/>
        <v>0</v>
      </c>
      <c r="BT122" s="23">
        <f>+'QTR Raw'!AN60</f>
        <v>0</v>
      </c>
      <c r="BU122" s="23">
        <f t="shared" si="1082"/>
        <v>0</v>
      </c>
      <c r="BV122" s="23">
        <f>+'QTR Raw'!AP60</f>
        <v>0</v>
      </c>
      <c r="BW122" s="23">
        <f t="shared" si="1082"/>
        <v>0</v>
      </c>
      <c r="BX122" s="23">
        <f>+'QTR Raw'!AR60</f>
        <v>0</v>
      </c>
      <c r="BY122" s="23">
        <f t="shared" si="1082"/>
        <v>0</v>
      </c>
      <c r="BZ122" s="23">
        <f>+'QTR Raw'!AT60</f>
        <v>0</v>
      </c>
      <c r="CA122" s="23">
        <f t="shared" si="1082"/>
        <v>0</v>
      </c>
      <c r="CB122" s="23">
        <f>+'QTR Raw'!AV60</f>
        <v>0</v>
      </c>
      <c r="CC122" s="23">
        <f t="shared" si="1082"/>
        <v>0</v>
      </c>
      <c r="CD122" s="23">
        <f>+'QTR Raw'!AX60</f>
        <v>0</v>
      </c>
      <c r="CE122" s="23">
        <f t="shared" si="1082"/>
        <v>0</v>
      </c>
      <c r="CF122" s="23">
        <f>+'QTR Raw'!AZ60</f>
        <v>0</v>
      </c>
      <c r="CG122" s="23">
        <f t="shared" ref="CG122:CI122" si="1083">+CF122</f>
        <v>0</v>
      </c>
      <c r="CH122" s="23">
        <f t="shared" ref="CH122:CH127" si="1084">Z122</f>
        <v>17.704000000000001</v>
      </c>
      <c r="CI122" s="23">
        <f t="shared" si="1083"/>
        <v>17.704000000000001</v>
      </c>
      <c r="CJ122" s="23">
        <f>+'QTR Raw'!BD60</f>
        <v>23.916</v>
      </c>
      <c r="CK122" s="23">
        <f t="shared" ref="CK122" si="1085">+CJ122</f>
        <v>23.916</v>
      </c>
      <c r="CL122" s="23">
        <f>+'QTR Raw'!BF60</f>
        <v>31.138999999999999</v>
      </c>
      <c r="CM122" s="24">
        <f t="shared" ref="CM122" si="1086">+CL122</f>
        <v>31.138999999999999</v>
      </c>
      <c r="CN122" s="24">
        <f t="shared" ref="CN122" si="1087">+CM122</f>
        <v>31.138999999999999</v>
      </c>
      <c r="CO122" s="24">
        <f t="shared" ref="CO122" si="1088">+CN122</f>
        <v>31.138999999999999</v>
      </c>
      <c r="CP122" s="24">
        <f t="shared" ref="CP122" si="1089">+CO122</f>
        <v>31.138999999999999</v>
      </c>
      <c r="CQ122" s="24">
        <f t="shared" ref="CQ122" si="1090">+CP122</f>
        <v>31.138999999999999</v>
      </c>
      <c r="CR122" s="24">
        <f t="shared" ref="CR122" si="1091">+CQ122</f>
        <v>31.138999999999999</v>
      </c>
      <c r="CS122" s="24">
        <f t="shared" ref="CS122" si="1092">+CR122</f>
        <v>31.138999999999999</v>
      </c>
      <c r="CT122" s="24">
        <f t="shared" ref="CT122" si="1093">+CS122</f>
        <v>31.138999999999999</v>
      </c>
      <c r="CU122" s="24">
        <f t="shared" ref="CU122" si="1094">+CT122</f>
        <v>31.138999999999999</v>
      </c>
      <c r="CV122" s="24">
        <f t="shared" ref="CV122" si="1095">+CU122</f>
        <v>31.138999999999999</v>
      </c>
      <c r="CW122" s="24">
        <f t="shared" ref="CW122" si="1096">+CV122</f>
        <v>31.138999999999999</v>
      </c>
      <c r="CX122" s="24">
        <f t="shared" ref="CX122" si="1097">+CW122</f>
        <v>31.138999999999999</v>
      </c>
      <c r="CY122" s="24">
        <f t="shared" ref="CY122" si="1098">+CX122</f>
        <v>31.138999999999999</v>
      </c>
      <c r="CZ122" s="24">
        <f t="shared" ref="CZ122" si="1099">+CY122</f>
        <v>31.138999999999999</v>
      </c>
      <c r="DA122" s="24">
        <f t="shared" ref="DA122" si="1100">+CZ122</f>
        <v>31.138999999999999</v>
      </c>
      <c r="DB122" s="24">
        <f t="shared" ref="DB122" si="1101">+DA122</f>
        <v>31.138999999999999</v>
      </c>
      <c r="DE122" s="123"/>
      <c r="DF122" s="23">
        <v>31.138999999999999</v>
      </c>
    </row>
    <row r="123" spans="1:110" s="23" customFormat="1" x14ac:dyDescent="0.2">
      <c r="AB123" s="24"/>
      <c r="AC123" s="24"/>
      <c r="AD123" s="24"/>
      <c r="AE123" s="24"/>
      <c r="BH123" s="22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2.59344E-2</v>
      </c>
      <c r="J124" s="23">
        <f>'Annual Raw'!K47</f>
        <v>1.6327899999999999E-2</v>
      </c>
      <c r="K124" s="23">
        <f>'Annual Raw'!L47</f>
        <v>69.852758399999999</v>
      </c>
      <c r="L124" s="23">
        <f>'Annual Raw'!M47</f>
        <v>63.129143900000003</v>
      </c>
      <c r="M124" s="23">
        <f>'Annual Raw'!N47</f>
        <v>26.176497999999999</v>
      </c>
      <c r="N124" s="23">
        <f>'Annual Raw'!O47</f>
        <v>25</v>
      </c>
      <c r="O124" s="23">
        <f>'Annual Raw'!P47</f>
        <v>25</v>
      </c>
      <c r="P124" s="23">
        <f>'Annual Raw'!Q47</f>
        <v>4.93</v>
      </c>
      <c r="Q124" s="23">
        <f>'Annual Raw'!R47</f>
        <v>5.5199094000000004</v>
      </c>
      <c r="R124" s="23">
        <f>'Annual Raw'!S47</f>
        <v>4.4842643000000004</v>
      </c>
      <c r="S124" s="23">
        <f>'Annual Raw'!T47</f>
        <v>6.4097302000000003</v>
      </c>
      <c r="T124" s="23">
        <f>'Annual Raw'!U47</f>
        <v>7.069</v>
      </c>
      <c r="U124" s="23">
        <f>'Annual Raw'!V47</f>
        <v>4.806</v>
      </c>
      <c r="V124" s="23">
        <f>'Annual Raw'!W47</f>
        <v>1.212</v>
      </c>
      <c r="W124" s="23">
        <f>'Annual Raw'!X47</f>
        <v>0.80900000000000005</v>
      </c>
      <c r="X124" s="23">
        <f>'Annual Raw'!Y47</f>
        <v>0.497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02">+CP124</f>
        <v>0</v>
      </c>
      <c r="AC124" s="24">
        <f t="shared" ref="AC124:AC127" si="1103">+CT124</f>
        <v>0</v>
      </c>
      <c r="AD124" s="24">
        <f t="shared" ref="AD124:AD127" si="1104">+CX124</f>
        <v>0</v>
      </c>
      <c r="AE124" s="24">
        <f t="shared" ref="AE124:AE127" si="1105">+DB124</f>
        <v>0</v>
      </c>
      <c r="AJ124" s="23">
        <f>+'QTR Raw'!D62</f>
        <v>0</v>
      </c>
      <c r="AK124" s="23">
        <f t="shared" ref="AK124:CC127" si="1106">+AJ124</f>
        <v>0</v>
      </c>
      <c r="AL124" s="23">
        <f>+'QTR Raw'!F62</f>
        <v>0</v>
      </c>
      <c r="AM124" s="23">
        <f t="shared" si="1106"/>
        <v>0</v>
      </c>
      <c r="AN124" s="23">
        <f>+'QTR Raw'!H62</f>
        <v>0</v>
      </c>
      <c r="AO124" s="23">
        <f t="shared" si="1106"/>
        <v>0</v>
      </c>
      <c r="AP124" s="23">
        <f>+'QTR Raw'!J62</f>
        <v>0</v>
      </c>
      <c r="AQ124" s="23">
        <f t="shared" si="1106"/>
        <v>0</v>
      </c>
      <c r="AR124" s="23">
        <f>+'QTR Raw'!L62</f>
        <v>0</v>
      </c>
      <c r="AS124" s="23">
        <f t="shared" si="1106"/>
        <v>0</v>
      </c>
      <c r="AT124" s="23">
        <f>+'QTR Raw'!N62</f>
        <v>0</v>
      </c>
      <c r="AU124" s="23">
        <f t="shared" si="1106"/>
        <v>0</v>
      </c>
      <c r="AV124" s="23">
        <f>+'QTR Raw'!P62</f>
        <v>0</v>
      </c>
      <c r="AW124" s="23">
        <f t="shared" si="1106"/>
        <v>0</v>
      </c>
      <c r="AX124" s="23">
        <f>+'QTR Raw'!R62</f>
        <v>0</v>
      </c>
      <c r="AY124" s="23">
        <f t="shared" si="1106"/>
        <v>0</v>
      </c>
      <c r="AZ124" s="23">
        <f>+'QTR Raw'!T62</f>
        <v>0</v>
      </c>
      <c r="BA124" s="23">
        <f t="shared" si="1106"/>
        <v>0</v>
      </c>
      <c r="BB124" s="23">
        <f>+'QTR Raw'!V62</f>
        <v>0</v>
      </c>
      <c r="BC124" s="23">
        <f t="shared" si="1106"/>
        <v>0</v>
      </c>
      <c r="BD124" s="23">
        <f>+'QTR Raw'!X62</f>
        <v>0</v>
      </c>
      <c r="BE124" s="23">
        <f t="shared" si="1106"/>
        <v>0</v>
      </c>
      <c r="BF124" s="23">
        <f>+'QTR Raw'!Z62</f>
        <v>0</v>
      </c>
      <c r="BG124" s="23">
        <f t="shared" si="1106"/>
        <v>0</v>
      </c>
      <c r="BH124" s="22">
        <f>+'QTR Raw'!AB62</f>
        <v>0</v>
      </c>
      <c r="BI124" s="23">
        <f t="shared" si="1106"/>
        <v>0</v>
      </c>
      <c r="BJ124" s="23">
        <f>+'QTR Raw'!AD62</f>
        <v>0</v>
      </c>
      <c r="BK124" s="23">
        <f t="shared" si="1106"/>
        <v>0</v>
      </c>
      <c r="BL124" s="23">
        <f>+'QTR Raw'!AF62</f>
        <v>0</v>
      </c>
      <c r="BM124" s="23">
        <f t="shared" si="1106"/>
        <v>0</v>
      </c>
      <c r="BN124" s="23">
        <f>+'QTR Raw'!AH62</f>
        <v>0</v>
      </c>
      <c r="BO124" s="23">
        <f t="shared" si="1106"/>
        <v>0</v>
      </c>
      <c r="BP124" s="23">
        <f>+'QTR Raw'!AJ62</f>
        <v>0</v>
      </c>
      <c r="BQ124" s="23">
        <f t="shared" si="1106"/>
        <v>0</v>
      </c>
      <c r="BR124" s="23">
        <f>+'QTR Raw'!AL62</f>
        <v>0</v>
      </c>
      <c r="BS124" s="23">
        <f t="shared" si="1106"/>
        <v>0</v>
      </c>
      <c r="BT124" s="23">
        <f>+'QTR Raw'!AN62</f>
        <v>0</v>
      </c>
      <c r="BU124" s="23">
        <f t="shared" si="1106"/>
        <v>0</v>
      </c>
      <c r="BV124" s="23">
        <f>+'QTR Raw'!AP62</f>
        <v>0</v>
      </c>
      <c r="BW124" s="23">
        <f t="shared" si="1106"/>
        <v>0</v>
      </c>
      <c r="BX124" s="23">
        <f>+'QTR Raw'!AR62</f>
        <v>0</v>
      </c>
      <c r="BY124" s="23">
        <f t="shared" si="1106"/>
        <v>0</v>
      </c>
      <c r="BZ124" s="23">
        <f>+'QTR Raw'!AT62</f>
        <v>0</v>
      </c>
      <c r="CA124" s="23">
        <f t="shared" si="1106"/>
        <v>0</v>
      </c>
      <c r="CB124" s="23">
        <f>+'QTR Raw'!AV62</f>
        <v>0</v>
      </c>
      <c r="CC124" s="23">
        <f t="shared" si="1106"/>
        <v>0</v>
      </c>
      <c r="CD124" s="23">
        <f>+'QTR Raw'!AX62</f>
        <v>0</v>
      </c>
      <c r="CE124" s="23">
        <f t="shared" ref="CE124:CE127" si="1107">+CD124</f>
        <v>0</v>
      </c>
      <c r="CF124" s="23">
        <f>+'QTR Raw'!AZ62</f>
        <v>0</v>
      </c>
      <c r="CG124" s="23">
        <f t="shared" ref="CG124:CI127" si="1108">+CF124</f>
        <v>0</v>
      </c>
      <c r="CH124" s="23">
        <f t="shared" si="1084"/>
        <v>0</v>
      </c>
      <c r="CI124" s="23">
        <f t="shared" si="1108"/>
        <v>0</v>
      </c>
      <c r="CJ124" s="23">
        <f>+'QTR Raw'!BD62</f>
        <v>0</v>
      </c>
      <c r="CK124" s="23">
        <f t="shared" ref="CK124:CK127" si="1109">+CJ124</f>
        <v>0</v>
      </c>
      <c r="CL124" s="23">
        <f>+'QTR Raw'!BF62</f>
        <v>0</v>
      </c>
      <c r="CM124" s="24">
        <f t="shared" ref="CM124:CM127" si="1110">+CL124</f>
        <v>0</v>
      </c>
      <c r="CN124" s="24">
        <f t="shared" ref="CN124:CN127" si="1111">+CM124</f>
        <v>0</v>
      </c>
      <c r="CO124" s="24">
        <f t="shared" ref="CO124:CO127" si="1112">+CN124</f>
        <v>0</v>
      </c>
      <c r="CP124" s="24">
        <f t="shared" ref="CP124:CP127" si="1113">+CO124</f>
        <v>0</v>
      </c>
      <c r="CQ124" s="24">
        <f t="shared" ref="CQ124:CQ127" si="1114">+CP124</f>
        <v>0</v>
      </c>
      <c r="CR124" s="24">
        <f t="shared" ref="CR124:CR127" si="1115">+CQ124</f>
        <v>0</v>
      </c>
      <c r="CS124" s="24">
        <f t="shared" ref="CS124:CS127" si="1116">+CR124</f>
        <v>0</v>
      </c>
      <c r="CT124" s="24">
        <f t="shared" ref="CT124:CT127" si="1117">+CS124</f>
        <v>0</v>
      </c>
      <c r="CU124" s="24">
        <f t="shared" ref="CU124:CU127" si="1118">+CT124</f>
        <v>0</v>
      </c>
      <c r="CV124" s="24">
        <f t="shared" ref="CV124:CV127" si="1119">+CU124</f>
        <v>0</v>
      </c>
      <c r="CW124" s="24">
        <f t="shared" ref="CW124:CW127" si="1120">+CV124</f>
        <v>0</v>
      </c>
      <c r="CX124" s="24">
        <f t="shared" ref="CX124:CX127" si="1121">+CW124</f>
        <v>0</v>
      </c>
      <c r="CY124" s="24">
        <f t="shared" ref="CY124:CY127" si="1122">+CX124</f>
        <v>0</v>
      </c>
      <c r="CZ124" s="24">
        <f t="shared" ref="CZ124:CZ127" si="1123">+CY124</f>
        <v>0</v>
      </c>
      <c r="DA124" s="24">
        <f t="shared" ref="DA124:DA127" si="1124">+CZ124</f>
        <v>0</v>
      </c>
      <c r="DB124" s="24">
        <f t="shared" ref="DB124:DB127" si="1125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0.04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3.25</v>
      </c>
      <c r="R125" s="23">
        <f>'Annual Raw'!S48</f>
        <v>3.25</v>
      </c>
      <c r="S125" s="23">
        <f>'Annual Raw'!T48</f>
        <v>0.85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1.5509999999999999</v>
      </c>
      <c r="Z125" s="23">
        <f>'Annual Raw'!AA48</f>
        <v>0.81399999999999995</v>
      </c>
      <c r="AA125" s="23">
        <f>'Annual Raw'!AB48</f>
        <v>0.36599999999999999</v>
      </c>
      <c r="AB125" s="24">
        <f t="shared" si="1102"/>
        <v>0</v>
      </c>
      <c r="AC125" s="24">
        <f t="shared" si="1103"/>
        <v>0</v>
      </c>
      <c r="AD125" s="24">
        <f t="shared" si="1104"/>
        <v>0</v>
      </c>
      <c r="AE125" s="24">
        <f t="shared" si="1105"/>
        <v>0</v>
      </c>
      <c r="AJ125" s="23">
        <f>+'QTR Raw'!D63</f>
        <v>0</v>
      </c>
      <c r="AK125" s="23">
        <f t="shared" si="1106"/>
        <v>0</v>
      </c>
      <c r="AL125" s="23">
        <f>+'QTR Raw'!F63</f>
        <v>0</v>
      </c>
      <c r="AM125" s="23">
        <f t="shared" si="1106"/>
        <v>0</v>
      </c>
      <c r="AN125" s="23">
        <f>+'QTR Raw'!H63</f>
        <v>0</v>
      </c>
      <c r="AO125" s="23">
        <f t="shared" si="1106"/>
        <v>0</v>
      </c>
      <c r="AP125" s="23">
        <f>+'QTR Raw'!J63</f>
        <v>0</v>
      </c>
      <c r="AQ125" s="23">
        <f t="shared" si="1106"/>
        <v>0</v>
      </c>
      <c r="AR125" s="23">
        <f>+'QTR Raw'!L63</f>
        <v>0</v>
      </c>
      <c r="AS125" s="23">
        <f t="shared" si="1106"/>
        <v>0</v>
      </c>
      <c r="AT125" s="23">
        <f>+'QTR Raw'!N63</f>
        <v>0</v>
      </c>
      <c r="AU125" s="23">
        <f t="shared" si="1106"/>
        <v>0</v>
      </c>
      <c r="AV125" s="23">
        <f>+'QTR Raw'!P63</f>
        <v>0</v>
      </c>
      <c r="AW125" s="23">
        <f t="shared" si="1106"/>
        <v>0</v>
      </c>
      <c r="AX125" s="23">
        <f>+'QTR Raw'!R63</f>
        <v>0</v>
      </c>
      <c r="AY125" s="23">
        <f t="shared" si="1106"/>
        <v>0</v>
      </c>
      <c r="AZ125" s="23">
        <f>+'QTR Raw'!T63</f>
        <v>0</v>
      </c>
      <c r="BA125" s="23">
        <f t="shared" si="1106"/>
        <v>0</v>
      </c>
      <c r="BB125" s="23">
        <f>+'QTR Raw'!V63</f>
        <v>0</v>
      </c>
      <c r="BC125" s="23">
        <f t="shared" si="1106"/>
        <v>0</v>
      </c>
      <c r="BD125" s="23">
        <f>+'QTR Raw'!X63</f>
        <v>0</v>
      </c>
      <c r="BE125" s="23">
        <f t="shared" si="1106"/>
        <v>0</v>
      </c>
      <c r="BF125" s="23">
        <f>+'QTR Raw'!Z63</f>
        <v>0</v>
      </c>
      <c r="BG125" s="23">
        <f t="shared" si="1106"/>
        <v>0</v>
      </c>
      <c r="BH125" s="23">
        <f>+'QTR Raw'!AB63</f>
        <v>0</v>
      </c>
      <c r="BI125" s="23">
        <f t="shared" si="1106"/>
        <v>0</v>
      </c>
      <c r="BJ125" s="23">
        <f>+'QTR Raw'!AD63</f>
        <v>0</v>
      </c>
      <c r="BK125" s="23">
        <f t="shared" si="1106"/>
        <v>0</v>
      </c>
      <c r="BL125" s="23">
        <f>+'QTR Raw'!AF63</f>
        <v>0</v>
      </c>
      <c r="BM125" s="23">
        <f t="shared" si="1106"/>
        <v>0</v>
      </c>
      <c r="BN125" s="23">
        <f>+'QTR Raw'!AH63</f>
        <v>0</v>
      </c>
      <c r="BO125" s="23">
        <f t="shared" si="1106"/>
        <v>0</v>
      </c>
      <c r="BP125" s="23">
        <f>+'QTR Raw'!AJ63</f>
        <v>0</v>
      </c>
      <c r="BQ125" s="23">
        <f t="shared" si="1106"/>
        <v>0</v>
      </c>
      <c r="BR125" s="23">
        <f>+'QTR Raw'!AL63</f>
        <v>0</v>
      </c>
      <c r="BS125" s="23">
        <f t="shared" si="1106"/>
        <v>0</v>
      </c>
      <c r="BT125" s="23">
        <f>+'QTR Raw'!AN63</f>
        <v>0</v>
      </c>
      <c r="BU125" s="23">
        <f t="shared" si="1106"/>
        <v>0</v>
      </c>
      <c r="BV125" s="23">
        <f>+'QTR Raw'!AP63</f>
        <v>0</v>
      </c>
      <c r="BW125" s="23">
        <f t="shared" si="1106"/>
        <v>0</v>
      </c>
      <c r="BX125" s="23">
        <f>+'QTR Raw'!AR63</f>
        <v>0</v>
      </c>
      <c r="BY125" s="23">
        <f t="shared" si="1106"/>
        <v>0</v>
      </c>
      <c r="BZ125" s="23">
        <f>+'QTR Raw'!AT63</f>
        <v>0</v>
      </c>
      <c r="CA125" s="23">
        <f t="shared" si="1106"/>
        <v>0</v>
      </c>
      <c r="CB125" s="23">
        <f>+'QTR Raw'!AV63</f>
        <v>0</v>
      </c>
      <c r="CC125" s="23">
        <f t="shared" si="1106"/>
        <v>0</v>
      </c>
      <c r="CD125" s="23">
        <f>+'QTR Raw'!AX63</f>
        <v>0</v>
      </c>
      <c r="CE125" s="23">
        <f t="shared" si="1107"/>
        <v>0</v>
      </c>
      <c r="CF125" s="23">
        <f>+'QTR Raw'!AZ63</f>
        <v>0</v>
      </c>
      <c r="CG125" s="23">
        <f t="shared" si="1108"/>
        <v>0</v>
      </c>
      <c r="CH125" s="23">
        <f t="shared" si="1084"/>
        <v>0.81399999999999995</v>
      </c>
      <c r="CI125" s="23">
        <f t="shared" si="1108"/>
        <v>0.81399999999999995</v>
      </c>
      <c r="CJ125" s="23">
        <f>+'QTR Raw'!BD63</f>
        <v>0</v>
      </c>
      <c r="CK125" s="23">
        <f t="shared" si="1109"/>
        <v>0</v>
      </c>
      <c r="CL125" s="23">
        <f>+'QTR Raw'!BF63</f>
        <v>0</v>
      </c>
      <c r="CM125" s="24">
        <f t="shared" si="1110"/>
        <v>0</v>
      </c>
      <c r="CN125" s="24">
        <f t="shared" si="1111"/>
        <v>0</v>
      </c>
      <c r="CO125" s="24">
        <f t="shared" si="1112"/>
        <v>0</v>
      </c>
      <c r="CP125" s="24">
        <f t="shared" si="1113"/>
        <v>0</v>
      </c>
      <c r="CQ125" s="24">
        <f t="shared" si="1114"/>
        <v>0</v>
      </c>
      <c r="CR125" s="24">
        <f t="shared" si="1115"/>
        <v>0</v>
      </c>
      <c r="CS125" s="24">
        <f t="shared" si="1116"/>
        <v>0</v>
      </c>
      <c r="CT125" s="24">
        <f t="shared" si="1117"/>
        <v>0</v>
      </c>
      <c r="CU125" s="24">
        <f t="shared" si="1118"/>
        <v>0</v>
      </c>
      <c r="CV125" s="24">
        <f t="shared" si="1119"/>
        <v>0</v>
      </c>
      <c r="CW125" s="24">
        <f t="shared" si="1120"/>
        <v>0</v>
      </c>
      <c r="CX125" s="24">
        <f t="shared" si="1121"/>
        <v>0</v>
      </c>
      <c r="CY125" s="24">
        <f t="shared" si="1122"/>
        <v>0</v>
      </c>
      <c r="CZ125" s="24">
        <f t="shared" si="1123"/>
        <v>0</v>
      </c>
      <c r="DA125" s="24">
        <f t="shared" si="1124"/>
        <v>0</v>
      </c>
      <c r="DB125" s="24">
        <f t="shared" si="1125"/>
        <v>0</v>
      </c>
      <c r="DE125" s="123"/>
      <c r="DF125" s="23">
        <v>0.36599999999999999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4.1633282999999999</v>
      </c>
      <c r="N126" s="23">
        <f>'Annual Raw'!O87+'Annual Raw'!O88+'Annual Raw'!O89+'Annual Raw'!O90</f>
        <v>0</v>
      </c>
      <c r="O126" s="23">
        <f>'Annual Raw'!P87+'Annual Raw'!P88+'Annual Raw'!P89+'Annual Raw'!P90</f>
        <v>77.871520799999999</v>
      </c>
      <c r="P126" s="23">
        <f>'Annual Raw'!Q87+'Annual Raw'!Q88+'Annual Raw'!Q89+'Annual Raw'!Q90</f>
        <v>25.87</v>
      </c>
      <c r="Q126" s="23">
        <f>'Annual Raw'!R87+'Annual Raw'!R88+'Annual Raw'!R89+'Annual Raw'!R90</f>
        <v>1.5443165000000001</v>
      </c>
      <c r="R126" s="23">
        <f>'Annual Raw'!S87+'Annual Raw'!S88+'Annual Raw'!S89+'Annual Raw'!S90</f>
        <v>1.7679213</v>
      </c>
      <c r="S126" s="23">
        <f>'Annual Raw'!T87+'Annual Raw'!T88+'Annual Raw'!T89+'Annual Raw'!T90</f>
        <v>2.6995341000000002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02"/>
        <v>0</v>
      </c>
      <c r="AC126" s="24">
        <f t="shared" si="1103"/>
        <v>0</v>
      </c>
      <c r="AD126" s="24">
        <f t="shared" si="1104"/>
        <v>0</v>
      </c>
      <c r="AE126" s="24">
        <f t="shared" si="1105"/>
        <v>0</v>
      </c>
      <c r="AJ126" s="23">
        <f>+'QTR Raw'!D90</f>
        <v>0</v>
      </c>
      <c r="AK126" s="23">
        <f t="shared" si="1106"/>
        <v>0</v>
      </c>
      <c r="AL126" s="23">
        <f>+'QTR Raw'!F90</f>
        <v>0</v>
      </c>
      <c r="AM126" s="23">
        <f t="shared" si="1106"/>
        <v>0</v>
      </c>
      <c r="AN126" s="23">
        <f>+'QTR Raw'!H90</f>
        <v>0</v>
      </c>
      <c r="AO126" s="23">
        <f t="shared" si="1106"/>
        <v>0</v>
      </c>
      <c r="AP126" s="23">
        <f>+'QTR Raw'!J90</f>
        <v>0</v>
      </c>
      <c r="AQ126" s="23">
        <f t="shared" si="1106"/>
        <v>0</v>
      </c>
      <c r="AR126" s="23">
        <f>+'QTR Raw'!L90</f>
        <v>0</v>
      </c>
      <c r="AS126" s="23">
        <f t="shared" si="1106"/>
        <v>0</v>
      </c>
      <c r="AT126" s="23">
        <f>+'QTR Raw'!N90</f>
        <v>0</v>
      </c>
      <c r="AU126" s="23">
        <f t="shared" si="1106"/>
        <v>0</v>
      </c>
      <c r="AV126" s="23">
        <f>+'QTR Raw'!P90</f>
        <v>0</v>
      </c>
      <c r="AW126" s="23">
        <f t="shared" si="1106"/>
        <v>0</v>
      </c>
      <c r="AX126" s="23">
        <f>+'QTR Raw'!R90</f>
        <v>0</v>
      </c>
      <c r="AY126" s="23">
        <f t="shared" si="1106"/>
        <v>0</v>
      </c>
      <c r="AZ126" s="23">
        <f>+'QTR Raw'!T90</f>
        <v>0</v>
      </c>
      <c r="BA126" s="23">
        <f t="shared" si="1106"/>
        <v>0</v>
      </c>
      <c r="BB126" s="23">
        <f>+'QTR Raw'!V90</f>
        <v>0</v>
      </c>
      <c r="BC126" s="23">
        <f t="shared" si="1106"/>
        <v>0</v>
      </c>
      <c r="BD126" s="23">
        <f>+'QTR Raw'!X90</f>
        <v>0</v>
      </c>
      <c r="BE126" s="23">
        <f t="shared" si="1106"/>
        <v>0</v>
      </c>
      <c r="BF126" s="23">
        <f>+'QTR Raw'!Z90</f>
        <v>0</v>
      </c>
      <c r="BG126" s="23">
        <f t="shared" si="1106"/>
        <v>0</v>
      </c>
      <c r="BH126" s="22">
        <f>+'QTR Raw'!AB90</f>
        <v>0</v>
      </c>
      <c r="BI126" s="23">
        <f t="shared" si="1106"/>
        <v>0</v>
      </c>
      <c r="BJ126" s="23">
        <f>+'QTR Raw'!AD90</f>
        <v>0</v>
      </c>
      <c r="BK126" s="23">
        <f t="shared" si="1106"/>
        <v>0</v>
      </c>
      <c r="BL126" s="23">
        <f>+'QTR Raw'!AF90</f>
        <v>0</v>
      </c>
      <c r="BM126" s="23">
        <f t="shared" si="1106"/>
        <v>0</v>
      </c>
      <c r="BN126" s="23">
        <f>+'QTR Raw'!AH90</f>
        <v>0</v>
      </c>
      <c r="BO126" s="23">
        <f t="shared" si="1106"/>
        <v>0</v>
      </c>
      <c r="BP126" s="23">
        <f>+'QTR Raw'!AJ90</f>
        <v>0</v>
      </c>
      <c r="BQ126" s="23">
        <f t="shared" si="1106"/>
        <v>0</v>
      </c>
      <c r="BR126" s="23">
        <f>+'QTR Raw'!AL90</f>
        <v>0</v>
      </c>
      <c r="BS126" s="23">
        <f t="shared" si="1106"/>
        <v>0</v>
      </c>
      <c r="BT126" s="23">
        <f>+'QTR Raw'!AN90</f>
        <v>0</v>
      </c>
      <c r="BU126" s="23">
        <f t="shared" si="1106"/>
        <v>0</v>
      </c>
      <c r="BV126" s="23">
        <f>+'QTR Raw'!AP90</f>
        <v>0</v>
      </c>
      <c r="BW126" s="23">
        <f t="shared" si="1106"/>
        <v>0</v>
      </c>
      <c r="BX126" s="23">
        <f>+'QTR Raw'!AR90</f>
        <v>0</v>
      </c>
      <c r="BY126" s="23">
        <f t="shared" si="1106"/>
        <v>0</v>
      </c>
      <c r="BZ126" s="23">
        <f>+'QTR Raw'!AT90</f>
        <v>0</v>
      </c>
      <c r="CA126" s="23">
        <f t="shared" si="1106"/>
        <v>0</v>
      </c>
      <c r="CB126" s="23">
        <f>+'QTR Raw'!AV90</f>
        <v>0</v>
      </c>
      <c r="CC126" s="23">
        <f t="shared" si="1106"/>
        <v>0</v>
      </c>
      <c r="CD126" s="23">
        <f>+'QTR Raw'!AX90</f>
        <v>0</v>
      </c>
      <c r="CE126" s="23">
        <f t="shared" si="1107"/>
        <v>0</v>
      </c>
      <c r="CF126" s="23">
        <f>+'QTR Raw'!AZ90</f>
        <v>0</v>
      </c>
      <c r="CG126" s="23">
        <f t="shared" si="1108"/>
        <v>0</v>
      </c>
      <c r="CH126" s="23">
        <f>+Z126</f>
        <v>0</v>
      </c>
      <c r="CI126" s="23">
        <f t="shared" si="1108"/>
        <v>0</v>
      </c>
      <c r="CJ126" s="23">
        <f>+'QTR Raw'!BD90</f>
        <v>0</v>
      </c>
      <c r="CK126" s="23">
        <f t="shared" si="1109"/>
        <v>0</v>
      </c>
      <c r="CL126" s="23">
        <f>+'QTR Raw'!BF90</f>
        <v>0</v>
      </c>
      <c r="CM126" s="24">
        <f t="shared" si="1110"/>
        <v>0</v>
      </c>
      <c r="CN126" s="24">
        <f t="shared" si="1111"/>
        <v>0</v>
      </c>
      <c r="CO126" s="24">
        <f t="shared" si="1112"/>
        <v>0</v>
      </c>
      <c r="CP126" s="24">
        <f t="shared" si="1113"/>
        <v>0</v>
      </c>
      <c r="CQ126" s="24">
        <f t="shared" si="1114"/>
        <v>0</v>
      </c>
      <c r="CR126" s="24">
        <f t="shared" si="1115"/>
        <v>0</v>
      </c>
      <c r="CS126" s="24">
        <f t="shared" si="1116"/>
        <v>0</v>
      </c>
      <c r="CT126" s="24">
        <f t="shared" si="1117"/>
        <v>0</v>
      </c>
      <c r="CU126" s="24">
        <f t="shared" si="1118"/>
        <v>0</v>
      </c>
      <c r="CV126" s="24">
        <f t="shared" si="1119"/>
        <v>0</v>
      </c>
      <c r="CW126" s="24">
        <f t="shared" si="1120"/>
        <v>0</v>
      </c>
      <c r="CX126" s="24">
        <f t="shared" si="1121"/>
        <v>0</v>
      </c>
      <c r="CY126" s="24">
        <f t="shared" si="1122"/>
        <v>0</v>
      </c>
      <c r="CZ126" s="24">
        <f t="shared" si="1123"/>
        <v>0</v>
      </c>
      <c r="DA126" s="24">
        <f t="shared" si="1124"/>
        <v>0</v>
      </c>
      <c r="DB126" s="24">
        <f t="shared" si="1125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159.9077623</v>
      </c>
      <c r="O127" s="23">
        <f>'Annual Raw'!P56</f>
        <v>208.03729530000001</v>
      </c>
      <c r="P127" s="23">
        <f>'Annual Raw'!Q56</f>
        <v>245.52740800000001</v>
      </c>
      <c r="Q127" s="23">
        <f>'Annual Raw'!R56</f>
        <v>348.18583630000001</v>
      </c>
      <c r="R127" s="23">
        <f>'Annual Raw'!S56</f>
        <v>762.43536029999996</v>
      </c>
      <c r="S127" s="23">
        <f>'Annual Raw'!T56</f>
        <v>1115.0239747000001</v>
      </c>
      <c r="T127" s="23">
        <f>'Annual Raw'!U56</f>
        <v>864.74900000000002</v>
      </c>
      <c r="U127" s="23">
        <f>'Annual Raw'!V56</f>
        <v>486.07299999999998</v>
      </c>
      <c r="V127" s="23">
        <f>'Annual Raw'!W56</f>
        <v>1170.2570000000001</v>
      </c>
      <c r="W127" s="23">
        <f>'Annual Raw'!X56</f>
        <v>1256.923</v>
      </c>
      <c r="X127" s="23">
        <f>'Annual Raw'!Y56</f>
        <v>782.78899999999999</v>
      </c>
      <c r="Y127" s="23">
        <f>'Annual Raw'!Z56</f>
        <v>2531.998</v>
      </c>
      <c r="Z127" s="23">
        <f>'Annual Raw'!AA56</f>
        <v>3376.1559999999999</v>
      </c>
      <c r="AA127" s="23">
        <f>'Annual Raw'!AB56</f>
        <v>7875.5389999999998</v>
      </c>
      <c r="AB127" s="24">
        <f t="shared" si="1102"/>
        <v>4926.2539999999999</v>
      </c>
      <c r="AC127" s="24">
        <f t="shared" si="1103"/>
        <v>4926.2539999999999</v>
      </c>
      <c r="AD127" s="24">
        <f t="shared" si="1104"/>
        <v>4926.2539999999999</v>
      </c>
      <c r="AE127" s="24">
        <f t="shared" si="1105"/>
        <v>4926.2539999999999</v>
      </c>
      <c r="AJ127" s="23">
        <f>+'QTR Raw'!D88</f>
        <v>0</v>
      </c>
      <c r="AK127" s="23">
        <f t="shared" si="1106"/>
        <v>0</v>
      </c>
      <c r="AL127" s="23">
        <f>+'QTR Raw'!F88</f>
        <v>0</v>
      </c>
      <c r="AM127" s="23">
        <f t="shared" si="1106"/>
        <v>0</v>
      </c>
      <c r="AN127" s="23">
        <f>+'QTR Raw'!H88</f>
        <v>0</v>
      </c>
      <c r="AO127" s="23">
        <f t="shared" si="1106"/>
        <v>0</v>
      </c>
      <c r="AP127" s="23">
        <f>+'QTR Raw'!J88</f>
        <v>0</v>
      </c>
      <c r="AQ127" s="23">
        <f t="shared" si="1106"/>
        <v>0</v>
      </c>
      <c r="AR127" s="23">
        <f>+'QTR Raw'!L88</f>
        <v>0</v>
      </c>
      <c r="AS127" s="23">
        <f t="shared" si="1106"/>
        <v>0</v>
      </c>
      <c r="AT127" s="23">
        <f>+'QTR Raw'!N88</f>
        <v>0</v>
      </c>
      <c r="AU127" s="23">
        <f t="shared" si="1106"/>
        <v>0</v>
      </c>
      <c r="AV127" s="23">
        <f>+'QTR Raw'!P88</f>
        <v>0</v>
      </c>
      <c r="AW127" s="23">
        <f t="shared" si="1106"/>
        <v>0</v>
      </c>
      <c r="AX127" s="23">
        <f>+'QTR Raw'!R88</f>
        <v>0</v>
      </c>
      <c r="AY127" s="23">
        <f t="shared" si="1106"/>
        <v>0</v>
      </c>
      <c r="AZ127" s="23">
        <f>+'QTR Raw'!T88</f>
        <v>0</v>
      </c>
      <c r="BA127" s="23">
        <f t="shared" si="1106"/>
        <v>0</v>
      </c>
      <c r="BB127" s="23">
        <f>+'QTR Raw'!V88</f>
        <v>0</v>
      </c>
      <c r="BC127" s="23">
        <f t="shared" si="1106"/>
        <v>0</v>
      </c>
      <c r="BD127" s="23">
        <f>+'QTR Raw'!X88</f>
        <v>0</v>
      </c>
      <c r="BE127" s="23">
        <f t="shared" si="1106"/>
        <v>0</v>
      </c>
      <c r="BF127" s="23">
        <f>+'QTR Raw'!Z88</f>
        <v>0</v>
      </c>
      <c r="BG127" s="23">
        <f t="shared" si="1106"/>
        <v>0</v>
      </c>
      <c r="BH127" s="23">
        <f>+'QTR Raw'!AB88</f>
        <v>0</v>
      </c>
      <c r="BI127" s="23">
        <f t="shared" si="1106"/>
        <v>0</v>
      </c>
      <c r="BJ127" s="23">
        <f>+'QTR Raw'!AD88</f>
        <v>0</v>
      </c>
      <c r="BK127" s="23">
        <f t="shared" si="1106"/>
        <v>0</v>
      </c>
      <c r="BL127" s="23">
        <f>+'QTR Raw'!AF88</f>
        <v>0</v>
      </c>
      <c r="BM127" s="23">
        <f t="shared" si="1106"/>
        <v>0</v>
      </c>
      <c r="BN127" s="23">
        <f>+'QTR Raw'!AH88</f>
        <v>490.87900000000002</v>
      </c>
      <c r="BO127" s="23">
        <f t="shared" si="1106"/>
        <v>490.87900000000002</v>
      </c>
      <c r="BP127" s="23">
        <f>+'QTR Raw'!AJ88</f>
        <v>590.851</v>
      </c>
      <c r="BQ127" s="23">
        <f t="shared" si="1106"/>
        <v>590.851</v>
      </c>
      <c r="BR127" s="23">
        <f>+'QTR Raw'!AL88</f>
        <v>1171.4690000000001</v>
      </c>
      <c r="BS127" s="23">
        <f t="shared" si="1106"/>
        <v>1171.4690000000001</v>
      </c>
      <c r="BT127" s="23">
        <f>+'QTR Raw'!AN88</f>
        <v>1156.3510000000001</v>
      </c>
      <c r="BU127" s="23">
        <f t="shared" si="1106"/>
        <v>1156.3510000000001</v>
      </c>
      <c r="BV127" s="23">
        <f>+'QTR Raw'!AP88</f>
        <v>1233.165</v>
      </c>
      <c r="BW127" s="23">
        <f t="shared" si="1106"/>
        <v>1233.165</v>
      </c>
      <c r="BX127" s="23">
        <f>+'QTR Raw'!AR88</f>
        <v>2967.6190000000001</v>
      </c>
      <c r="BY127" s="23">
        <f t="shared" si="1106"/>
        <v>2967.6190000000001</v>
      </c>
      <c r="BZ127" s="23">
        <f>+'QTR Raw'!AT88</f>
        <v>756.12400000000002</v>
      </c>
      <c r="CA127" s="23">
        <f t="shared" si="1106"/>
        <v>756.12400000000002</v>
      </c>
      <c r="CB127" s="23">
        <f>+'QTR Raw'!AV88</f>
        <v>1495.4</v>
      </c>
      <c r="CC127" s="23">
        <f t="shared" si="1106"/>
        <v>1495.4</v>
      </c>
      <c r="CD127" s="23">
        <f>+'QTR Raw'!AX88</f>
        <v>2402.2829999999999</v>
      </c>
      <c r="CE127" s="23">
        <f t="shared" si="1107"/>
        <v>2402.2829999999999</v>
      </c>
      <c r="CF127" s="23">
        <f>+'QTR Raw'!AZ88</f>
        <v>1887.43</v>
      </c>
      <c r="CG127" s="23">
        <f t="shared" si="1108"/>
        <v>1887.43</v>
      </c>
      <c r="CH127" s="23">
        <f t="shared" si="1084"/>
        <v>3376.1559999999999</v>
      </c>
      <c r="CI127" s="23">
        <f t="shared" si="1108"/>
        <v>3376.1559999999999</v>
      </c>
      <c r="CJ127" s="23">
        <f>+'QTR Raw'!BD88</f>
        <v>1680.777</v>
      </c>
      <c r="CK127" s="23">
        <f t="shared" si="1109"/>
        <v>1680.777</v>
      </c>
      <c r="CL127" s="23">
        <f>+'QTR Raw'!BF88</f>
        <v>4926.2539999999999</v>
      </c>
      <c r="CM127" s="24">
        <f t="shared" si="1110"/>
        <v>4926.2539999999999</v>
      </c>
      <c r="CN127" s="24">
        <f t="shared" si="1111"/>
        <v>4926.2539999999999</v>
      </c>
      <c r="CO127" s="24">
        <f t="shared" si="1112"/>
        <v>4926.2539999999999</v>
      </c>
      <c r="CP127" s="24">
        <f t="shared" si="1113"/>
        <v>4926.2539999999999</v>
      </c>
      <c r="CQ127" s="24">
        <f t="shared" si="1114"/>
        <v>4926.2539999999999</v>
      </c>
      <c r="CR127" s="24">
        <f t="shared" si="1115"/>
        <v>4926.2539999999999</v>
      </c>
      <c r="CS127" s="24">
        <f t="shared" si="1116"/>
        <v>4926.2539999999999</v>
      </c>
      <c r="CT127" s="24">
        <f t="shared" si="1117"/>
        <v>4926.2539999999999</v>
      </c>
      <c r="CU127" s="24">
        <f t="shared" si="1118"/>
        <v>4926.2539999999999</v>
      </c>
      <c r="CV127" s="24">
        <f t="shared" si="1119"/>
        <v>4926.2539999999999</v>
      </c>
      <c r="CW127" s="24">
        <f t="shared" si="1120"/>
        <v>4926.2539999999999</v>
      </c>
      <c r="CX127" s="24">
        <f t="shared" si="1121"/>
        <v>4926.2539999999999</v>
      </c>
      <c r="CY127" s="24">
        <f t="shared" si="1122"/>
        <v>4926.2539999999999</v>
      </c>
      <c r="CZ127" s="24">
        <f t="shared" si="1123"/>
        <v>4926.2539999999999</v>
      </c>
      <c r="DA127" s="24">
        <f t="shared" si="1124"/>
        <v>4926.2539999999999</v>
      </c>
      <c r="DB127" s="24">
        <f t="shared" si="1125"/>
        <v>4926.2539999999999</v>
      </c>
      <c r="DE127" s="123"/>
      <c r="DF127" s="23">
        <v>7875.5389999999998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26">SUM(C124:C127)</f>
        <v>0</v>
      </c>
      <c r="D128" s="22">
        <f t="shared" si="1126"/>
        <v>0</v>
      </c>
      <c r="E128" s="22">
        <f t="shared" si="1126"/>
        <v>0</v>
      </c>
      <c r="F128" s="22">
        <f t="shared" si="1126"/>
        <v>0</v>
      </c>
      <c r="G128" s="22">
        <f t="shared" si="1126"/>
        <v>0</v>
      </c>
      <c r="H128" s="22">
        <f t="shared" si="1126"/>
        <v>0</v>
      </c>
      <c r="I128" s="22">
        <f t="shared" si="1126"/>
        <v>6.5934400000000004E-2</v>
      </c>
      <c r="J128" s="22">
        <f t="shared" si="1126"/>
        <v>1.6327899999999999E-2</v>
      </c>
      <c r="K128" s="22">
        <f t="shared" si="1126"/>
        <v>69.852758399999999</v>
      </c>
      <c r="L128" s="22">
        <f t="shared" si="1126"/>
        <v>63.129143900000003</v>
      </c>
      <c r="M128" s="22">
        <f t="shared" si="1126"/>
        <v>30.339826299999999</v>
      </c>
      <c r="N128" s="22">
        <f t="shared" si="1126"/>
        <v>184.9077623</v>
      </c>
      <c r="O128" s="22">
        <f t="shared" si="1126"/>
        <v>310.90881610000002</v>
      </c>
      <c r="P128" s="22">
        <f t="shared" si="1126"/>
        <v>276.32740799999999</v>
      </c>
      <c r="Q128" s="22">
        <f t="shared" si="1126"/>
        <v>358.5000622</v>
      </c>
      <c r="R128" s="22">
        <f t="shared" si="1126"/>
        <v>771.93754589999992</v>
      </c>
      <c r="S128" s="22">
        <f t="shared" si="1126"/>
        <v>1124.9832390000001</v>
      </c>
      <c r="T128" s="22">
        <f t="shared" si="1126"/>
        <v>871.81799999999998</v>
      </c>
      <c r="U128" s="22">
        <f t="shared" si="1126"/>
        <v>490.87899999999996</v>
      </c>
      <c r="V128" s="22">
        <f t="shared" si="1126"/>
        <v>1171.4690000000001</v>
      </c>
      <c r="W128" s="22">
        <f t="shared" ref="W128" si="1127">SUM(W124:W127)</f>
        <v>1257.732</v>
      </c>
      <c r="X128" s="22">
        <f t="shared" ref="X128:Y128" si="1128">SUM(X124:X127)</f>
        <v>783.28599999999994</v>
      </c>
      <c r="Y128" s="22">
        <f t="shared" si="1128"/>
        <v>2533.549</v>
      </c>
      <c r="Z128" s="22">
        <f t="shared" ref="Z128:AA128" si="1129">SUM(Z124:Z127)</f>
        <v>3376.97</v>
      </c>
      <c r="AA128" s="22">
        <f t="shared" ref="AA128" si="1130">SUM(AA124:AA127)</f>
        <v>7875.9049999999997</v>
      </c>
      <c r="AB128" s="21">
        <f t="shared" ref="AB128:AD128" si="1131">SUM(AB124:AB127)</f>
        <v>4926.2539999999999</v>
      </c>
      <c r="AC128" s="21">
        <f t="shared" si="1131"/>
        <v>4926.2539999999999</v>
      </c>
      <c r="AD128" s="21">
        <f t="shared" si="1131"/>
        <v>4926.2539999999999</v>
      </c>
      <c r="AE128" s="21">
        <f t="shared" ref="AE128" si="1132">SUM(AE124:AE127)</f>
        <v>4926.2539999999999</v>
      </c>
      <c r="AJ128" s="22">
        <f t="shared" ref="AJ128" si="1133">SUM(AJ124:AJ127)</f>
        <v>0</v>
      </c>
      <c r="AK128" s="22">
        <f t="shared" ref="AK128" si="1134">SUM(AK124:AK127)</f>
        <v>0</v>
      </c>
      <c r="AL128" s="22">
        <f t="shared" ref="AL128:AM128" si="1135">SUM(AL124:AL127)</f>
        <v>0</v>
      </c>
      <c r="AM128" s="22">
        <f t="shared" si="1135"/>
        <v>0</v>
      </c>
      <c r="AN128" s="22">
        <f t="shared" ref="AN128:AO128" si="1136">SUM(AN124:AN127)</f>
        <v>0</v>
      </c>
      <c r="AO128" s="22">
        <f t="shared" si="1136"/>
        <v>0</v>
      </c>
      <c r="AP128" s="22">
        <f t="shared" ref="AP128:CE128" si="1137">SUM(AP124:AP127)</f>
        <v>0</v>
      </c>
      <c r="AQ128" s="22">
        <f t="shared" si="1137"/>
        <v>0</v>
      </c>
      <c r="AR128" s="22">
        <f t="shared" si="1137"/>
        <v>0</v>
      </c>
      <c r="AS128" s="22">
        <f t="shared" si="1137"/>
        <v>0</v>
      </c>
      <c r="AT128" s="22">
        <f t="shared" si="1137"/>
        <v>0</v>
      </c>
      <c r="AU128" s="22">
        <f t="shared" si="1137"/>
        <v>0</v>
      </c>
      <c r="AV128" s="22">
        <f t="shared" si="1137"/>
        <v>0</v>
      </c>
      <c r="AW128" s="22">
        <f t="shared" si="1137"/>
        <v>0</v>
      </c>
      <c r="AX128" s="22">
        <f t="shared" si="1137"/>
        <v>0</v>
      </c>
      <c r="AY128" s="22">
        <f t="shared" si="1137"/>
        <v>0</v>
      </c>
      <c r="AZ128" s="22">
        <f t="shared" si="1137"/>
        <v>0</v>
      </c>
      <c r="BA128" s="22">
        <f t="shared" si="1137"/>
        <v>0</v>
      </c>
      <c r="BB128" s="22">
        <f t="shared" si="1137"/>
        <v>0</v>
      </c>
      <c r="BC128" s="22">
        <f t="shared" si="1137"/>
        <v>0</v>
      </c>
      <c r="BD128" s="22">
        <f t="shared" si="1137"/>
        <v>0</v>
      </c>
      <c r="BE128" s="22">
        <f t="shared" si="1137"/>
        <v>0</v>
      </c>
      <c r="BF128" s="22">
        <f t="shared" si="1137"/>
        <v>0</v>
      </c>
      <c r="BG128" s="22">
        <f t="shared" si="1137"/>
        <v>0</v>
      </c>
      <c r="BH128" s="22">
        <f t="shared" ref="BH128" si="1138">SUM(BH124:BH127)</f>
        <v>0</v>
      </c>
      <c r="BI128" s="22">
        <f t="shared" si="1137"/>
        <v>0</v>
      </c>
      <c r="BJ128" s="22">
        <f t="shared" si="1137"/>
        <v>0</v>
      </c>
      <c r="BK128" s="22">
        <f t="shared" si="1137"/>
        <v>0</v>
      </c>
      <c r="BL128" s="22">
        <f t="shared" si="1137"/>
        <v>0</v>
      </c>
      <c r="BM128" s="22">
        <f t="shared" si="1137"/>
        <v>0</v>
      </c>
      <c r="BN128" s="22">
        <f t="shared" si="1137"/>
        <v>490.87900000000002</v>
      </c>
      <c r="BO128" s="22">
        <f t="shared" si="1137"/>
        <v>490.87900000000002</v>
      </c>
      <c r="BP128" s="22">
        <f t="shared" si="1137"/>
        <v>590.851</v>
      </c>
      <c r="BQ128" s="22">
        <f t="shared" si="1137"/>
        <v>590.851</v>
      </c>
      <c r="BR128" s="22">
        <f t="shared" si="1137"/>
        <v>1171.4690000000001</v>
      </c>
      <c r="BS128" s="22">
        <f t="shared" si="1137"/>
        <v>1171.4690000000001</v>
      </c>
      <c r="BT128" s="22">
        <f t="shared" si="1137"/>
        <v>1156.3510000000001</v>
      </c>
      <c r="BU128" s="22">
        <f t="shared" si="1137"/>
        <v>1156.3510000000001</v>
      </c>
      <c r="BV128" s="22">
        <f t="shared" si="1137"/>
        <v>1233.165</v>
      </c>
      <c r="BW128" s="22">
        <f t="shared" si="1137"/>
        <v>1233.165</v>
      </c>
      <c r="BX128" s="22">
        <f t="shared" si="1137"/>
        <v>2967.6190000000001</v>
      </c>
      <c r="BY128" s="22">
        <f t="shared" si="1137"/>
        <v>2967.6190000000001</v>
      </c>
      <c r="BZ128" s="22">
        <f t="shared" si="1137"/>
        <v>756.12400000000002</v>
      </c>
      <c r="CA128" s="22">
        <f t="shared" si="1137"/>
        <v>756.12400000000002</v>
      </c>
      <c r="CB128" s="22">
        <f t="shared" si="1137"/>
        <v>1495.4</v>
      </c>
      <c r="CC128" s="22">
        <f t="shared" si="1137"/>
        <v>1495.4</v>
      </c>
      <c r="CD128" s="22">
        <f t="shared" si="1137"/>
        <v>2402.2829999999999</v>
      </c>
      <c r="CE128" s="22">
        <f t="shared" si="1137"/>
        <v>2402.2829999999999</v>
      </c>
      <c r="CF128" s="22">
        <f t="shared" ref="CF128:CG128" si="1139">SUM(CF124:CF127)</f>
        <v>1887.43</v>
      </c>
      <c r="CG128" s="22">
        <f t="shared" si="1139"/>
        <v>1887.43</v>
      </c>
      <c r="CH128" s="22">
        <f t="shared" ref="CH128:CI128" si="1140">SUM(CH124:CH127)</f>
        <v>3376.97</v>
      </c>
      <c r="CI128" s="22">
        <f t="shared" si="1140"/>
        <v>3376.97</v>
      </c>
      <c r="CJ128" s="22">
        <f t="shared" ref="CJ128:DB128" si="1141">SUM(CJ124:CJ127)</f>
        <v>1680.777</v>
      </c>
      <c r="CK128" s="22">
        <f t="shared" si="1141"/>
        <v>1680.777</v>
      </c>
      <c r="CL128" s="22">
        <f t="shared" ref="CL128" si="1142">SUM(CL124:CL127)</f>
        <v>4926.2539999999999</v>
      </c>
      <c r="CM128" s="21">
        <f t="shared" si="1141"/>
        <v>4926.2539999999999</v>
      </c>
      <c r="CN128" s="21">
        <f t="shared" si="1141"/>
        <v>4926.2539999999999</v>
      </c>
      <c r="CO128" s="21">
        <f t="shared" si="1141"/>
        <v>4926.2539999999999</v>
      </c>
      <c r="CP128" s="21">
        <f t="shared" si="1141"/>
        <v>4926.2539999999999</v>
      </c>
      <c r="CQ128" s="21">
        <f t="shared" si="1141"/>
        <v>4926.2539999999999</v>
      </c>
      <c r="CR128" s="21">
        <f t="shared" si="1141"/>
        <v>4926.2539999999999</v>
      </c>
      <c r="CS128" s="21">
        <f t="shared" si="1141"/>
        <v>4926.2539999999999</v>
      </c>
      <c r="CT128" s="21">
        <f t="shared" si="1141"/>
        <v>4926.2539999999999</v>
      </c>
      <c r="CU128" s="21">
        <f t="shared" si="1141"/>
        <v>4926.2539999999999</v>
      </c>
      <c r="CV128" s="21">
        <f t="shared" si="1141"/>
        <v>4926.2539999999999</v>
      </c>
      <c r="CW128" s="21">
        <f t="shared" si="1141"/>
        <v>4926.2539999999999</v>
      </c>
      <c r="CX128" s="21">
        <f t="shared" si="1141"/>
        <v>4926.2539999999999</v>
      </c>
      <c r="CY128" s="21">
        <f t="shared" si="1141"/>
        <v>4926.2539999999999</v>
      </c>
      <c r="CZ128" s="21">
        <f t="shared" si="1141"/>
        <v>4926.2539999999999</v>
      </c>
      <c r="DA128" s="21">
        <f t="shared" si="1141"/>
        <v>4926.2539999999999</v>
      </c>
      <c r="DB128" s="21">
        <f t="shared" si="1141"/>
        <v>4926.2539999999999</v>
      </c>
      <c r="DE128" s="126"/>
      <c r="DF128" s="22">
        <v>7875.9049999999997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43">C128+C120+C122</f>
        <v>0</v>
      </c>
      <c r="D129" s="26">
        <f>D128+D120+D122</f>
        <v>0</v>
      </c>
      <c r="E129" s="26">
        <f t="shared" si="1143"/>
        <v>0</v>
      </c>
      <c r="F129" s="26">
        <f t="shared" si="1143"/>
        <v>0</v>
      </c>
      <c r="G129" s="26">
        <f t="shared" si="1143"/>
        <v>0</v>
      </c>
      <c r="H129" s="26">
        <f t="shared" si="1143"/>
        <v>0</v>
      </c>
      <c r="I129" s="26">
        <f t="shared" si="1143"/>
        <v>180.52687120000002</v>
      </c>
      <c r="J129" s="26">
        <f t="shared" si="1143"/>
        <v>182.4074573</v>
      </c>
      <c r="K129" s="26">
        <f t="shared" si="1143"/>
        <v>261.2608146</v>
      </c>
      <c r="L129" s="26">
        <f t="shared" si="1143"/>
        <v>258.75242790000004</v>
      </c>
      <c r="M129" s="26">
        <f t="shared" si="1143"/>
        <v>229.0349272</v>
      </c>
      <c r="N129" s="26">
        <f t="shared" si="1143"/>
        <v>493.72953619999998</v>
      </c>
      <c r="O129" s="26">
        <f t="shared" si="1143"/>
        <v>622.38007590000007</v>
      </c>
      <c r="P129" s="26">
        <f t="shared" si="1143"/>
        <v>623.07953299999997</v>
      </c>
      <c r="Q129" s="26">
        <f t="shared" si="1143"/>
        <v>727.80352210000001</v>
      </c>
      <c r="R129" s="26">
        <f t="shared" si="1143"/>
        <v>1161.3725505999998</v>
      </c>
      <c r="S129" s="26">
        <f t="shared" si="1143"/>
        <v>1599.9263588000001</v>
      </c>
      <c r="T129" s="26">
        <f t="shared" si="1143"/>
        <v>1403.2530000000002</v>
      </c>
      <c r="U129" s="26">
        <f t="shared" si="1143"/>
        <v>1082.298</v>
      </c>
      <c r="V129" s="26">
        <f t="shared" si="1143"/>
        <v>2302.4660000000003</v>
      </c>
      <c r="W129" s="26">
        <f t="shared" ref="W129" si="1144">W128+W120+W122</f>
        <v>2842.1089999999999</v>
      </c>
      <c r="X129" s="26">
        <f t="shared" ref="X129:Y129" si="1145">X128+X120+X122</f>
        <v>2944.8440000000001</v>
      </c>
      <c r="Y129" s="26">
        <f t="shared" si="1145"/>
        <v>5572.152</v>
      </c>
      <c r="Z129" s="26">
        <f t="shared" ref="Z129:AA129" si="1146">Z128+Z120+Z122</f>
        <v>9016.0719999999983</v>
      </c>
      <c r="AA129" s="26">
        <f t="shared" ref="AA129" si="1147">AA128+AA120+AA122</f>
        <v>14024.834999999999</v>
      </c>
      <c r="AB129" s="27">
        <f t="shared" ref="AB129:AD129" si="1148">AB128+AB120+AB122</f>
        <v>12339.193602122516</v>
      </c>
      <c r="AC129" s="27">
        <f t="shared" si="1148"/>
        <v>13845.623698567029</v>
      </c>
      <c r="AD129" s="27">
        <f t="shared" si="1148"/>
        <v>15627.151428669866</v>
      </c>
      <c r="AE129" s="27">
        <f t="shared" ref="AE129" si="1149">AE128+AE120+AE122</f>
        <v>17730.142410192046</v>
      </c>
      <c r="AJ129" s="26">
        <f t="shared" ref="AJ129" si="1150">AJ128+AJ120+AJ122</f>
        <v>0</v>
      </c>
      <c r="AK129" s="26">
        <f t="shared" ref="AK129" si="1151">AK128+AK120+AK122</f>
        <v>0</v>
      </c>
      <c r="AL129" s="26">
        <f t="shared" ref="AL129" si="1152">AL128+AL120+AL122</f>
        <v>0</v>
      </c>
      <c r="AM129" s="26">
        <f t="shared" ref="AM129:AO129" si="1153">AM128+AM120+AM122</f>
        <v>0</v>
      </c>
      <c r="AN129" s="26">
        <f t="shared" si="1153"/>
        <v>0</v>
      </c>
      <c r="AO129" s="26">
        <f t="shared" si="1153"/>
        <v>0</v>
      </c>
      <c r="AP129" s="26">
        <f t="shared" ref="AP129:CE129" si="1154">AP128+AP120+AP122</f>
        <v>0</v>
      </c>
      <c r="AQ129" s="26">
        <f t="shared" si="1154"/>
        <v>0</v>
      </c>
      <c r="AR129" s="26">
        <f t="shared" si="1154"/>
        <v>0</v>
      </c>
      <c r="AS129" s="26">
        <f t="shared" si="1154"/>
        <v>0</v>
      </c>
      <c r="AT129" s="26">
        <f t="shared" si="1154"/>
        <v>0</v>
      </c>
      <c r="AU129" s="26">
        <f t="shared" si="1154"/>
        <v>0</v>
      </c>
      <c r="AV129" s="26">
        <f t="shared" si="1154"/>
        <v>0</v>
      </c>
      <c r="AW129" s="26">
        <f t="shared" si="1154"/>
        <v>0</v>
      </c>
      <c r="AX129" s="26">
        <f t="shared" si="1154"/>
        <v>0</v>
      </c>
      <c r="AY129" s="26">
        <f t="shared" si="1154"/>
        <v>0</v>
      </c>
      <c r="AZ129" s="26">
        <f t="shared" si="1154"/>
        <v>0</v>
      </c>
      <c r="BA129" s="26">
        <f t="shared" si="1154"/>
        <v>0</v>
      </c>
      <c r="BB129" s="26">
        <f t="shared" si="1154"/>
        <v>0</v>
      </c>
      <c r="BC129" s="26">
        <f t="shared" si="1154"/>
        <v>0</v>
      </c>
      <c r="BD129" s="26">
        <f t="shared" si="1154"/>
        <v>0</v>
      </c>
      <c r="BE129" s="26">
        <f t="shared" si="1154"/>
        <v>0</v>
      </c>
      <c r="BF129" s="26">
        <f t="shared" si="1154"/>
        <v>0</v>
      </c>
      <c r="BG129" s="26">
        <f t="shared" si="1154"/>
        <v>0</v>
      </c>
      <c r="BH129" s="26">
        <f t="shared" ref="BH129" si="1155">BH128+BH120+BH122</f>
        <v>0</v>
      </c>
      <c r="BI129" s="26">
        <f t="shared" si="1154"/>
        <v>0</v>
      </c>
      <c r="BJ129" s="26">
        <f t="shared" si="1154"/>
        <v>0</v>
      </c>
      <c r="BK129" s="26">
        <f t="shared" si="1154"/>
        <v>0</v>
      </c>
      <c r="BL129" s="26">
        <f t="shared" si="1154"/>
        <v>0</v>
      </c>
      <c r="BM129" s="26">
        <f t="shared" si="1154"/>
        <v>27.013000000000002</v>
      </c>
      <c r="BN129" s="26">
        <f t="shared" si="1154"/>
        <v>1082.298</v>
      </c>
      <c r="BO129" s="26">
        <f t="shared" si="1154"/>
        <v>1129.598</v>
      </c>
      <c r="BP129" s="26">
        <f t="shared" si="1154"/>
        <v>1580.106</v>
      </c>
      <c r="BQ129" s="26">
        <f t="shared" si="1154"/>
        <v>1653.2739999999999</v>
      </c>
      <c r="BR129" s="26">
        <f t="shared" si="1154"/>
        <v>2302.4660000000003</v>
      </c>
      <c r="BS129" s="26">
        <f t="shared" si="1154"/>
        <v>2423.8330000000001</v>
      </c>
      <c r="BT129" s="26">
        <f t="shared" si="1154"/>
        <v>2461.4880000000003</v>
      </c>
      <c r="BU129" s="26">
        <f t="shared" si="1154"/>
        <v>2626.0349999999999</v>
      </c>
      <c r="BV129" s="26">
        <f t="shared" si="1154"/>
        <v>2817.5419999999999</v>
      </c>
      <c r="BW129" s="26">
        <f t="shared" si="1154"/>
        <v>2999.0419999999999</v>
      </c>
      <c r="BX129" s="26">
        <f t="shared" si="1154"/>
        <v>4854.5330000000004</v>
      </c>
      <c r="BY129" s="26">
        <f t="shared" si="1154"/>
        <v>5082.5329999999994</v>
      </c>
      <c r="BZ129" s="26">
        <f t="shared" si="1154"/>
        <v>2917.6819999999998</v>
      </c>
      <c r="CA129" s="26">
        <f t="shared" si="1154"/>
        <v>3138.4870000000001</v>
      </c>
      <c r="CB129" s="26">
        <f t="shared" si="1154"/>
        <v>4108</v>
      </c>
      <c r="CC129" s="26">
        <f t="shared" si="1154"/>
        <v>4368.3099999999995</v>
      </c>
      <c r="CD129" s="26">
        <f t="shared" si="1154"/>
        <v>5440.8859999999995</v>
      </c>
      <c r="CE129" s="26">
        <f t="shared" si="1154"/>
        <v>5733.6119999999992</v>
      </c>
      <c r="CF129" s="26">
        <f t="shared" ref="CF129:CG129" si="1156">CF128+CF120+CF122</f>
        <v>7165.4220000000005</v>
      </c>
      <c r="CG129" s="26">
        <f t="shared" si="1156"/>
        <v>7446.8880000000008</v>
      </c>
      <c r="CH129" s="26">
        <f t="shared" ref="CH129:CI129" si="1157">CH128+CH120+CH122</f>
        <v>9016.0719999999983</v>
      </c>
      <c r="CI129" s="26">
        <f t="shared" si="1157"/>
        <v>9130.5399999999991</v>
      </c>
      <c r="CJ129" s="26">
        <f t="shared" ref="CJ129:DB129" si="1158">CJ128+CJ120+CJ122</f>
        <v>7514.8969999999999</v>
      </c>
      <c r="CK129" s="26">
        <f t="shared" si="1158"/>
        <v>7783.5609999999997</v>
      </c>
      <c r="CL129" s="26">
        <f t="shared" ref="CL129" si="1159">CL128+CL120+CL122</f>
        <v>11075.183999999999</v>
      </c>
      <c r="CM129" s="27">
        <f t="shared" si="1158"/>
        <v>11288.396271011585</v>
      </c>
      <c r="CN129" s="27">
        <f t="shared" si="1158"/>
        <v>11571.440019871476</v>
      </c>
      <c r="CO129" s="27">
        <f t="shared" si="1158"/>
        <v>11931.821421450617</v>
      </c>
      <c r="CP129" s="27">
        <f t="shared" si="1158"/>
        <v>12339.193602122516</v>
      </c>
      <c r="CQ129" s="27">
        <f t="shared" si="1158"/>
        <v>12609.147142324604</v>
      </c>
      <c r="CR129" s="27">
        <f t="shared" si="1158"/>
        <v>12946.729928704783</v>
      </c>
      <c r="CS129" s="27">
        <f t="shared" si="1158"/>
        <v>13369.651931312274</v>
      </c>
      <c r="CT129" s="27">
        <f t="shared" si="1158"/>
        <v>13845.623698567029</v>
      </c>
      <c r="CU129" s="27">
        <f t="shared" si="1158"/>
        <v>14168.617413591703</v>
      </c>
      <c r="CV129" s="27">
        <f t="shared" si="1158"/>
        <v>14567.684734152517</v>
      </c>
      <c r="CW129" s="27">
        <f t="shared" si="1158"/>
        <v>15065.993804150119</v>
      </c>
      <c r="CX129" s="27">
        <f t="shared" si="1158"/>
        <v>15627.151428669866</v>
      </c>
      <c r="CY129" s="27">
        <f t="shared" si="1158"/>
        <v>16009.824272592596</v>
      </c>
      <c r="CZ129" s="27">
        <f t="shared" si="1158"/>
        <v>16480.967874311817</v>
      </c>
      <c r="DA129" s="27">
        <f t="shared" si="1158"/>
        <v>17068.546522110635</v>
      </c>
      <c r="DB129" s="27">
        <f t="shared" si="1158"/>
        <v>17730.142410192046</v>
      </c>
      <c r="DE129" s="121"/>
      <c r="DF129" s="26">
        <v>14024.834999999999</v>
      </c>
    </row>
    <row r="130" spans="1:110" s="23" customFormat="1" x14ac:dyDescent="0.2">
      <c r="AB130" s="24"/>
      <c r="AC130" s="24"/>
      <c r="AD130" s="24"/>
      <c r="AE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11.050205800000001</v>
      </c>
      <c r="J131" s="23">
        <f>'Annual Raw'!K62-J135</f>
        <v>15.220843500000001</v>
      </c>
      <c r="K131" s="23">
        <f>'Annual Raw'!L62-K135</f>
        <v>15.445991100000001</v>
      </c>
      <c r="L131" s="23">
        <f>'Annual Raw'!M62-L135</f>
        <v>79.176324899999997</v>
      </c>
      <c r="M131" s="23">
        <f>'Annual Raw'!N62-M135</f>
        <v>79.332656099999994</v>
      </c>
      <c r="N131" s="23">
        <f>'Annual Raw'!O62-N135</f>
        <v>226.0509931</v>
      </c>
      <c r="O131" s="23">
        <f>'Annual Raw'!P62-O135</f>
        <v>228.1037992</v>
      </c>
      <c r="P131" s="23">
        <f>'Annual Raw'!Q62-P135</f>
        <v>235.67258090000001</v>
      </c>
      <c r="Q131" s="23">
        <f>'Annual Raw'!R62-Q135</f>
        <v>235.81198649999999</v>
      </c>
      <c r="R131" s="23">
        <f>'Annual Raw'!S62-R135</f>
        <v>247.22775659999999</v>
      </c>
      <c r="S131" s="23">
        <f>'Annual Raw'!T62-S135</f>
        <v>250.60776519999999</v>
      </c>
      <c r="T131" s="23">
        <f>'Annual Raw'!U62-T135</f>
        <v>167.666</v>
      </c>
      <c r="U131" s="23">
        <f>'Annual Raw'!V62-U135</f>
        <v>151.30099999999999</v>
      </c>
      <c r="V131" s="23">
        <f>'Annual Raw'!W62-V135</f>
        <v>156.54</v>
      </c>
      <c r="W131" s="23">
        <f>'Annual Raw'!X62-W135</f>
        <v>202.14599999999999</v>
      </c>
      <c r="X131" s="23">
        <f>'Annual Raw'!Y62-X135</f>
        <v>260.71499999999997</v>
      </c>
      <c r="Y131" s="23">
        <f>'Annual Raw'!Z62-Y135</f>
        <v>523.62900000000002</v>
      </c>
      <c r="Z131" s="23">
        <f>'Annual Raw'!AA62-Z135</f>
        <v>697.14400000000001</v>
      </c>
      <c r="AA131" s="23">
        <f>'Annual Raw'!AB62-AA135</f>
        <v>821.35599999999999</v>
      </c>
      <c r="AB131" s="24">
        <f t="shared" ref="AB131:AB137" si="1160">+CP131</f>
        <v>906.49600000000009</v>
      </c>
      <c r="AC131" s="24">
        <f t="shared" ref="AC131:AC137" si="1161">+CT131</f>
        <v>1046.4960000000001</v>
      </c>
      <c r="AD131" s="24">
        <f t="shared" ref="AD131:AD137" si="1162">+CX131</f>
        <v>1186.4960000000001</v>
      </c>
      <c r="AE131" s="24">
        <f t="shared" ref="AE131:AE137" si="1163">+DB131</f>
        <v>1326.4960000000001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110.706</v>
      </c>
      <c r="BP131" s="23">
        <f>+'QTR Raw'!AJ68</f>
        <v>109.23399999999999</v>
      </c>
      <c r="BR131" s="23">
        <f>+'QTR Raw'!AL68</f>
        <v>106.099</v>
      </c>
      <c r="BT131" s="23">
        <f>+'QTR Raw'!AN68</f>
        <v>121.712</v>
      </c>
      <c r="BV131" s="23">
        <f>+'QTR Raw'!AP68</f>
        <v>158.76599999999999</v>
      </c>
      <c r="BX131" s="23">
        <f>+'QTR Raw'!AR68</f>
        <v>176.29300000000001</v>
      </c>
      <c r="BZ131" s="23">
        <f>+'QTR Raw'!AT68</f>
        <v>179.57599999999999</v>
      </c>
      <c r="CB131" s="23">
        <f>+'QTR Raw'!AV68</f>
        <v>242.5</v>
      </c>
      <c r="CD131" s="23">
        <f>+'QTR Raw'!AX68</f>
        <v>400.60399999999998</v>
      </c>
      <c r="CF131" s="23">
        <f>+'QTR Raw'!AZ68</f>
        <v>435.19600000000003</v>
      </c>
      <c r="CH131" s="23">
        <f t="shared" ref="CH131:CH137" si="1164">Z131</f>
        <v>697.14400000000001</v>
      </c>
      <c r="CI131" s="23">
        <f>CH131</f>
        <v>697.14400000000001</v>
      </c>
      <c r="CJ131" s="23">
        <f>+CJ132+CJ134</f>
        <v>712.745</v>
      </c>
      <c r="CK131" s="23">
        <f>+CJ131</f>
        <v>712.745</v>
      </c>
      <c r="CL131" s="23">
        <f>+CL132+CL134</f>
        <v>766.49600000000009</v>
      </c>
      <c r="CM131" s="24">
        <f>+CL131+35</f>
        <v>801.49600000000009</v>
      </c>
      <c r="CN131" s="24">
        <f t="shared" ref="CN131:DB131" si="1165">+CM131+35</f>
        <v>836.49600000000009</v>
      </c>
      <c r="CO131" s="24">
        <f t="shared" si="1165"/>
        <v>871.49600000000009</v>
      </c>
      <c r="CP131" s="24">
        <f t="shared" si="1165"/>
        <v>906.49600000000009</v>
      </c>
      <c r="CQ131" s="24">
        <f t="shared" si="1165"/>
        <v>941.49600000000009</v>
      </c>
      <c r="CR131" s="24">
        <f t="shared" si="1165"/>
        <v>976.49600000000009</v>
      </c>
      <c r="CS131" s="24">
        <f t="shared" si="1165"/>
        <v>1011.4960000000001</v>
      </c>
      <c r="CT131" s="24">
        <f t="shared" si="1165"/>
        <v>1046.4960000000001</v>
      </c>
      <c r="CU131" s="24">
        <f t="shared" si="1165"/>
        <v>1081.4960000000001</v>
      </c>
      <c r="CV131" s="24">
        <f t="shared" si="1165"/>
        <v>1116.4960000000001</v>
      </c>
      <c r="CW131" s="24">
        <f t="shared" si="1165"/>
        <v>1151.4960000000001</v>
      </c>
      <c r="CX131" s="24">
        <f t="shared" si="1165"/>
        <v>1186.4960000000001</v>
      </c>
      <c r="CY131" s="24">
        <f t="shared" si="1165"/>
        <v>1221.4960000000001</v>
      </c>
      <c r="CZ131" s="24">
        <f t="shared" si="1165"/>
        <v>1256.4960000000001</v>
      </c>
      <c r="DA131" s="24">
        <f t="shared" si="1165"/>
        <v>1291.4960000000001</v>
      </c>
      <c r="DB131" s="24">
        <f t="shared" si="1165"/>
        <v>1326.4960000000001</v>
      </c>
      <c r="DE131" s="123"/>
      <c r="DF131" s="23">
        <v>821.35599999999999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2.0287263000000002</v>
      </c>
      <c r="J132" s="23">
        <f>'Annual Raw'!K63</f>
        <v>3.1024113</v>
      </c>
      <c r="K132" s="23">
        <f>'Annual Raw'!L63</f>
        <v>4.1326026999999996</v>
      </c>
      <c r="L132" s="23">
        <f>'Annual Raw'!M63</f>
        <v>3.6883720000000002</v>
      </c>
      <c r="M132" s="23">
        <f>'Annual Raw'!N63</f>
        <v>5.2419983999999999</v>
      </c>
      <c r="N132" s="23">
        <f>'Annual Raw'!O63</f>
        <v>93.936457399999995</v>
      </c>
      <c r="O132" s="23">
        <f>'Annual Raw'!P63</f>
        <v>101.03354059999999</v>
      </c>
      <c r="P132" s="23">
        <f>'Annual Raw'!Q63</f>
        <v>114.55457389999999</v>
      </c>
      <c r="Q132" s="23">
        <f>'Annual Raw'!R63</f>
        <v>113.93211959999999</v>
      </c>
      <c r="R132" s="23">
        <f>'Annual Raw'!S63</f>
        <v>124.44561299999999</v>
      </c>
      <c r="S132" s="23">
        <f>'Annual Raw'!T63</f>
        <v>134.8037453</v>
      </c>
      <c r="T132" s="23">
        <f>'Annual Raw'!U63</f>
        <v>33.694000000000003</v>
      </c>
      <c r="U132" s="23">
        <f>'Annual Raw'!V63</f>
        <v>27.367000000000001</v>
      </c>
      <c r="V132" s="23">
        <f>'Annual Raw'!W63</f>
        <v>45.106000000000002</v>
      </c>
      <c r="W132" s="23">
        <f>'Annual Raw'!X63</f>
        <v>53.655999999999999</v>
      </c>
      <c r="X132" s="23">
        <f>'Annual Raw'!Y63</f>
        <v>77.459999999999994</v>
      </c>
      <c r="Y132" s="23">
        <f>'Annual Raw'!Z63</f>
        <v>118.074</v>
      </c>
      <c r="Z132" s="23">
        <f>'Annual Raw'!AA63</f>
        <v>201.20400000000001</v>
      </c>
      <c r="AA132" s="23">
        <f>'Annual Raw'!AB63</f>
        <v>319.50599999999997</v>
      </c>
      <c r="AB132" s="24">
        <f t="shared" si="1160"/>
        <v>464.66256071929809</v>
      </c>
      <c r="AC132" s="24">
        <f t="shared" si="1161"/>
        <v>603.55182394050587</v>
      </c>
      <c r="AD132" s="24">
        <f t="shared" si="1162"/>
        <v>742.75092499744608</v>
      </c>
      <c r="AE132" s="24">
        <f t="shared" si="1163"/>
        <v>882.17343523637817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64"/>
        <v>201.20400000000001</v>
      </c>
      <c r="CI132" s="23">
        <f t="shared" ref="CI132:DB132" si="1166">CH132+CI32</f>
        <v>231.12100000000001</v>
      </c>
      <c r="CJ132" s="23">
        <f t="shared" si="1166"/>
        <v>261.77199999999999</v>
      </c>
      <c r="CK132" s="23">
        <f t="shared" si="1166"/>
        <v>293.27100000000002</v>
      </c>
      <c r="CL132" s="23">
        <f t="shared" si="1166"/>
        <v>326.20300000000003</v>
      </c>
      <c r="CM132" s="24">
        <f t="shared" si="1166"/>
        <v>360.76945483629504</v>
      </c>
      <c r="CN132" s="24">
        <f t="shared" si="1166"/>
        <v>395.36994636933673</v>
      </c>
      <c r="CO132" s="24">
        <f t="shared" si="1166"/>
        <v>430.00180245139427</v>
      </c>
      <c r="CP132" s="24">
        <f t="shared" si="1166"/>
        <v>464.66256071929809</v>
      </c>
      <c r="CQ132" s="24">
        <f t="shared" si="1166"/>
        <v>499.34995212470602</v>
      </c>
      <c r="CR132" s="24">
        <f t="shared" si="1166"/>
        <v>534.06188575737258</v>
      </c>
      <c r="CS132" s="24">
        <f t="shared" si="1166"/>
        <v>568.79643485991107</v>
      </c>
      <c r="CT132" s="24">
        <f t="shared" si="1166"/>
        <v>603.55182394050587</v>
      </c>
      <c r="CU132" s="24">
        <f t="shared" si="1166"/>
        <v>638.32641689737864</v>
      </c>
      <c r="CV132" s="24">
        <f t="shared" si="1166"/>
        <v>673.11870607557694</v>
      </c>
      <c r="CW132" s="24">
        <f t="shared" si="1166"/>
        <v>707.92730218289012</v>
      </c>
      <c r="CX132" s="24">
        <f t="shared" si="1166"/>
        <v>742.75092499744608</v>
      </c>
      <c r="CY132" s="24">
        <f t="shared" si="1166"/>
        <v>777.58839480483368</v>
      </c>
      <c r="CZ132" s="24">
        <f t="shared" si="1166"/>
        <v>812.43862450747849</v>
      </c>
      <c r="DA132" s="24">
        <f t="shared" si="1166"/>
        <v>847.30061235349456</v>
      </c>
      <c r="DB132" s="24">
        <f t="shared" si="1166"/>
        <v>882.17343523637817</v>
      </c>
      <c r="DE132" s="123"/>
      <c r="DF132" s="23">
        <v>319.50599999999997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0"/>
        <v>0</v>
      </c>
      <c r="AC133" s="24">
        <f t="shared" si="1161"/>
        <v>0</v>
      </c>
      <c r="AD133" s="24">
        <f t="shared" si="1162"/>
        <v>0</v>
      </c>
      <c r="AE133" s="24">
        <f t="shared" si="1163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64"/>
        <v>0</v>
      </c>
      <c r="CI133" s="23">
        <f>CH133</f>
        <v>0</v>
      </c>
      <c r="CJ133" s="23">
        <f>+'QTR Raw'!BD70</f>
        <v>0</v>
      </c>
      <c r="CK133" s="23">
        <f t="shared" ref="CK133:DB133" si="1167">CJ133</f>
        <v>0</v>
      </c>
      <c r="CL133" s="23">
        <f>+'QTR Raw'!BF70</f>
        <v>0</v>
      </c>
      <c r="CM133" s="24">
        <f t="shared" si="1167"/>
        <v>0</v>
      </c>
      <c r="CN133" s="24">
        <f t="shared" si="1167"/>
        <v>0</v>
      </c>
      <c r="CO133" s="24">
        <f t="shared" si="1167"/>
        <v>0</v>
      </c>
      <c r="CP133" s="24">
        <f t="shared" si="1167"/>
        <v>0</v>
      </c>
      <c r="CQ133" s="24">
        <f t="shared" si="1167"/>
        <v>0</v>
      </c>
      <c r="CR133" s="24">
        <f t="shared" si="1167"/>
        <v>0</v>
      </c>
      <c r="CS133" s="24">
        <f t="shared" si="1167"/>
        <v>0</v>
      </c>
      <c r="CT133" s="24">
        <f t="shared" si="1167"/>
        <v>0</v>
      </c>
      <c r="CU133" s="24">
        <f t="shared" si="1167"/>
        <v>0</v>
      </c>
      <c r="CV133" s="24">
        <f t="shared" si="1167"/>
        <v>0</v>
      </c>
      <c r="CW133" s="24">
        <f t="shared" si="1167"/>
        <v>0</v>
      </c>
      <c r="CX133" s="24">
        <f t="shared" si="1167"/>
        <v>0</v>
      </c>
      <c r="CY133" s="24">
        <f t="shared" si="1167"/>
        <v>0</v>
      </c>
      <c r="CZ133" s="24">
        <f t="shared" si="1167"/>
        <v>0</v>
      </c>
      <c r="DA133" s="24">
        <f t="shared" si="1167"/>
        <v>0</v>
      </c>
      <c r="DB133" s="24">
        <f t="shared" si="1167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68">+C131-C132-C133</f>
        <v>0</v>
      </c>
      <c r="D134" s="22">
        <f t="shared" si="1168"/>
        <v>0</v>
      </c>
      <c r="E134" s="22">
        <f t="shared" si="1168"/>
        <v>0</v>
      </c>
      <c r="F134" s="22">
        <f t="shared" si="1168"/>
        <v>0</v>
      </c>
      <c r="G134" s="22">
        <f t="shared" si="1168"/>
        <v>0</v>
      </c>
      <c r="H134" s="22">
        <f t="shared" si="1168"/>
        <v>0</v>
      </c>
      <c r="I134" s="22">
        <f t="shared" si="1168"/>
        <v>9.0214794999999999</v>
      </c>
      <c r="J134" s="22">
        <f t="shared" si="1168"/>
        <v>12.118432200000001</v>
      </c>
      <c r="K134" s="22">
        <f t="shared" si="1168"/>
        <v>11.313388400000001</v>
      </c>
      <c r="L134" s="22">
        <f t="shared" si="1168"/>
        <v>75.487952899999996</v>
      </c>
      <c r="M134" s="22">
        <f t="shared" si="1168"/>
        <v>74.090657699999994</v>
      </c>
      <c r="N134" s="22">
        <f t="shared" si="1168"/>
        <v>132.1145357</v>
      </c>
      <c r="O134" s="22">
        <f t="shared" si="1168"/>
        <v>127.0702586</v>
      </c>
      <c r="P134" s="22">
        <f t="shared" si="1168"/>
        <v>121.11800700000002</v>
      </c>
      <c r="Q134" s="22">
        <f t="shared" si="1168"/>
        <v>121.8798669</v>
      </c>
      <c r="R134" s="22">
        <f t="shared" si="1168"/>
        <v>122.7821436</v>
      </c>
      <c r="S134" s="22">
        <f t="shared" si="1168"/>
        <v>115.80401989999999</v>
      </c>
      <c r="T134" s="22">
        <f t="shared" si="1168"/>
        <v>133.97199999999998</v>
      </c>
      <c r="U134" s="22">
        <f t="shared" si="1168"/>
        <v>123.93399999999998</v>
      </c>
      <c r="V134" s="22">
        <f t="shared" si="1168"/>
        <v>111.434</v>
      </c>
      <c r="W134" s="22">
        <f t="shared" si="1168"/>
        <v>148.48999999999998</v>
      </c>
      <c r="X134" s="22">
        <f t="shared" ref="X134:Y134" si="1169">+X131-X132-X133</f>
        <v>183.255</v>
      </c>
      <c r="Y134" s="22">
        <f t="shared" si="1169"/>
        <v>405.55500000000001</v>
      </c>
      <c r="Z134" s="22">
        <f t="shared" ref="Z134:AE134" si="1170">+Z131-Z132-Z133</f>
        <v>495.94</v>
      </c>
      <c r="AA134" s="22">
        <f t="shared" ref="AA134" si="1171">+AA131-AA132-AA133</f>
        <v>501.85</v>
      </c>
      <c r="AB134" s="21">
        <f t="shared" si="1170"/>
        <v>441.83343928070201</v>
      </c>
      <c r="AC134" s="21">
        <f t="shared" si="1170"/>
        <v>442.94417605949423</v>
      </c>
      <c r="AD134" s="21">
        <f t="shared" si="1170"/>
        <v>443.74507500255402</v>
      </c>
      <c r="AE134" s="21">
        <f t="shared" si="1170"/>
        <v>444.32256476362193</v>
      </c>
      <c r="AJ134" s="22">
        <f t="shared" ref="AJ134:AL134" si="1172">+AJ131-AJ132-AJ133</f>
        <v>0</v>
      </c>
      <c r="AK134" s="22">
        <f t="shared" ref="AK134:CE134" si="1173">+AJ134</f>
        <v>0</v>
      </c>
      <c r="AL134" s="22">
        <f t="shared" si="1172"/>
        <v>0</v>
      </c>
      <c r="AM134" s="22">
        <f t="shared" si="1173"/>
        <v>0</v>
      </c>
      <c r="AN134" s="22">
        <f t="shared" ref="AN134" si="1174">+AN131-AN132-AN133</f>
        <v>0</v>
      </c>
      <c r="AO134" s="22">
        <f t="shared" si="1173"/>
        <v>0</v>
      </c>
      <c r="AP134" s="22">
        <f t="shared" ref="AP134:CD134" si="1175">+AP131-AP132-AP133</f>
        <v>0</v>
      </c>
      <c r="AQ134" s="22">
        <f t="shared" si="1173"/>
        <v>0</v>
      </c>
      <c r="AR134" s="22">
        <f t="shared" si="1175"/>
        <v>0</v>
      </c>
      <c r="AS134" s="22">
        <f t="shared" si="1173"/>
        <v>0</v>
      </c>
      <c r="AT134" s="22">
        <f t="shared" si="1175"/>
        <v>0</v>
      </c>
      <c r="AU134" s="22">
        <f t="shared" si="1173"/>
        <v>0</v>
      </c>
      <c r="AV134" s="22">
        <f t="shared" si="1175"/>
        <v>0</v>
      </c>
      <c r="AW134" s="22">
        <f t="shared" si="1173"/>
        <v>0</v>
      </c>
      <c r="AX134" s="22">
        <f t="shared" si="1175"/>
        <v>0</v>
      </c>
      <c r="AY134" s="22">
        <f t="shared" si="1173"/>
        <v>0</v>
      </c>
      <c r="AZ134" s="22">
        <f t="shared" si="1175"/>
        <v>0</v>
      </c>
      <c r="BA134" s="22">
        <f t="shared" si="1173"/>
        <v>0</v>
      </c>
      <c r="BB134" s="22">
        <f t="shared" si="1175"/>
        <v>0</v>
      </c>
      <c r="BC134" s="22">
        <f t="shared" si="1173"/>
        <v>0</v>
      </c>
      <c r="BD134" s="22">
        <f t="shared" si="1175"/>
        <v>0</v>
      </c>
      <c r="BE134" s="22">
        <f t="shared" si="1173"/>
        <v>0</v>
      </c>
      <c r="BF134" s="22">
        <f t="shared" si="1175"/>
        <v>0</v>
      </c>
      <c r="BG134" s="22">
        <f t="shared" si="1173"/>
        <v>0</v>
      </c>
      <c r="BH134" s="22">
        <f t="shared" si="1175"/>
        <v>0</v>
      </c>
      <c r="BI134" s="22">
        <f t="shared" si="1173"/>
        <v>0</v>
      </c>
      <c r="BJ134" s="22">
        <f t="shared" si="1175"/>
        <v>0</v>
      </c>
      <c r="BK134" s="22">
        <f t="shared" si="1173"/>
        <v>0</v>
      </c>
      <c r="BL134" s="22">
        <f t="shared" si="1175"/>
        <v>0</v>
      </c>
      <c r="BM134" s="22">
        <f t="shared" si="1173"/>
        <v>0</v>
      </c>
      <c r="BN134" s="22">
        <f t="shared" si="1175"/>
        <v>110.706</v>
      </c>
      <c r="BO134" s="22">
        <f t="shared" si="1173"/>
        <v>110.706</v>
      </c>
      <c r="BP134" s="22">
        <f t="shared" si="1175"/>
        <v>109.23399999999999</v>
      </c>
      <c r="BQ134" s="22">
        <f t="shared" si="1173"/>
        <v>109.23399999999999</v>
      </c>
      <c r="BR134" s="22">
        <f t="shared" si="1175"/>
        <v>106.099</v>
      </c>
      <c r="BS134" s="22">
        <f t="shared" si="1173"/>
        <v>106.099</v>
      </c>
      <c r="BT134" s="22">
        <f t="shared" si="1175"/>
        <v>121.712</v>
      </c>
      <c r="BU134" s="22">
        <f t="shared" si="1173"/>
        <v>121.712</v>
      </c>
      <c r="BV134" s="22">
        <f t="shared" si="1175"/>
        <v>158.76599999999999</v>
      </c>
      <c r="BW134" s="22">
        <f t="shared" si="1173"/>
        <v>158.76599999999999</v>
      </c>
      <c r="BX134" s="22">
        <f t="shared" si="1175"/>
        <v>176.29300000000001</v>
      </c>
      <c r="BY134" s="22">
        <f t="shared" si="1173"/>
        <v>176.29300000000001</v>
      </c>
      <c r="BZ134" s="22">
        <f t="shared" si="1175"/>
        <v>179.57599999999999</v>
      </c>
      <c r="CA134" s="22">
        <f t="shared" si="1173"/>
        <v>179.57599999999999</v>
      </c>
      <c r="CB134" s="22">
        <f t="shared" si="1175"/>
        <v>242.5</v>
      </c>
      <c r="CC134" s="22">
        <f t="shared" si="1173"/>
        <v>242.5</v>
      </c>
      <c r="CD134" s="22">
        <f t="shared" si="1175"/>
        <v>400.60399999999998</v>
      </c>
      <c r="CE134" s="22">
        <f t="shared" si="1173"/>
        <v>400.60399999999998</v>
      </c>
      <c r="CF134" s="22">
        <f t="shared" ref="CF134:CI134" si="1176">+CF131-CF132-CF133</f>
        <v>435.19600000000003</v>
      </c>
      <c r="CG134" s="22">
        <f t="shared" ref="CG134:CI137" si="1177">+CF134</f>
        <v>435.19600000000003</v>
      </c>
      <c r="CH134" s="22">
        <f t="shared" si="1176"/>
        <v>495.94</v>
      </c>
      <c r="CI134" s="22">
        <f t="shared" si="1176"/>
        <v>466.02300000000002</v>
      </c>
      <c r="CJ134" s="23">
        <f>+'QTR Raw'!BD68</f>
        <v>450.97300000000001</v>
      </c>
      <c r="CK134" s="23">
        <f t="shared" ref="CK134:DB134" si="1178">+CK131-CK132-CK133</f>
        <v>419.47399999999999</v>
      </c>
      <c r="CL134" s="23">
        <f>+'QTR Raw'!BF68</f>
        <v>440.29300000000001</v>
      </c>
      <c r="CM134" s="21">
        <f t="shared" si="1178"/>
        <v>440.72654516370505</v>
      </c>
      <c r="CN134" s="21">
        <f t="shared" si="1178"/>
        <v>441.12605363066336</v>
      </c>
      <c r="CO134" s="21">
        <f t="shared" si="1178"/>
        <v>441.49419754860583</v>
      </c>
      <c r="CP134" s="21">
        <f t="shared" si="1178"/>
        <v>441.83343928070201</v>
      </c>
      <c r="CQ134" s="21">
        <f t="shared" si="1178"/>
        <v>442.14604787529407</v>
      </c>
      <c r="CR134" s="21">
        <f t="shared" si="1178"/>
        <v>442.43411424262752</v>
      </c>
      <c r="CS134" s="21">
        <f t="shared" si="1178"/>
        <v>442.69956514008902</v>
      </c>
      <c r="CT134" s="21">
        <f t="shared" si="1178"/>
        <v>442.94417605949423</v>
      </c>
      <c r="CU134" s="21">
        <f t="shared" si="1178"/>
        <v>443.16958310262146</v>
      </c>
      <c r="CV134" s="21">
        <f t="shared" si="1178"/>
        <v>443.37729392442316</v>
      </c>
      <c r="CW134" s="21">
        <f t="shared" si="1178"/>
        <v>443.56869781710998</v>
      </c>
      <c r="CX134" s="21">
        <f t="shared" si="1178"/>
        <v>443.74507500255402</v>
      </c>
      <c r="CY134" s="21">
        <f t="shared" si="1178"/>
        <v>443.90760519516641</v>
      </c>
      <c r="CZ134" s="21">
        <f t="shared" si="1178"/>
        <v>444.0573754925216</v>
      </c>
      <c r="DA134" s="21">
        <f t="shared" si="1178"/>
        <v>444.19538764650554</v>
      </c>
      <c r="DB134" s="21">
        <f t="shared" si="1178"/>
        <v>444.32256476362193</v>
      </c>
      <c r="DE134" s="126"/>
      <c r="DF134" s="22">
        <v>501.85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0"/>
        <v>0</v>
      </c>
      <c r="AC135" s="24">
        <f t="shared" si="1161"/>
        <v>0</v>
      </c>
      <c r="AD135" s="24">
        <f t="shared" si="1162"/>
        <v>0</v>
      </c>
      <c r="AE135" s="24">
        <f t="shared" si="1163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79">+AL135</f>
        <v>0</v>
      </c>
      <c r="AN135" s="23">
        <f>+'QTR Raw'!H72</f>
        <v>0</v>
      </c>
      <c r="AO135" s="23">
        <f t="shared" si="1179"/>
        <v>0</v>
      </c>
      <c r="AP135" s="23">
        <f>+'QTR Raw'!J72</f>
        <v>0</v>
      </c>
      <c r="AQ135" s="23">
        <f t="shared" si="1179"/>
        <v>0</v>
      </c>
      <c r="AR135" s="23">
        <f>+'QTR Raw'!L72</f>
        <v>0</v>
      </c>
      <c r="AS135" s="23">
        <f t="shared" si="1179"/>
        <v>0</v>
      </c>
      <c r="AT135" s="23">
        <f>+'QTR Raw'!N72</f>
        <v>0</v>
      </c>
      <c r="AU135" s="23">
        <f t="shared" si="1179"/>
        <v>0</v>
      </c>
      <c r="AV135" s="23">
        <f>+'QTR Raw'!P72</f>
        <v>0</v>
      </c>
      <c r="AW135" s="23">
        <f t="shared" si="1179"/>
        <v>0</v>
      </c>
      <c r="AX135" s="23">
        <f>+'QTR Raw'!R72</f>
        <v>0</v>
      </c>
      <c r="AY135" s="23">
        <f t="shared" si="1179"/>
        <v>0</v>
      </c>
      <c r="AZ135" s="23">
        <f>+'QTR Raw'!T72</f>
        <v>0</v>
      </c>
      <c r="BA135" s="23">
        <f t="shared" si="1179"/>
        <v>0</v>
      </c>
      <c r="BB135" s="23">
        <f>+'QTR Raw'!V72</f>
        <v>0</v>
      </c>
      <c r="BC135" s="23">
        <f t="shared" si="1179"/>
        <v>0</v>
      </c>
      <c r="BD135" s="23">
        <f>+'QTR Raw'!X72</f>
        <v>0</v>
      </c>
      <c r="BE135" s="23">
        <f t="shared" si="1179"/>
        <v>0</v>
      </c>
      <c r="BF135" s="23">
        <f>+'QTR Raw'!Z72</f>
        <v>0</v>
      </c>
      <c r="BG135" s="23">
        <f t="shared" si="1179"/>
        <v>0</v>
      </c>
      <c r="BH135" s="23">
        <f>+'QTR Raw'!AB72</f>
        <v>0</v>
      </c>
      <c r="BI135" s="23">
        <f t="shared" si="1179"/>
        <v>0</v>
      </c>
      <c r="BJ135" s="23">
        <f>+'QTR Raw'!AD72</f>
        <v>0</v>
      </c>
      <c r="BK135" s="23">
        <f t="shared" si="1179"/>
        <v>0</v>
      </c>
      <c r="BL135" s="23">
        <f>+'QTR Raw'!AF72</f>
        <v>0</v>
      </c>
      <c r="BM135" s="23">
        <f t="shared" si="1179"/>
        <v>0</v>
      </c>
      <c r="BN135" s="23">
        <f>+'QTR Raw'!AH72</f>
        <v>0</v>
      </c>
      <c r="BO135" s="23">
        <f t="shared" si="1179"/>
        <v>0</v>
      </c>
      <c r="BP135" s="23">
        <f>+'QTR Raw'!AJ72</f>
        <v>0</v>
      </c>
      <c r="BQ135" s="23">
        <f t="shared" si="1179"/>
        <v>0</v>
      </c>
      <c r="BR135" s="23">
        <f>+'QTR Raw'!AL72</f>
        <v>0</v>
      </c>
      <c r="BS135" s="23">
        <f t="shared" si="1179"/>
        <v>0</v>
      </c>
      <c r="BT135" s="23">
        <f>+'QTR Raw'!AN72</f>
        <v>0</v>
      </c>
      <c r="BU135" s="23">
        <f t="shared" si="1179"/>
        <v>0</v>
      </c>
      <c r="BV135" s="23">
        <f>+'QTR Raw'!AP72</f>
        <v>0</v>
      </c>
      <c r="BW135" s="23">
        <f t="shared" si="1179"/>
        <v>0</v>
      </c>
      <c r="BX135" s="23">
        <f>+'QTR Raw'!AR72</f>
        <v>0</v>
      </c>
      <c r="BY135" s="23">
        <f t="shared" si="1179"/>
        <v>0</v>
      </c>
      <c r="BZ135" s="23">
        <f>+'QTR Raw'!AT72</f>
        <v>0</v>
      </c>
      <c r="CA135" s="23">
        <f t="shared" si="1179"/>
        <v>0</v>
      </c>
      <c r="CB135" s="23">
        <f>+'QTR Raw'!AV72</f>
        <v>0</v>
      </c>
      <c r="CC135" s="23">
        <f t="shared" si="1179"/>
        <v>0</v>
      </c>
      <c r="CD135" s="23">
        <f>+'QTR Raw'!AX72</f>
        <v>0</v>
      </c>
      <c r="CE135" s="23">
        <f t="shared" si="1179"/>
        <v>0</v>
      </c>
      <c r="CF135" s="23">
        <f>+'QTR Raw'!AZ72</f>
        <v>0</v>
      </c>
      <c r="CG135" s="23">
        <f t="shared" si="1177"/>
        <v>0</v>
      </c>
      <c r="CH135" s="23">
        <f t="shared" si="1164"/>
        <v>0</v>
      </c>
      <c r="CI135" s="23">
        <f t="shared" si="1177"/>
        <v>0</v>
      </c>
      <c r="CJ135" s="23">
        <f>+'QTR Raw'!BD72</f>
        <v>0</v>
      </c>
      <c r="CK135" s="23">
        <f t="shared" ref="CK135:CK137" si="1180">+CJ135</f>
        <v>0</v>
      </c>
      <c r="CL135" s="23">
        <f>+'QTR Raw'!BF72</f>
        <v>0</v>
      </c>
      <c r="CM135" s="24">
        <f t="shared" ref="CM135:CM137" si="1181">+CL135</f>
        <v>0</v>
      </c>
      <c r="CN135" s="24">
        <f t="shared" ref="CN135:CN137" si="1182">+CM135</f>
        <v>0</v>
      </c>
      <c r="CO135" s="24">
        <f t="shared" ref="CO135:CO137" si="1183">+CN135</f>
        <v>0</v>
      </c>
      <c r="CP135" s="24">
        <f t="shared" ref="CP135:CP137" si="1184">+CO135</f>
        <v>0</v>
      </c>
      <c r="CQ135" s="24">
        <f t="shared" ref="CQ135:CQ137" si="1185">+CP135</f>
        <v>0</v>
      </c>
      <c r="CR135" s="24">
        <f t="shared" ref="CR135:CR137" si="1186">+CQ135</f>
        <v>0</v>
      </c>
      <c r="CS135" s="24">
        <f t="shared" ref="CS135:CS137" si="1187">+CR135</f>
        <v>0</v>
      </c>
      <c r="CT135" s="24">
        <f t="shared" ref="CT135:CT137" si="1188">+CS135</f>
        <v>0</v>
      </c>
      <c r="CU135" s="24">
        <f t="shared" ref="CU135:CU137" si="1189">+CT135</f>
        <v>0</v>
      </c>
      <c r="CV135" s="24">
        <f t="shared" ref="CV135:CV137" si="1190">+CU135</f>
        <v>0</v>
      </c>
      <c r="CW135" s="24">
        <f t="shared" ref="CW135:CW137" si="1191">+CV135</f>
        <v>0</v>
      </c>
      <c r="CX135" s="24">
        <f t="shared" ref="CX135:CX137" si="1192">+CW135</f>
        <v>0</v>
      </c>
      <c r="CY135" s="24">
        <f t="shared" ref="CY135:CY137" si="1193">+CX135</f>
        <v>0</v>
      </c>
      <c r="CZ135" s="24">
        <f t="shared" ref="CZ135:CZ137" si="1194">+CY135</f>
        <v>0</v>
      </c>
      <c r="DA135" s="24">
        <f t="shared" ref="DA135:DA137" si="1195">+CZ135</f>
        <v>0</v>
      </c>
      <c r="DB135" s="24">
        <f t="shared" ref="DB135:DB137" si="1196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1.8335999999999999</v>
      </c>
      <c r="R136" s="23">
        <f>'Annual Raw'!S68</f>
        <v>0.64137520000000003</v>
      </c>
      <c r="S136" s="23">
        <f>'Annual Raw'!T68</f>
        <v>0</v>
      </c>
      <c r="T136" s="23">
        <f>'Annual Raw'!U68</f>
        <v>0.56899999999999995</v>
      </c>
      <c r="U136" s="23">
        <f>'Annual Raw'!V68</f>
        <v>2.0880000000000001</v>
      </c>
      <c r="V136" s="23">
        <f>'Annual Raw'!W68</f>
        <v>0.183</v>
      </c>
      <c r="W136" s="23">
        <f>'Annual Raw'!X68</f>
        <v>11.996</v>
      </c>
      <c r="X136" s="23">
        <f>'Annual Raw'!Y68</f>
        <v>0.108</v>
      </c>
      <c r="Y136" s="23">
        <f>'Annual Raw'!Z68</f>
        <v>0.60299999999999998</v>
      </c>
      <c r="Z136" s="23">
        <f>'Annual Raw'!AA68</f>
        <v>3.8660000000000001</v>
      </c>
      <c r="AA136" s="23">
        <f>'Annual Raw'!AB68</f>
        <v>9.0459999999999994</v>
      </c>
      <c r="AB136" s="24">
        <f t="shared" si="1160"/>
        <v>0</v>
      </c>
      <c r="AC136" s="24">
        <f t="shared" si="1161"/>
        <v>0</v>
      </c>
      <c r="AD136" s="24">
        <f t="shared" si="1162"/>
        <v>0</v>
      </c>
      <c r="AE136" s="24">
        <f t="shared" si="1163"/>
        <v>0</v>
      </c>
      <c r="AK136" s="23">
        <f t="shared" si="1179"/>
        <v>0</v>
      </c>
      <c r="AM136" s="23">
        <f t="shared" si="1179"/>
        <v>0</v>
      </c>
      <c r="AO136" s="23">
        <f t="shared" si="1179"/>
        <v>0</v>
      </c>
      <c r="AQ136" s="23">
        <f t="shared" si="1179"/>
        <v>0</v>
      </c>
      <c r="AS136" s="23">
        <f t="shared" si="1179"/>
        <v>0</v>
      </c>
      <c r="AU136" s="23">
        <f t="shared" si="1179"/>
        <v>0</v>
      </c>
      <c r="AW136" s="23">
        <f t="shared" si="1179"/>
        <v>0</v>
      </c>
      <c r="AY136" s="23">
        <f t="shared" si="1179"/>
        <v>0</v>
      </c>
      <c r="BA136" s="23">
        <f t="shared" si="1179"/>
        <v>0</v>
      </c>
      <c r="BC136" s="23">
        <f t="shared" si="1179"/>
        <v>0</v>
      </c>
      <c r="BE136" s="23">
        <f t="shared" si="1179"/>
        <v>0</v>
      </c>
      <c r="BG136" s="23">
        <f t="shared" si="1179"/>
        <v>0</v>
      </c>
      <c r="BI136" s="23">
        <f t="shared" si="1179"/>
        <v>0</v>
      </c>
      <c r="BK136" s="23">
        <f t="shared" si="1179"/>
        <v>0</v>
      </c>
      <c r="BM136" s="23">
        <f t="shared" si="1179"/>
        <v>0</v>
      </c>
      <c r="BO136" s="23">
        <f t="shared" si="1179"/>
        <v>0</v>
      </c>
      <c r="BQ136" s="23">
        <f t="shared" si="1179"/>
        <v>0</v>
      </c>
      <c r="BS136" s="23">
        <f t="shared" si="1179"/>
        <v>0</v>
      </c>
      <c r="BU136" s="23">
        <f t="shared" si="1179"/>
        <v>0</v>
      </c>
      <c r="BW136" s="23">
        <f t="shared" si="1179"/>
        <v>0</v>
      </c>
      <c r="BY136" s="23">
        <f t="shared" si="1179"/>
        <v>0</v>
      </c>
      <c r="CA136" s="23">
        <f t="shared" si="1179"/>
        <v>0</v>
      </c>
      <c r="CC136" s="23">
        <f t="shared" si="1179"/>
        <v>0</v>
      </c>
      <c r="CE136" s="23">
        <f t="shared" si="1179"/>
        <v>0</v>
      </c>
      <c r="CG136" s="23">
        <f t="shared" si="1177"/>
        <v>0</v>
      </c>
      <c r="CH136" s="23">
        <f t="shared" si="1164"/>
        <v>3.8660000000000001</v>
      </c>
      <c r="CI136" s="23">
        <f t="shared" si="1177"/>
        <v>3.8660000000000001</v>
      </c>
      <c r="CK136" s="23">
        <f t="shared" si="1180"/>
        <v>0</v>
      </c>
      <c r="CM136" s="24">
        <f t="shared" si="1181"/>
        <v>0</v>
      </c>
      <c r="CN136" s="24">
        <f t="shared" si="1182"/>
        <v>0</v>
      </c>
      <c r="CO136" s="24">
        <f t="shared" si="1183"/>
        <v>0</v>
      </c>
      <c r="CP136" s="24">
        <f t="shared" si="1184"/>
        <v>0</v>
      </c>
      <c r="CQ136" s="24">
        <f t="shared" si="1185"/>
        <v>0</v>
      </c>
      <c r="CR136" s="24">
        <f t="shared" si="1186"/>
        <v>0</v>
      </c>
      <c r="CS136" s="24">
        <f t="shared" si="1187"/>
        <v>0</v>
      </c>
      <c r="CT136" s="24">
        <f t="shared" si="1188"/>
        <v>0</v>
      </c>
      <c r="CU136" s="24">
        <f t="shared" si="1189"/>
        <v>0</v>
      </c>
      <c r="CV136" s="24">
        <f t="shared" si="1190"/>
        <v>0</v>
      </c>
      <c r="CW136" s="24">
        <f t="shared" si="1191"/>
        <v>0</v>
      </c>
      <c r="CX136" s="24">
        <f t="shared" si="1192"/>
        <v>0</v>
      </c>
      <c r="CY136" s="24">
        <f t="shared" si="1193"/>
        <v>0</v>
      </c>
      <c r="CZ136" s="24">
        <f t="shared" si="1194"/>
        <v>0</v>
      </c>
      <c r="DA136" s="24">
        <f t="shared" si="1195"/>
        <v>0</v>
      </c>
      <c r="DB136" s="24">
        <f t="shared" si="1196"/>
        <v>0</v>
      </c>
      <c r="DE136" s="123"/>
      <c r="DF136" s="23">
        <v>9.0459999999999994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8.39564E-2</v>
      </c>
      <c r="K137" s="23">
        <f>'Annual Raw'!L67+'Annual Raw'!L66+'Annual Raw'!L69+'Annual Raw'!L70</f>
        <v>9.4796063000000004</v>
      </c>
      <c r="L137" s="23">
        <f>'Annual Raw'!M67+'Annual Raw'!M66+'Annual Raw'!M69+'Annual Raw'!M70</f>
        <v>0.12824479999999999</v>
      </c>
      <c r="M137" s="23">
        <f>'Annual Raw'!N67+'Annual Raw'!N66+'Annual Raw'!N69+'Annual Raw'!N70</f>
        <v>0</v>
      </c>
      <c r="N137" s="23">
        <f>'Annual Raw'!O67+'Annual Raw'!O66+'Annual Raw'!O69+'Annual Raw'!O70</f>
        <v>1.3156015999999999</v>
      </c>
      <c r="O137" s="23">
        <f>'Annual Raw'!P67+'Annual Raw'!P66+'Annual Raw'!P69+'Annual Raw'!P70</f>
        <v>1.8374999999999999</v>
      </c>
      <c r="P137" s="23">
        <f>'Annual Raw'!Q67+'Annual Raw'!Q66+'Annual Raw'!Q69+'Annual Raw'!Q70</f>
        <v>0.87992369999999998</v>
      </c>
      <c r="Q137" s="23">
        <f>'Annual Raw'!R67+'Annual Raw'!R66+'Annual Raw'!R69+'Annual Raw'!R70</f>
        <v>1.2643498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0.128</v>
      </c>
      <c r="V137" s="23">
        <f>'Annual Raw'!W67+'Annual Raw'!W66+'Annual Raw'!W69+'Annual Raw'!W70</f>
        <v>3.3940000000000001</v>
      </c>
      <c r="W137" s="23">
        <f>'Annual Raw'!X67+'Annual Raw'!X66+'Annual Raw'!X69+'Annual Raw'!X70</f>
        <v>3.3359999999999999</v>
      </c>
      <c r="X137" s="23">
        <f>'Annual Raw'!Y67+'Annual Raw'!Y66+'Annual Raw'!Y69+'Annual Raw'!Y70</f>
        <v>64.801000000000002</v>
      </c>
      <c r="Y137" s="23">
        <f>'Annual Raw'!Z67+'Annual Raw'!Z66+'Annual Raw'!Z69+'Annual Raw'!Z70</f>
        <v>3.22</v>
      </c>
      <c r="Z137" s="23">
        <f>'Annual Raw'!AA67+'Annual Raw'!AA66+'Annual Raw'!AA69+'Annual Raw'!AA70</f>
        <v>3.1619999999999999</v>
      </c>
      <c r="AA137" s="23">
        <f>'Annual Raw'!AB67+'Annual Raw'!AB66+'Annual Raw'!AB69+'Annual Raw'!AB70</f>
        <v>3.7469999999999999</v>
      </c>
      <c r="AB137" s="24">
        <f t="shared" si="1160"/>
        <v>0.64300000000000002</v>
      </c>
      <c r="AC137" s="24">
        <f t="shared" si="1161"/>
        <v>0.64300000000000002</v>
      </c>
      <c r="AD137" s="24">
        <f t="shared" si="1162"/>
        <v>0.64300000000000002</v>
      </c>
      <c r="AE137" s="24">
        <f t="shared" si="1163"/>
        <v>0.64300000000000002</v>
      </c>
      <c r="AJ137" s="23">
        <f>+'QTR Raw'!D74+'QTR Raw'!D75</f>
        <v>0</v>
      </c>
      <c r="AK137" s="23">
        <f t="shared" si="1179"/>
        <v>0</v>
      </c>
      <c r="AL137" s="23">
        <f>+'QTR Raw'!F74+'QTR Raw'!F75</f>
        <v>0</v>
      </c>
      <c r="AM137" s="23">
        <f t="shared" si="1179"/>
        <v>0</v>
      </c>
      <c r="AN137" s="23">
        <f>+'QTR Raw'!H74+'QTR Raw'!H75</f>
        <v>0</v>
      </c>
      <c r="AO137" s="23">
        <f t="shared" si="1179"/>
        <v>0</v>
      </c>
      <c r="AP137" s="23">
        <f>+'QTR Raw'!J74+'QTR Raw'!J75</f>
        <v>0</v>
      </c>
      <c r="AQ137" s="23">
        <f t="shared" si="1179"/>
        <v>0</v>
      </c>
      <c r="AR137" s="23">
        <f>+'QTR Raw'!L74+'QTR Raw'!L75</f>
        <v>0</v>
      </c>
      <c r="AS137" s="23">
        <f t="shared" si="1179"/>
        <v>0</v>
      </c>
      <c r="AT137" s="23">
        <f>+'QTR Raw'!N74+'QTR Raw'!N75</f>
        <v>0</v>
      </c>
      <c r="AU137" s="23">
        <f t="shared" si="1179"/>
        <v>0</v>
      </c>
      <c r="AV137" s="23">
        <f>+'QTR Raw'!P74+'QTR Raw'!P75</f>
        <v>0</v>
      </c>
      <c r="AW137" s="23">
        <f t="shared" si="1179"/>
        <v>0</v>
      </c>
      <c r="AX137" s="23">
        <f>+'QTR Raw'!R74+'QTR Raw'!R75</f>
        <v>0</v>
      </c>
      <c r="AY137" s="23">
        <f t="shared" si="1179"/>
        <v>0</v>
      </c>
      <c r="AZ137" s="23">
        <f>+'QTR Raw'!T74+'QTR Raw'!T75</f>
        <v>0</v>
      </c>
      <c r="BA137" s="23">
        <f t="shared" si="1179"/>
        <v>0</v>
      </c>
      <c r="BB137" s="23">
        <f>+'QTR Raw'!V74+'QTR Raw'!V75</f>
        <v>0</v>
      </c>
      <c r="BC137" s="23">
        <f t="shared" si="1179"/>
        <v>0</v>
      </c>
      <c r="BD137" s="23">
        <f>+'QTR Raw'!X74+'QTR Raw'!X75</f>
        <v>0</v>
      </c>
      <c r="BE137" s="23">
        <f t="shared" si="1179"/>
        <v>0</v>
      </c>
      <c r="BF137" s="23">
        <f>+'QTR Raw'!Z74+'QTR Raw'!Z75</f>
        <v>0</v>
      </c>
      <c r="BG137" s="23">
        <f t="shared" si="1179"/>
        <v>0</v>
      </c>
      <c r="BH137" s="23">
        <f>+'QTR Raw'!AB74+'QTR Raw'!AB75</f>
        <v>0</v>
      </c>
      <c r="BI137" s="23">
        <f t="shared" si="1179"/>
        <v>0</v>
      </c>
      <c r="BJ137" s="23">
        <f>+'QTR Raw'!AD74+'QTR Raw'!AD75</f>
        <v>0</v>
      </c>
      <c r="BK137" s="23">
        <f t="shared" si="1179"/>
        <v>0</v>
      </c>
      <c r="BL137" s="23">
        <f>+'QTR Raw'!AF74+'QTR Raw'!AF75</f>
        <v>0</v>
      </c>
      <c r="BM137" s="23">
        <f t="shared" si="1179"/>
        <v>0</v>
      </c>
      <c r="BN137" s="23">
        <f>+'QTR Raw'!AH74+'QTR Raw'!AH75</f>
        <v>0</v>
      </c>
      <c r="BO137" s="23">
        <f t="shared" si="1179"/>
        <v>0</v>
      </c>
      <c r="BP137" s="23">
        <f>+'QTR Raw'!AJ74+'QTR Raw'!AJ75</f>
        <v>0</v>
      </c>
      <c r="BQ137" s="23">
        <f t="shared" si="1179"/>
        <v>0</v>
      </c>
      <c r="BR137" s="23">
        <f>+'QTR Raw'!AL74+'QTR Raw'!AL75</f>
        <v>0</v>
      </c>
      <c r="BS137" s="23">
        <f t="shared" si="1179"/>
        <v>0</v>
      </c>
      <c r="BT137" s="23">
        <f>+'QTR Raw'!AN74+'QTR Raw'!AN75</f>
        <v>0</v>
      </c>
      <c r="BU137" s="23">
        <f t="shared" si="1179"/>
        <v>0</v>
      </c>
      <c r="BV137" s="23">
        <f>+'QTR Raw'!AP74+'QTR Raw'!AP75</f>
        <v>0</v>
      </c>
      <c r="BW137" s="23">
        <f t="shared" si="1179"/>
        <v>0</v>
      </c>
      <c r="BX137" s="23">
        <f>+'QTR Raw'!AR74+'QTR Raw'!AR75</f>
        <v>34.841999999999999</v>
      </c>
      <c r="BY137" s="23">
        <f t="shared" si="1179"/>
        <v>34.841999999999999</v>
      </c>
      <c r="BZ137" s="23">
        <f>+'QTR Raw'!AT74+'QTR Raw'!AT75</f>
        <v>61.523000000000003</v>
      </c>
      <c r="CA137" s="23">
        <f t="shared" si="1179"/>
        <v>61.523000000000003</v>
      </c>
      <c r="CB137" s="23">
        <f>+'QTR Raw'!AV74+'QTR Raw'!AV75</f>
        <v>50.5</v>
      </c>
      <c r="CC137" s="23">
        <f t="shared" si="1179"/>
        <v>50.5</v>
      </c>
      <c r="CD137" s="23">
        <f>+'QTR Raw'!AX74+'QTR Raw'!AX75</f>
        <v>0</v>
      </c>
      <c r="CE137" s="23">
        <f t="shared" si="1179"/>
        <v>0</v>
      </c>
      <c r="CF137" s="23">
        <f>+'QTR Raw'!AZ74+'QTR Raw'!AZ75</f>
        <v>0</v>
      </c>
      <c r="CG137" s="23">
        <f t="shared" si="1177"/>
        <v>0</v>
      </c>
      <c r="CH137" s="23">
        <f t="shared" si="1164"/>
        <v>3.1619999999999999</v>
      </c>
      <c r="CI137" s="23">
        <f t="shared" si="1177"/>
        <v>3.1619999999999999</v>
      </c>
      <c r="CJ137" s="23">
        <f>+'QTR Raw'!BD74+'QTR Raw'!BD75</f>
        <v>0.84</v>
      </c>
      <c r="CK137" s="23">
        <f t="shared" si="1180"/>
        <v>0.84</v>
      </c>
      <c r="CL137" s="23">
        <f>+'QTR Raw'!BF74+'QTR Raw'!BF75</f>
        <v>0.64300000000000002</v>
      </c>
      <c r="CM137" s="24">
        <f t="shared" si="1181"/>
        <v>0.64300000000000002</v>
      </c>
      <c r="CN137" s="24">
        <f t="shared" si="1182"/>
        <v>0.64300000000000002</v>
      </c>
      <c r="CO137" s="24">
        <f t="shared" si="1183"/>
        <v>0.64300000000000002</v>
      </c>
      <c r="CP137" s="24">
        <f t="shared" si="1184"/>
        <v>0.64300000000000002</v>
      </c>
      <c r="CQ137" s="24">
        <f t="shared" si="1185"/>
        <v>0.64300000000000002</v>
      </c>
      <c r="CR137" s="24">
        <f t="shared" si="1186"/>
        <v>0.64300000000000002</v>
      </c>
      <c r="CS137" s="24">
        <f t="shared" si="1187"/>
        <v>0.64300000000000002</v>
      </c>
      <c r="CT137" s="24">
        <f t="shared" si="1188"/>
        <v>0.64300000000000002</v>
      </c>
      <c r="CU137" s="24">
        <f t="shared" si="1189"/>
        <v>0.64300000000000002</v>
      </c>
      <c r="CV137" s="24">
        <f t="shared" si="1190"/>
        <v>0.64300000000000002</v>
      </c>
      <c r="CW137" s="24">
        <f t="shared" si="1191"/>
        <v>0.64300000000000002</v>
      </c>
      <c r="CX137" s="24">
        <f t="shared" si="1192"/>
        <v>0.64300000000000002</v>
      </c>
      <c r="CY137" s="24">
        <f t="shared" si="1193"/>
        <v>0.64300000000000002</v>
      </c>
      <c r="CZ137" s="24">
        <f t="shared" si="1194"/>
        <v>0.64300000000000002</v>
      </c>
      <c r="DA137" s="24">
        <f t="shared" si="1195"/>
        <v>0.64300000000000002</v>
      </c>
      <c r="DB137" s="24">
        <f t="shared" si="1196"/>
        <v>0.64300000000000002</v>
      </c>
      <c r="DE137" s="123"/>
      <c r="DF137" s="23">
        <v>3.7469999999999999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97">C134+C137+C136</f>
        <v>0</v>
      </c>
      <c r="D138" s="22">
        <f t="shared" si="1197"/>
        <v>0</v>
      </c>
      <c r="E138" s="22">
        <f t="shared" ref="E138:Y138" si="1198">E134+E137+E136+E135</f>
        <v>0</v>
      </c>
      <c r="F138" s="22">
        <f t="shared" si="1198"/>
        <v>0</v>
      </c>
      <c r="G138" s="22">
        <f t="shared" si="1198"/>
        <v>0</v>
      </c>
      <c r="H138" s="22">
        <f t="shared" si="1198"/>
        <v>0</v>
      </c>
      <c r="I138" s="22">
        <f t="shared" si="1198"/>
        <v>9.0214794999999999</v>
      </c>
      <c r="J138" s="22">
        <f t="shared" si="1198"/>
        <v>12.202388600000001</v>
      </c>
      <c r="K138" s="22">
        <f t="shared" si="1198"/>
        <v>20.792994700000001</v>
      </c>
      <c r="L138" s="22">
        <f t="shared" si="1198"/>
        <v>75.616197700000001</v>
      </c>
      <c r="M138" s="22">
        <f t="shared" si="1198"/>
        <v>74.090657699999994</v>
      </c>
      <c r="N138" s="22">
        <f t="shared" si="1198"/>
        <v>133.43013730000001</v>
      </c>
      <c r="O138" s="22">
        <f t="shared" si="1198"/>
        <v>128.90775859999999</v>
      </c>
      <c r="P138" s="22">
        <f t="shared" si="1198"/>
        <v>121.99793070000003</v>
      </c>
      <c r="Q138" s="22">
        <f t="shared" si="1198"/>
        <v>124.97781670000001</v>
      </c>
      <c r="R138" s="22">
        <f t="shared" si="1198"/>
        <v>123.4235188</v>
      </c>
      <c r="S138" s="22">
        <f t="shared" si="1198"/>
        <v>115.80401989999999</v>
      </c>
      <c r="T138" s="22">
        <f t="shared" si="1198"/>
        <v>134.54099999999997</v>
      </c>
      <c r="U138" s="22">
        <f t="shared" si="1198"/>
        <v>126.14999999999998</v>
      </c>
      <c r="V138" s="22">
        <f t="shared" si="1198"/>
        <v>115.01100000000001</v>
      </c>
      <c r="W138" s="22">
        <f t="shared" si="1198"/>
        <v>163.822</v>
      </c>
      <c r="X138" s="22">
        <f t="shared" si="1198"/>
        <v>248.16399999999999</v>
      </c>
      <c r="Y138" s="22">
        <f t="shared" si="1198"/>
        <v>409.37800000000004</v>
      </c>
      <c r="Z138" s="22">
        <f>Z134+Z137+Z136+Z135</f>
        <v>502.96799999999996</v>
      </c>
      <c r="AA138" s="22">
        <f>AA134+AA137+AA136+AA135</f>
        <v>514.64300000000003</v>
      </c>
      <c r="AB138" s="161">
        <f t="shared" ref="AB138:AE138" si="1199">AB134+AB137+AB136+AB135</f>
        <v>442.47643928070198</v>
      </c>
      <c r="AC138" s="161">
        <f t="shared" si="1199"/>
        <v>443.5871760594942</v>
      </c>
      <c r="AD138" s="161">
        <f t="shared" si="1199"/>
        <v>444.38807500255399</v>
      </c>
      <c r="AE138" s="161">
        <f t="shared" si="1199"/>
        <v>444.9655647636219</v>
      </c>
      <c r="AJ138" s="22">
        <f t="shared" ref="AJ138" si="1200">AJ134+AJ137+AJ135+AJ136</f>
        <v>0</v>
      </c>
      <c r="AK138" s="22">
        <f t="shared" ref="AK138" si="1201">AK134+AK137+AK135+AK136</f>
        <v>0</v>
      </c>
      <c r="AL138" s="22">
        <f t="shared" ref="AL138:AM138" si="1202">AL134+AL137+AL135+AL136</f>
        <v>0</v>
      </c>
      <c r="AM138" s="22">
        <f t="shared" si="1202"/>
        <v>0</v>
      </c>
      <c r="AN138" s="22">
        <f t="shared" ref="AN138:AO138" si="1203">AN134+AN137+AN135+AN136</f>
        <v>0</v>
      </c>
      <c r="AO138" s="22">
        <f t="shared" si="1203"/>
        <v>0</v>
      </c>
      <c r="AP138" s="22">
        <f t="shared" ref="AP138:CE138" si="1204">AP134+AP137+AP135+AP136</f>
        <v>0</v>
      </c>
      <c r="AQ138" s="22">
        <f t="shared" si="1204"/>
        <v>0</v>
      </c>
      <c r="AR138" s="22">
        <f t="shared" si="1204"/>
        <v>0</v>
      </c>
      <c r="AS138" s="22">
        <f t="shared" si="1204"/>
        <v>0</v>
      </c>
      <c r="AT138" s="22">
        <f t="shared" si="1204"/>
        <v>0</v>
      </c>
      <c r="AU138" s="22">
        <f t="shared" si="1204"/>
        <v>0</v>
      </c>
      <c r="AV138" s="22">
        <f t="shared" si="1204"/>
        <v>0</v>
      </c>
      <c r="AW138" s="22">
        <f t="shared" si="1204"/>
        <v>0</v>
      </c>
      <c r="AX138" s="22">
        <f t="shared" si="1204"/>
        <v>0</v>
      </c>
      <c r="AY138" s="22">
        <f t="shared" si="1204"/>
        <v>0</v>
      </c>
      <c r="AZ138" s="22">
        <f t="shared" si="1204"/>
        <v>0</v>
      </c>
      <c r="BA138" s="22">
        <f t="shared" si="1204"/>
        <v>0</v>
      </c>
      <c r="BB138" s="22">
        <f t="shared" si="1204"/>
        <v>0</v>
      </c>
      <c r="BC138" s="22">
        <f t="shared" si="1204"/>
        <v>0</v>
      </c>
      <c r="BD138" s="22">
        <f t="shared" si="1204"/>
        <v>0</v>
      </c>
      <c r="BE138" s="22">
        <f t="shared" si="1204"/>
        <v>0</v>
      </c>
      <c r="BF138" s="22">
        <f t="shared" si="1204"/>
        <v>0</v>
      </c>
      <c r="BG138" s="22">
        <f t="shared" si="1204"/>
        <v>0</v>
      </c>
      <c r="BH138" s="22">
        <f t="shared" si="1204"/>
        <v>0</v>
      </c>
      <c r="BI138" s="22">
        <f t="shared" si="1204"/>
        <v>0</v>
      </c>
      <c r="BJ138" s="22">
        <f t="shared" si="1204"/>
        <v>0</v>
      </c>
      <c r="BK138" s="22">
        <f t="shared" si="1204"/>
        <v>0</v>
      </c>
      <c r="BL138" s="22">
        <f t="shared" si="1204"/>
        <v>0</v>
      </c>
      <c r="BM138" s="22">
        <f t="shared" si="1204"/>
        <v>0</v>
      </c>
      <c r="BN138" s="22">
        <f t="shared" si="1204"/>
        <v>110.706</v>
      </c>
      <c r="BO138" s="22">
        <f t="shared" si="1204"/>
        <v>110.706</v>
      </c>
      <c r="BP138" s="22">
        <f t="shared" si="1204"/>
        <v>109.23399999999999</v>
      </c>
      <c r="BQ138" s="22">
        <f t="shared" si="1204"/>
        <v>109.23399999999999</v>
      </c>
      <c r="BR138" s="22">
        <f t="shared" si="1204"/>
        <v>106.099</v>
      </c>
      <c r="BS138" s="22">
        <f t="shared" si="1204"/>
        <v>106.099</v>
      </c>
      <c r="BT138" s="22">
        <f t="shared" si="1204"/>
        <v>121.712</v>
      </c>
      <c r="BU138" s="22">
        <f t="shared" si="1204"/>
        <v>121.712</v>
      </c>
      <c r="BV138" s="22">
        <f t="shared" si="1204"/>
        <v>158.76599999999999</v>
      </c>
      <c r="BW138" s="22">
        <f t="shared" si="1204"/>
        <v>158.76599999999999</v>
      </c>
      <c r="BX138" s="22">
        <f t="shared" si="1204"/>
        <v>211.13499999999999</v>
      </c>
      <c r="BY138" s="22">
        <f t="shared" si="1204"/>
        <v>211.13499999999999</v>
      </c>
      <c r="BZ138" s="22">
        <f t="shared" si="1204"/>
        <v>241.09899999999999</v>
      </c>
      <c r="CA138" s="22">
        <f t="shared" si="1204"/>
        <v>241.09899999999999</v>
      </c>
      <c r="CB138" s="22">
        <f t="shared" si="1204"/>
        <v>293</v>
      </c>
      <c r="CC138" s="22">
        <f t="shared" si="1204"/>
        <v>293</v>
      </c>
      <c r="CD138" s="22">
        <f t="shared" si="1204"/>
        <v>400.60399999999998</v>
      </c>
      <c r="CE138" s="22">
        <f t="shared" si="1204"/>
        <v>400.60399999999998</v>
      </c>
      <c r="CF138" s="22">
        <f t="shared" ref="CF138:CG138" si="1205">CF134+CF137+CF135+CF136</f>
        <v>435.19600000000003</v>
      </c>
      <c r="CG138" s="22">
        <f t="shared" si="1205"/>
        <v>435.19600000000003</v>
      </c>
      <c r="CH138" s="22">
        <f t="shared" ref="CH138:CJ138" si="1206">CH134+CH137+CH135+CH136</f>
        <v>502.96799999999996</v>
      </c>
      <c r="CI138" s="22">
        <f t="shared" si="1206"/>
        <v>473.05099999999999</v>
      </c>
      <c r="CJ138" s="22">
        <f t="shared" si="1206"/>
        <v>451.81299999999999</v>
      </c>
      <c r="CK138" s="22">
        <f t="shared" ref="CK138:DB138" si="1207">CK134+CK137+CK135+CK136</f>
        <v>420.31399999999996</v>
      </c>
      <c r="CL138" s="22">
        <f t="shared" si="1207"/>
        <v>440.93599999999998</v>
      </c>
      <c r="CM138" s="21">
        <f t="shared" si="1207"/>
        <v>441.36954516370503</v>
      </c>
      <c r="CN138" s="21">
        <f t="shared" si="1207"/>
        <v>441.76905363066334</v>
      </c>
      <c r="CO138" s="21">
        <f t="shared" si="1207"/>
        <v>442.1371975486058</v>
      </c>
      <c r="CP138" s="21">
        <f t="shared" si="1207"/>
        <v>442.47643928070198</v>
      </c>
      <c r="CQ138" s="21">
        <f t="shared" si="1207"/>
        <v>442.78904787529405</v>
      </c>
      <c r="CR138" s="21">
        <f t="shared" si="1207"/>
        <v>443.07711424262749</v>
      </c>
      <c r="CS138" s="21">
        <f t="shared" si="1207"/>
        <v>443.34256514008899</v>
      </c>
      <c r="CT138" s="21">
        <f t="shared" si="1207"/>
        <v>443.5871760594942</v>
      </c>
      <c r="CU138" s="21">
        <f t="shared" si="1207"/>
        <v>443.81258310262143</v>
      </c>
      <c r="CV138" s="21">
        <f t="shared" si="1207"/>
        <v>444.02029392442313</v>
      </c>
      <c r="CW138" s="21">
        <f t="shared" si="1207"/>
        <v>444.21169781710995</v>
      </c>
      <c r="CX138" s="21">
        <f t="shared" si="1207"/>
        <v>444.38807500255399</v>
      </c>
      <c r="CY138" s="21">
        <f t="shared" si="1207"/>
        <v>444.55060519516638</v>
      </c>
      <c r="CZ138" s="21">
        <f t="shared" si="1207"/>
        <v>444.70037549252157</v>
      </c>
      <c r="DA138" s="21">
        <f t="shared" si="1207"/>
        <v>444.83838764650551</v>
      </c>
      <c r="DB138" s="21">
        <f t="shared" si="1207"/>
        <v>444.9655647636219</v>
      </c>
      <c r="DE138" s="126"/>
      <c r="DF138" s="22">
        <v>514.64300000000003</v>
      </c>
    </row>
    <row r="139" spans="1:110" s="23" customFormat="1" x14ac:dyDescent="0.2">
      <c r="AB139" s="24"/>
      <c r="AC139" s="24"/>
      <c r="AD139" s="24"/>
      <c r="AE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124.9636837</v>
      </c>
      <c r="J140" s="23">
        <f>'Annual Raw'!K71</f>
        <v>56.282946799999998</v>
      </c>
      <c r="K140" s="23">
        <f>'Annual Raw'!L71</f>
        <v>58.532946799999998</v>
      </c>
      <c r="L140" s="23">
        <f>'Annual Raw'!M71</f>
        <v>94.563287099999997</v>
      </c>
      <c r="M140" s="23">
        <f>'Annual Raw'!N71</f>
        <v>109.1009868</v>
      </c>
      <c r="N140" s="23">
        <f>'Annual Raw'!O71</f>
        <v>2.1039999999999999E-4</v>
      </c>
      <c r="O140" s="23">
        <f>'Annual Raw'!P71</f>
        <v>2.1039999999999999E-4</v>
      </c>
      <c r="P140" s="23">
        <f>'Annual Raw'!Q71</f>
        <v>2.1039999999999999E-4</v>
      </c>
      <c r="Q140" s="23">
        <f>'Annual Raw'!R71</f>
        <v>2.1039999999999999E-4</v>
      </c>
      <c r="R140" s="23">
        <f>'Annual Raw'!S71</f>
        <v>2.1039999999999999E-4</v>
      </c>
      <c r="S140" s="23">
        <f>'Annual Raw'!T71</f>
        <v>2.1039999999999999E-4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109.474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3.1040000000000001</v>
      </c>
      <c r="AC140" s="24">
        <f>+CT140</f>
        <v>3.1040000000000001</v>
      </c>
      <c r="AD140" s="24">
        <f>+CX140</f>
        <v>3.1040000000000001</v>
      </c>
      <c r="AE140" s="24">
        <f>+DB140</f>
        <v>3.1040000000000001</v>
      </c>
      <c r="AJ140" s="23">
        <f>+'QTR Raw'!D77</f>
        <v>0</v>
      </c>
      <c r="AK140" s="23">
        <f t="shared" ref="AK140:CE140" si="1208">+AJ140</f>
        <v>0</v>
      </c>
      <c r="AL140" s="23">
        <f>+'QTR Raw'!F77</f>
        <v>0</v>
      </c>
      <c r="AM140" s="23">
        <f t="shared" si="1208"/>
        <v>0</v>
      </c>
      <c r="AN140" s="23">
        <f>+'QTR Raw'!H77</f>
        <v>0</v>
      </c>
      <c r="AO140" s="23">
        <f t="shared" si="1208"/>
        <v>0</v>
      </c>
      <c r="AP140" s="23">
        <f>+'QTR Raw'!J77</f>
        <v>0</v>
      </c>
      <c r="AQ140" s="23">
        <f t="shared" si="1208"/>
        <v>0</v>
      </c>
      <c r="AR140" s="23">
        <f>+'QTR Raw'!L77</f>
        <v>0</v>
      </c>
      <c r="AS140" s="23">
        <f t="shared" si="1208"/>
        <v>0</v>
      </c>
      <c r="AT140" s="23">
        <f>+'QTR Raw'!N77</f>
        <v>0</v>
      </c>
      <c r="AU140" s="23">
        <f t="shared" si="1208"/>
        <v>0</v>
      </c>
      <c r="AV140" s="23">
        <f>+'QTR Raw'!P77</f>
        <v>0</v>
      </c>
      <c r="AW140" s="23">
        <f t="shared" si="1208"/>
        <v>0</v>
      </c>
      <c r="AX140" s="23">
        <f>+'QTR Raw'!R77</f>
        <v>0</v>
      </c>
      <c r="AY140" s="23">
        <f t="shared" si="1208"/>
        <v>0</v>
      </c>
      <c r="AZ140" s="23">
        <f>+'QTR Raw'!T77</f>
        <v>0</v>
      </c>
      <c r="BA140" s="23">
        <f t="shared" si="1208"/>
        <v>0</v>
      </c>
      <c r="BB140" s="23">
        <f>+'QTR Raw'!V77</f>
        <v>0</v>
      </c>
      <c r="BC140" s="23">
        <f t="shared" si="1208"/>
        <v>0</v>
      </c>
      <c r="BD140" s="23">
        <f>+'QTR Raw'!X77</f>
        <v>0</v>
      </c>
      <c r="BE140" s="23">
        <f t="shared" si="1208"/>
        <v>0</v>
      </c>
      <c r="BF140" s="23">
        <f>+'QTR Raw'!Z77</f>
        <v>0</v>
      </c>
      <c r="BG140" s="23">
        <f t="shared" si="1208"/>
        <v>0</v>
      </c>
      <c r="BH140" s="23">
        <f>+'QTR Raw'!AB77</f>
        <v>0</v>
      </c>
      <c r="BI140" s="23">
        <f t="shared" si="1208"/>
        <v>0</v>
      </c>
      <c r="BJ140" s="23">
        <f>+'QTR Raw'!AD77</f>
        <v>0</v>
      </c>
      <c r="BK140" s="23">
        <f t="shared" si="1208"/>
        <v>0</v>
      </c>
      <c r="BL140" s="23">
        <f>+'QTR Raw'!AF77</f>
        <v>0</v>
      </c>
      <c r="BM140" s="23">
        <f t="shared" si="1208"/>
        <v>0</v>
      </c>
      <c r="BN140" s="23">
        <f>+'QTR Raw'!AH77</f>
        <v>0.128</v>
      </c>
      <c r="BO140" s="23">
        <f t="shared" si="1208"/>
        <v>0.128</v>
      </c>
      <c r="BP140" s="23">
        <f>+'QTR Raw'!AJ77</f>
        <v>3.3159999999999998</v>
      </c>
      <c r="BQ140" s="23">
        <f t="shared" si="1208"/>
        <v>3.3159999999999998</v>
      </c>
      <c r="BR140" s="23">
        <f>+'QTR Raw'!AL77</f>
        <v>3.3940000000000001</v>
      </c>
      <c r="BS140" s="23">
        <f t="shared" si="1208"/>
        <v>3.3940000000000001</v>
      </c>
      <c r="BT140" s="23">
        <f>+'QTR Raw'!AN77</f>
        <v>3.3650000000000002</v>
      </c>
      <c r="BU140" s="23">
        <f t="shared" si="1208"/>
        <v>3.3650000000000002</v>
      </c>
      <c r="BV140" s="23">
        <f>+'QTR Raw'!AP77</f>
        <v>3.3359999999999999</v>
      </c>
      <c r="BW140" s="23">
        <f t="shared" si="1208"/>
        <v>3.3359999999999999</v>
      </c>
      <c r="BX140" s="23">
        <f>+'QTR Raw'!AR77</f>
        <v>3.3069999999999999</v>
      </c>
      <c r="BY140" s="23">
        <f t="shared" si="1208"/>
        <v>3.3069999999999999</v>
      </c>
      <c r="BZ140" s="23">
        <f>+'QTR Raw'!AT77</f>
        <v>3.278</v>
      </c>
      <c r="CA140" s="23">
        <f t="shared" si="1208"/>
        <v>3.278</v>
      </c>
      <c r="CB140" s="23">
        <f>+'QTR Raw'!AV77</f>
        <v>3.2</v>
      </c>
      <c r="CC140" s="23">
        <f t="shared" si="1208"/>
        <v>3.2</v>
      </c>
      <c r="CD140" s="23">
        <f>+'QTR Raw'!AX77</f>
        <v>3.22</v>
      </c>
      <c r="CE140" s="23">
        <f t="shared" si="1208"/>
        <v>3.22</v>
      </c>
      <c r="CF140" s="23">
        <f>+'QTR Raw'!AZ77</f>
        <v>3.1909999999999998</v>
      </c>
      <c r="CG140" s="23">
        <f t="shared" ref="CG140:CI143" si="1209">+CF140</f>
        <v>3.1909999999999998</v>
      </c>
      <c r="CH140" s="23">
        <f t="shared" ref="CH140:CH155" si="1210">Z140</f>
        <v>0</v>
      </c>
      <c r="CI140" s="23">
        <f t="shared" si="1209"/>
        <v>0</v>
      </c>
      <c r="CJ140" s="23">
        <f>+'QTR Raw'!BD77</f>
        <v>3.133</v>
      </c>
      <c r="CK140" s="23">
        <f t="shared" ref="CK140" si="1211">+CJ140</f>
        <v>3.133</v>
      </c>
      <c r="CL140" s="23">
        <f>+'QTR Raw'!BF77</f>
        <v>3.1040000000000001</v>
      </c>
      <c r="CM140" s="24">
        <f t="shared" ref="CM140" si="1212">+CL140</f>
        <v>3.1040000000000001</v>
      </c>
      <c r="CN140" s="24">
        <f t="shared" ref="CN140" si="1213">+CM140</f>
        <v>3.1040000000000001</v>
      </c>
      <c r="CO140" s="24">
        <f t="shared" ref="CO140" si="1214">+CN140</f>
        <v>3.1040000000000001</v>
      </c>
      <c r="CP140" s="24">
        <f t="shared" ref="CP140" si="1215">+CO140</f>
        <v>3.1040000000000001</v>
      </c>
      <c r="CQ140" s="24">
        <f t="shared" ref="CQ140" si="1216">+CP140</f>
        <v>3.1040000000000001</v>
      </c>
      <c r="CR140" s="24">
        <f t="shared" ref="CR140" si="1217">+CQ140</f>
        <v>3.1040000000000001</v>
      </c>
      <c r="CS140" s="24">
        <f t="shared" ref="CS140" si="1218">+CR140</f>
        <v>3.1040000000000001</v>
      </c>
      <c r="CT140" s="24">
        <f t="shared" ref="CT140" si="1219">+CS140</f>
        <v>3.1040000000000001</v>
      </c>
      <c r="CU140" s="24">
        <f t="shared" ref="CU140" si="1220">+CT140</f>
        <v>3.1040000000000001</v>
      </c>
      <c r="CV140" s="24">
        <f t="shared" ref="CV140" si="1221">+CU140</f>
        <v>3.1040000000000001</v>
      </c>
      <c r="CW140" s="24">
        <f t="shared" ref="CW140" si="1222">+CV140</f>
        <v>3.1040000000000001</v>
      </c>
      <c r="CX140" s="24">
        <f t="shared" ref="CX140" si="1223">+CW140</f>
        <v>3.1040000000000001</v>
      </c>
      <c r="CY140" s="24">
        <f t="shared" ref="CY140" si="1224">+CX140</f>
        <v>3.1040000000000001</v>
      </c>
      <c r="CZ140" s="24">
        <f t="shared" ref="CZ140" si="1225">+CY140</f>
        <v>3.1040000000000001</v>
      </c>
      <c r="DA140" s="24">
        <f t="shared" ref="DA140" si="1226">+CZ140</f>
        <v>3.1040000000000001</v>
      </c>
      <c r="DB140" s="24">
        <f t="shared" ref="DB140" si="1227">+DA140</f>
        <v>3.1040000000000001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6.5899858</v>
      </c>
      <c r="N142" s="23">
        <f>'Annual Raw'!O72+'Annual Raw'!O61</f>
        <v>52.033846400000002</v>
      </c>
      <c r="O142" s="23">
        <f>'Annual Raw'!P72+'Annual Raw'!P61</f>
        <v>52.149016899999999</v>
      </c>
      <c r="P142" s="23">
        <f>'Annual Raw'!Q72+'Annual Raw'!Q61</f>
        <v>47.909913799999998</v>
      </c>
      <c r="Q142" s="23">
        <f>'Annual Raw'!R72+'Annual Raw'!R61</f>
        <v>18.140998100000001</v>
      </c>
      <c r="R142" s="23">
        <f>'Annual Raw'!S72+'Annual Raw'!S61</f>
        <v>108.2745401</v>
      </c>
      <c r="S142" s="23">
        <f>'Annual Raw'!T72+'Annual Raw'!T61</f>
        <v>157.11697580000001</v>
      </c>
      <c r="T142" s="23">
        <f>'Annual Raw'!U72+'Annual Raw'!U61</f>
        <v>233.625</v>
      </c>
      <c r="U142" s="23">
        <f>'Annual Raw'!V72+'Annual Raw'!V61</f>
        <v>425.05</v>
      </c>
      <c r="V142" s="23">
        <f>'Annual Raw'!W72+'Annual Raw'!W61</f>
        <v>1431.038</v>
      </c>
      <c r="W142" s="23">
        <f>'Annual Raw'!X72+'Annual Raw'!X61</f>
        <v>174.11199999999999</v>
      </c>
      <c r="X142" s="23">
        <f>'Annual Raw'!Y72+'Annual Raw'!Y61</f>
        <v>155.42500000000001</v>
      </c>
      <c r="Y142" s="23">
        <f>'Annual Raw'!Z72+'Annual Raw'!Z61</f>
        <v>732.83500000000004</v>
      </c>
      <c r="Z142" s="23">
        <f>'Annual Raw'!AA72+'Annual Raw'!AA61</f>
        <v>1354.261</v>
      </c>
      <c r="AA142" s="23">
        <f>'Annual Raw'!AB72+'Annual Raw'!AB61</f>
        <v>817.245</v>
      </c>
      <c r="AB142" s="24">
        <f t="shared" ref="AB142:AB147" si="1228">+CP142</f>
        <v>0</v>
      </c>
      <c r="AC142" s="24">
        <f t="shared" ref="AC142:AC147" si="1229">+CT142</f>
        <v>0</v>
      </c>
      <c r="AD142" s="24">
        <f t="shared" ref="AD142:AD147" si="1230">+CX142</f>
        <v>0</v>
      </c>
      <c r="AE142" s="24">
        <f t="shared" ref="AE142:AE147" si="1231">+DB142</f>
        <v>0</v>
      </c>
      <c r="AJ142" s="23">
        <f>+'QTR Raw'!D78</f>
        <v>0</v>
      </c>
      <c r="AK142" s="23">
        <f t="shared" ref="AK142:CE147" si="1232">+AJ142</f>
        <v>0</v>
      </c>
      <c r="AL142" s="23">
        <f>+'QTR Raw'!F78</f>
        <v>0</v>
      </c>
      <c r="AM142" s="23">
        <f t="shared" si="1232"/>
        <v>0</v>
      </c>
      <c r="AN142" s="23">
        <f>+'QTR Raw'!H78</f>
        <v>0</v>
      </c>
      <c r="AO142" s="23">
        <f t="shared" si="1232"/>
        <v>0</v>
      </c>
      <c r="AP142" s="23">
        <f>+'QTR Raw'!J78</f>
        <v>0</v>
      </c>
      <c r="AQ142" s="23">
        <f t="shared" si="1232"/>
        <v>0</v>
      </c>
      <c r="AR142" s="23">
        <f>+'QTR Raw'!L78</f>
        <v>0</v>
      </c>
      <c r="AS142" s="23">
        <f t="shared" si="1232"/>
        <v>0</v>
      </c>
      <c r="AT142" s="23">
        <f>+'QTR Raw'!N78</f>
        <v>0</v>
      </c>
      <c r="AU142" s="23">
        <f t="shared" si="1232"/>
        <v>0</v>
      </c>
      <c r="AV142" s="23">
        <f>+'QTR Raw'!P78</f>
        <v>0</v>
      </c>
      <c r="AW142" s="23">
        <f t="shared" si="1232"/>
        <v>0</v>
      </c>
      <c r="AX142" s="23">
        <f>+'QTR Raw'!R78</f>
        <v>0</v>
      </c>
      <c r="AY142" s="23">
        <f t="shared" si="1232"/>
        <v>0</v>
      </c>
      <c r="AZ142" s="23">
        <f>+'QTR Raw'!T78</f>
        <v>0</v>
      </c>
      <c r="BA142" s="23">
        <f t="shared" si="1232"/>
        <v>0</v>
      </c>
      <c r="BB142" s="23">
        <f>+'QTR Raw'!V78</f>
        <v>0</v>
      </c>
      <c r="BC142" s="23">
        <f t="shared" si="1232"/>
        <v>0</v>
      </c>
      <c r="BD142" s="23">
        <f>+'QTR Raw'!X78</f>
        <v>0</v>
      </c>
      <c r="BE142" s="23">
        <f t="shared" si="1232"/>
        <v>0</v>
      </c>
      <c r="BF142" s="23">
        <f>+'QTR Raw'!Z78</f>
        <v>0</v>
      </c>
      <c r="BG142" s="23">
        <f t="shared" si="1232"/>
        <v>0</v>
      </c>
      <c r="BH142" s="23">
        <f>+'QTR Raw'!AB78</f>
        <v>0</v>
      </c>
      <c r="BI142" s="23">
        <f t="shared" si="1232"/>
        <v>0</v>
      </c>
      <c r="BJ142" s="23">
        <f>+'QTR Raw'!AD78</f>
        <v>0</v>
      </c>
      <c r="BK142" s="23">
        <f t="shared" si="1232"/>
        <v>0</v>
      </c>
      <c r="BL142" s="23">
        <f>+'QTR Raw'!AF78</f>
        <v>0</v>
      </c>
      <c r="BM142" s="23">
        <f t="shared" si="1232"/>
        <v>0</v>
      </c>
      <c r="BN142" s="23">
        <f>+'QTR Raw'!AH78</f>
        <v>0</v>
      </c>
      <c r="BO142" s="23">
        <f t="shared" si="1232"/>
        <v>0</v>
      </c>
      <c r="BP142" s="23">
        <f>+'QTR Raw'!AJ78</f>
        <v>0</v>
      </c>
      <c r="BQ142" s="23">
        <f t="shared" si="1232"/>
        <v>0</v>
      </c>
      <c r="BR142" s="23">
        <f>+'QTR Raw'!AL78</f>
        <v>0</v>
      </c>
      <c r="BS142" s="23">
        <f t="shared" si="1232"/>
        <v>0</v>
      </c>
      <c r="BT142" s="23">
        <f>+'QTR Raw'!AN78</f>
        <v>0</v>
      </c>
      <c r="BU142" s="23">
        <f t="shared" si="1232"/>
        <v>0</v>
      </c>
      <c r="BV142" s="23">
        <f>+'QTR Raw'!AP78</f>
        <v>0</v>
      </c>
      <c r="BW142" s="23">
        <f t="shared" si="1232"/>
        <v>0</v>
      </c>
      <c r="BX142" s="23">
        <f>+'QTR Raw'!AR78</f>
        <v>0</v>
      </c>
      <c r="BY142" s="23">
        <f t="shared" si="1232"/>
        <v>0</v>
      </c>
      <c r="BZ142" s="23">
        <f>+'QTR Raw'!AT78</f>
        <v>0</v>
      </c>
      <c r="CA142" s="23">
        <f t="shared" si="1232"/>
        <v>0</v>
      </c>
      <c r="CB142" s="23">
        <f>+'QTR Raw'!AV78</f>
        <v>0</v>
      </c>
      <c r="CC142" s="23">
        <f t="shared" si="1232"/>
        <v>0</v>
      </c>
      <c r="CD142" s="23">
        <f>+'QTR Raw'!AX78</f>
        <v>0</v>
      </c>
      <c r="CE142" s="23">
        <f t="shared" si="1232"/>
        <v>0</v>
      </c>
      <c r="CF142" s="23">
        <f>+'QTR Raw'!AZ78</f>
        <v>0</v>
      </c>
      <c r="CG142" s="23">
        <f t="shared" si="1209"/>
        <v>0</v>
      </c>
      <c r="CH142" s="23">
        <f t="shared" si="1210"/>
        <v>1354.261</v>
      </c>
      <c r="CJ142" s="23">
        <f>+'QTR Raw'!BD78</f>
        <v>0</v>
      </c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817.245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9.6154130000000002</v>
      </c>
      <c r="O143" s="23">
        <f>'Annual Raw'!P73+'Annual Raw'!P81</f>
        <v>2.7344750000000002</v>
      </c>
      <c r="P143" s="23">
        <f>'Annual Raw'!Q73+'Annual Raw'!Q81</f>
        <v>3.0697835000000002</v>
      </c>
      <c r="Q143" s="23">
        <f>'Annual Raw'!R73+'Annual Raw'!R81</f>
        <v>3.2412082</v>
      </c>
      <c r="R143" s="23">
        <f>'Annual Raw'!S73+'Annual Raw'!S81</f>
        <v>3.7574999999999998</v>
      </c>
      <c r="S143" s="23">
        <f>'Annual Raw'!T73+'Annual Raw'!T81</f>
        <v>3.2077423999999999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3074.0349999999999</v>
      </c>
      <c r="Z143" s="23">
        <f>'Annual Raw'!AA73+'Annual Raw'!AA81</f>
        <v>4217.04</v>
      </c>
      <c r="AA143" s="23">
        <f>'Annual Raw'!AB73+'Annual Raw'!AB81</f>
        <v>1469.239</v>
      </c>
      <c r="AB143" s="24">
        <f t="shared" si="1228"/>
        <v>0</v>
      </c>
      <c r="AC143" s="24">
        <f t="shared" si="1229"/>
        <v>0</v>
      </c>
      <c r="AD143" s="24">
        <f t="shared" si="1230"/>
        <v>0</v>
      </c>
      <c r="AE143" s="24">
        <f t="shared" si="1231"/>
        <v>0</v>
      </c>
      <c r="AJ143" s="23">
        <f>+'QTR Raw'!D79+'QTR Raw'!D76</f>
        <v>0</v>
      </c>
      <c r="AK143" s="23">
        <f t="shared" si="1232"/>
        <v>0</v>
      </c>
      <c r="AL143" s="23">
        <f>+'QTR Raw'!F79+'QTR Raw'!F76</f>
        <v>0</v>
      </c>
      <c r="AM143" s="23">
        <f t="shared" si="1232"/>
        <v>0</v>
      </c>
      <c r="AN143" s="23">
        <f>+'QTR Raw'!H79+'QTR Raw'!H76</f>
        <v>0</v>
      </c>
      <c r="AO143" s="23">
        <f t="shared" si="1232"/>
        <v>0</v>
      </c>
      <c r="AP143" s="23">
        <f>+'QTR Raw'!J79+'QTR Raw'!J76</f>
        <v>0</v>
      </c>
      <c r="AQ143" s="23">
        <f t="shared" si="1232"/>
        <v>0</v>
      </c>
      <c r="AR143" s="23">
        <f>+'QTR Raw'!L79+'QTR Raw'!L76</f>
        <v>0</v>
      </c>
      <c r="AS143" s="23">
        <f t="shared" si="1232"/>
        <v>0</v>
      </c>
      <c r="AT143" s="23">
        <f>+'QTR Raw'!N79+'QTR Raw'!N76</f>
        <v>0</v>
      </c>
      <c r="AU143" s="23">
        <f t="shared" si="1232"/>
        <v>0</v>
      </c>
      <c r="AV143" s="23">
        <f>+'QTR Raw'!P79+'QTR Raw'!P76</f>
        <v>0</v>
      </c>
      <c r="AW143" s="23">
        <f t="shared" si="1232"/>
        <v>0</v>
      </c>
      <c r="AX143" s="23">
        <f>+'QTR Raw'!R79+'QTR Raw'!R76</f>
        <v>0</v>
      </c>
      <c r="AY143" s="23">
        <f t="shared" si="1232"/>
        <v>0</v>
      </c>
      <c r="AZ143" s="23">
        <f>+'QTR Raw'!T79+'QTR Raw'!T76</f>
        <v>0</v>
      </c>
      <c r="BA143" s="23">
        <f t="shared" si="1232"/>
        <v>0</v>
      </c>
      <c r="BB143" s="23">
        <f>+'QTR Raw'!V79+'QTR Raw'!V76</f>
        <v>0</v>
      </c>
      <c r="BC143" s="23">
        <f t="shared" si="1232"/>
        <v>0</v>
      </c>
      <c r="BD143" s="23">
        <f>+'QTR Raw'!X79+'QTR Raw'!X76</f>
        <v>0</v>
      </c>
      <c r="BE143" s="23">
        <f t="shared" si="1232"/>
        <v>0</v>
      </c>
      <c r="BF143" s="23">
        <f>+'QTR Raw'!Z79+'QTR Raw'!Z76</f>
        <v>0</v>
      </c>
      <c r="BG143" s="23">
        <f t="shared" si="1232"/>
        <v>0</v>
      </c>
      <c r="BH143" s="23">
        <f>+'QTR Raw'!AB79+'QTR Raw'!AB76</f>
        <v>0</v>
      </c>
      <c r="BI143" s="23">
        <f t="shared" si="1232"/>
        <v>0</v>
      </c>
      <c r="BJ143" s="23">
        <f>+'QTR Raw'!AD79+'QTR Raw'!AD76</f>
        <v>0</v>
      </c>
      <c r="BK143" s="23">
        <f t="shared" si="1232"/>
        <v>0</v>
      </c>
      <c r="BL143" s="23">
        <f>+'QTR Raw'!AF79+'QTR Raw'!AF76</f>
        <v>0</v>
      </c>
      <c r="BM143" s="23">
        <f t="shared" si="1232"/>
        <v>0</v>
      </c>
      <c r="BN143" s="23">
        <f>+'QTR Raw'!AH79+'QTR Raw'!AH76</f>
        <v>35.442</v>
      </c>
      <c r="BO143" s="23">
        <f t="shared" si="1232"/>
        <v>35.442</v>
      </c>
      <c r="BP143" s="23">
        <f>+'QTR Raw'!AJ79+'QTR Raw'!AJ76</f>
        <v>130.28299999999999</v>
      </c>
      <c r="BQ143" s="23">
        <f t="shared" si="1232"/>
        <v>130.28299999999999</v>
      </c>
      <c r="BR143" s="23">
        <f>+'QTR Raw'!AL79+'QTR Raw'!AL76</f>
        <v>31.526</v>
      </c>
      <c r="BS143" s="23">
        <f t="shared" si="1232"/>
        <v>31.526</v>
      </c>
      <c r="BT143" s="23">
        <f>+'QTR Raw'!AN79+'QTR Raw'!AN76</f>
        <v>35.634</v>
      </c>
      <c r="BU143" s="23">
        <f t="shared" si="1232"/>
        <v>35.634</v>
      </c>
      <c r="BV143" s="23">
        <f>+'QTR Raw'!AP79+'QTR Raw'!AP76</f>
        <v>44.845999999999997</v>
      </c>
      <c r="BW143" s="23">
        <f t="shared" si="1232"/>
        <v>44.845999999999997</v>
      </c>
      <c r="BX143" s="23">
        <f>+'QTR Raw'!AR79+'QTR Raw'!AR76</f>
        <v>60.537999999999997</v>
      </c>
      <c r="BY143" s="23">
        <f t="shared" si="1232"/>
        <v>60.537999999999997</v>
      </c>
      <c r="BZ143" s="23">
        <f>+'QTR Raw'!AT79+'QTR Raw'!AT76</f>
        <v>67.16</v>
      </c>
      <c r="CA143" s="23">
        <f t="shared" si="1232"/>
        <v>67.16</v>
      </c>
      <c r="CB143" s="23">
        <f>+'QTR Raw'!AV79+'QTR Raw'!AV76</f>
        <v>78.599999999999994</v>
      </c>
      <c r="CC143" s="23">
        <f t="shared" si="1232"/>
        <v>78.599999999999994</v>
      </c>
      <c r="CD143" s="23">
        <f>+'QTR Raw'!AX79+'QTR Raw'!AX76</f>
        <v>183.58600000000001</v>
      </c>
      <c r="CE143" s="23">
        <f t="shared" si="1232"/>
        <v>183.58600000000001</v>
      </c>
      <c r="CF143" s="23">
        <f>+'QTR Raw'!AZ79+'QTR Raw'!AZ76</f>
        <v>119.048</v>
      </c>
      <c r="CG143" s="23">
        <f t="shared" si="1209"/>
        <v>119.048</v>
      </c>
      <c r="CH143" s="23">
        <f t="shared" si="1210"/>
        <v>4217.04</v>
      </c>
      <c r="CJ143" s="23">
        <f>+'QTR Raw'!BD79+'QTR Raw'!BD76</f>
        <v>158.97399999999999</v>
      </c>
      <c r="CL143" s="23">
        <f>+'QTR Raw'!BF79+'QTR Raw'!BF76</f>
        <v>259.56200000000001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1469.239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27.171399699999998</v>
      </c>
      <c r="J144" s="23">
        <f>'Annual Raw'!K76</f>
        <v>58.308948299999997</v>
      </c>
      <c r="K144" s="23">
        <f>'Annual Raw'!L76</f>
        <v>44.9401875</v>
      </c>
      <c r="L144" s="23">
        <f>'Annual Raw'!M76</f>
        <v>10.7394737</v>
      </c>
      <c r="M144" s="23">
        <f>'Annual Raw'!N76</f>
        <v>3.2737080000000001</v>
      </c>
      <c r="N144" s="23">
        <f>'Annual Raw'!O76</f>
        <v>8.1640000000000004E-2</v>
      </c>
      <c r="O144" s="23">
        <f>'Annual Raw'!P76</f>
        <v>7.2207400000000005E-2</v>
      </c>
      <c r="P144" s="23">
        <f>'Annual Raw'!Q76</f>
        <v>8.8545399999999996E-2</v>
      </c>
      <c r="Q144" s="23">
        <f>'Annual Raw'!R76</f>
        <v>0.15047269999999999</v>
      </c>
      <c r="R144" s="23">
        <f>'Annual Raw'!S76</f>
        <v>0.18173929999999999</v>
      </c>
      <c r="S144" s="23">
        <f>'Annual Raw'!T76</f>
        <v>5.6441999999999999E-2</v>
      </c>
      <c r="T144" s="23">
        <f>'Annual Raw'!U76</f>
        <v>4.4999999999999998E-2</v>
      </c>
      <c r="U144" s="23">
        <f>'Annual Raw'!V76</f>
        <v>4.4999999999999998E-2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28"/>
        <v>0</v>
      </c>
      <c r="AC144" s="24">
        <f t="shared" si="1229"/>
        <v>0</v>
      </c>
      <c r="AD144" s="24">
        <f t="shared" si="1230"/>
        <v>0</v>
      </c>
      <c r="AE144" s="24">
        <f t="shared" si="1231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10"/>
        <v>0</v>
      </c>
      <c r="CI144" s="23">
        <f>+CI179*CI10/90</f>
        <v>0</v>
      </c>
      <c r="CJ144" s="23">
        <f>+'QTR Raw'!BD81</f>
        <v>0</v>
      </c>
      <c r="CK144" s="23">
        <f t="shared" ref="CK144:DB144" si="1233">+CK179*CK10/90</f>
        <v>0</v>
      </c>
      <c r="CL144" s="23">
        <f>+'QTR Raw'!BF81</f>
        <v>0</v>
      </c>
      <c r="CM144" s="24">
        <f t="shared" si="1233"/>
        <v>0</v>
      </c>
      <c r="CN144" s="24">
        <f t="shared" si="1233"/>
        <v>0</v>
      </c>
      <c r="CO144" s="24">
        <f t="shared" si="1233"/>
        <v>0</v>
      </c>
      <c r="CP144" s="24">
        <f t="shared" si="1233"/>
        <v>0</v>
      </c>
      <c r="CQ144" s="24">
        <f t="shared" si="1233"/>
        <v>0</v>
      </c>
      <c r="CR144" s="24">
        <f t="shared" si="1233"/>
        <v>0</v>
      </c>
      <c r="CS144" s="24">
        <f t="shared" si="1233"/>
        <v>0</v>
      </c>
      <c r="CT144" s="24">
        <f t="shared" si="1233"/>
        <v>0</v>
      </c>
      <c r="CU144" s="24">
        <f t="shared" si="1233"/>
        <v>0</v>
      </c>
      <c r="CV144" s="24">
        <f t="shared" si="1233"/>
        <v>0</v>
      </c>
      <c r="CW144" s="24">
        <f t="shared" si="1233"/>
        <v>0</v>
      </c>
      <c r="CX144" s="24">
        <f t="shared" si="1233"/>
        <v>0</v>
      </c>
      <c r="CY144" s="24">
        <f t="shared" si="1233"/>
        <v>0</v>
      </c>
      <c r="CZ144" s="24">
        <f t="shared" si="1233"/>
        <v>0</v>
      </c>
      <c r="DA144" s="24">
        <f t="shared" si="1233"/>
        <v>0</v>
      </c>
      <c r="DB144" s="24">
        <f t="shared" si="1233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0.44281900000000002</v>
      </c>
      <c r="K145" s="23">
        <f>'Annual Raw'!L77</f>
        <v>37.335250600000002</v>
      </c>
      <c r="L145" s="23">
        <f>'Annual Raw'!M77</f>
        <v>9.1299119999999991</v>
      </c>
      <c r="M145" s="23">
        <f>'Annual Raw'!N77</f>
        <v>0</v>
      </c>
      <c r="N145" s="23">
        <f>'Annual Raw'!O77</f>
        <v>129.96473979999999</v>
      </c>
      <c r="O145" s="23">
        <f>'Annual Raw'!P77</f>
        <v>205.39513669999999</v>
      </c>
      <c r="P145" s="23">
        <f>'Annual Raw'!Q77</f>
        <v>268.45043509999999</v>
      </c>
      <c r="Q145" s="23">
        <f>'Annual Raw'!R77</f>
        <v>445.92661129999999</v>
      </c>
      <c r="R145" s="23">
        <f>'Annual Raw'!S77</f>
        <v>858.15262840000003</v>
      </c>
      <c r="S145" s="23">
        <f>'Annual Raw'!T77</f>
        <v>158.4630185</v>
      </c>
      <c r="T145" s="23">
        <f>'Annual Raw'!U77</f>
        <v>214.64400000000001</v>
      </c>
      <c r="U145" s="23">
        <f>'Annual Raw'!V77</f>
        <v>39.027000000000001</v>
      </c>
      <c r="V145" s="23">
        <f>'Annual Raw'!W77</f>
        <v>227.69499999999999</v>
      </c>
      <c r="W145" s="23">
        <f>'Annual Raw'!X77</f>
        <v>565.32399999999996</v>
      </c>
      <c r="X145" s="23">
        <f>'Annual Raw'!Y77</f>
        <v>374.18400000000003</v>
      </c>
      <c r="Y145" s="23">
        <f>'Annual Raw'!Z77</f>
        <v>486.947</v>
      </c>
      <c r="Z145" s="23">
        <f>'Annual Raw'!AA77</f>
        <v>299.59100000000001</v>
      </c>
      <c r="AA145" s="23">
        <f>'Annual Raw'!AB77</f>
        <v>434.452</v>
      </c>
      <c r="AB145" s="24">
        <f t="shared" si="1228"/>
        <v>514.64690748366445</v>
      </c>
      <c r="AC145" s="24">
        <f t="shared" si="1229"/>
        <v>610.0044566925875</v>
      </c>
      <c r="AD145" s="24">
        <f t="shared" si="1230"/>
        <v>716.71369921137307</v>
      </c>
      <c r="AE145" s="24">
        <f t="shared" si="1231"/>
        <v>841.36142893271426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>
        <f>+BM180*BM10/90</f>
        <v>0</v>
      </c>
      <c r="BN145" s="23">
        <f>+'QTR Raw'!AH82</f>
        <v>39.027000000000001</v>
      </c>
      <c r="BO145" s="23">
        <f>+BO180*BO10/90</f>
        <v>48.274078473486803</v>
      </c>
      <c r="BP145" s="23">
        <f>+'QTR Raw'!AJ82</f>
        <v>45.942999999999998</v>
      </c>
      <c r="BQ145" s="23">
        <f>+BQ180*BQ10/90</f>
        <v>45.488989362766453</v>
      </c>
      <c r="BR145" s="23">
        <f>+'QTR Raw'!AL82</f>
        <v>227.69499999999999</v>
      </c>
      <c r="BS145" s="23">
        <f>+BS180*BS10/90</f>
        <v>257.81717193817116</v>
      </c>
      <c r="BT145" s="23">
        <f>+'QTR Raw'!AN82</f>
        <v>80.545000000000002</v>
      </c>
      <c r="BU145" s="23">
        <f>+BU180*BU10/90</f>
        <v>91.233471488982431</v>
      </c>
      <c r="BV145" s="23">
        <f>+'QTR Raw'!AP82</f>
        <v>565.32399999999996</v>
      </c>
      <c r="BW145" s="23">
        <f>+BW180*BW10/90</f>
        <v>566.31297177328736</v>
      </c>
      <c r="BX145" s="23">
        <f>+'QTR Raw'!AR82</f>
        <v>426.71800000000002</v>
      </c>
      <c r="BY145" s="23">
        <f>+BY180*BY10/90</f>
        <v>428.60739943646854</v>
      </c>
      <c r="BZ145" s="23">
        <f>+'QTR Raw'!AT82</f>
        <v>374.18400000000003</v>
      </c>
      <c r="CA145" s="23">
        <f>+CA180*CA10/90</f>
        <v>365.92169782667139</v>
      </c>
      <c r="CB145" s="23">
        <f>+'QTR Raw'!AV82</f>
        <v>295.5</v>
      </c>
      <c r="CC145" s="23">
        <f>+CC180*CC10/90</f>
        <v>298.65249406651799</v>
      </c>
      <c r="CD145" s="23">
        <f>+'QTR Raw'!AX82</f>
        <v>486.947</v>
      </c>
      <c r="CE145" s="23">
        <f>+CE180*CE10/90</f>
        <v>504.23171774790092</v>
      </c>
      <c r="CF145" s="23">
        <f>+'QTR Raw'!AZ82</f>
        <v>568.09</v>
      </c>
      <c r="CG145" s="23">
        <f>+CG180*CG10/90</f>
        <v>473.38995589903254</v>
      </c>
      <c r="CH145" s="23">
        <f t="shared" si="1210"/>
        <v>299.59100000000001</v>
      </c>
      <c r="CI145" s="23">
        <f>+CI180*CI10/90</f>
        <v>323.56876555591651</v>
      </c>
      <c r="CJ145" s="23">
        <f>+'QTR Raw'!BD82</f>
        <v>282.99799999999999</v>
      </c>
      <c r="CK145" s="23">
        <f t="shared" ref="CK145:DB145" si="1234">+CK180*CK10/90</f>
        <v>314.35022542641696</v>
      </c>
      <c r="CL145" s="23">
        <f>+'QTR Raw'!BF82</f>
        <v>434.452</v>
      </c>
      <c r="CM145" s="24">
        <f t="shared" si="1234"/>
        <v>350.08954084841605</v>
      </c>
      <c r="CN145" s="24">
        <f t="shared" si="1234"/>
        <v>388.52562992296777</v>
      </c>
      <c r="CO145" s="24">
        <f t="shared" si="1234"/>
        <v>460.64094484192236</v>
      </c>
      <c r="CP145" s="24">
        <f t="shared" si="1234"/>
        <v>514.64690748366445</v>
      </c>
      <c r="CQ145" s="24">
        <f t="shared" si="1234"/>
        <v>397.43318628344099</v>
      </c>
      <c r="CR145" s="24">
        <f t="shared" si="1234"/>
        <v>451.17929739733233</v>
      </c>
      <c r="CS145" s="24">
        <f t="shared" si="1234"/>
        <v>543.58746820603574</v>
      </c>
      <c r="CT145" s="24">
        <f t="shared" si="1234"/>
        <v>610.0044566925875</v>
      </c>
      <c r="CU145" s="24">
        <f t="shared" si="1234"/>
        <v>463.19327421304592</v>
      </c>
      <c r="CV145" s="24">
        <f t="shared" si="1234"/>
        <v>529.2420026277324</v>
      </c>
      <c r="CW145" s="24">
        <f t="shared" si="1234"/>
        <v>639.23660334452575</v>
      </c>
      <c r="CX145" s="24">
        <f t="shared" si="1234"/>
        <v>716.71369921137307</v>
      </c>
      <c r="CY145" s="24">
        <f t="shared" si="1234"/>
        <v>543.02141654780519</v>
      </c>
      <c r="CZ145" s="24">
        <f t="shared" si="1234"/>
        <v>621.36362038945845</v>
      </c>
      <c r="DA145" s="24">
        <f t="shared" si="1234"/>
        <v>750.67109669778426</v>
      </c>
      <c r="DB145" s="24">
        <f t="shared" si="1234"/>
        <v>841.36142893271426</v>
      </c>
      <c r="DE145" s="123"/>
      <c r="DF145" s="23">
        <v>434.452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3.4986000000000001E-3</v>
      </c>
      <c r="J146" s="23">
        <f>'Annual Raw'!K79</f>
        <v>3.19838E-2</v>
      </c>
      <c r="K146" s="23">
        <f>'Annual Raw'!L79</f>
        <v>0.21778210000000001</v>
      </c>
      <c r="L146" s="23">
        <f>'Annual Raw'!M79</f>
        <v>0</v>
      </c>
      <c r="M146" s="23">
        <f>'Annual Raw'!N79</f>
        <v>0.1233568</v>
      </c>
      <c r="N146" s="23">
        <f>'Annual Raw'!O79</f>
        <v>21.6130189</v>
      </c>
      <c r="O146" s="23">
        <f>'Annual Raw'!P79</f>
        <v>55.127018900000003</v>
      </c>
      <c r="P146" s="23">
        <f>'Annual Raw'!Q79</f>
        <v>16.273233999999999</v>
      </c>
      <c r="Q146" s="23">
        <f>'Annual Raw'!R79</f>
        <v>15.777239</v>
      </c>
      <c r="R146" s="23">
        <f>'Annual Raw'!S79</f>
        <v>20.8433511</v>
      </c>
      <c r="S146" s="23">
        <f>'Annual Raw'!T79</f>
        <v>23.012947199999999</v>
      </c>
      <c r="T146" s="23">
        <f>'Annual Raw'!U79</f>
        <v>12.522</v>
      </c>
      <c r="U146" s="23">
        <f>'Annual Raw'!V79</f>
        <v>12.9</v>
      </c>
      <c r="V146" s="23">
        <f>'Annual Raw'!W79</f>
        <v>16.425000000000001</v>
      </c>
      <c r="W146" s="23">
        <f>'Annual Raw'!X79</f>
        <v>39.298999999999999</v>
      </c>
      <c r="X146" s="23">
        <f>'Annual Raw'!Y79</f>
        <v>57.927999999999997</v>
      </c>
      <c r="Y146" s="23">
        <f>'Annual Raw'!Z79</f>
        <v>952.39200000000005</v>
      </c>
      <c r="Z146" s="23">
        <f>'Annual Raw'!AA79</f>
        <v>212.417</v>
      </c>
      <c r="AA146" s="23">
        <f>'Annual Raw'!AB79</f>
        <v>868.80600000000004</v>
      </c>
      <c r="AB146" s="24">
        <f t="shared" si="1228"/>
        <v>7353.2795439935899</v>
      </c>
      <c r="AC146" s="24">
        <f t="shared" si="1229"/>
        <v>8715.7490464176226</v>
      </c>
      <c r="AD146" s="24">
        <f t="shared" si="1230"/>
        <v>10240.411642769363</v>
      </c>
      <c r="AE146" s="24">
        <f t="shared" si="1231"/>
        <v>12021.379502163862</v>
      </c>
      <c r="AJ146" s="23">
        <f>+'QTR Raw'!D84</f>
        <v>0</v>
      </c>
      <c r="AK146" s="23">
        <f t="shared" si="1232"/>
        <v>0</v>
      </c>
      <c r="AL146" s="23">
        <f>+'QTR Raw'!F84</f>
        <v>0</v>
      </c>
      <c r="AM146" s="23">
        <f t="shared" si="1232"/>
        <v>0</v>
      </c>
      <c r="AN146" s="23">
        <f>+'QTR Raw'!H84</f>
        <v>0</v>
      </c>
      <c r="AO146" s="23">
        <f t="shared" si="1232"/>
        <v>0</v>
      </c>
      <c r="AP146" s="23">
        <f>+'QTR Raw'!J84</f>
        <v>0</v>
      </c>
      <c r="AQ146" s="23">
        <f t="shared" si="1232"/>
        <v>0</v>
      </c>
      <c r="AR146" s="23">
        <f>+'QTR Raw'!L84</f>
        <v>0</v>
      </c>
      <c r="AS146" s="23">
        <f t="shared" si="1232"/>
        <v>0</v>
      </c>
      <c r="AT146" s="23">
        <f>+'QTR Raw'!N84</f>
        <v>0</v>
      </c>
      <c r="AU146" s="23">
        <f t="shared" si="1232"/>
        <v>0</v>
      </c>
      <c r="AV146" s="23">
        <f>+'QTR Raw'!P84</f>
        <v>0</v>
      </c>
      <c r="AW146" s="23">
        <f t="shared" si="1232"/>
        <v>0</v>
      </c>
      <c r="AX146" s="23">
        <f>+'QTR Raw'!R84</f>
        <v>0</v>
      </c>
      <c r="AY146" s="23">
        <f t="shared" si="1232"/>
        <v>0</v>
      </c>
      <c r="AZ146" s="23">
        <f>+'QTR Raw'!T84</f>
        <v>0</v>
      </c>
      <c r="BA146" s="23">
        <f t="shared" si="1232"/>
        <v>0</v>
      </c>
      <c r="BB146" s="23">
        <f>+'QTR Raw'!V84</f>
        <v>0</v>
      </c>
      <c r="BC146" s="23">
        <f t="shared" si="1232"/>
        <v>0</v>
      </c>
      <c r="BD146" s="23">
        <f>+'QTR Raw'!X84</f>
        <v>0</v>
      </c>
      <c r="BE146" s="23">
        <f t="shared" si="1232"/>
        <v>0</v>
      </c>
      <c r="BF146" s="23">
        <f>+'QTR Raw'!Z84</f>
        <v>0</v>
      </c>
      <c r="BG146" s="23">
        <f t="shared" si="1232"/>
        <v>0</v>
      </c>
      <c r="BH146" s="23">
        <f>+'QTR Raw'!AB84</f>
        <v>0</v>
      </c>
      <c r="BI146" s="23">
        <f t="shared" si="1232"/>
        <v>0</v>
      </c>
      <c r="BJ146" s="23">
        <f>+'QTR Raw'!AD84</f>
        <v>0</v>
      </c>
      <c r="BK146" s="23">
        <f t="shared" si="1232"/>
        <v>0</v>
      </c>
      <c r="BL146" s="23">
        <f>+'QTR Raw'!AF84</f>
        <v>0</v>
      </c>
      <c r="BM146" s="23">
        <f t="shared" si="1232"/>
        <v>0</v>
      </c>
      <c r="BN146" s="23">
        <f>+'QTR Raw'!AH84</f>
        <v>270.58300000000003</v>
      </c>
      <c r="BO146" s="23">
        <f t="shared" si="1232"/>
        <v>270.58300000000003</v>
      </c>
      <c r="BP146" s="23">
        <f>+'QTR Raw'!AJ84</f>
        <v>96.808999999999997</v>
      </c>
      <c r="BQ146" s="23">
        <f t="shared" si="1232"/>
        <v>96.808999999999997</v>
      </c>
      <c r="BR146" s="23">
        <f>+'QTR Raw'!AL84</f>
        <v>1428.933</v>
      </c>
      <c r="BS146" s="23">
        <f t="shared" si="1232"/>
        <v>1428.933</v>
      </c>
      <c r="BT146" s="23">
        <f>+'QTR Raw'!AN84</f>
        <v>37.408999999999999</v>
      </c>
      <c r="BU146" s="23">
        <f t="shared" si="1232"/>
        <v>37.408999999999999</v>
      </c>
      <c r="BV146" s="23">
        <f>+'QTR Raw'!AP84</f>
        <v>194.715</v>
      </c>
      <c r="BW146" s="23">
        <f t="shared" si="1232"/>
        <v>194.715</v>
      </c>
      <c r="BX146" s="23">
        <f>+'QTR Raw'!AR84</f>
        <v>1938.8420000000001</v>
      </c>
      <c r="BY146" s="23">
        <f t="shared" si="1232"/>
        <v>1938.8420000000001</v>
      </c>
      <c r="BZ146" s="23">
        <f>+'QTR Raw'!AT84</f>
        <v>186.19900000000001</v>
      </c>
      <c r="CA146" s="23">
        <f t="shared" si="1232"/>
        <v>186.19900000000001</v>
      </c>
      <c r="CB146" s="23">
        <f>+'QTR Raw'!AV84</f>
        <v>721.4</v>
      </c>
      <c r="CC146" s="23">
        <f t="shared" si="1232"/>
        <v>721.4</v>
      </c>
      <c r="CD146" s="23">
        <f>+'QTR Raw'!AX84</f>
        <v>850.95899999999995</v>
      </c>
      <c r="CE146" s="23">
        <f t="shared" si="1232"/>
        <v>850.95899999999995</v>
      </c>
      <c r="CF146" s="23">
        <f>+'QTR Raw'!AZ84</f>
        <v>2379.02</v>
      </c>
      <c r="CG146" s="23">
        <f t="shared" ref="CG146:CG147" si="1235">+CF146</f>
        <v>2379.02</v>
      </c>
      <c r="CH146" s="23">
        <f t="shared" si="1210"/>
        <v>212.417</v>
      </c>
      <c r="CI146" s="23">
        <f>CI10/90*CI181</f>
        <v>10241.992421579091</v>
      </c>
      <c r="CJ146" s="23">
        <f>+'QTR Raw'!BD84</f>
        <v>455.10399999999998</v>
      </c>
      <c r="CK146" s="23">
        <f t="shared" ref="CK146:DB146" si="1236">CK10/90*CK181</f>
        <v>7040.7294811900574</v>
      </c>
      <c r="CL146" s="23">
        <f>+'QTR Raw'!BF84</f>
        <v>819.82500000000005</v>
      </c>
      <c r="CM146" s="24">
        <f t="shared" si="1236"/>
        <v>5002.0824410928344</v>
      </c>
      <c r="CN146" s="24">
        <f t="shared" si="1236"/>
        <v>5551.2576201003703</v>
      </c>
      <c r="CO146" s="24">
        <f t="shared" si="1236"/>
        <v>6581.6418744136772</v>
      </c>
      <c r="CP146" s="24">
        <f t="shared" si="1236"/>
        <v>7353.2795439935899</v>
      </c>
      <c r="CQ146" s="24">
        <f t="shared" si="1236"/>
        <v>5678.5288637821704</v>
      </c>
      <c r="CR146" s="24">
        <f t="shared" si="1236"/>
        <v>6446.4537724449665</v>
      </c>
      <c r="CS146" s="24">
        <f t="shared" si="1236"/>
        <v>7766.7825303265472</v>
      </c>
      <c r="CT146" s="24">
        <f t="shared" si="1236"/>
        <v>8715.7490464176226</v>
      </c>
      <c r="CU146" s="24">
        <f t="shared" si="1236"/>
        <v>6618.1095789336205</v>
      </c>
      <c r="CV146" s="24">
        <f t="shared" si="1236"/>
        <v>7561.814391876499</v>
      </c>
      <c r="CW146" s="24">
        <f t="shared" si="1236"/>
        <v>9133.4182150787437</v>
      </c>
      <c r="CX146" s="24">
        <f t="shared" si="1236"/>
        <v>10240.411642769363</v>
      </c>
      <c r="CY146" s="24">
        <f t="shared" si="1236"/>
        <v>7758.6947792514247</v>
      </c>
      <c r="CZ146" s="24">
        <f t="shared" si="1236"/>
        <v>8878.0488773006582</v>
      </c>
      <c r="DA146" s="24">
        <f t="shared" si="1236"/>
        <v>10725.595236944582</v>
      </c>
      <c r="DB146" s="24">
        <f t="shared" si="1236"/>
        <v>12021.379502163862</v>
      </c>
      <c r="DE146" s="123"/>
      <c r="DF146" s="23">
        <v>868.80600000000004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29.224713999999999</v>
      </c>
      <c r="J147" s="23">
        <f>'Annual Raw'!K80</f>
        <v>66.2005774</v>
      </c>
      <c r="K147" s="23">
        <f>'Annual Raw'!L80</f>
        <v>114.92135690000001</v>
      </c>
      <c r="L147" s="23">
        <f>'Annual Raw'!M80</f>
        <v>70.114756</v>
      </c>
      <c r="M147" s="23">
        <f>'Annual Raw'!N80</f>
        <v>41.3176682</v>
      </c>
      <c r="N147" s="23">
        <f>'Annual Raw'!O80</f>
        <v>114.53619279999999</v>
      </c>
      <c r="O147" s="23">
        <f>'Annual Raw'!P80</f>
        <v>157.60502550000001</v>
      </c>
      <c r="P147" s="23">
        <f>'Annual Raw'!Q80</f>
        <v>157.93555720000001</v>
      </c>
      <c r="Q147" s="23">
        <f>'Annual Raw'!R80</f>
        <v>93.054595500000005</v>
      </c>
      <c r="R147" s="23">
        <f>'Annual Raw'!S80</f>
        <v>108.9478941</v>
      </c>
      <c r="S147" s="23">
        <f>'Annual Raw'!T80</f>
        <v>1106.2072515</v>
      </c>
      <c r="T147" s="23">
        <f>'Annual Raw'!U80</f>
        <v>774.64400000000001</v>
      </c>
      <c r="U147" s="23">
        <f>'Annual Raw'!V80</f>
        <v>293.82400000000001</v>
      </c>
      <c r="V147" s="23">
        <f>'Annual Raw'!W80</f>
        <v>1407.71</v>
      </c>
      <c r="W147" s="23">
        <f>'Annual Raw'!X80</f>
        <v>1862.232</v>
      </c>
      <c r="X147" s="23">
        <f>'Annual Raw'!Y80</f>
        <v>1642.1179999999999</v>
      </c>
      <c r="Y147" s="23">
        <f>'Annual Raw'!Z80</f>
        <v>1485.605</v>
      </c>
      <c r="Z147" s="23">
        <f>'Annual Raw'!AA80</f>
        <v>3699.3009999999999</v>
      </c>
      <c r="AA147" s="23">
        <f>'Annual Raw'!AB80</f>
        <v>5477.1930000000002</v>
      </c>
      <c r="AB147" s="24">
        <f t="shared" si="1228"/>
        <v>0</v>
      </c>
      <c r="AC147" s="24">
        <f t="shared" si="1229"/>
        <v>0</v>
      </c>
      <c r="AD147" s="24">
        <f t="shared" si="1230"/>
        <v>0</v>
      </c>
      <c r="AE147" s="24">
        <f t="shared" si="1231"/>
        <v>0</v>
      </c>
      <c r="AJ147" s="23">
        <f>+'QTR Raw'!D85</f>
        <v>0</v>
      </c>
      <c r="AK147" s="23">
        <f t="shared" si="1232"/>
        <v>0</v>
      </c>
      <c r="AL147" s="23">
        <f>+'QTR Raw'!F85</f>
        <v>0</v>
      </c>
      <c r="AM147" s="23">
        <f t="shared" si="1232"/>
        <v>0</v>
      </c>
      <c r="AN147" s="23">
        <f>+'QTR Raw'!H85</f>
        <v>0</v>
      </c>
      <c r="AO147" s="23">
        <f t="shared" si="1232"/>
        <v>0</v>
      </c>
      <c r="AP147" s="23">
        <f>+'QTR Raw'!J85</f>
        <v>0</v>
      </c>
      <c r="AQ147" s="23">
        <f t="shared" si="1232"/>
        <v>0</v>
      </c>
      <c r="AR147" s="23">
        <f>+'QTR Raw'!L85</f>
        <v>0</v>
      </c>
      <c r="AS147" s="23">
        <f t="shared" si="1232"/>
        <v>0</v>
      </c>
      <c r="AT147" s="23">
        <f>+'QTR Raw'!N85</f>
        <v>0</v>
      </c>
      <c r="AU147" s="23">
        <f t="shared" si="1232"/>
        <v>0</v>
      </c>
      <c r="AV147" s="23">
        <f>+'QTR Raw'!P85</f>
        <v>0</v>
      </c>
      <c r="AW147" s="23">
        <f t="shared" si="1232"/>
        <v>0</v>
      </c>
      <c r="AX147" s="23">
        <f>+'QTR Raw'!R85</f>
        <v>0</v>
      </c>
      <c r="AY147" s="23">
        <f t="shared" si="1232"/>
        <v>0</v>
      </c>
      <c r="AZ147" s="23">
        <f>+'QTR Raw'!T85</f>
        <v>0</v>
      </c>
      <c r="BA147" s="23">
        <f t="shared" si="1232"/>
        <v>0</v>
      </c>
      <c r="BB147" s="23">
        <f>+'QTR Raw'!V85</f>
        <v>0</v>
      </c>
      <c r="BC147" s="23">
        <f t="shared" si="1232"/>
        <v>0</v>
      </c>
      <c r="BD147" s="23">
        <f>+'QTR Raw'!X85</f>
        <v>0</v>
      </c>
      <c r="BE147" s="23">
        <f t="shared" si="1232"/>
        <v>0</v>
      </c>
      <c r="BF147" s="23">
        <f>+'QTR Raw'!Z85</f>
        <v>0</v>
      </c>
      <c r="BG147" s="23">
        <f t="shared" si="1232"/>
        <v>0</v>
      </c>
      <c r="BH147" s="23">
        <f>+'QTR Raw'!AB85</f>
        <v>0</v>
      </c>
      <c r="BI147" s="23">
        <f t="shared" si="1232"/>
        <v>0</v>
      </c>
      <c r="BJ147" s="23">
        <f>+'QTR Raw'!AD85</f>
        <v>0</v>
      </c>
      <c r="BK147" s="23">
        <f t="shared" si="1232"/>
        <v>0</v>
      </c>
      <c r="BL147" s="23">
        <f>+'QTR Raw'!AF85</f>
        <v>0</v>
      </c>
      <c r="BM147" s="23">
        <f t="shared" si="1232"/>
        <v>0</v>
      </c>
      <c r="BN147" s="23">
        <f>+'QTR Raw'!AH85</f>
        <v>280.57799999999997</v>
      </c>
      <c r="BO147" s="23">
        <f t="shared" si="1232"/>
        <v>280.57799999999997</v>
      </c>
      <c r="BP147" s="23">
        <f>+'QTR Raw'!AJ85</f>
        <v>627.21400000000006</v>
      </c>
      <c r="BQ147" s="23">
        <f t="shared" si="1232"/>
        <v>627.21400000000006</v>
      </c>
      <c r="BR147" s="23">
        <f>+'QTR Raw'!AL85</f>
        <v>1128.4929999999999</v>
      </c>
      <c r="BS147" s="23">
        <f t="shared" si="1232"/>
        <v>1128.4929999999999</v>
      </c>
      <c r="BT147" s="23">
        <f>+'QTR Raw'!AN85</f>
        <v>1726.4849999999999</v>
      </c>
      <c r="BU147" s="23">
        <f t="shared" si="1232"/>
        <v>1726.4849999999999</v>
      </c>
      <c r="BV147" s="23">
        <f>+'QTR Raw'!AP85</f>
        <v>1357.5</v>
      </c>
      <c r="BW147" s="23">
        <f t="shared" si="1232"/>
        <v>1357.5</v>
      </c>
      <c r="BX147" s="23">
        <f>+'QTR Raw'!AR85</f>
        <v>1398.3810000000001</v>
      </c>
      <c r="BY147" s="23">
        <f t="shared" si="1232"/>
        <v>1398.3810000000001</v>
      </c>
      <c r="BZ147" s="23">
        <f>+'QTR Raw'!AT85</f>
        <v>1005.194</v>
      </c>
      <c r="CA147" s="23">
        <f t="shared" si="1232"/>
        <v>1005.194</v>
      </c>
      <c r="CB147" s="23">
        <f>+'QTR Raw'!AV85</f>
        <v>1677.2</v>
      </c>
      <c r="CC147" s="23">
        <f t="shared" si="1232"/>
        <v>1677.2</v>
      </c>
      <c r="CD147" s="23">
        <f>+'QTR Raw'!AX85</f>
        <v>1484.123</v>
      </c>
      <c r="CE147" s="23">
        <f t="shared" si="1232"/>
        <v>1484.123</v>
      </c>
      <c r="CF147" s="23">
        <f>+'QTR Raw'!AZ85</f>
        <v>3735.0880000000002</v>
      </c>
      <c r="CG147" s="23">
        <f t="shared" si="1235"/>
        <v>3735.0880000000002</v>
      </c>
      <c r="CH147" s="23">
        <f t="shared" si="1210"/>
        <v>3699.3009999999999</v>
      </c>
      <c r="CJ147" s="23">
        <f>+'QTR Raw'!BD85</f>
        <v>5724.433</v>
      </c>
      <c r="CL147" s="23">
        <f>+'QTR Raw'!BF85</f>
        <v>5128.067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5477.1930000000002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37">SUM(C142:C147)</f>
        <v>0</v>
      </c>
      <c r="D148" s="22">
        <f t="shared" si="1237"/>
        <v>0</v>
      </c>
      <c r="E148" s="22">
        <f t="shared" si="1237"/>
        <v>0</v>
      </c>
      <c r="F148" s="22">
        <f t="shared" si="1237"/>
        <v>0</v>
      </c>
      <c r="G148" s="22">
        <f t="shared" si="1237"/>
        <v>0</v>
      </c>
      <c r="H148" s="22">
        <f t="shared" si="1237"/>
        <v>0</v>
      </c>
      <c r="I148" s="22">
        <f t="shared" si="1237"/>
        <v>56.399612300000001</v>
      </c>
      <c r="J148" s="22">
        <f t="shared" si="1237"/>
        <v>124.9843285</v>
      </c>
      <c r="K148" s="22">
        <f t="shared" si="1237"/>
        <v>197.4145771</v>
      </c>
      <c r="L148" s="22">
        <f>SUM(L142:L147)</f>
        <v>89.984141699999995</v>
      </c>
      <c r="M148" s="22">
        <f>SUM(M142:M147)</f>
        <v>51.304718800000003</v>
      </c>
      <c r="N148" s="22">
        <f t="shared" si="1237"/>
        <v>327.84485089999998</v>
      </c>
      <c r="O148" s="22">
        <f t="shared" si="1237"/>
        <v>473.08288040000002</v>
      </c>
      <c r="P148" s="22">
        <f t="shared" si="1237"/>
        <v>493.72746899999999</v>
      </c>
      <c r="Q148" s="22">
        <f t="shared" si="1237"/>
        <v>576.29112480000003</v>
      </c>
      <c r="R148" s="22">
        <f t="shared" si="1237"/>
        <v>1100.157653</v>
      </c>
      <c r="S148" s="22">
        <f t="shared" si="1237"/>
        <v>1448.0643774</v>
      </c>
      <c r="T148" s="22">
        <f t="shared" si="1237"/>
        <v>1235.48</v>
      </c>
      <c r="U148" s="22">
        <f t="shared" si="1237"/>
        <v>770.846</v>
      </c>
      <c r="V148" s="22">
        <f t="shared" si="1237"/>
        <v>3082.8679999999999</v>
      </c>
      <c r="W148" s="22">
        <f t="shared" ref="W148" si="1238">SUM(W142:W147)</f>
        <v>2640.9669999999996</v>
      </c>
      <c r="X148" s="22">
        <f t="shared" ref="X148:Y148" si="1239">SUM(X142:X147)</f>
        <v>2229.6549999999997</v>
      </c>
      <c r="Y148" s="22">
        <f t="shared" si="1239"/>
        <v>6731.8140000000003</v>
      </c>
      <c r="Z148" s="22">
        <f t="shared" ref="Z148:AA148" si="1240">SUM(Z142:Z147)</f>
        <v>9782.61</v>
      </c>
      <c r="AA148" s="22">
        <f t="shared" ref="AA148" si="1241">SUM(AA142:AA147)</f>
        <v>9066.9349999999995</v>
      </c>
      <c r="AB148" s="21">
        <f t="shared" ref="AB148:AD148" si="1242">SUM(AB142:AB147)</f>
        <v>7867.926451477254</v>
      </c>
      <c r="AC148" s="21">
        <f t="shared" si="1242"/>
        <v>9325.7535031102107</v>
      </c>
      <c r="AD148" s="21">
        <f t="shared" si="1242"/>
        <v>10957.125341980736</v>
      </c>
      <c r="AE148" s="21">
        <f t="shared" ref="AE148" si="1243">SUM(AE142:AE147)</f>
        <v>12862.740931096576</v>
      </c>
      <c r="AJ148" s="22">
        <f t="shared" ref="AJ148" si="1244">SUM(AJ142:AJ147)</f>
        <v>0</v>
      </c>
      <c r="AK148" s="22" t="e">
        <f t="shared" ref="AK148" si="1245">SUM(AK142:AK147)</f>
        <v>#DIV/0!</v>
      </c>
      <c r="AL148" s="22">
        <f t="shared" ref="AL148:AM148" si="1246">SUM(AL142:AL147)</f>
        <v>0</v>
      </c>
      <c r="AM148" s="22" t="e">
        <f t="shared" si="1246"/>
        <v>#DIV/0!</v>
      </c>
      <c r="AN148" s="22">
        <f t="shared" ref="AN148:AO148" si="1247">SUM(AN142:AN147)</f>
        <v>0</v>
      </c>
      <c r="AO148" s="22" t="e">
        <f t="shared" si="1247"/>
        <v>#DIV/0!</v>
      </c>
      <c r="AP148" s="22">
        <f t="shared" ref="AP148:CE148" si="1248">SUM(AP142:AP147)</f>
        <v>0</v>
      </c>
      <c r="AQ148" s="22" t="e">
        <f t="shared" si="1248"/>
        <v>#DIV/0!</v>
      </c>
      <c r="AR148" s="22">
        <f t="shared" si="1248"/>
        <v>0</v>
      </c>
      <c r="AS148" s="22" t="e">
        <f t="shared" si="1248"/>
        <v>#DIV/0!</v>
      </c>
      <c r="AT148" s="22">
        <f t="shared" si="1248"/>
        <v>0</v>
      </c>
      <c r="AU148" s="22" t="e">
        <f t="shared" si="1248"/>
        <v>#DIV/0!</v>
      </c>
      <c r="AV148" s="22">
        <f t="shared" si="1248"/>
        <v>0</v>
      </c>
      <c r="AW148" s="22" t="e">
        <f t="shared" si="1248"/>
        <v>#DIV/0!</v>
      </c>
      <c r="AX148" s="22">
        <f t="shared" si="1248"/>
        <v>0</v>
      </c>
      <c r="AY148" s="22" t="e">
        <f t="shared" si="1248"/>
        <v>#DIV/0!</v>
      </c>
      <c r="AZ148" s="22">
        <f t="shared" si="1248"/>
        <v>0</v>
      </c>
      <c r="BA148" s="22" t="e">
        <f t="shared" si="1248"/>
        <v>#DIV/0!</v>
      </c>
      <c r="BB148" s="22">
        <f t="shared" si="1248"/>
        <v>0</v>
      </c>
      <c r="BC148" s="22" t="e">
        <f t="shared" si="1248"/>
        <v>#DIV/0!</v>
      </c>
      <c r="BD148" s="22">
        <f t="shared" si="1248"/>
        <v>0</v>
      </c>
      <c r="BE148" s="22" t="e">
        <f t="shared" si="1248"/>
        <v>#DIV/0!</v>
      </c>
      <c r="BF148" s="22">
        <f t="shared" si="1248"/>
        <v>0</v>
      </c>
      <c r="BG148" s="22" t="e">
        <f t="shared" si="1248"/>
        <v>#DIV/0!</v>
      </c>
      <c r="BH148" s="22">
        <f t="shared" si="1248"/>
        <v>0</v>
      </c>
      <c r="BI148" s="22" t="e">
        <f t="shared" si="1248"/>
        <v>#DIV/0!</v>
      </c>
      <c r="BJ148" s="22">
        <f t="shared" si="1248"/>
        <v>0</v>
      </c>
      <c r="BK148" s="22" t="e">
        <f t="shared" si="1248"/>
        <v>#DIV/0!</v>
      </c>
      <c r="BL148" s="22">
        <f t="shared" si="1248"/>
        <v>0</v>
      </c>
      <c r="BM148" s="22">
        <f t="shared" si="1248"/>
        <v>0</v>
      </c>
      <c r="BN148" s="22">
        <f t="shared" si="1248"/>
        <v>625.63</v>
      </c>
      <c r="BO148" s="22">
        <f t="shared" si="1248"/>
        <v>634.87707847348679</v>
      </c>
      <c r="BP148" s="22">
        <f t="shared" si="1248"/>
        <v>900.24900000000002</v>
      </c>
      <c r="BQ148" s="22">
        <f t="shared" si="1248"/>
        <v>899.7949893627665</v>
      </c>
      <c r="BR148" s="22">
        <f t="shared" si="1248"/>
        <v>2816.6469999999999</v>
      </c>
      <c r="BS148" s="22">
        <f t="shared" si="1248"/>
        <v>2846.769171938171</v>
      </c>
      <c r="BT148" s="22">
        <f t="shared" si="1248"/>
        <v>1880.0729999999999</v>
      </c>
      <c r="BU148" s="22">
        <f t="shared" si="1248"/>
        <v>1890.7614714889824</v>
      </c>
      <c r="BV148" s="22">
        <f t="shared" si="1248"/>
        <v>2162.3850000000002</v>
      </c>
      <c r="BW148" s="22">
        <f t="shared" si="1248"/>
        <v>2163.3739717732874</v>
      </c>
      <c r="BX148" s="22">
        <f t="shared" si="1248"/>
        <v>3824.4790000000003</v>
      </c>
      <c r="BY148" s="22">
        <f t="shared" si="1248"/>
        <v>3826.3683994364692</v>
      </c>
      <c r="BZ148" s="22">
        <f t="shared" si="1248"/>
        <v>1632.7370000000001</v>
      </c>
      <c r="CA148" s="22">
        <f t="shared" si="1248"/>
        <v>1624.4746978266714</v>
      </c>
      <c r="CB148" s="22">
        <f t="shared" si="1248"/>
        <v>2772.7</v>
      </c>
      <c r="CC148" s="22">
        <f t="shared" si="1248"/>
        <v>2775.8524940665184</v>
      </c>
      <c r="CD148" s="22">
        <f t="shared" si="1248"/>
        <v>3005.6149999999998</v>
      </c>
      <c r="CE148" s="22">
        <f t="shared" si="1248"/>
        <v>3022.8997177479009</v>
      </c>
      <c r="CF148" s="22">
        <f t="shared" ref="CF148:CG148" si="1249">SUM(CF142:CF147)</f>
        <v>6801.2460000000001</v>
      </c>
      <c r="CG148" s="22">
        <f t="shared" si="1249"/>
        <v>6706.5459558990333</v>
      </c>
      <c r="CH148" s="22">
        <f t="shared" ref="CH148:CI148" si="1250">SUM(CH142:CH147)</f>
        <v>9782.61</v>
      </c>
      <c r="CI148" s="22">
        <f t="shared" si="1250"/>
        <v>10565.561187135007</v>
      </c>
      <c r="CJ148" s="22">
        <f t="shared" ref="CJ148:DB148" si="1251">SUM(CJ142:CJ147)</f>
        <v>6621.509</v>
      </c>
      <c r="CK148" s="22">
        <f t="shared" si="1251"/>
        <v>7355.0797066164741</v>
      </c>
      <c r="CL148" s="22">
        <f t="shared" ref="CL148" si="1252">SUM(CL142:CL147)</f>
        <v>6641.9059999999999</v>
      </c>
      <c r="CM148" s="21">
        <f t="shared" si="1251"/>
        <v>5352.1719819412501</v>
      </c>
      <c r="CN148" s="21">
        <f t="shared" si="1251"/>
        <v>5939.783250023338</v>
      </c>
      <c r="CO148" s="21">
        <f t="shared" si="1251"/>
        <v>7042.2828192555999</v>
      </c>
      <c r="CP148" s="21">
        <f t="shared" si="1251"/>
        <v>7867.926451477254</v>
      </c>
      <c r="CQ148" s="21">
        <f t="shared" si="1251"/>
        <v>6075.962050065611</v>
      </c>
      <c r="CR148" s="21">
        <f t="shared" si="1251"/>
        <v>6897.6330698422989</v>
      </c>
      <c r="CS148" s="21">
        <f t="shared" si="1251"/>
        <v>8310.3699985325838</v>
      </c>
      <c r="CT148" s="21">
        <f t="shared" si="1251"/>
        <v>9325.7535031102107</v>
      </c>
      <c r="CU148" s="21">
        <f t="shared" si="1251"/>
        <v>7081.3028531466662</v>
      </c>
      <c r="CV148" s="21">
        <f t="shared" si="1251"/>
        <v>8091.0563945042313</v>
      </c>
      <c r="CW148" s="21">
        <f t="shared" si="1251"/>
        <v>9772.6548184232688</v>
      </c>
      <c r="CX148" s="21">
        <f t="shared" si="1251"/>
        <v>10957.125341980736</v>
      </c>
      <c r="CY148" s="21">
        <f t="shared" si="1251"/>
        <v>8301.7161957992303</v>
      </c>
      <c r="CZ148" s="21">
        <f t="shared" si="1251"/>
        <v>9499.4124976901167</v>
      </c>
      <c r="DA148" s="21">
        <f t="shared" si="1251"/>
        <v>11476.266333642367</v>
      </c>
      <c r="DB148" s="21">
        <f t="shared" si="1251"/>
        <v>12862.740931096576</v>
      </c>
      <c r="DE148" s="126"/>
      <c r="DF148" s="22">
        <v>9066.9349999999995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5.5129999999999999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3.9</v>
      </c>
      <c r="Y149" s="23">
        <f>'Annual Raw'!Z50+'Annual Raw'!Z58</f>
        <v>2.0609999999999999</v>
      </c>
      <c r="Z149" s="23">
        <f>'Annual Raw'!AA50+'Annual Raw'!AA58</f>
        <v>19.416</v>
      </c>
      <c r="AA149" s="23">
        <f>'Annual Raw'!AB50+'Annual Raw'!AB58</f>
        <v>51.009</v>
      </c>
      <c r="AB149" s="24">
        <f t="shared" ref="AB149:AB155" si="1253">+CP149</f>
        <v>0</v>
      </c>
      <c r="AC149" s="24">
        <f t="shared" ref="AC149:AC155" si="1254">+CT149</f>
        <v>0</v>
      </c>
      <c r="AD149" s="24">
        <f t="shared" ref="AD149:AD155" si="1255">+CX149</f>
        <v>0</v>
      </c>
      <c r="AE149" s="24">
        <f t="shared" ref="AE149:AE155" si="1256">+DB149</f>
        <v>0</v>
      </c>
      <c r="AJ149" s="23">
        <f>+'QTR Raw'!D64</f>
        <v>0</v>
      </c>
      <c r="AK149" s="23">
        <f t="shared" ref="AK149:CE155" si="1257">+AJ149</f>
        <v>0</v>
      </c>
      <c r="AL149" s="23">
        <f>+'QTR Raw'!F64</f>
        <v>0</v>
      </c>
      <c r="AM149" s="23">
        <f t="shared" si="1257"/>
        <v>0</v>
      </c>
      <c r="AN149" s="23">
        <f>+'QTR Raw'!H64</f>
        <v>0</v>
      </c>
      <c r="AO149" s="23">
        <f t="shared" si="1257"/>
        <v>0</v>
      </c>
      <c r="AP149" s="23">
        <f>+'QTR Raw'!J64</f>
        <v>0</v>
      </c>
      <c r="AQ149" s="23">
        <f t="shared" si="1257"/>
        <v>0</v>
      </c>
      <c r="AR149" s="23">
        <f>+'QTR Raw'!L64</f>
        <v>0</v>
      </c>
      <c r="AS149" s="23">
        <f t="shared" si="1257"/>
        <v>0</v>
      </c>
      <c r="AT149" s="23">
        <f>+'QTR Raw'!N64</f>
        <v>0</v>
      </c>
      <c r="AU149" s="23">
        <f t="shared" si="1257"/>
        <v>0</v>
      </c>
      <c r="AV149" s="23">
        <f>+'QTR Raw'!P64</f>
        <v>0</v>
      </c>
      <c r="AW149" s="23">
        <f t="shared" si="1257"/>
        <v>0</v>
      </c>
      <c r="AX149" s="23">
        <f>+'QTR Raw'!R64</f>
        <v>0</v>
      </c>
      <c r="AY149" s="23">
        <f t="shared" si="1257"/>
        <v>0</v>
      </c>
      <c r="AZ149" s="23">
        <f>+'QTR Raw'!T64</f>
        <v>0</v>
      </c>
      <c r="BA149" s="23">
        <f t="shared" si="1257"/>
        <v>0</v>
      </c>
      <c r="BB149" s="23">
        <f>+'QTR Raw'!V64</f>
        <v>0</v>
      </c>
      <c r="BC149" s="23">
        <f t="shared" si="1257"/>
        <v>0</v>
      </c>
      <c r="BD149" s="23">
        <f>+'QTR Raw'!X64</f>
        <v>0</v>
      </c>
      <c r="BE149" s="23">
        <f t="shared" si="1257"/>
        <v>0</v>
      </c>
      <c r="BF149" s="23">
        <f>+'QTR Raw'!Z64</f>
        <v>0</v>
      </c>
      <c r="BG149" s="23">
        <f t="shared" si="1257"/>
        <v>0</v>
      </c>
      <c r="BH149" s="23">
        <f>+'QTR Raw'!AB64</f>
        <v>0</v>
      </c>
      <c r="BI149" s="23">
        <f t="shared" si="1257"/>
        <v>0</v>
      </c>
      <c r="BJ149" s="23">
        <f>+'QTR Raw'!AD64</f>
        <v>0</v>
      </c>
      <c r="BK149" s="23">
        <f t="shared" si="1257"/>
        <v>0</v>
      </c>
      <c r="BL149" s="23">
        <f>+'QTR Raw'!AF64</f>
        <v>0</v>
      </c>
      <c r="BM149" s="23">
        <f t="shared" si="1257"/>
        <v>0</v>
      </c>
      <c r="BN149" s="23">
        <f>+'QTR Raw'!AH64</f>
        <v>31.213000000000001</v>
      </c>
      <c r="BO149" s="23">
        <f t="shared" si="1257"/>
        <v>31.213000000000001</v>
      </c>
      <c r="BP149" s="23">
        <f>+'QTR Raw'!AJ64</f>
        <v>46.872999999999998</v>
      </c>
      <c r="BQ149" s="23">
        <f t="shared" si="1257"/>
        <v>46.872999999999998</v>
      </c>
      <c r="BR149" s="23">
        <f>+'QTR Raw'!AL64</f>
        <v>46.128999999999998</v>
      </c>
      <c r="BS149" s="23">
        <f t="shared" si="1257"/>
        <v>46.128999999999998</v>
      </c>
      <c r="BT149" s="23">
        <f>+'QTR Raw'!AN64</f>
        <v>60.15</v>
      </c>
      <c r="BU149" s="23">
        <f t="shared" si="1257"/>
        <v>60.15</v>
      </c>
      <c r="BV149" s="23">
        <f>+'QTR Raw'!AP64</f>
        <v>45.529000000000003</v>
      </c>
      <c r="BW149" s="23">
        <f t="shared" si="1257"/>
        <v>45.529000000000003</v>
      </c>
      <c r="BX149" s="23">
        <f>+'QTR Raw'!AR64</f>
        <v>63.475000000000001</v>
      </c>
      <c r="BY149" s="23">
        <f t="shared" si="1257"/>
        <v>63.475000000000001</v>
      </c>
      <c r="BZ149" s="23">
        <f>+'QTR Raw'!AT64</f>
        <v>49.298000000000002</v>
      </c>
      <c r="CA149" s="23">
        <f t="shared" si="1257"/>
        <v>49.298000000000002</v>
      </c>
      <c r="CB149" s="23">
        <f>+'QTR Raw'!AV64</f>
        <v>69.599999999999994</v>
      </c>
      <c r="CC149" s="23">
        <f t="shared" si="1257"/>
        <v>69.599999999999994</v>
      </c>
      <c r="CD149" s="23">
        <f>+'QTR Raw'!AX64</f>
        <v>37.895000000000003</v>
      </c>
      <c r="CE149" s="23">
        <f t="shared" si="1257"/>
        <v>37.895000000000003</v>
      </c>
      <c r="CF149" s="23">
        <f>+'QTR Raw'!AZ64</f>
        <v>127.261</v>
      </c>
      <c r="CG149" s="23">
        <f t="shared" ref="CG149:CG152" si="1258">+CF149</f>
        <v>127.261</v>
      </c>
      <c r="CH149" s="23">
        <f t="shared" si="1210"/>
        <v>19.416</v>
      </c>
      <c r="CJ149" s="23">
        <f>+'QTR Raw'!BD64</f>
        <v>87.147999999999996</v>
      </c>
      <c r="CL149" s="23">
        <f>+'QTR Raw'!BF64</f>
        <v>55.994999999999997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51.009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53"/>
        <v>0</v>
      </c>
      <c r="AC150" s="24">
        <f t="shared" si="1254"/>
        <v>0</v>
      </c>
      <c r="AD150" s="24">
        <f t="shared" si="1255"/>
        <v>0</v>
      </c>
      <c r="AE150" s="24">
        <f t="shared" si="1256"/>
        <v>0</v>
      </c>
      <c r="AJ150" s="23">
        <f>+'QTR Raw'!D65</f>
        <v>0</v>
      </c>
      <c r="AK150" s="23">
        <f t="shared" si="1257"/>
        <v>0</v>
      </c>
      <c r="AL150" s="23">
        <f>+'QTR Raw'!F65</f>
        <v>0</v>
      </c>
      <c r="AM150" s="23">
        <f t="shared" si="1257"/>
        <v>0</v>
      </c>
      <c r="AN150" s="23">
        <f>+'QTR Raw'!H65</f>
        <v>0</v>
      </c>
      <c r="AO150" s="23">
        <f t="shared" si="1257"/>
        <v>0</v>
      </c>
      <c r="AP150" s="23">
        <f>+'QTR Raw'!J65</f>
        <v>0</v>
      </c>
      <c r="AQ150" s="23">
        <f t="shared" si="1257"/>
        <v>0</v>
      </c>
      <c r="AR150" s="23">
        <f>+'QTR Raw'!L65</f>
        <v>0</v>
      </c>
      <c r="AS150" s="23">
        <f t="shared" si="1257"/>
        <v>0</v>
      </c>
      <c r="AT150" s="23">
        <f>+'QTR Raw'!N65</f>
        <v>0</v>
      </c>
      <c r="AU150" s="23">
        <f t="shared" si="1257"/>
        <v>0</v>
      </c>
      <c r="AV150" s="23">
        <f>+'QTR Raw'!P65</f>
        <v>0</v>
      </c>
      <c r="AW150" s="23">
        <f t="shared" si="1257"/>
        <v>0</v>
      </c>
      <c r="AX150" s="23">
        <f>+'QTR Raw'!R65</f>
        <v>0</v>
      </c>
      <c r="AY150" s="23">
        <f t="shared" si="1257"/>
        <v>0</v>
      </c>
      <c r="AZ150" s="23">
        <f>+'QTR Raw'!T65</f>
        <v>0</v>
      </c>
      <c r="BA150" s="23">
        <f t="shared" si="1257"/>
        <v>0</v>
      </c>
      <c r="BB150" s="23">
        <f>+'QTR Raw'!V65</f>
        <v>0</v>
      </c>
      <c r="BC150" s="23">
        <f t="shared" si="1257"/>
        <v>0</v>
      </c>
      <c r="BD150" s="23">
        <f>+'QTR Raw'!X65</f>
        <v>0</v>
      </c>
      <c r="BE150" s="23">
        <f t="shared" si="1257"/>
        <v>0</v>
      </c>
      <c r="BF150" s="23">
        <f>+'QTR Raw'!Z65</f>
        <v>0</v>
      </c>
      <c r="BG150" s="23">
        <f t="shared" si="1257"/>
        <v>0</v>
      </c>
      <c r="BH150" s="23">
        <f>+'QTR Raw'!AB65</f>
        <v>0</v>
      </c>
      <c r="BI150" s="23">
        <f t="shared" si="1257"/>
        <v>0</v>
      </c>
      <c r="BJ150" s="23">
        <f>+'QTR Raw'!AD65</f>
        <v>0</v>
      </c>
      <c r="BK150" s="23">
        <f t="shared" si="1257"/>
        <v>0</v>
      </c>
      <c r="BL150" s="23">
        <f>+'QTR Raw'!AF65</f>
        <v>0</v>
      </c>
      <c r="BM150" s="23">
        <f t="shared" si="1257"/>
        <v>0</v>
      </c>
      <c r="BN150" s="23">
        <f>+'QTR Raw'!AH65</f>
        <v>0</v>
      </c>
      <c r="BO150" s="23">
        <f t="shared" si="1257"/>
        <v>0</v>
      </c>
      <c r="BP150" s="23">
        <f>+'QTR Raw'!AJ65</f>
        <v>0</v>
      </c>
      <c r="BQ150" s="23">
        <f t="shared" si="1257"/>
        <v>0</v>
      </c>
      <c r="BR150" s="23">
        <f>+'QTR Raw'!AL65</f>
        <v>0</v>
      </c>
      <c r="BS150" s="23">
        <f t="shared" si="1257"/>
        <v>0</v>
      </c>
      <c r="BT150" s="23">
        <f>+'QTR Raw'!AN65</f>
        <v>0</v>
      </c>
      <c r="BU150" s="23">
        <f t="shared" si="1257"/>
        <v>0</v>
      </c>
      <c r="BV150" s="23">
        <f>+'QTR Raw'!AP65</f>
        <v>0</v>
      </c>
      <c r="BW150" s="23">
        <f t="shared" si="1257"/>
        <v>0</v>
      </c>
      <c r="BX150" s="23">
        <f>+'QTR Raw'!AR65</f>
        <v>0</v>
      </c>
      <c r="BY150" s="23">
        <f t="shared" si="1257"/>
        <v>0</v>
      </c>
      <c r="BZ150" s="23">
        <f>+'QTR Raw'!AT65</f>
        <v>0</v>
      </c>
      <c r="CA150" s="23">
        <f t="shared" si="1257"/>
        <v>0</v>
      </c>
      <c r="CB150" s="23">
        <f>+'QTR Raw'!AV65</f>
        <v>0</v>
      </c>
      <c r="CC150" s="23">
        <f t="shared" si="1257"/>
        <v>0</v>
      </c>
      <c r="CD150" s="23">
        <f>+'QTR Raw'!AX65</f>
        <v>0</v>
      </c>
      <c r="CE150" s="23">
        <f t="shared" si="1257"/>
        <v>0</v>
      </c>
      <c r="CF150" s="23">
        <f>+'QTR Raw'!AZ65</f>
        <v>0</v>
      </c>
      <c r="CG150" s="23">
        <f t="shared" si="1258"/>
        <v>0</v>
      </c>
      <c r="CH150" s="23">
        <f t="shared" si="1210"/>
        <v>0</v>
      </c>
      <c r="CJ150" s="23">
        <f>+'QTR Raw'!BD65</f>
        <v>0</v>
      </c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0.1433199</v>
      </c>
      <c r="N151" s="23">
        <f>'Annual Raw'!O52</f>
        <v>1.6298904999999999</v>
      </c>
      <c r="O151" s="23">
        <f>'Annual Raw'!P52</f>
        <v>1.3917496</v>
      </c>
      <c r="P151" s="23">
        <f>'Annual Raw'!Q52</f>
        <v>1.9521374</v>
      </c>
      <c r="Q151" s="23">
        <f>'Annual Raw'!R52</f>
        <v>2.5144628999999998</v>
      </c>
      <c r="R151" s="23">
        <f>'Annual Raw'!S52</f>
        <v>91.378437300000002</v>
      </c>
      <c r="S151" s="23">
        <f>'Annual Raw'!T52</f>
        <v>130.1548597</v>
      </c>
      <c r="T151" s="23">
        <f>'Annual Raw'!U52</f>
        <v>166.125</v>
      </c>
      <c r="U151" s="23">
        <f>'Annual Raw'!V52</f>
        <v>152.82400000000001</v>
      </c>
      <c r="V151" s="23">
        <f>'Annual Raw'!W52</f>
        <v>9.7929999999999993</v>
      </c>
      <c r="W151" s="23">
        <f>'Annual Raw'!X52</f>
        <v>1.423</v>
      </c>
      <c r="X151" s="23">
        <f>'Annual Raw'!Y52</f>
        <v>0.60599999999999998</v>
      </c>
      <c r="Y151" s="23">
        <f>'Annual Raw'!Z52</f>
        <v>742.04600000000005</v>
      </c>
      <c r="Z151" s="23">
        <f>'Annual Raw'!AA52</f>
        <v>1375.808</v>
      </c>
      <c r="AA151" s="23">
        <f>'Annual Raw'!AB52</f>
        <v>851.202</v>
      </c>
      <c r="AB151" s="24">
        <f t="shared" si="1253"/>
        <v>0</v>
      </c>
      <c r="AC151" s="24">
        <f t="shared" si="1254"/>
        <v>0</v>
      </c>
      <c r="AD151" s="24">
        <f t="shared" si="1255"/>
        <v>0</v>
      </c>
      <c r="AE151" s="24">
        <f t="shared" si="1256"/>
        <v>0</v>
      </c>
      <c r="AJ151" s="23">
        <f>+'QTR Raw'!D66</f>
        <v>0</v>
      </c>
      <c r="AK151" s="23">
        <f t="shared" si="1257"/>
        <v>0</v>
      </c>
      <c r="AL151" s="23">
        <f>+'QTR Raw'!F66</f>
        <v>0</v>
      </c>
      <c r="AM151" s="23">
        <f t="shared" si="1257"/>
        <v>0</v>
      </c>
      <c r="AN151" s="23">
        <f>+'QTR Raw'!H66</f>
        <v>0</v>
      </c>
      <c r="AO151" s="23">
        <f t="shared" si="1257"/>
        <v>0</v>
      </c>
      <c r="AP151" s="23">
        <f>+'QTR Raw'!J66</f>
        <v>0</v>
      </c>
      <c r="AQ151" s="23">
        <f t="shared" si="1257"/>
        <v>0</v>
      </c>
      <c r="AR151" s="23">
        <f>+'QTR Raw'!L66</f>
        <v>0</v>
      </c>
      <c r="AS151" s="23">
        <f t="shared" si="1257"/>
        <v>0</v>
      </c>
      <c r="AT151" s="23">
        <f>+'QTR Raw'!N66</f>
        <v>0</v>
      </c>
      <c r="AU151" s="23">
        <f t="shared" si="1257"/>
        <v>0</v>
      </c>
      <c r="AV151" s="23">
        <f>+'QTR Raw'!P66</f>
        <v>0</v>
      </c>
      <c r="AW151" s="23">
        <f t="shared" si="1257"/>
        <v>0</v>
      </c>
      <c r="AX151" s="23">
        <f>+'QTR Raw'!R66</f>
        <v>0</v>
      </c>
      <c r="AY151" s="23">
        <f t="shared" si="1257"/>
        <v>0</v>
      </c>
      <c r="AZ151" s="23">
        <f>+'QTR Raw'!T66</f>
        <v>0</v>
      </c>
      <c r="BA151" s="23">
        <f t="shared" si="1257"/>
        <v>0</v>
      </c>
      <c r="BB151" s="23">
        <f>+'QTR Raw'!V66</f>
        <v>0</v>
      </c>
      <c r="BC151" s="23">
        <f t="shared" si="1257"/>
        <v>0</v>
      </c>
      <c r="BD151" s="23">
        <f>+'QTR Raw'!X66</f>
        <v>0</v>
      </c>
      <c r="BE151" s="23">
        <f t="shared" si="1257"/>
        <v>0</v>
      </c>
      <c r="BF151" s="23">
        <f>+'QTR Raw'!Z66</f>
        <v>0</v>
      </c>
      <c r="BG151" s="23">
        <f t="shared" si="1257"/>
        <v>0</v>
      </c>
      <c r="BH151" s="23">
        <f>+'QTR Raw'!AB66</f>
        <v>0</v>
      </c>
      <c r="BI151" s="23">
        <f t="shared" si="1257"/>
        <v>0</v>
      </c>
      <c r="BJ151" s="23">
        <f>+'QTR Raw'!AD66</f>
        <v>0</v>
      </c>
      <c r="BK151" s="23">
        <f t="shared" si="1257"/>
        <v>0</v>
      </c>
      <c r="BL151" s="23">
        <f>+'QTR Raw'!AF66</f>
        <v>0</v>
      </c>
      <c r="BM151" s="23">
        <f t="shared" si="1257"/>
        <v>0</v>
      </c>
      <c r="BN151" s="23">
        <f>+'QTR Raw'!AH66</f>
        <v>6.7080000000000002</v>
      </c>
      <c r="BO151" s="23">
        <f t="shared" si="1257"/>
        <v>6.7080000000000002</v>
      </c>
      <c r="BP151" s="23">
        <f>+'QTR Raw'!AJ66</f>
        <v>8.3659999999999997</v>
      </c>
      <c r="BQ151" s="23">
        <f t="shared" si="1257"/>
        <v>8.3659999999999997</v>
      </c>
      <c r="BR151" s="23">
        <f>+'QTR Raw'!AL66</f>
        <v>9.0990000000000002</v>
      </c>
      <c r="BS151" s="23">
        <f t="shared" si="1257"/>
        <v>9.0990000000000002</v>
      </c>
      <c r="BT151" s="23">
        <f>+'QTR Raw'!AN66</f>
        <v>10.773999999999999</v>
      </c>
      <c r="BU151" s="23">
        <f t="shared" si="1257"/>
        <v>10.773999999999999</v>
      </c>
      <c r="BV151" s="23">
        <f>+'QTR Raw'!AP66</f>
        <v>12.103</v>
      </c>
      <c r="BW151" s="23">
        <f t="shared" si="1257"/>
        <v>12.103</v>
      </c>
      <c r="BX151" s="23">
        <f>+'QTR Raw'!AR66</f>
        <v>14.669</v>
      </c>
      <c r="BY151" s="23">
        <f t="shared" si="1257"/>
        <v>14.669</v>
      </c>
      <c r="BZ151" s="23">
        <f>+'QTR Raw'!AT66</f>
        <v>16.338999999999999</v>
      </c>
      <c r="CA151" s="23">
        <f t="shared" si="1257"/>
        <v>16.338999999999999</v>
      </c>
      <c r="CB151" s="23">
        <f>+'QTR Raw'!AV66</f>
        <v>19.899999999999999</v>
      </c>
      <c r="CC151" s="23">
        <f t="shared" si="1257"/>
        <v>19.899999999999999</v>
      </c>
      <c r="CD151" s="23">
        <f>+'QTR Raw'!AX66</f>
        <v>22.588000000000001</v>
      </c>
      <c r="CE151" s="23">
        <f t="shared" si="1257"/>
        <v>22.588000000000001</v>
      </c>
      <c r="CF151" s="23">
        <f>+'QTR Raw'!AZ66</f>
        <v>31.106000000000002</v>
      </c>
      <c r="CG151" s="23">
        <f t="shared" si="1258"/>
        <v>31.106000000000002</v>
      </c>
      <c r="CH151" s="23">
        <f t="shared" si="1210"/>
        <v>1375.808</v>
      </c>
      <c r="CJ151" s="23">
        <f>+'QTR Raw'!BD66</f>
        <v>44.125999999999998</v>
      </c>
      <c r="CL151" s="23">
        <f>+'QTR Raw'!BF66</f>
        <v>51.152999999999999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851.202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53"/>
        <v>4303.8664308604184</v>
      </c>
      <c r="AC152" s="24">
        <f t="shared" si="1254"/>
        <v>5101.3183323515996</v>
      </c>
      <c r="AD152" s="24">
        <f t="shared" si="1255"/>
        <v>5993.7016733585051</v>
      </c>
      <c r="AE152" s="24">
        <f t="shared" si="1256"/>
        <v>7036.1002029711044</v>
      </c>
      <c r="AJ152" s="23">
        <f>+'QTR Raw'!D87</f>
        <v>0</v>
      </c>
      <c r="AK152" s="23">
        <f t="shared" si="1257"/>
        <v>0</v>
      </c>
      <c r="AL152" s="23">
        <f>+'QTR Raw'!F87</f>
        <v>0</v>
      </c>
      <c r="AM152" s="23">
        <f t="shared" si="1257"/>
        <v>0</v>
      </c>
      <c r="AN152" s="23">
        <f>+'QTR Raw'!H87</f>
        <v>0</v>
      </c>
      <c r="AO152" s="23">
        <f t="shared" si="1257"/>
        <v>0</v>
      </c>
      <c r="AP152" s="23">
        <f>+'QTR Raw'!J87</f>
        <v>0</v>
      </c>
      <c r="AQ152" s="23">
        <f t="shared" si="1257"/>
        <v>0</v>
      </c>
      <c r="AR152" s="23">
        <f>+'QTR Raw'!L87</f>
        <v>0</v>
      </c>
      <c r="AS152" s="23">
        <f t="shared" si="1257"/>
        <v>0</v>
      </c>
      <c r="AT152" s="23">
        <f>+'QTR Raw'!N87</f>
        <v>0</v>
      </c>
      <c r="AU152" s="23">
        <f t="shared" si="1257"/>
        <v>0</v>
      </c>
      <c r="AV152" s="23">
        <f>+'QTR Raw'!P87</f>
        <v>0</v>
      </c>
      <c r="AW152" s="23">
        <f t="shared" si="1257"/>
        <v>0</v>
      </c>
      <c r="AX152" s="23">
        <f>+'QTR Raw'!R87</f>
        <v>0</v>
      </c>
      <c r="AY152" s="23">
        <f t="shared" si="1257"/>
        <v>0</v>
      </c>
      <c r="AZ152" s="23">
        <f>+'QTR Raw'!T87</f>
        <v>0</v>
      </c>
      <c r="BA152" s="23">
        <f t="shared" si="1257"/>
        <v>0</v>
      </c>
      <c r="BB152" s="23">
        <f>+'QTR Raw'!V87</f>
        <v>0</v>
      </c>
      <c r="BC152" s="23">
        <f t="shared" si="1257"/>
        <v>0</v>
      </c>
      <c r="BD152" s="23">
        <f>+'QTR Raw'!X87</f>
        <v>0</v>
      </c>
      <c r="BE152" s="23">
        <f t="shared" si="1257"/>
        <v>0</v>
      </c>
      <c r="BF152" s="23">
        <f>+'QTR Raw'!Z87</f>
        <v>0</v>
      </c>
      <c r="BG152" s="23">
        <f t="shared" si="1257"/>
        <v>0</v>
      </c>
      <c r="BH152" s="23">
        <f>+'QTR Raw'!AB87</f>
        <v>0</v>
      </c>
      <c r="BI152" s="23">
        <f t="shared" si="1257"/>
        <v>0</v>
      </c>
      <c r="BJ152" s="23">
        <f>+'QTR Raw'!AD87</f>
        <v>0</v>
      </c>
      <c r="BK152" s="23">
        <f t="shared" si="1257"/>
        <v>0</v>
      </c>
      <c r="BL152" s="23">
        <f>+'QTR Raw'!AF87</f>
        <v>0</v>
      </c>
      <c r="BM152" s="23">
        <f t="shared" si="1257"/>
        <v>0</v>
      </c>
      <c r="BN152" s="23">
        <f>+'QTR Raw'!AH87</f>
        <v>0</v>
      </c>
      <c r="BO152" s="23">
        <f t="shared" si="1257"/>
        <v>0</v>
      </c>
      <c r="BP152" s="23">
        <f>+'QTR Raw'!AJ87</f>
        <v>0</v>
      </c>
      <c r="BQ152" s="23">
        <f t="shared" si="1257"/>
        <v>0</v>
      </c>
      <c r="BR152" s="23">
        <f>+'QTR Raw'!AL87</f>
        <v>0</v>
      </c>
      <c r="BS152" s="23">
        <f t="shared" si="1257"/>
        <v>0</v>
      </c>
      <c r="BT152" s="23">
        <f>+'QTR Raw'!AN87</f>
        <v>0</v>
      </c>
      <c r="BU152" s="23">
        <f t="shared" si="1257"/>
        <v>0</v>
      </c>
      <c r="BV152" s="23">
        <f>+'QTR Raw'!AP87</f>
        <v>0</v>
      </c>
      <c r="BW152" s="23">
        <f t="shared" si="1257"/>
        <v>0</v>
      </c>
      <c r="BX152" s="23">
        <f>+'QTR Raw'!AR87</f>
        <v>0</v>
      </c>
      <c r="BY152" s="23">
        <f t="shared" si="1257"/>
        <v>0</v>
      </c>
      <c r="BZ152" s="23">
        <f>+'QTR Raw'!AT87</f>
        <v>0</v>
      </c>
      <c r="CA152" s="23">
        <f t="shared" si="1257"/>
        <v>0</v>
      </c>
      <c r="CB152" s="23">
        <f>+'QTR Raw'!AV87</f>
        <v>0</v>
      </c>
      <c r="CC152" s="23">
        <f t="shared" si="1257"/>
        <v>0</v>
      </c>
      <c r="CD152" s="23">
        <f>+'QTR Raw'!AX87</f>
        <v>0</v>
      </c>
      <c r="CE152" s="23">
        <f t="shared" si="1257"/>
        <v>0</v>
      </c>
      <c r="CF152" s="23">
        <f>+'QTR Raw'!AZ87</f>
        <v>0</v>
      </c>
      <c r="CG152" s="23">
        <f t="shared" si="1258"/>
        <v>0</v>
      </c>
      <c r="CH152" s="23">
        <f t="shared" si="1210"/>
        <v>0</v>
      </c>
      <c r="CI152" s="23">
        <f>CI10/90*CI184</f>
        <v>2025.6391227768984</v>
      </c>
      <c r="CJ152" s="23">
        <f>+'QTR Raw'!BD87</f>
        <v>0</v>
      </c>
      <c r="CK152" s="23">
        <f t="shared" ref="CK152:DB152" si="1259">CK10/90*CK184</f>
        <v>3569.8397058442733</v>
      </c>
      <c r="CL152" s="23">
        <f>+'QTR Raw'!BF87</f>
        <v>0</v>
      </c>
      <c r="CM152" s="24">
        <f t="shared" si="1259"/>
        <v>2927.7133520921061</v>
      </c>
      <c r="CN152" s="24">
        <f t="shared" si="1259"/>
        <v>3249.1449804494077</v>
      </c>
      <c r="CO152" s="24">
        <f t="shared" si="1259"/>
        <v>3852.2277514081898</v>
      </c>
      <c r="CP152" s="24">
        <f t="shared" si="1259"/>
        <v>4303.8664308604184</v>
      </c>
      <c r="CQ152" s="24">
        <f t="shared" si="1259"/>
        <v>3323.6366994189907</v>
      </c>
      <c r="CR152" s="24">
        <f t="shared" si="1259"/>
        <v>3773.1023039892716</v>
      </c>
      <c r="CS152" s="24">
        <f t="shared" si="1259"/>
        <v>4545.889274041002</v>
      </c>
      <c r="CT152" s="24">
        <f t="shared" si="1259"/>
        <v>5101.3183323515996</v>
      </c>
      <c r="CU152" s="24">
        <f t="shared" si="1259"/>
        <v>3873.5722587609839</v>
      </c>
      <c r="CV152" s="24">
        <f t="shared" si="1259"/>
        <v>4425.9216480051209</v>
      </c>
      <c r="CW152" s="24">
        <f t="shared" si="1259"/>
        <v>5345.7796374673981</v>
      </c>
      <c r="CX152" s="24">
        <f t="shared" si="1259"/>
        <v>5993.7016733585051</v>
      </c>
      <c r="CY152" s="24">
        <f t="shared" si="1259"/>
        <v>4541.1555222306533</v>
      </c>
      <c r="CZ152" s="24">
        <f t="shared" si="1259"/>
        <v>5196.3122448899021</v>
      </c>
      <c r="DA152" s="24">
        <f t="shared" si="1259"/>
        <v>6277.6790974835849</v>
      </c>
      <c r="DB152" s="24">
        <f t="shared" si="1259"/>
        <v>7036.1002029711044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9.6831799999999996E-2</v>
      </c>
      <c r="J153" s="23">
        <f>'Annual Raw'!K54</f>
        <v>1.5452958000000001</v>
      </c>
      <c r="K153" s="23">
        <f>'Annual Raw'!L54</f>
        <v>3.7121626000000001</v>
      </c>
      <c r="L153" s="23">
        <f>'Annual Raw'!M54</f>
        <v>0</v>
      </c>
      <c r="M153" s="23">
        <f>'Annual Raw'!N54</f>
        <v>1.7914616999999999</v>
      </c>
      <c r="N153" s="23">
        <f>'Annual Raw'!O54</f>
        <v>243.4507145</v>
      </c>
      <c r="O153" s="23">
        <f>'Annual Raw'!P54</f>
        <v>303.02296790000003</v>
      </c>
      <c r="P153" s="23">
        <f>'Annual Raw'!Q54</f>
        <v>266.98989970000002</v>
      </c>
      <c r="Q153" s="23">
        <f>'Annual Raw'!R54</f>
        <v>323.31180790000002</v>
      </c>
      <c r="R153" s="23">
        <f>'Annual Raw'!S54</f>
        <v>531.51170200000001</v>
      </c>
      <c r="S153" s="23">
        <f>'Annual Raw'!T54</f>
        <v>614.64907340000002</v>
      </c>
      <c r="T153" s="23">
        <f>'Annual Raw'!U54</f>
        <v>637.76</v>
      </c>
      <c r="U153" s="23">
        <f>'Annual Raw'!V54</f>
        <v>939.49300000000005</v>
      </c>
      <c r="V153" s="23">
        <f>'Annual Raw'!W54</f>
        <v>2276.4290000000001</v>
      </c>
      <c r="W153" s="23">
        <f>'Annual Raw'!X54</f>
        <v>4066.81</v>
      </c>
      <c r="X153" s="23">
        <f>'Annual Raw'!Y54</f>
        <v>4071.5070000000001</v>
      </c>
      <c r="Y153" s="23">
        <f>'Annual Raw'!Z54</f>
        <v>7196.98</v>
      </c>
      <c r="Z153" s="23">
        <f>'Annual Raw'!AA54</f>
        <v>7317.7150000000001</v>
      </c>
      <c r="AA153" s="23">
        <f>'Annual Raw'!AB54</f>
        <v>9170.2829999999994</v>
      </c>
      <c r="AB153" s="24">
        <f t="shared" si="1253"/>
        <v>10863.013144605206</v>
      </c>
      <c r="AC153" s="24">
        <f t="shared" si="1254"/>
        <v>12875.791800089009</v>
      </c>
      <c r="AD153" s="24">
        <f t="shared" si="1255"/>
        <v>15128.178606025907</v>
      </c>
      <c r="AE153" s="24">
        <f t="shared" si="1256"/>
        <v>17759.205639742431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>
        <f>+BM183*BM10/90</f>
        <v>0</v>
      </c>
      <c r="BN153" s="23">
        <f>+'QTR Raw'!AH89</f>
        <v>939.49300000000005</v>
      </c>
      <c r="BO153" s="23">
        <f>+BO183*BO10/90</f>
        <v>1162.0969792013616</v>
      </c>
      <c r="BP153" s="23">
        <f>+'QTR Raw'!AJ89</f>
        <v>1542.058</v>
      </c>
      <c r="BQ153" s="23">
        <f>+BQ183*BQ10/90</f>
        <v>1526.8193186942278</v>
      </c>
      <c r="BR153" s="23">
        <f>+'QTR Raw'!AL89</f>
        <v>2276.4290000000001</v>
      </c>
      <c r="BS153" s="23">
        <f>+BS183*BS10/90</f>
        <v>2577.5817953755641</v>
      </c>
      <c r="BT153" s="23">
        <f>+'QTR Raw'!AN89</f>
        <v>3773.8539999999998</v>
      </c>
      <c r="BU153" s="23">
        <f>+BU183*BU10/90</f>
        <v>4274.6514533811187</v>
      </c>
      <c r="BV153" s="23">
        <f>+'QTR Raw'!AP89</f>
        <v>4066.81</v>
      </c>
      <c r="BW153" s="23">
        <f>+BW183*BW10/90</f>
        <v>4073.9244340189398</v>
      </c>
      <c r="BX153" s="23">
        <f>+'QTR Raw'!AR89</f>
        <v>4148.5780000000004</v>
      </c>
      <c r="BY153" s="23">
        <f>+BY183*BY10/90</f>
        <v>4166.9468546893877</v>
      </c>
      <c r="BZ153" s="23">
        <f>+'QTR Raw'!AT89</f>
        <v>4071.5070000000001</v>
      </c>
      <c r="CA153" s="23">
        <f>+CA183*CA10/90</f>
        <v>3981.6046494590287</v>
      </c>
      <c r="CB153" s="23">
        <f>+'QTR Raw'!AV89</f>
        <v>6107.5</v>
      </c>
      <c r="CC153" s="23">
        <f>+CC183*CC10/90</f>
        <v>6172.6568782106897</v>
      </c>
      <c r="CD153" s="23">
        <f>+'QTR Raw'!AX89</f>
        <v>7196.98</v>
      </c>
      <c r="CE153" s="23">
        <f>+CE183*CE10/90</f>
        <v>7452.4446972612786</v>
      </c>
      <c r="CF153" s="23">
        <f>+'QTR Raw'!AZ89</f>
        <v>9427.5640000000003</v>
      </c>
      <c r="CG153" s="23">
        <f>+CG183*CG10/90</f>
        <v>7855.9983562381085</v>
      </c>
      <c r="CH153" s="23">
        <f t="shared" si="1210"/>
        <v>7317.7150000000001</v>
      </c>
      <c r="CI153" s="23">
        <f>+CI183*CI10/90</f>
        <v>7903.3883168720477</v>
      </c>
      <c r="CJ153" s="23">
        <f>+'QTR Raw'!BD89</f>
        <v>7590.866</v>
      </c>
      <c r="CK153" s="23">
        <f t="shared" ref="CK153:DB153" si="1260">+CK183*CK10/90</f>
        <v>8431.8279220408749</v>
      </c>
      <c r="CL153" s="23">
        <f>+'QTR Raw'!BF89</f>
        <v>9170.2829999999994</v>
      </c>
      <c r="CM153" s="24">
        <f t="shared" si="1260"/>
        <v>7389.5854200695021</v>
      </c>
      <c r="CN153" s="24">
        <f t="shared" si="1260"/>
        <v>8200.8829033975744</v>
      </c>
      <c r="CO153" s="24">
        <f t="shared" si="1260"/>
        <v>9723.0714223615469</v>
      </c>
      <c r="CP153" s="24">
        <f t="shared" si="1260"/>
        <v>10863.013144605206</v>
      </c>
      <c r="CQ153" s="24">
        <f t="shared" si="1260"/>
        <v>8388.9009414408774</v>
      </c>
      <c r="CR153" s="24">
        <f t="shared" si="1260"/>
        <v>9523.3577952793421</v>
      </c>
      <c r="CS153" s="24">
        <f t="shared" si="1260"/>
        <v>11473.881852777406</v>
      </c>
      <c r="CT153" s="24">
        <f t="shared" si="1260"/>
        <v>12875.791800089009</v>
      </c>
      <c r="CU153" s="24">
        <f t="shared" si="1260"/>
        <v>9776.945228080971</v>
      </c>
      <c r="CV153" s="24">
        <f t="shared" si="1260"/>
        <v>11171.082051833229</v>
      </c>
      <c r="CW153" s="24">
        <f t="shared" si="1260"/>
        <v>13492.815216935467</v>
      </c>
      <c r="CX153" s="24">
        <f t="shared" si="1260"/>
        <v>15128.178606025907</v>
      </c>
      <c r="CY153" s="24">
        <f t="shared" si="1260"/>
        <v>11461.933803513983</v>
      </c>
      <c r="CZ153" s="24">
        <f t="shared" si="1260"/>
        <v>13115.557633238894</v>
      </c>
      <c r="DA153" s="24">
        <f t="shared" si="1260"/>
        <v>15844.941205562516</v>
      </c>
      <c r="DB153" s="24">
        <f t="shared" si="1260"/>
        <v>17759.205639742431</v>
      </c>
      <c r="DE153" s="123"/>
      <c r="DF153" s="23">
        <v>9170.2829999999994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7.9343725999999997</v>
      </c>
      <c r="J154" s="23">
        <f>'Annual Raw'!K55-Template!J126</f>
        <v>7.9537848999999996</v>
      </c>
      <c r="K154" s="23">
        <f>'Annual Raw'!L55-Template!K126</f>
        <v>7.2632975000000002</v>
      </c>
      <c r="L154" s="23">
        <f>'Annual Raw'!M55-Template!L126</f>
        <v>7.9995323000000003</v>
      </c>
      <c r="M154" s="23">
        <f>'Annual Raw'!N55-Template!M126</f>
        <v>6.9101800000000324E-2</v>
      </c>
      <c r="N154" s="23">
        <f>'Annual Raw'!O55-Template!N126</f>
        <v>249.68551830000001</v>
      </c>
      <c r="O154" s="23">
        <f>'Annual Raw'!P55-Template!O126</f>
        <v>27.667147900000003</v>
      </c>
      <c r="P154" s="23">
        <f>'Annual Raw'!Q55-Template!P126</f>
        <v>80.962455800000001</v>
      </c>
      <c r="Q154" s="23">
        <f>'Annual Raw'!R55-Template!Q126</f>
        <v>83.096390100000008</v>
      </c>
      <c r="R154" s="23">
        <f>'Annual Raw'!S55-Template!R126</f>
        <v>104.69260080000001</v>
      </c>
      <c r="S154" s="23">
        <f>'Annual Raw'!T55-Template!S126</f>
        <v>147.68738390000001</v>
      </c>
      <c r="T154" s="23">
        <f>'Annual Raw'!U55-Template!T126</f>
        <v>162.01400000000001</v>
      </c>
      <c r="U154" s="23">
        <f>'Annual Raw'!V55-Template!U126</f>
        <v>161.63300000000001</v>
      </c>
      <c r="V154" s="23">
        <f>'Annual Raw'!W55-Template!V126</f>
        <v>213.78299999999999</v>
      </c>
      <c r="W154" s="23">
        <f>'Annual Raw'!X55-Template!W126</f>
        <v>297.93400000000003</v>
      </c>
      <c r="X154" s="23">
        <f>'Annual Raw'!Y55-Template!X126</f>
        <v>429.54</v>
      </c>
      <c r="Y154" s="23">
        <f>'Annual Raw'!Z55-Template!Y126</f>
        <v>443.75</v>
      </c>
      <c r="Z154" s="23">
        <f>'Annual Raw'!AA55-Template!Z126</f>
        <v>470.56700000000001</v>
      </c>
      <c r="AA154" s="23">
        <f>'Annual Raw'!AB55-Template!AA126</f>
        <v>569.47699999999998</v>
      </c>
      <c r="AB154" s="24">
        <f t="shared" si="1253"/>
        <v>0</v>
      </c>
      <c r="AC154" s="24">
        <f t="shared" si="1254"/>
        <v>0</v>
      </c>
      <c r="AD154" s="24">
        <f t="shared" si="1255"/>
        <v>0</v>
      </c>
      <c r="AE154" s="24">
        <f t="shared" si="1256"/>
        <v>0</v>
      </c>
      <c r="AJ154" s="23">
        <f>+'QTR Raw'!D91</f>
        <v>0</v>
      </c>
      <c r="AK154" s="23">
        <f t="shared" si="1257"/>
        <v>0</v>
      </c>
      <c r="AL154" s="23">
        <f>+'QTR Raw'!F91</f>
        <v>0</v>
      </c>
      <c r="AM154" s="23">
        <f t="shared" si="1257"/>
        <v>0</v>
      </c>
      <c r="AN154" s="23">
        <f>+'QTR Raw'!H91</f>
        <v>0</v>
      </c>
      <c r="AO154" s="23">
        <f t="shared" si="1257"/>
        <v>0</v>
      </c>
      <c r="AP154" s="23">
        <f>+'QTR Raw'!J91</f>
        <v>0</v>
      </c>
      <c r="AQ154" s="23">
        <f t="shared" si="1257"/>
        <v>0</v>
      </c>
      <c r="AR154" s="23">
        <f>+'QTR Raw'!L91</f>
        <v>0</v>
      </c>
      <c r="AS154" s="23">
        <f t="shared" si="1257"/>
        <v>0</v>
      </c>
      <c r="AT154" s="23">
        <f>+'QTR Raw'!N91</f>
        <v>0</v>
      </c>
      <c r="AU154" s="23">
        <f t="shared" si="1257"/>
        <v>0</v>
      </c>
      <c r="AV154" s="23">
        <f>+'QTR Raw'!P91</f>
        <v>0</v>
      </c>
      <c r="AW154" s="23">
        <f t="shared" si="1257"/>
        <v>0</v>
      </c>
      <c r="AX154" s="23">
        <f>+'QTR Raw'!R91</f>
        <v>0</v>
      </c>
      <c r="AY154" s="23">
        <f t="shared" si="1257"/>
        <v>0</v>
      </c>
      <c r="AZ154" s="23">
        <f>+'QTR Raw'!T91</f>
        <v>0</v>
      </c>
      <c r="BA154" s="23">
        <f t="shared" si="1257"/>
        <v>0</v>
      </c>
      <c r="BB154" s="23">
        <f>+'QTR Raw'!V91</f>
        <v>0</v>
      </c>
      <c r="BC154" s="23">
        <f t="shared" si="1257"/>
        <v>0</v>
      </c>
      <c r="BD154" s="23">
        <f>+'QTR Raw'!X91</f>
        <v>0</v>
      </c>
      <c r="BE154" s="23">
        <f t="shared" si="1257"/>
        <v>0</v>
      </c>
      <c r="BF154" s="23">
        <f>+'QTR Raw'!Z91</f>
        <v>0</v>
      </c>
      <c r="BG154" s="23">
        <f t="shared" si="1257"/>
        <v>0</v>
      </c>
      <c r="BH154" s="23">
        <f>+'QTR Raw'!AB91</f>
        <v>0</v>
      </c>
      <c r="BI154" s="23">
        <f t="shared" si="1257"/>
        <v>0</v>
      </c>
      <c r="BJ154" s="23">
        <f>+'QTR Raw'!AD91</f>
        <v>0</v>
      </c>
      <c r="BK154" s="23">
        <f t="shared" si="1257"/>
        <v>0</v>
      </c>
      <c r="BL154" s="23">
        <f>+'QTR Raw'!AF91</f>
        <v>0</v>
      </c>
      <c r="BM154" s="23">
        <f t="shared" si="1257"/>
        <v>0</v>
      </c>
      <c r="BN154" s="23">
        <f>+'QTR Raw'!AH91</f>
        <v>130.465</v>
      </c>
      <c r="BO154" s="23">
        <f t="shared" si="1257"/>
        <v>130.465</v>
      </c>
      <c r="BP154" s="23">
        <f>+'QTR Raw'!AJ91</f>
        <v>442.59500000000003</v>
      </c>
      <c r="BQ154" s="23">
        <f t="shared" si="1257"/>
        <v>442.59500000000003</v>
      </c>
      <c r="BR154" s="23">
        <f>+'QTR Raw'!AL91</f>
        <v>179.70599999999999</v>
      </c>
      <c r="BS154" s="23">
        <f t="shared" si="1257"/>
        <v>179.70599999999999</v>
      </c>
      <c r="BT154" s="23">
        <f>+'QTR Raw'!AN91</f>
        <v>282.28699999999998</v>
      </c>
      <c r="BU154" s="23">
        <f t="shared" si="1257"/>
        <v>282.28699999999998</v>
      </c>
      <c r="BV154" s="23">
        <f>+'QTR Raw'!AP91</f>
        <v>277.959</v>
      </c>
      <c r="BW154" s="23">
        <f t="shared" si="1257"/>
        <v>277.959</v>
      </c>
      <c r="BX154" s="23">
        <f>+'QTR Raw'!AR91</f>
        <v>343.36500000000001</v>
      </c>
      <c r="BY154" s="23">
        <f t="shared" si="1257"/>
        <v>343.36500000000001</v>
      </c>
      <c r="BZ154" s="23">
        <f>+'QTR Raw'!AT91</f>
        <v>418.93200000000002</v>
      </c>
      <c r="CA154" s="23">
        <f t="shared" si="1257"/>
        <v>418.93200000000002</v>
      </c>
      <c r="CB154" s="23">
        <f>+'QTR Raw'!AV91</f>
        <v>514.6</v>
      </c>
      <c r="CC154" s="23">
        <f t="shared" si="1257"/>
        <v>514.6</v>
      </c>
      <c r="CD154" s="23">
        <f>+'QTR Raw'!AX91</f>
        <v>539.37400000000002</v>
      </c>
      <c r="CE154" s="23">
        <f t="shared" si="1257"/>
        <v>539.37400000000002</v>
      </c>
      <c r="CF154" s="23">
        <f>+'QTR Raw'!AZ91</f>
        <v>1635.68</v>
      </c>
      <c r="CG154" s="23">
        <f t="shared" ref="CG154:CG155" si="1261">+CF154</f>
        <v>1635.68</v>
      </c>
      <c r="CH154" s="23">
        <f t="shared" si="1210"/>
        <v>470.56700000000001</v>
      </c>
      <c r="CJ154" s="23">
        <f>+'QTR Raw'!BD91</f>
        <v>3082.5219999999999</v>
      </c>
      <c r="CL154" s="23">
        <f>+'QTR Raw'!BF91</f>
        <v>3526.0680000000002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569.47699999999998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2.6492572999999999</v>
      </c>
      <c r="J155" s="23">
        <f>'Annual Raw'!K57</f>
        <v>3.6044950999999998</v>
      </c>
      <c r="K155" s="23">
        <f>'Annual Raw'!L57</f>
        <v>8.2785542999999997</v>
      </c>
      <c r="L155" s="23">
        <f>'Annual Raw'!M57</f>
        <v>1.8356385</v>
      </c>
      <c r="M155" s="23">
        <f>'Annual Raw'!N57</f>
        <v>2.7820586</v>
      </c>
      <c r="N155" s="23">
        <f>'Annual Raw'!O57</f>
        <v>1.0573958000000001</v>
      </c>
      <c r="O155" s="23">
        <f>'Annual Raw'!P57</f>
        <v>1.3556025</v>
      </c>
      <c r="P155" s="23">
        <f>'Annual Raw'!Q57</f>
        <v>1.2095156</v>
      </c>
      <c r="Q155" s="23">
        <f>'Annual Raw'!R57</f>
        <v>1.1827827</v>
      </c>
      <c r="R155" s="23">
        <f>'Annual Raw'!S57</f>
        <v>1.2447136000000001</v>
      </c>
      <c r="S155" s="23">
        <f>'Annual Raw'!T57</f>
        <v>7.3901342999999997</v>
      </c>
      <c r="T155" s="23">
        <f>'Annual Raw'!U57</f>
        <v>9.3190000000000008</v>
      </c>
      <c r="U155" s="23">
        <f>'Annual Raw'!V57</f>
        <v>14.461</v>
      </c>
      <c r="V155" s="23">
        <f>'Annual Raw'!W57</f>
        <v>283.09699999999998</v>
      </c>
      <c r="W155" s="23">
        <f>'Annual Raw'!X57</f>
        <v>491.96899999999999</v>
      </c>
      <c r="X155" s="23">
        <f>'Annual Raw'!Y57</f>
        <v>624.06600000000003</v>
      </c>
      <c r="Y155" s="23">
        <f>'Annual Raw'!Z57</f>
        <v>7.7759999999999998</v>
      </c>
      <c r="Z155" s="23">
        <f>'Annual Raw'!AA57</f>
        <v>9.74</v>
      </c>
      <c r="AA155" s="23">
        <f>'Annual Raw'!AB57</f>
        <v>370.98500000000001</v>
      </c>
      <c r="AB155" s="24">
        <f t="shared" si="1253"/>
        <v>0</v>
      </c>
      <c r="AC155" s="24">
        <f t="shared" si="1254"/>
        <v>0</v>
      </c>
      <c r="AD155" s="24">
        <f t="shared" si="1255"/>
        <v>0</v>
      </c>
      <c r="AE155" s="24">
        <f t="shared" si="1256"/>
        <v>0</v>
      </c>
      <c r="AJ155" s="23">
        <f>+'QTR Raw'!D92</f>
        <v>0</v>
      </c>
      <c r="AK155" s="23">
        <f t="shared" si="1257"/>
        <v>0</v>
      </c>
      <c r="AL155" s="23">
        <f>+'QTR Raw'!F92</f>
        <v>0</v>
      </c>
      <c r="AM155" s="23">
        <f t="shared" si="1257"/>
        <v>0</v>
      </c>
      <c r="AN155" s="23">
        <f>+'QTR Raw'!H92</f>
        <v>0</v>
      </c>
      <c r="AO155" s="23">
        <f t="shared" si="1257"/>
        <v>0</v>
      </c>
      <c r="AP155" s="23">
        <f>+'QTR Raw'!J92</f>
        <v>0</v>
      </c>
      <c r="AQ155" s="23">
        <f t="shared" si="1257"/>
        <v>0</v>
      </c>
      <c r="AR155" s="23">
        <f>+'QTR Raw'!L92</f>
        <v>0</v>
      </c>
      <c r="AS155" s="23">
        <f t="shared" si="1257"/>
        <v>0</v>
      </c>
      <c r="AT155" s="23">
        <f>+'QTR Raw'!N92</f>
        <v>0</v>
      </c>
      <c r="AU155" s="23">
        <f t="shared" si="1257"/>
        <v>0</v>
      </c>
      <c r="AV155" s="23">
        <f>+'QTR Raw'!P92</f>
        <v>0</v>
      </c>
      <c r="AW155" s="23">
        <f t="shared" si="1257"/>
        <v>0</v>
      </c>
      <c r="AX155" s="23">
        <f>+'QTR Raw'!R92</f>
        <v>0</v>
      </c>
      <c r="AY155" s="23">
        <f t="shared" si="1257"/>
        <v>0</v>
      </c>
      <c r="AZ155" s="23">
        <f>+'QTR Raw'!T92</f>
        <v>0</v>
      </c>
      <c r="BA155" s="23">
        <f t="shared" si="1257"/>
        <v>0</v>
      </c>
      <c r="BB155" s="23">
        <f>+'QTR Raw'!V92</f>
        <v>0</v>
      </c>
      <c r="BC155" s="23">
        <f t="shared" si="1257"/>
        <v>0</v>
      </c>
      <c r="BD155" s="23">
        <f>+'QTR Raw'!X92</f>
        <v>0</v>
      </c>
      <c r="BE155" s="23">
        <f t="shared" si="1257"/>
        <v>0</v>
      </c>
      <c r="BF155" s="23">
        <f>+'QTR Raw'!Z92</f>
        <v>0</v>
      </c>
      <c r="BG155" s="23">
        <f t="shared" si="1257"/>
        <v>0</v>
      </c>
      <c r="BH155" s="23">
        <f>+'QTR Raw'!AB92</f>
        <v>0</v>
      </c>
      <c r="BI155" s="23">
        <f t="shared" si="1257"/>
        <v>0</v>
      </c>
      <c r="BJ155" s="23">
        <f>+'QTR Raw'!AD92</f>
        <v>0</v>
      </c>
      <c r="BK155" s="23">
        <f t="shared" si="1257"/>
        <v>0</v>
      </c>
      <c r="BL155" s="23">
        <f>+'QTR Raw'!AF92</f>
        <v>0</v>
      </c>
      <c r="BM155" s="23">
        <f t="shared" si="1257"/>
        <v>0</v>
      </c>
      <c r="BN155" s="23">
        <f>+'QTR Raw'!AH92</f>
        <v>0</v>
      </c>
      <c r="BO155" s="23">
        <f t="shared" si="1257"/>
        <v>0</v>
      </c>
      <c r="BP155" s="23">
        <f>+'QTR Raw'!AJ92</f>
        <v>0</v>
      </c>
      <c r="BQ155" s="23">
        <f t="shared" si="1257"/>
        <v>0</v>
      </c>
      <c r="BR155" s="23">
        <f>+'QTR Raw'!AL92</f>
        <v>0</v>
      </c>
      <c r="BS155" s="23">
        <f t="shared" si="1257"/>
        <v>0</v>
      </c>
      <c r="BT155" s="23">
        <f>+'QTR Raw'!AN92</f>
        <v>0</v>
      </c>
      <c r="BU155" s="23">
        <f t="shared" si="1257"/>
        <v>0</v>
      </c>
      <c r="BV155" s="23">
        <f>+'QTR Raw'!AP92</f>
        <v>0</v>
      </c>
      <c r="BW155" s="23">
        <f t="shared" si="1257"/>
        <v>0</v>
      </c>
      <c r="BX155" s="23">
        <f>+'QTR Raw'!AR92</f>
        <v>0</v>
      </c>
      <c r="BY155" s="23">
        <f t="shared" si="1257"/>
        <v>0</v>
      </c>
      <c r="BZ155" s="23">
        <f>+'QTR Raw'!AT92</f>
        <v>0</v>
      </c>
      <c r="CA155" s="23">
        <f t="shared" si="1257"/>
        <v>0</v>
      </c>
      <c r="CB155" s="23">
        <f>+'QTR Raw'!AV92</f>
        <v>0</v>
      </c>
      <c r="CC155" s="23">
        <f t="shared" si="1257"/>
        <v>0</v>
      </c>
      <c r="CD155" s="23">
        <f>+'QTR Raw'!AX92</f>
        <v>0</v>
      </c>
      <c r="CE155" s="23">
        <f t="shared" si="1257"/>
        <v>0</v>
      </c>
      <c r="CF155" s="23">
        <f>+'QTR Raw'!AZ92</f>
        <v>0</v>
      </c>
      <c r="CG155" s="23">
        <f t="shared" si="1261"/>
        <v>0</v>
      </c>
      <c r="CH155" s="23">
        <f t="shared" si="1210"/>
        <v>9.74</v>
      </c>
      <c r="CJ155" s="23">
        <f>+'QTR Raw'!BD92</f>
        <v>0</v>
      </c>
      <c r="CL155" s="23">
        <f>+'QTR Raw'!BF92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370.98500000000001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62">SUM(C149:C155)</f>
        <v>0</v>
      </c>
      <c r="D156" s="22">
        <f t="shared" si="1262"/>
        <v>0</v>
      </c>
      <c r="E156" s="22">
        <f t="shared" si="1262"/>
        <v>0</v>
      </c>
      <c r="F156" s="22">
        <f t="shared" si="1262"/>
        <v>0</v>
      </c>
      <c r="G156" s="22">
        <f t="shared" si="1262"/>
        <v>0</v>
      </c>
      <c r="H156" s="22">
        <f t="shared" si="1262"/>
        <v>0</v>
      </c>
      <c r="I156" s="22">
        <f t="shared" si="1262"/>
        <v>10.6804617</v>
      </c>
      <c r="J156" s="22">
        <f t="shared" si="1262"/>
        <v>13.1035758</v>
      </c>
      <c r="K156" s="22">
        <f t="shared" si="1262"/>
        <v>19.254014399999999</v>
      </c>
      <c r="L156" s="22">
        <f t="shared" si="1262"/>
        <v>9.8351708000000002</v>
      </c>
      <c r="M156" s="22">
        <f t="shared" si="1262"/>
        <v>10.298942</v>
      </c>
      <c r="N156" s="22">
        <f t="shared" si="1262"/>
        <v>495.8235191</v>
      </c>
      <c r="O156" s="22">
        <f t="shared" si="1262"/>
        <v>333.43746790000006</v>
      </c>
      <c r="P156" s="22">
        <f t="shared" si="1262"/>
        <v>351.11400850000001</v>
      </c>
      <c r="Q156" s="22">
        <f t="shared" si="1262"/>
        <v>410.10544360000006</v>
      </c>
      <c r="R156" s="22">
        <f t="shared" si="1262"/>
        <v>728.82745369999998</v>
      </c>
      <c r="S156" s="22">
        <f t="shared" si="1262"/>
        <v>899.88145129999998</v>
      </c>
      <c r="T156" s="22">
        <f t="shared" si="1262"/>
        <v>975.21799999999996</v>
      </c>
      <c r="U156" s="22">
        <f t="shared" si="1262"/>
        <v>1268.4110000000001</v>
      </c>
      <c r="V156" s="22">
        <f t="shared" si="1262"/>
        <v>2783.1019999999999</v>
      </c>
      <c r="W156" s="22">
        <f t="shared" ref="W156" si="1263">SUM(W149:W155)</f>
        <v>4858.1359999999995</v>
      </c>
      <c r="X156" s="22">
        <f t="shared" ref="X156:Y156" si="1264">SUM(X149:X155)</f>
        <v>5129.6189999999997</v>
      </c>
      <c r="Y156" s="22">
        <f t="shared" si="1264"/>
        <v>8392.6129999999994</v>
      </c>
      <c r="Z156" s="22">
        <f t="shared" ref="Z156:AA156" si="1265">SUM(Z149:Z155)</f>
        <v>9193.246000000001</v>
      </c>
      <c r="AA156" s="22">
        <f t="shared" ref="AA156" si="1266">SUM(AA149:AA155)</f>
        <v>11012.956</v>
      </c>
      <c r="AB156" s="21">
        <f t="shared" ref="AB156:AD156" si="1267">SUM(AB149:AB155)</f>
        <v>15166.879575465624</v>
      </c>
      <c r="AC156" s="21">
        <f t="shared" si="1267"/>
        <v>17977.110132440608</v>
      </c>
      <c r="AD156" s="21">
        <f t="shared" si="1267"/>
        <v>21121.880279384412</v>
      </c>
      <c r="AE156" s="21">
        <f t="shared" ref="AE156" si="1268">SUM(AE149:AE155)</f>
        <v>24795.305842713537</v>
      </c>
      <c r="AJ156" s="22">
        <f t="shared" ref="AJ156" si="1269">SUM(AJ149:AJ155)</f>
        <v>0</v>
      </c>
      <c r="AK156" s="22" t="e">
        <f t="shared" ref="AK156" si="1270">SUM(AK149:AK155)</f>
        <v>#DIV/0!</v>
      </c>
      <c r="AL156" s="22">
        <f t="shared" ref="AL156:AM156" si="1271">SUM(AL149:AL155)</f>
        <v>0</v>
      </c>
      <c r="AM156" s="22" t="e">
        <f t="shared" si="1271"/>
        <v>#DIV/0!</v>
      </c>
      <c r="AN156" s="22">
        <f t="shared" ref="AN156:AO156" si="1272">SUM(AN149:AN155)</f>
        <v>0</v>
      </c>
      <c r="AO156" s="22" t="e">
        <f t="shared" si="1272"/>
        <v>#DIV/0!</v>
      </c>
      <c r="AP156" s="22">
        <f t="shared" ref="AP156:CE156" si="1273">SUM(AP149:AP155)</f>
        <v>0</v>
      </c>
      <c r="AQ156" s="22" t="e">
        <f t="shared" si="1273"/>
        <v>#DIV/0!</v>
      </c>
      <c r="AR156" s="22">
        <f t="shared" si="1273"/>
        <v>0</v>
      </c>
      <c r="AS156" s="22" t="e">
        <f t="shared" si="1273"/>
        <v>#DIV/0!</v>
      </c>
      <c r="AT156" s="22">
        <f t="shared" si="1273"/>
        <v>0</v>
      </c>
      <c r="AU156" s="22" t="e">
        <f t="shared" si="1273"/>
        <v>#DIV/0!</v>
      </c>
      <c r="AV156" s="22">
        <f t="shared" si="1273"/>
        <v>0</v>
      </c>
      <c r="AW156" s="22" t="e">
        <f t="shared" si="1273"/>
        <v>#DIV/0!</v>
      </c>
      <c r="AX156" s="22">
        <f t="shared" si="1273"/>
        <v>0</v>
      </c>
      <c r="AY156" s="22" t="e">
        <f t="shared" si="1273"/>
        <v>#DIV/0!</v>
      </c>
      <c r="AZ156" s="22">
        <f t="shared" si="1273"/>
        <v>0</v>
      </c>
      <c r="BA156" s="22" t="e">
        <f t="shared" si="1273"/>
        <v>#DIV/0!</v>
      </c>
      <c r="BB156" s="22">
        <f t="shared" si="1273"/>
        <v>0</v>
      </c>
      <c r="BC156" s="22" t="e">
        <f t="shared" si="1273"/>
        <v>#DIV/0!</v>
      </c>
      <c r="BD156" s="22">
        <f t="shared" si="1273"/>
        <v>0</v>
      </c>
      <c r="BE156" s="22" t="e">
        <f t="shared" si="1273"/>
        <v>#DIV/0!</v>
      </c>
      <c r="BF156" s="22">
        <f t="shared" si="1273"/>
        <v>0</v>
      </c>
      <c r="BG156" s="22" t="e">
        <f t="shared" si="1273"/>
        <v>#DIV/0!</v>
      </c>
      <c r="BH156" s="22">
        <f t="shared" ref="BH156" si="1274">SUM(BH149:BH155)</f>
        <v>0</v>
      </c>
      <c r="BI156" s="22" t="e">
        <f t="shared" si="1273"/>
        <v>#DIV/0!</v>
      </c>
      <c r="BJ156" s="22">
        <f t="shared" si="1273"/>
        <v>0</v>
      </c>
      <c r="BK156" s="22" t="e">
        <f t="shared" si="1273"/>
        <v>#DIV/0!</v>
      </c>
      <c r="BL156" s="22">
        <f t="shared" si="1273"/>
        <v>0</v>
      </c>
      <c r="BM156" s="22">
        <f t="shared" si="1273"/>
        <v>0</v>
      </c>
      <c r="BN156" s="22">
        <f t="shared" si="1273"/>
        <v>1107.8790000000001</v>
      </c>
      <c r="BO156" s="22">
        <f t="shared" si="1273"/>
        <v>1330.4829792013616</v>
      </c>
      <c r="BP156" s="22">
        <f t="shared" si="1273"/>
        <v>2039.8920000000001</v>
      </c>
      <c r="BQ156" s="22">
        <f t="shared" si="1273"/>
        <v>2024.6533186942279</v>
      </c>
      <c r="BR156" s="22">
        <f t="shared" si="1273"/>
        <v>2511.3630000000003</v>
      </c>
      <c r="BS156" s="22">
        <f t="shared" si="1273"/>
        <v>2812.5157953755643</v>
      </c>
      <c r="BT156" s="22">
        <f t="shared" si="1273"/>
        <v>4127.0649999999996</v>
      </c>
      <c r="BU156" s="22">
        <f t="shared" si="1273"/>
        <v>4627.8624533811189</v>
      </c>
      <c r="BV156" s="22">
        <f t="shared" si="1273"/>
        <v>4402.4009999999998</v>
      </c>
      <c r="BW156" s="22">
        <f t="shared" si="1273"/>
        <v>4409.5154340189392</v>
      </c>
      <c r="BX156" s="22">
        <f t="shared" si="1273"/>
        <v>4570.0870000000004</v>
      </c>
      <c r="BY156" s="22">
        <f t="shared" si="1273"/>
        <v>4588.4558546893877</v>
      </c>
      <c r="BZ156" s="22">
        <f t="shared" si="1273"/>
        <v>4556.076</v>
      </c>
      <c r="CA156" s="22">
        <f t="shared" si="1273"/>
        <v>4466.1736494590286</v>
      </c>
      <c r="CB156" s="22">
        <f t="shared" si="1273"/>
        <v>6711.6</v>
      </c>
      <c r="CC156" s="22">
        <f t="shared" si="1273"/>
        <v>6776.75687821069</v>
      </c>
      <c r="CD156" s="22">
        <f t="shared" si="1273"/>
        <v>7796.8369999999995</v>
      </c>
      <c r="CE156" s="22">
        <f t="shared" si="1273"/>
        <v>8052.3016972612786</v>
      </c>
      <c r="CF156" s="22">
        <f t="shared" ref="CF156:CG156" si="1275">SUM(CF149:CF155)</f>
        <v>11221.611000000001</v>
      </c>
      <c r="CG156" s="22">
        <f t="shared" si="1275"/>
        <v>9650.0453562381081</v>
      </c>
      <c r="CH156" s="22">
        <f t="shared" ref="CH156:CI156" si="1276">SUM(CH149:CH155)</f>
        <v>9193.246000000001</v>
      </c>
      <c r="CI156" s="22">
        <f t="shared" si="1276"/>
        <v>9929.0274396489458</v>
      </c>
      <c r="CJ156" s="22">
        <f t="shared" ref="CJ156:DB156" si="1277">SUM(CJ149:CJ155)</f>
        <v>10804.662</v>
      </c>
      <c r="CK156" s="22">
        <f t="shared" si="1277"/>
        <v>12001.667627885148</v>
      </c>
      <c r="CL156" s="22">
        <f t="shared" ref="CL156" si="1278">SUM(CL149:CL155)</f>
        <v>12803.499</v>
      </c>
      <c r="CM156" s="21">
        <f t="shared" si="1277"/>
        <v>10317.298772161608</v>
      </c>
      <c r="CN156" s="21">
        <f t="shared" si="1277"/>
        <v>11450.027883846982</v>
      </c>
      <c r="CO156" s="21">
        <f t="shared" si="1277"/>
        <v>13575.299173769738</v>
      </c>
      <c r="CP156" s="21">
        <f t="shared" si="1277"/>
        <v>15166.879575465624</v>
      </c>
      <c r="CQ156" s="21">
        <f t="shared" si="1277"/>
        <v>11712.537640859868</v>
      </c>
      <c r="CR156" s="21">
        <f t="shared" si="1277"/>
        <v>13296.460099268614</v>
      </c>
      <c r="CS156" s="21">
        <f t="shared" si="1277"/>
        <v>16019.771126818407</v>
      </c>
      <c r="CT156" s="21">
        <f t="shared" si="1277"/>
        <v>17977.110132440608</v>
      </c>
      <c r="CU156" s="21">
        <f t="shared" si="1277"/>
        <v>13650.517486841954</v>
      </c>
      <c r="CV156" s="21">
        <f t="shared" si="1277"/>
        <v>15597.003699838351</v>
      </c>
      <c r="CW156" s="21">
        <f t="shared" si="1277"/>
        <v>18838.594854402865</v>
      </c>
      <c r="CX156" s="21">
        <f t="shared" si="1277"/>
        <v>21121.880279384412</v>
      </c>
      <c r="CY156" s="21">
        <f t="shared" si="1277"/>
        <v>16003.089325744637</v>
      </c>
      <c r="CZ156" s="21">
        <f t="shared" si="1277"/>
        <v>18311.869878128797</v>
      </c>
      <c r="DA156" s="21">
        <f t="shared" si="1277"/>
        <v>22122.6203030461</v>
      </c>
      <c r="DB156" s="21">
        <f t="shared" si="1277"/>
        <v>24795.305842713537</v>
      </c>
      <c r="DE156" s="126"/>
      <c r="DF156" s="22">
        <v>11012.956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79">C148-C156</f>
        <v>0</v>
      </c>
      <c r="D157" s="22">
        <f t="shared" si="1279"/>
        <v>0</v>
      </c>
      <c r="E157" s="22">
        <f t="shared" si="1279"/>
        <v>0</v>
      </c>
      <c r="F157" s="22">
        <f t="shared" si="1279"/>
        <v>0</v>
      </c>
      <c r="G157" s="22">
        <f t="shared" si="1279"/>
        <v>0</v>
      </c>
      <c r="H157" s="22">
        <f t="shared" si="1279"/>
        <v>0</v>
      </c>
      <c r="I157" s="22">
        <f t="shared" si="1279"/>
        <v>45.719150599999999</v>
      </c>
      <c r="J157" s="22">
        <f t="shared" si="1279"/>
        <v>111.8807527</v>
      </c>
      <c r="K157" s="22">
        <f t="shared" si="1279"/>
        <v>178.16056270000001</v>
      </c>
      <c r="L157" s="22">
        <f t="shared" si="1279"/>
        <v>80.148970899999995</v>
      </c>
      <c r="M157" s="22">
        <f t="shared" si="1279"/>
        <v>41.005776800000007</v>
      </c>
      <c r="N157" s="22">
        <f t="shared" si="1279"/>
        <v>-167.97866820000002</v>
      </c>
      <c r="O157" s="22">
        <f t="shared" si="1279"/>
        <v>139.64541249999996</v>
      </c>
      <c r="P157" s="22">
        <f t="shared" si="1279"/>
        <v>142.61346049999997</v>
      </c>
      <c r="Q157" s="22">
        <f t="shared" si="1279"/>
        <v>166.18568119999998</v>
      </c>
      <c r="R157" s="22">
        <f t="shared" si="1279"/>
        <v>371.3301993</v>
      </c>
      <c r="S157" s="22">
        <f t="shared" si="1279"/>
        <v>548.18292610000003</v>
      </c>
      <c r="T157" s="22">
        <f t="shared" si="1279"/>
        <v>260.26200000000006</v>
      </c>
      <c r="U157" s="22">
        <f t="shared" si="1279"/>
        <v>-497.56500000000005</v>
      </c>
      <c r="V157" s="22">
        <f t="shared" si="1279"/>
        <v>299.76600000000008</v>
      </c>
      <c r="W157" s="22">
        <f t="shared" ref="W157" si="1280">W148-W156</f>
        <v>-2217.1689999999999</v>
      </c>
      <c r="X157" s="22">
        <f t="shared" ref="X157:Y157" si="1281">X148-X156</f>
        <v>-2899.9639999999999</v>
      </c>
      <c r="Y157" s="22">
        <f t="shared" si="1281"/>
        <v>-1660.7989999999991</v>
      </c>
      <c r="Z157" s="22">
        <f t="shared" ref="Z157:AA157" si="1282">Z148-Z156</f>
        <v>589.36399999999958</v>
      </c>
      <c r="AA157" s="22">
        <f t="shared" ref="AA157" si="1283">AA148-AA156</f>
        <v>-1946.0210000000006</v>
      </c>
      <c r="AB157" s="21">
        <f t="shared" ref="AB157:AD157" si="1284">AB148-AB156</f>
        <v>-7298.95312398837</v>
      </c>
      <c r="AC157" s="21">
        <f t="shared" si="1284"/>
        <v>-8651.3566293303975</v>
      </c>
      <c r="AD157" s="21">
        <f t="shared" si="1284"/>
        <v>-10164.754937403675</v>
      </c>
      <c r="AE157" s="21">
        <f t="shared" ref="AE157" si="1285">AE148-AE156</f>
        <v>-11932.564911616961</v>
      </c>
      <c r="AJ157" s="22">
        <f t="shared" ref="AJ157" si="1286">AJ148-AJ156</f>
        <v>0</v>
      </c>
      <c r="AK157" s="22" t="e">
        <f t="shared" ref="AK157" si="1287">AK148-AK156</f>
        <v>#DIV/0!</v>
      </c>
      <c r="AL157" s="22">
        <f t="shared" ref="AL157:AM157" si="1288">AL148-AL156</f>
        <v>0</v>
      </c>
      <c r="AM157" s="22" t="e">
        <f t="shared" si="1288"/>
        <v>#DIV/0!</v>
      </c>
      <c r="AN157" s="22">
        <f t="shared" ref="AN157:AO157" si="1289">AN148-AN156</f>
        <v>0</v>
      </c>
      <c r="AO157" s="22" t="e">
        <f t="shared" si="1289"/>
        <v>#DIV/0!</v>
      </c>
      <c r="AP157" s="22">
        <f t="shared" ref="AP157:CE157" si="1290">AP148-AP156</f>
        <v>0</v>
      </c>
      <c r="AQ157" s="22" t="e">
        <f t="shared" si="1290"/>
        <v>#DIV/0!</v>
      </c>
      <c r="AR157" s="22">
        <f t="shared" si="1290"/>
        <v>0</v>
      </c>
      <c r="AS157" s="22" t="e">
        <f t="shared" si="1290"/>
        <v>#DIV/0!</v>
      </c>
      <c r="AT157" s="22">
        <f t="shared" si="1290"/>
        <v>0</v>
      </c>
      <c r="AU157" s="22" t="e">
        <f t="shared" si="1290"/>
        <v>#DIV/0!</v>
      </c>
      <c r="AV157" s="22">
        <f t="shared" si="1290"/>
        <v>0</v>
      </c>
      <c r="AW157" s="22" t="e">
        <f t="shared" si="1290"/>
        <v>#DIV/0!</v>
      </c>
      <c r="AX157" s="22">
        <f t="shared" si="1290"/>
        <v>0</v>
      </c>
      <c r="AY157" s="22" t="e">
        <f t="shared" si="1290"/>
        <v>#DIV/0!</v>
      </c>
      <c r="AZ157" s="22">
        <f t="shared" si="1290"/>
        <v>0</v>
      </c>
      <c r="BA157" s="22" t="e">
        <f t="shared" si="1290"/>
        <v>#DIV/0!</v>
      </c>
      <c r="BB157" s="22">
        <f t="shared" si="1290"/>
        <v>0</v>
      </c>
      <c r="BC157" s="22" t="e">
        <f t="shared" si="1290"/>
        <v>#DIV/0!</v>
      </c>
      <c r="BD157" s="22">
        <f t="shared" si="1290"/>
        <v>0</v>
      </c>
      <c r="BE157" s="22" t="e">
        <f t="shared" si="1290"/>
        <v>#DIV/0!</v>
      </c>
      <c r="BF157" s="22">
        <f t="shared" si="1290"/>
        <v>0</v>
      </c>
      <c r="BG157" s="22" t="e">
        <f t="shared" si="1290"/>
        <v>#DIV/0!</v>
      </c>
      <c r="BH157" s="22">
        <f t="shared" ref="BH157" si="1291">BH148-BH156</f>
        <v>0</v>
      </c>
      <c r="BI157" s="22" t="e">
        <f t="shared" si="1290"/>
        <v>#DIV/0!</v>
      </c>
      <c r="BJ157" s="22">
        <f t="shared" si="1290"/>
        <v>0</v>
      </c>
      <c r="BK157" s="22" t="e">
        <f t="shared" si="1290"/>
        <v>#DIV/0!</v>
      </c>
      <c r="BL157" s="22">
        <f t="shared" si="1290"/>
        <v>0</v>
      </c>
      <c r="BM157" s="22">
        <f t="shared" si="1290"/>
        <v>0</v>
      </c>
      <c r="BN157" s="22">
        <f t="shared" si="1290"/>
        <v>-482.24900000000014</v>
      </c>
      <c r="BO157" s="22">
        <f t="shared" si="1290"/>
        <v>-695.60590072787477</v>
      </c>
      <c r="BP157" s="22">
        <f t="shared" si="1290"/>
        <v>-1139.643</v>
      </c>
      <c r="BQ157" s="22">
        <f t="shared" si="1290"/>
        <v>-1124.8583293314614</v>
      </c>
      <c r="BR157" s="22">
        <f t="shared" si="1290"/>
        <v>305.28399999999965</v>
      </c>
      <c r="BS157" s="22">
        <f t="shared" si="1290"/>
        <v>34.253376562606718</v>
      </c>
      <c r="BT157" s="22">
        <f t="shared" si="1290"/>
        <v>-2246.9919999999997</v>
      </c>
      <c r="BU157" s="22">
        <f t="shared" si="1290"/>
        <v>-2737.1009818921366</v>
      </c>
      <c r="BV157" s="22">
        <f t="shared" si="1290"/>
        <v>-2240.0159999999996</v>
      </c>
      <c r="BW157" s="22">
        <f t="shared" si="1290"/>
        <v>-2246.1414622456518</v>
      </c>
      <c r="BX157" s="22">
        <f t="shared" si="1290"/>
        <v>-745.60800000000017</v>
      </c>
      <c r="BY157" s="22">
        <f t="shared" si="1290"/>
        <v>-762.08745525291852</v>
      </c>
      <c r="BZ157" s="22">
        <f t="shared" si="1290"/>
        <v>-2923.3389999999999</v>
      </c>
      <c r="CA157" s="22">
        <f t="shared" si="1290"/>
        <v>-2841.6989516323574</v>
      </c>
      <c r="CB157" s="22">
        <f t="shared" si="1290"/>
        <v>-3938.9000000000005</v>
      </c>
      <c r="CC157" s="22">
        <f t="shared" si="1290"/>
        <v>-4000.9043841441717</v>
      </c>
      <c r="CD157" s="22">
        <f t="shared" si="1290"/>
        <v>-4791.2219999999998</v>
      </c>
      <c r="CE157" s="22">
        <f t="shared" si="1290"/>
        <v>-5029.4019795133772</v>
      </c>
      <c r="CF157" s="22">
        <f t="shared" ref="CF157:CG157" si="1292">CF148-CF156</f>
        <v>-4420.3650000000007</v>
      </c>
      <c r="CG157" s="22">
        <f t="shared" si="1292"/>
        <v>-2943.4994003390748</v>
      </c>
      <c r="CH157" s="22">
        <f t="shared" ref="CH157:CI157" si="1293">CH148-CH156</f>
        <v>589.36399999999958</v>
      </c>
      <c r="CI157" s="22">
        <f t="shared" si="1293"/>
        <v>636.53374748606075</v>
      </c>
      <c r="CJ157" s="22">
        <f t="shared" ref="CJ157:DB157" si="1294">CJ148-CJ156</f>
        <v>-4183.1530000000002</v>
      </c>
      <c r="CK157" s="22">
        <f t="shared" si="1294"/>
        <v>-4646.5879212686741</v>
      </c>
      <c r="CL157" s="22">
        <f t="shared" ref="CL157" si="1295">CL148-CL156</f>
        <v>-6161.5929999999998</v>
      </c>
      <c r="CM157" s="21">
        <f t="shared" si="1294"/>
        <v>-4965.1267902203581</v>
      </c>
      <c r="CN157" s="21">
        <f t="shared" si="1294"/>
        <v>-5510.2446338236441</v>
      </c>
      <c r="CO157" s="21">
        <f t="shared" si="1294"/>
        <v>-6533.0163545141377</v>
      </c>
      <c r="CP157" s="21">
        <f t="shared" si="1294"/>
        <v>-7298.95312398837</v>
      </c>
      <c r="CQ157" s="21">
        <f t="shared" si="1294"/>
        <v>-5636.5755907942566</v>
      </c>
      <c r="CR157" s="21">
        <f t="shared" si="1294"/>
        <v>-6398.8270294263148</v>
      </c>
      <c r="CS157" s="21">
        <f t="shared" si="1294"/>
        <v>-7709.4011282858228</v>
      </c>
      <c r="CT157" s="21">
        <f t="shared" si="1294"/>
        <v>-8651.3566293303975</v>
      </c>
      <c r="CU157" s="21">
        <f t="shared" si="1294"/>
        <v>-6569.2146336952883</v>
      </c>
      <c r="CV157" s="21">
        <f t="shared" si="1294"/>
        <v>-7505.9473053341198</v>
      </c>
      <c r="CW157" s="21">
        <f t="shared" si="1294"/>
        <v>-9065.9400359795964</v>
      </c>
      <c r="CX157" s="21">
        <f t="shared" si="1294"/>
        <v>-10164.754937403675</v>
      </c>
      <c r="CY157" s="21">
        <f t="shared" si="1294"/>
        <v>-7701.3731299454066</v>
      </c>
      <c r="CZ157" s="21">
        <f t="shared" si="1294"/>
        <v>-8812.45738043868</v>
      </c>
      <c r="DA157" s="21">
        <f t="shared" si="1294"/>
        <v>-10646.353969403734</v>
      </c>
      <c r="DB157" s="21">
        <f t="shared" si="1294"/>
        <v>-11932.564911616961</v>
      </c>
      <c r="DE157" s="126"/>
      <c r="DF157" s="22">
        <v>-1946.0210000000006</v>
      </c>
    </row>
    <row r="158" spans="1:110" s="23" customFormat="1" x14ac:dyDescent="0.2">
      <c r="AB158" s="24"/>
      <c r="AC158" s="24"/>
      <c r="AD158" s="24"/>
      <c r="AE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8.0236069000000008</v>
      </c>
      <c r="O159" s="23">
        <f>'Annual Raw'!P75</f>
        <v>0.58027249999999997</v>
      </c>
      <c r="P159" s="23">
        <f>'Annual Raw'!Q75</f>
        <v>0</v>
      </c>
      <c r="Q159" s="23">
        <f>'Annual Raw'!R75</f>
        <v>0</v>
      </c>
      <c r="R159" s="23">
        <f>'Annual Raw'!S75</f>
        <v>49.518332999999998</v>
      </c>
      <c r="S159" s="23">
        <f>'Annual Raw'!T75</f>
        <v>5.6215649000000001</v>
      </c>
      <c r="T159" s="23">
        <f>'Annual Raw'!U75</f>
        <v>14.91</v>
      </c>
      <c r="U159" s="23">
        <f>'Annual Raw'!V75</f>
        <v>35.265000000000001</v>
      </c>
      <c r="V159" s="23">
        <f>'Annual Raw'!W75</f>
        <v>5.54</v>
      </c>
      <c r="W159" s="23">
        <f>'Annual Raw'!X75</f>
        <v>18.652000000000001</v>
      </c>
      <c r="X159" s="23">
        <f>'Annual Raw'!Y75</f>
        <v>0</v>
      </c>
      <c r="Y159" s="23">
        <f>'Annual Raw'!Z75</f>
        <v>0</v>
      </c>
      <c r="Z159" s="23">
        <f>'Annual Raw'!AA75</f>
        <v>201.58600000000001</v>
      </c>
      <c r="AA159" s="23">
        <f>'Annual Raw'!AB75</f>
        <v>257.35500000000002</v>
      </c>
      <c r="AB159" s="24">
        <f t="shared" ref="AB159:AB160" si="1296">+CP159</f>
        <v>0</v>
      </c>
      <c r="AC159" s="24">
        <f t="shared" ref="AC159:AC160" si="1297">+CT159</f>
        <v>0</v>
      </c>
      <c r="AD159" s="24">
        <f t="shared" ref="AD159:AD160" si="1298">+CX159</f>
        <v>0</v>
      </c>
      <c r="AE159" s="24">
        <f t="shared" ref="AE159:AE160" si="1299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35.265000000000001</v>
      </c>
      <c r="BP159" s="23">
        <f>+'QTR Raw'!AJ80</f>
        <v>2.5419999999999998</v>
      </c>
      <c r="BR159" s="23">
        <f>+'QTR Raw'!AL80</f>
        <v>5.54</v>
      </c>
      <c r="BT159" s="23">
        <f>+'QTR Raw'!AN80</f>
        <v>8.7919999999999998</v>
      </c>
      <c r="BV159" s="23">
        <f>+'QTR Raw'!AP80</f>
        <v>18.652000000000001</v>
      </c>
      <c r="BX159" s="23">
        <f>+'QTR Raw'!AR80</f>
        <v>97.286000000000001</v>
      </c>
      <c r="BZ159" s="23">
        <f>+'QTR Raw'!AT80</f>
        <v>109.474</v>
      </c>
      <c r="CB159" s="23">
        <f>+'QTR Raw'!AV80</f>
        <v>117.3</v>
      </c>
      <c r="CD159" s="23">
        <f>+'QTR Raw'!AX80</f>
        <v>0</v>
      </c>
      <c r="CF159" s="23">
        <f>+'QTR Raw'!AZ80</f>
        <v>354.56400000000002</v>
      </c>
      <c r="CH159" s="23">
        <f t="shared" ref="CH159:CH160" si="1300">Z159</f>
        <v>201.58600000000001</v>
      </c>
      <c r="CJ159" s="23">
        <f>+'QTR Raw'!BD80</f>
        <v>304.66500000000002</v>
      </c>
      <c r="CL159" s="23">
        <f>+'QTR Raw'!BF80</f>
        <v>257.35500000000002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257.35500000000002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0.26796229999999999</v>
      </c>
      <c r="J160" s="23">
        <f>'Annual Raw'!K78</f>
        <v>1.3886726</v>
      </c>
      <c r="K160" s="23">
        <f>'Annual Raw'!L78</f>
        <v>3.4370276</v>
      </c>
      <c r="L160" s="23">
        <f>'Annual Raw'!M78</f>
        <v>8.2074633000000006</v>
      </c>
      <c r="M160" s="23">
        <f>'Annual Raw'!N78</f>
        <v>4.7828334999999997</v>
      </c>
      <c r="N160" s="23">
        <f>'Annual Raw'!O78</f>
        <v>519.60137880000002</v>
      </c>
      <c r="O160" s="23">
        <f>'Annual Raw'!P78</f>
        <v>352.12197270000001</v>
      </c>
      <c r="P160" s="23">
        <f>'Annual Raw'!Q78</f>
        <v>358.41007189999999</v>
      </c>
      <c r="Q160" s="23">
        <f>'Annual Raw'!R78</f>
        <v>437.61181699999997</v>
      </c>
      <c r="R160" s="23">
        <f>'Annual Raw'!S78</f>
        <v>617.58289679999996</v>
      </c>
      <c r="S160" s="23">
        <f>'Annual Raw'!T78</f>
        <v>927.38454449999995</v>
      </c>
      <c r="T160" s="23">
        <f>'Annual Raw'!U78</f>
        <v>985.971</v>
      </c>
      <c r="U160" s="23">
        <f>'Annual Raw'!V78</f>
        <v>1413.559</v>
      </c>
      <c r="V160" s="23">
        <f>'Annual Raw'!W78</f>
        <v>1877.4469999999999</v>
      </c>
      <c r="W160" s="23">
        <f>'Annual Raw'!X78</f>
        <v>4874.9570000000003</v>
      </c>
      <c r="X160" s="23">
        <f>'Annual Raw'!Y78</f>
        <v>5491.0829999999996</v>
      </c>
      <c r="Y160" s="23">
        <f>'Annual Raw'!Z78</f>
        <v>6839.5829999999996</v>
      </c>
      <c r="Z160" s="23">
        <f>'Annual Raw'!AA78</f>
        <v>7747.7250000000004</v>
      </c>
      <c r="AA160" s="23">
        <f>'Annual Raw'!AB78</f>
        <v>15223.966</v>
      </c>
      <c r="AB160" s="24">
        <f t="shared" si="1296"/>
        <v>19217.674286830188</v>
      </c>
      <c r="AC160" s="24">
        <f t="shared" si="1297"/>
        <v>22075.39715183794</v>
      </c>
      <c r="AD160" s="24">
        <f t="shared" si="1298"/>
        <v>25369.522291070993</v>
      </c>
      <c r="AE160" s="24">
        <f t="shared" si="1299"/>
        <v>29239.745757045392</v>
      </c>
      <c r="AJ160" s="23">
        <f>+'QTR Raw'!D83</f>
        <v>0</v>
      </c>
      <c r="AK160" s="23" t="e">
        <f t="shared" ref="AK160:AM160" si="1301">+AK210</f>
        <v>#DIV/0!</v>
      </c>
      <c r="AL160" s="23">
        <f>+'QTR Raw'!F83</f>
        <v>0</v>
      </c>
      <c r="AM160" s="23" t="e">
        <f t="shared" si="1301"/>
        <v>#DIV/0!</v>
      </c>
      <c r="AN160" s="23">
        <f>+'QTR Raw'!H83</f>
        <v>0</v>
      </c>
      <c r="AO160" s="23" t="e">
        <f t="shared" ref="AO160" si="1302">+AO210</f>
        <v>#DIV/0!</v>
      </c>
      <c r="AP160" s="23">
        <f>+'QTR Raw'!J83</f>
        <v>0</v>
      </c>
      <c r="AQ160" s="23" t="e">
        <f t="shared" ref="AQ160" si="1303">+AQ210</f>
        <v>#DIV/0!</v>
      </c>
      <c r="AR160" s="23">
        <f>+'QTR Raw'!L83</f>
        <v>0</v>
      </c>
      <c r="AS160" s="23" t="e">
        <f t="shared" ref="AS160" si="1304">+AS210</f>
        <v>#DIV/0!</v>
      </c>
      <c r="AT160" s="23">
        <f>+'QTR Raw'!N83</f>
        <v>0</v>
      </c>
      <c r="AU160" s="23" t="e">
        <f t="shared" ref="AU160" si="1305">+AU210</f>
        <v>#DIV/0!</v>
      </c>
      <c r="AV160" s="23">
        <f>+'QTR Raw'!P83</f>
        <v>0</v>
      </c>
      <c r="AW160" s="23" t="e">
        <f t="shared" ref="AW160" si="1306">+AW210</f>
        <v>#DIV/0!</v>
      </c>
      <c r="AX160" s="23">
        <f>+'QTR Raw'!R83</f>
        <v>0</v>
      </c>
      <c r="AY160" s="23" t="e">
        <f t="shared" ref="AY160" si="1307">+AY210</f>
        <v>#DIV/0!</v>
      </c>
      <c r="AZ160" s="23">
        <f>+'QTR Raw'!T83</f>
        <v>0</v>
      </c>
      <c r="BA160" s="23" t="e">
        <f t="shared" ref="BA160" si="1308">+BA210</f>
        <v>#DIV/0!</v>
      </c>
      <c r="BB160" s="23">
        <f>+'QTR Raw'!V83</f>
        <v>0</v>
      </c>
      <c r="BC160" s="23" t="e">
        <f t="shared" ref="BC160" si="1309">+BC210</f>
        <v>#DIV/0!</v>
      </c>
      <c r="BD160" s="23">
        <f>+'QTR Raw'!X83</f>
        <v>0</v>
      </c>
      <c r="BE160" s="23" t="e">
        <f t="shared" ref="BE160" si="1310">+BE210</f>
        <v>#DIV/0!</v>
      </c>
      <c r="BF160" s="23">
        <f>+'QTR Raw'!Z83</f>
        <v>0</v>
      </c>
      <c r="BG160" s="23" t="e">
        <f t="shared" ref="BG160" si="1311">+BG210</f>
        <v>#DIV/0!</v>
      </c>
      <c r="BH160" s="23">
        <f>+'QTR Raw'!AB83</f>
        <v>0</v>
      </c>
      <c r="BI160" s="23" t="e">
        <f t="shared" ref="BI160" si="1312">+BI210</f>
        <v>#DIV/0!</v>
      </c>
      <c r="BJ160" s="23">
        <f>+'QTR Raw'!AD83</f>
        <v>0</v>
      </c>
      <c r="BK160" s="23" t="e">
        <f t="shared" ref="BK160" si="1313">+BK210</f>
        <v>#DIV/0!</v>
      </c>
      <c r="BL160" s="23">
        <f>+'QTR Raw'!AF83</f>
        <v>0</v>
      </c>
      <c r="BM160" s="23">
        <f t="shared" ref="BM160" si="1314">+BM210</f>
        <v>27.013000000000002</v>
      </c>
      <c r="BN160" s="23">
        <f>+'QTR Raw'!AH83</f>
        <v>1413.559</v>
      </c>
      <c r="BO160" s="23">
        <f t="shared" ref="BO160" si="1315">+BO210</f>
        <v>1709.4809007278745</v>
      </c>
      <c r="BP160" s="23">
        <f>+'QTR Raw'!AJ83</f>
        <v>2599.5839999999998</v>
      </c>
      <c r="BQ160" s="23">
        <f t="shared" ref="BQ160" si="1316">+BQ210</f>
        <v>2660.5093293314612</v>
      </c>
      <c r="BR160" s="23">
        <f>+'QTR Raw'!AL83</f>
        <v>1877.4469999999999</v>
      </c>
      <c r="BS160" s="23">
        <f t="shared" ref="BS160" si="1317">+BS210</f>
        <v>2275.3846234373927</v>
      </c>
      <c r="BT160" s="23">
        <f>+'QTR Raw'!AN83</f>
        <v>4570.3530000000001</v>
      </c>
      <c r="BU160" s="23">
        <f t="shared" ref="BU160" si="1318">+BU210</f>
        <v>5233.8009818921373</v>
      </c>
      <c r="BV160" s="23">
        <f>+'QTR Raw'!AP83</f>
        <v>4874.9570000000003</v>
      </c>
      <c r="BW160" s="23">
        <f t="shared" ref="BW160" si="1319">+BW210</f>
        <v>5081.234462245653</v>
      </c>
      <c r="BX160" s="23">
        <f>+'QTR Raw'!AR83</f>
        <v>5287.174</v>
      </c>
      <c r="BY160" s="23">
        <f t="shared" ref="BY160" si="1320">+BY210</f>
        <v>5628.9394552529184</v>
      </c>
      <c r="BZ160" s="23">
        <f>+'QTR Raw'!AT83</f>
        <v>5491.0829999999996</v>
      </c>
      <c r="CA160" s="23">
        <f t="shared" ref="CA160" si="1321">+CA210</f>
        <v>5739.7219516323566</v>
      </c>
      <c r="CB160" s="23">
        <f>+'QTR Raw'!AV83</f>
        <v>7639.7</v>
      </c>
      <c r="CC160" s="23">
        <f t="shared" ref="CC160" si="1322">+CC210</f>
        <v>8079.3143841441706</v>
      </c>
      <c r="CD160" s="23">
        <f>+'QTR Raw'!AX83</f>
        <v>9844.2939999999999</v>
      </c>
      <c r="CE160" s="23">
        <f t="shared" ref="CE160" si="1323">+CE210</f>
        <v>10375.199979513378</v>
      </c>
      <c r="CF160" s="23">
        <f>+'QTR Raw'!AZ83</f>
        <v>10812.29</v>
      </c>
      <c r="CG160" s="23">
        <f t="shared" ref="CG160:CI160" si="1324">+CG210</f>
        <v>9971.4544003390747</v>
      </c>
      <c r="CH160" s="23">
        <f t="shared" si="1300"/>
        <v>7747.7250000000004</v>
      </c>
      <c r="CI160" s="23">
        <f t="shared" si="1324"/>
        <v>8046.5262525139397</v>
      </c>
      <c r="CJ160" s="23">
        <f>+'QTR Raw'!BD83</f>
        <v>10963.449000000001</v>
      </c>
      <c r="CK160" s="23">
        <f t="shared" ref="CK160:DB160" si="1325">+CK210</f>
        <v>12031.711921268676</v>
      </c>
      <c r="CL160" s="23">
        <f>+'QTR Raw'!BF83</f>
        <v>16560.490000000002</v>
      </c>
      <c r="CM160" s="24">
        <f t="shared" si="1325"/>
        <v>15834.157516068241</v>
      </c>
      <c r="CN160" s="24">
        <f t="shared" si="1325"/>
        <v>16661.919600064459</v>
      </c>
      <c r="CO160" s="24">
        <f t="shared" si="1325"/>
        <v>18044.704578416153</v>
      </c>
      <c r="CP160" s="24">
        <f t="shared" si="1325"/>
        <v>19217.674286830188</v>
      </c>
      <c r="CQ160" s="24">
        <f t="shared" si="1325"/>
        <v>17824.937685243571</v>
      </c>
      <c r="CR160" s="24">
        <f t="shared" si="1325"/>
        <v>18924.483843888476</v>
      </c>
      <c r="CS160" s="24">
        <f t="shared" si="1325"/>
        <v>20657.714494458014</v>
      </c>
      <c r="CT160" s="24">
        <f t="shared" si="1325"/>
        <v>22075.39715183794</v>
      </c>
      <c r="CU160" s="24">
        <f t="shared" si="1325"/>
        <v>20316.023464184378</v>
      </c>
      <c r="CV160" s="24">
        <f t="shared" si="1325"/>
        <v>21651.615745562223</v>
      </c>
      <c r="CW160" s="24">
        <f t="shared" si="1325"/>
        <v>23709.726142312615</v>
      </c>
      <c r="CX160" s="24">
        <f t="shared" si="1325"/>
        <v>25369.522291070993</v>
      </c>
      <c r="CY160" s="24">
        <f t="shared" si="1325"/>
        <v>23288.650797342842</v>
      </c>
      <c r="CZ160" s="24">
        <f t="shared" si="1325"/>
        <v>24870.728879257982</v>
      </c>
      <c r="DA160" s="24">
        <f t="shared" si="1325"/>
        <v>27292.06610386787</v>
      </c>
      <c r="DB160" s="24">
        <f t="shared" si="1325"/>
        <v>29239.745757045392</v>
      </c>
      <c r="DE160" s="123"/>
      <c r="DF160" s="23">
        <v>15223.966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26">C159+C160</f>
        <v>0</v>
      </c>
      <c r="D161" s="22">
        <f t="shared" si="1326"/>
        <v>0</v>
      </c>
      <c r="E161" s="22">
        <f t="shared" si="1326"/>
        <v>0</v>
      </c>
      <c r="F161" s="22">
        <f t="shared" si="1326"/>
        <v>0</v>
      </c>
      <c r="G161" s="22">
        <f t="shared" si="1326"/>
        <v>0</v>
      </c>
      <c r="H161" s="22">
        <f t="shared" si="1326"/>
        <v>0</v>
      </c>
      <c r="I161" s="22">
        <f t="shared" si="1326"/>
        <v>0.26796229999999999</v>
      </c>
      <c r="J161" s="22">
        <f t="shared" si="1326"/>
        <v>1.3886726</v>
      </c>
      <c r="K161" s="22">
        <f t="shared" si="1326"/>
        <v>3.4370276</v>
      </c>
      <c r="L161" s="22">
        <f t="shared" si="1326"/>
        <v>8.2074633000000006</v>
      </c>
      <c r="M161" s="22">
        <f t="shared" si="1326"/>
        <v>4.7828334999999997</v>
      </c>
      <c r="N161" s="22">
        <f t="shared" si="1326"/>
        <v>527.62498570000002</v>
      </c>
      <c r="O161" s="22">
        <f t="shared" si="1326"/>
        <v>352.70224519999999</v>
      </c>
      <c r="P161" s="22">
        <f t="shared" si="1326"/>
        <v>358.41007189999999</v>
      </c>
      <c r="Q161" s="22">
        <f t="shared" si="1326"/>
        <v>437.61181699999997</v>
      </c>
      <c r="R161" s="22">
        <f t="shared" si="1326"/>
        <v>667.10122979999994</v>
      </c>
      <c r="S161" s="22">
        <f t="shared" si="1326"/>
        <v>933.0061093999999</v>
      </c>
      <c r="T161" s="22">
        <f t="shared" si="1326"/>
        <v>1000.881</v>
      </c>
      <c r="U161" s="22">
        <f t="shared" si="1326"/>
        <v>1448.8240000000001</v>
      </c>
      <c r="V161" s="22">
        <f t="shared" si="1326"/>
        <v>1882.9869999999999</v>
      </c>
      <c r="W161" s="22">
        <f t="shared" ref="W161" si="1327">W159+W160</f>
        <v>4893.6090000000004</v>
      </c>
      <c r="X161" s="22">
        <f t="shared" ref="X161:Y161" si="1328">X159+X160</f>
        <v>5491.0829999999996</v>
      </c>
      <c r="Y161" s="22">
        <f t="shared" si="1328"/>
        <v>6839.5829999999996</v>
      </c>
      <c r="Z161" s="22">
        <f t="shared" ref="Z161:AA161" si="1329">Z159+Z160</f>
        <v>7949.3110000000006</v>
      </c>
      <c r="AA161" s="22">
        <f t="shared" ref="AA161" si="1330">AA159+AA160</f>
        <v>15481.321</v>
      </c>
      <c r="AB161" s="21">
        <f t="shared" ref="AB161:AD161" si="1331">AB159+AB160</f>
        <v>19217.674286830188</v>
      </c>
      <c r="AC161" s="21">
        <f t="shared" si="1331"/>
        <v>22075.39715183794</v>
      </c>
      <c r="AD161" s="21">
        <f t="shared" si="1331"/>
        <v>25369.522291070993</v>
      </c>
      <c r="AE161" s="21">
        <f t="shared" ref="AE161" si="1332">AE159+AE160</f>
        <v>29239.745757045392</v>
      </c>
      <c r="AJ161" s="22">
        <f t="shared" ref="AJ161" si="1333">AJ159+AJ160</f>
        <v>0</v>
      </c>
      <c r="AK161" s="22" t="e">
        <f t="shared" ref="AK161" si="1334">AK159+AK160</f>
        <v>#DIV/0!</v>
      </c>
      <c r="AL161" s="22">
        <f t="shared" ref="AL161:AM161" si="1335">AL159+AL160</f>
        <v>0</v>
      </c>
      <c r="AM161" s="22" t="e">
        <f t="shared" si="1335"/>
        <v>#DIV/0!</v>
      </c>
      <c r="AN161" s="22">
        <f t="shared" ref="AN161:AO161" si="1336">AN159+AN160</f>
        <v>0</v>
      </c>
      <c r="AO161" s="22" t="e">
        <f t="shared" si="1336"/>
        <v>#DIV/0!</v>
      </c>
      <c r="AP161" s="22">
        <f t="shared" ref="AP161:CE161" si="1337">AP159+AP160</f>
        <v>0</v>
      </c>
      <c r="AQ161" s="22" t="e">
        <f t="shared" si="1337"/>
        <v>#DIV/0!</v>
      </c>
      <c r="AR161" s="22">
        <f t="shared" si="1337"/>
        <v>0</v>
      </c>
      <c r="AS161" s="22" t="e">
        <f t="shared" si="1337"/>
        <v>#DIV/0!</v>
      </c>
      <c r="AT161" s="22">
        <f t="shared" si="1337"/>
        <v>0</v>
      </c>
      <c r="AU161" s="22" t="e">
        <f t="shared" si="1337"/>
        <v>#DIV/0!</v>
      </c>
      <c r="AV161" s="22">
        <f t="shared" si="1337"/>
        <v>0</v>
      </c>
      <c r="AW161" s="22" t="e">
        <f t="shared" si="1337"/>
        <v>#DIV/0!</v>
      </c>
      <c r="AX161" s="22">
        <f t="shared" si="1337"/>
        <v>0</v>
      </c>
      <c r="AY161" s="22" t="e">
        <f t="shared" si="1337"/>
        <v>#DIV/0!</v>
      </c>
      <c r="AZ161" s="22">
        <f t="shared" si="1337"/>
        <v>0</v>
      </c>
      <c r="BA161" s="22" t="e">
        <f t="shared" si="1337"/>
        <v>#DIV/0!</v>
      </c>
      <c r="BB161" s="22">
        <f t="shared" si="1337"/>
        <v>0</v>
      </c>
      <c r="BC161" s="22" t="e">
        <f t="shared" si="1337"/>
        <v>#DIV/0!</v>
      </c>
      <c r="BD161" s="22">
        <f t="shared" si="1337"/>
        <v>0</v>
      </c>
      <c r="BE161" s="22" t="e">
        <f t="shared" si="1337"/>
        <v>#DIV/0!</v>
      </c>
      <c r="BF161" s="22">
        <f t="shared" si="1337"/>
        <v>0</v>
      </c>
      <c r="BG161" s="22" t="e">
        <f t="shared" si="1337"/>
        <v>#DIV/0!</v>
      </c>
      <c r="BH161" s="22">
        <f t="shared" si="1337"/>
        <v>0</v>
      </c>
      <c r="BI161" s="22" t="e">
        <f t="shared" si="1337"/>
        <v>#DIV/0!</v>
      </c>
      <c r="BJ161" s="22">
        <f t="shared" si="1337"/>
        <v>0</v>
      </c>
      <c r="BK161" s="22" t="e">
        <f t="shared" si="1337"/>
        <v>#DIV/0!</v>
      </c>
      <c r="BL161" s="22">
        <f t="shared" si="1337"/>
        <v>0</v>
      </c>
      <c r="BM161" s="22">
        <f t="shared" si="1337"/>
        <v>27.013000000000002</v>
      </c>
      <c r="BN161" s="22">
        <f t="shared" si="1337"/>
        <v>1448.8240000000001</v>
      </c>
      <c r="BO161" s="22">
        <f t="shared" si="1337"/>
        <v>1709.4809007278745</v>
      </c>
      <c r="BP161" s="22">
        <f t="shared" si="1337"/>
        <v>2602.1259999999997</v>
      </c>
      <c r="BQ161" s="22">
        <f t="shared" si="1337"/>
        <v>2660.5093293314612</v>
      </c>
      <c r="BR161" s="22">
        <f t="shared" si="1337"/>
        <v>1882.9869999999999</v>
      </c>
      <c r="BS161" s="22">
        <f t="shared" si="1337"/>
        <v>2275.3846234373927</v>
      </c>
      <c r="BT161" s="22">
        <f t="shared" si="1337"/>
        <v>4579.1450000000004</v>
      </c>
      <c r="BU161" s="22">
        <f t="shared" si="1337"/>
        <v>5233.8009818921373</v>
      </c>
      <c r="BV161" s="22">
        <f t="shared" si="1337"/>
        <v>4893.6090000000004</v>
      </c>
      <c r="BW161" s="22">
        <f t="shared" si="1337"/>
        <v>5081.234462245653</v>
      </c>
      <c r="BX161" s="22">
        <f t="shared" si="1337"/>
        <v>5384.46</v>
      </c>
      <c r="BY161" s="22">
        <f t="shared" si="1337"/>
        <v>5628.9394552529184</v>
      </c>
      <c r="BZ161" s="22">
        <f t="shared" si="1337"/>
        <v>5600.5569999999998</v>
      </c>
      <c r="CA161" s="22">
        <f t="shared" si="1337"/>
        <v>5739.7219516323566</v>
      </c>
      <c r="CB161" s="22">
        <f t="shared" si="1337"/>
        <v>7757</v>
      </c>
      <c r="CC161" s="22">
        <f t="shared" si="1337"/>
        <v>8079.3143841441706</v>
      </c>
      <c r="CD161" s="22">
        <f t="shared" si="1337"/>
        <v>9844.2939999999999</v>
      </c>
      <c r="CE161" s="22">
        <f t="shared" si="1337"/>
        <v>10375.199979513378</v>
      </c>
      <c r="CF161" s="22">
        <f t="shared" ref="CF161:CG161" si="1338">CF159+CF160</f>
        <v>11166.854000000001</v>
      </c>
      <c r="CG161" s="22">
        <f t="shared" si="1338"/>
        <v>9971.4544003390747</v>
      </c>
      <c r="CH161" s="22">
        <f t="shared" ref="CH161:CI161" si="1339">CH159+CH160</f>
        <v>7949.3110000000006</v>
      </c>
      <c r="CI161" s="22">
        <f t="shared" si="1339"/>
        <v>8046.5262525139397</v>
      </c>
      <c r="CJ161" s="22">
        <f t="shared" ref="CJ161:DB161" si="1340">CJ159+CJ160</f>
        <v>11268.114000000001</v>
      </c>
      <c r="CK161" s="22">
        <f t="shared" si="1340"/>
        <v>12031.711921268676</v>
      </c>
      <c r="CL161" s="22">
        <f t="shared" ref="CL161" si="1341">CL159+CL160</f>
        <v>16817.845000000001</v>
      </c>
      <c r="CM161" s="21">
        <f t="shared" si="1340"/>
        <v>15834.157516068241</v>
      </c>
      <c r="CN161" s="21">
        <f t="shared" si="1340"/>
        <v>16661.919600064459</v>
      </c>
      <c r="CO161" s="21">
        <f t="shared" si="1340"/>
        <v>18044.704578416153</v>
      </c>
      <c r="CP161" s="21">
        <f t="shared" si="1340"/>
        <v>19217.674286830188</v>
      </c>
      <c r="CQ161" s="21">
        <f t="shared" si="1340"/>
        <v>17824.937685243571</v>
      </c>
      <c r="CR161" s="21">
        <f t="shared" si="1340"/>
        <v>18924.483843888476</v>
      </c>
      <c r="CS161" s="21">
        <f t="shared" si="1340"/>
        <v>20657.714494458014</v>
      </c>
      <c r="CT161" s="21">
        <f t="shared" si="1340"/>
        <v>22075.39715183794</v>
      </c>
      <c r="CU161" s="21">
        <f t="shared" si="1340"/>
        <v>20316.023464184378</v>
      </c>
      <c r="CV161" s="21">
        <f t="shared" si="1340"/>
        <v>21651.615745562223</v>
      </c>
      <c r="CW161" s="21">
        <f t="shared" si="1340"/>
        <v>23709.726142312615</v>
      </c>
      <c r="CX161" s="21">
        <f t="shared" si="1340"/>
        <v>25369.522291070993</v>
      </c>
      <c r="CY161" s="21">
        <f t="shared" si="1340"/>
        <v>23288.650797342842</v>
      </c>
      <c r="CZ161" s="21">
        <f t="shared" si="1340"/>
        <v>24870.728879257982</v>
      </c>
      <c r="DA161" s="21">
        <f t="shared" si="1340"/>
        <v>27292.06610386787</v>
      </c>
      <c r="DB161" s="21">
        <f t="shared" si="1340"/>
        <v>29239.745757045392</v>
      </c>
      <c r="DE161" s="126"/>
      <c r="DF161" s="22">
        <v>15481.321</v>
      </c>
    </row>
    <row r="162" spans="1:110" s="23" customFormat="1" x14ac:dyDescent="0.2">
      <c r="AB162" s="24"/>
      <c r="AC162" s="24"/>
      <c r="AD162" s="24"/>
      <c r="AE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0.55459510000000001</v>
      </c>
      <c r="J163" s="23">
        <f>-'Annual Raw'!K49</f>
        <v>0.65269659999999996</v>
      </c>
      <c r="K163" s="23">
        <f>-'Annual Raw'!L49</f>
        <v>0.33728279999999999</v>
      </c>
      <c r="L163" s="23">
        <f>-'Annual Raw'!M49</f>
        <v>0.2165089</v>
      </c>
      <c r="M163" s="23">
        <f>-'Annual Raw'!N49</f>
        <v>5.4672400000000003E-2</v>
      </c>
      <c r="N163" s="23">
        <f>-'Annual Raw'!O49</f>
        <v>0.65287099999999998</v>
      </c>
      <c r="O163" s="23">
        <f>-'Annual Raw'!P49</f>
        <v>1.1244491999999999</v>
      </c>
      <c r="P163" s="23">
        <f>-'Annual Raw'!Q49</f>
        <v>5.7859500000000001E-2</v>
      </c>
      <c r="Q163" s="23">
        <f>-'Annual Raw'!R49</f>
        <v>-0.97200319999999996</v>
      </c>
      <c r="R163" s="23">
        <f>-'Annual Raw'!S49</f>
        <v>-0.48260769999999997</v>
      </c>
      <c r="S163" s="23">
        <f>-'Annual Raw'!T49</f>
        <v>2.933093</v>
      </c>
      <c r="T163" s="23">
        <f>-'Annual Raw'!U49</f>
        <v>7.569</v>
      </c>
      <c r="U163" s="23">
        <f>-'Annual Raw'!V49</f>
        <v>4.8890000000000002</v>
      </c>
      <c r="V163" s="23">
        <f>-'Annual Raw'!W49</f>
        <v>4.702</v>
      </c>
      <c r="W163" s="23">
        <f>-'Annual Raw'!X49</f>
        <v>1.847</v>
      </c>
      <c r="X163" s="23">
        <f>-'Annual Raw'!Y49</f>
        <v>-3.9129999999999998</v>
      </c>
      <c r="Y163" s="23">
        <f>-'Annual Raw'!Z49</f>
        <v>-16.010000000000002</v>
      </c>
      <c r="Z163" s="23">
        <f>-'Annual Raw'!AA49</f>
        <v>-25.571000000000002</v>
      </c>
      <c r="AA163" s="23">
        <f>-'Annual Raw'!AB49</f>
        <v>-25.108000000000001</v>
      </c>
      <c r="AB163" s="24">
        <f t="shared" ref="AB163:AB164" si="1342">+CP163</f>
        <v>-25.108000000000001</v>
      </c>
      <c r="AC163" s="24">
        <f t="shared" ref="AC163:AC164" si="1343">+CT163</f>
        <v>-25.108000000000001</v>
      </c>
      <c r="AD163" s="24">
        <f t="shared" ref="AD163:AD164" si="1344">+CX163</f>
        <v>-25.108000000000001</v>
      </c>
      <c r="AE163" s="24">
        <f t="shared" ref="AE163:AE164" si="1345">+DB163</f>
        <v>-25.108000000000001</v>
      </c>
      <c r="AJ163" s="23">
        <f>+'QTR Raw'!D96</f>
        <v>0</v>
      </c>
      <c r="AK163" s="23">
        <f t="shared" ref="AK163:CE163" si="1346">+AJ163</f>
        <v>0</v>
      </c>
      <c r="AL163" s="23">
        <f>+'QTR Raw'!F96</f>
        <v>0</v>
      </c>
      <c r="AM163" s="23">
        <f t="shared" si="1346"/>
        <v>0</v>
      </c>
      <c r="AN163" s="23">
        <f>+'QTR Raw'!H96</f>
        <v>0</v>
      </c>
      <c r="AO163" s="23">
        <f t="shared" si="1346"/>
        <v>0</v>
      </c>
      <c r="AP163" s="23">
        <f>+'QTR Raw'!J96</f>
        <v>0</v>
      </c>
      <c r="AQ163" s="23">
        <f t="shared" si="1346"/>
        <v>0</v>
      </c>
      <c r="AR163" s="23">
        <f>+'QTR Raw'!L96</f>
        <v>0</v>
      </c>
      <c r="AS163" s="23">
        <f t="shared" si="1346"/>
        <v>0</v>
      </c>
      <c r="AT163" s="23">
        <f>+'QTR Raw'!N96</f>
        <v>0</v>
      </c>
      <c r="AU163" s="23">
        <f t="shared" si="1346"/>
        <v>0</v>
      </c>
      <c r="AV163" s="23">
        <f>+'QTR Raw'!P96</f>
        <v>0</v>
      </c>
      <c r="AW163" s="23">
        <f t="shared" si="1346"/>
        <v>0</v>
      </c>
      <c r="AX163" s="23">
        <f>+'QTR Raw'!R96</f>
        <v>0</v>
      </c>
      <c r="AY163" s="23">
        <f t="shared" si="1346"/>
        <v>0</v>
      </c>
      <c r="AZ163" s="23">
        <f>+'QTR Raw'!T96</f>
        <v>0</v>
      </c>
      <c r="BA163" s="23">
        <f t="shared" si="1346"/>
        <v>0</v>
      </c>
      <c r="BB163" s="23">
        <f>+'QTR Raw'!V96</f>
        <v>0</v>
      </c>
      <c r="BC163" s="23">
        <f t="shared" si="1346"/>
        <v>0</v>
      </c>
      <c r="BD163" s="23">
        <f>+'QTR Raw'!X96</f>
        <v>0</v>
      </c>
      <c r="BE163" s="23">
        <f t="shared" si="1346"/>
        <v>0</v>
      </c>
      <c r="BF163" s="23">
        <f>+'QTR Raw'!Z96</f>
        <v>0</v>
      </c>
      <c r="BG163" s="23">
        <f t="shared" si="1346"/>
        <v>0</v>
      </c>
      <c r="BH163" s="23">
        <f>+'QTR Raw'!AB96</f>
        <v>0</v>
      </c>
      <c r="BI163" s="23">
        <f t="shared" si="1346"/>
        <v>0</v>
      </c>
      <c r="BJ163" s="23">
        <f>+'QTR Raw'!AD96</f>
        <v>0</v>
      </c>
      <c r="BK163" s="23">
        <f t="shared" si="1346"/>
        <v>0</v>
      </c>
      <c r="BL163" s="23">
        <f>+'QTR Raw'!AF96</f>
        <v>0</v>
      </c>
      <c r="BM163" s="23">
        <f t="shared" si="1346"/>
        <v>0</v>
      </c>
      <c r="BN163" s="23">
        <f>+'QTR Raw'!AH96</f>
        <v>4.8890000000000002</v>
      </c>
      <c r="BO163" s="23">
        <f t="shared" si="1346"/>
        <v>4.8890000000000002</v>
      </c>
      <c r="BP163" s="23">
        <f>+'QTR Raw'!AJ96</f>
        <v>5.0730000000000004</v>
      </c>
      <c r="BQ163" s="23">
        <f t="shared" si="1346"/>
        <v>5.0730000000000004</v>
      </c>
      <c r="BR163" s="23">
        <f>+'QTR Raw'!AL96</f>
        <v>4.702</v>
      </c>
      <c r="BS163" s="23">
        <f t="shared" si="1346"/>
        <v>4.702</v>
      </c>
      <c r="BT163" s="23">
        <f>+'QTR Raw'!AN96</f>
        <v>4.258</v>
      </c>
      <c r="BU163" s="23">
        <f t="shared" si="1346"/>
        <v>4.258</v>
      </c>
      <c r="BV163" s="23">
        <f>+'QTR Raw'!AP96</f>
        <v>1.847</v>
      </c>
      <c r="BW163" s="23">
        <f t="shared" si="1346"/>
        <v>1.847</v>
      </c>
      <c r="BX163" s="23">
        <f>+'QTR Raw'!AR96</f>
        <v>1.2390000000000001</v>
      </c>
      <c r="BY163" s="23">
        <f t="shared" si="1346"/>
        <v>1.2390000000000001</v>
      </c>
      <c r="BZ163" s="23">
        <f>+'QTR Raw'!AT96</f>
        <v>-3.9129999999999998</v>
      </c>
      <c r="CA163" s="23">
        <f t="shared" si="1346"/>
        <v>-3.9129999999999998</v>
      </c>
      <c r="CB163" s="23">
        <f>+'QTR Raw'!AV96</f>
        <v>-6.3</v>
      </c>
      <c r="CC163" s="23">
        <f t="shared" si="1346"/>
        <v>-6.3</v>
      </c>
      <c r="CD163" s="23">
        <f>+'QTR Raw'!AX96</f>
        <v>-16.010000000000002</v>
      </c>
      <c r="CE163" s="23">
        <f t="shared" si="1346"/>
        <v>-16.010000000000002</v>
      </c>
      <c r="CF163" s="23">
        <f>+'QTR Raw'!AZ96</f>
        <v>-19.454000000000001</v>
      </c>
      <c r="CG163" s="23">
        <f t="shared" ref="CG163:CI164" si="1347">+CF163</f>
        <v>-19.454000000000001</v>
      </c>
      <c r="CH163" s="23">
        <f t="shared" ref="CH163:CH164" si="1348">Z163</f>
        <v>-25.571000000000002</v>
      </c>
      <c r="CI163" s="23">
        <f t="shared" si="1347"/>
        <v>-25.571000000000002</v>
      </c>
      <c r="CJ163" s="23">
        <f>+'QTR Raw'!BD96</f>
        <v>-25.01</v>
      </c>
      <c r="CK163" s="23">
        <f t="shared" ref="CK163:CK164" si="1349">+CJ163</f>
        <v>-25.01</v>
      </c>
      <c r="CL163" s="23">
        <f>+'QTR Raw'!BF96</f>
        <v>-25.108000000000001</v>
      </c>
      <c r="CM163" s="24">
        <f t="shared" ref="CM163:CM164" si="1350">+CL163</f>
        <v>-25.108000000000001</v>
      </c>
      <c r="CN163" s="24">
        <f t="shared" ref="CN163:CN164" si="1351">+CM163</f>
        <v>-25.108000000000001</v>
      </c>
      <c r="CO163" s="24">
        <f t="shared" ref="CO163:CO164" si="1352">+CN163</f>
        <v>-25.108000000000001</v>
      </c>
      <c r="CP163" s="24">
        <f t="shared" ref="CP163:CP164" si="1353">+CO163</f>
        <v>-25.108000000000001</v>
      </c>
      <c r="CQ163" s="24">
        <f t="shared" ref="CQ163:CQ164" si="1354">+CP163</f>
        <v>-25.108000000000001</v>
      </c>
      <c r="CR163" s="24">
        <f t="shared" ref="CR163:CR164" si="1355">+CQ163</f>
        <v>-25.108000000000001</v>
      </c>
      <c r="CS163" s="24">
        <f t="shared" ref="CS163:CS164" si="1356">+CR163</f>
        <v>-25.108000000000001</v>
      </c>
      <c r="CT163" s="24">
        <f t="shared" ref="CT163:CT164" si="1357">+CS163</f>
        <v>-25.108000000000001</v>
      </c>
      <c r="CU163" s="24">
        <f t="shared" ref="CU163:CU164" si="1358">+CT163</f>
        <v>-25.108000000000001</v>
      </c>
      <c r="CV163" s="24">
        <f t="shared" ref="CV163:CV164" si="1359">+CU163</f>
        <v>-25.108000000000001</v>
      </c>
      <c r="CW163" s="24">
        <f t="shared" ref="CW163:CW164" si="1360">+CV163</f>
        <v>-25.108000000000001</v>
      </c>
      <c r="CX163" s="24">
        <f t="shared" ref="CX163:CX164" si="1361">+CW163</f>
        <v>-25.108000000000001</v>
      </c>
      <c r="CY163" s="24">
        <f t="shared" ref="CY163:CY164" si="1362">+CX163</f>
        <v>-25.108000000000001</v>
      </c>
      <c r="CZ163" s="24">
        <f t="shared" ref="CZ163:CZ164" si="1363">+CY163</f>
        <v>-25.108000000000001</v>
      </c>
      <c r="DA163" s="24">
        <f t="shared" ref="DA163:DA164" si="1364">+CZ163</f>
        <v>-25.108000000000001</v>
      </c>
      <c r="DB163" s="24">
        <f t="shared" ref="DB163:DB164" si="1365">+DA163</f>
        <v>-25.108000000000001</v>
      </c>
      <c r="DE163" s="123"/>
      <c r="DF163" s="23">
        <v>-25.108000000000001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42"/>
        <v>0</v>
      </c>
      <c r="AC164" s="24">
        <f t="shared" si="1343"/>
        <v>0</v>
      </c>
      <c r="AD164" s="24">
        <f t="shared" si="1344"/>
        <v>0</v>
      </c>
      <c r="AE164" s="24">
        <f t="shared" si="1345"/>
        <v>0</v>
      </c>
      <c r="AJ164" s="23">
        <f>+'QTR Raw'!D95</f>
        <v>0</v>
      </c>
      <c r="AK164" s="23">
        <f t="shared" ref="AK164:CE164" si="1366">+AJ164</f>
        <v>0</v>
      </c>
      <c r="AL164" s="23">
        <f>+'QTR Raw'!F95</f>
        <v>0</v>
      </c>
      <c r="AM164" s="23">
        <f t="shared" si="1366"/>
        <v>0</v>
      </c>
      <c r="AN164" s="23">
        <f>+'QTR Raw'!H95</f>
        <v>0</v>
      </c>
      <c r="AO164" s="23">
        <f t="shared" si="1366"/>
        <v>0</v>
      </c>
      <c r="AP164" s="23">
        <f>+'QTR Raw'!J95</f>
        <v>0</v>
      </c>
      <c r="AQ164" s="23">
        <f t="shared" si="1366"/>
        <v>0</v>
      </c>
      <c r="AR164" s="23">
        <f>+'QTR Raw'!L95</f>
        <v>0</v>
      </c>
      <c r="AS164" s="23">
        <f t="shared" si="1366"/>
        <v>0</v>
      </c>
      <c r="AT164" s="23">
        <f>+'QTR Raw'!N95</f>
        <v>0</v>
      </c>
      <c r="AU164" s="23">
        <f t="shared" si="1366"/>
        <v>0</v>
      </c>
      <c r="AV164" s="23">
        <f>+'QTR Raw'!P95</f>
        <v>0</v>
      </c>
      <c r="AW164" s="23">
        <f t="shared" si="1366"/>
        <v>0</v>
      </c>
      <c r="AX164" s="23">
        <f>+'QTR Raw'!R95</f>
        <v>0</v>
      </c>
      <c r="AY164" s="23">
        <f t="shared" si="1366"/>
        <v>0</v>
      </c>
      <c r="AZ164" s="23">
        <f>+'QTR Raw'!T95</f>
        <v>0</v>
      </c>
      <c r="BA164" s="23">
        <f t="shared" si="1366"/>
        <v>0</v>
      </c>
      <c r="BB164" s="23">
        <f>+'QTR Raw'!V95</f>
        <v>0</v>
      </c>
      <c r="BC164" s="23">
        <f t="shared" si="1366"/>
        <v>0</v>
      </c>
      <c r="BD164" s="23">
        <f>+'QTR Raw'!X95</f>
        <v>0</v>
      </c>
      <c r="BE164" s="23">
        <f t="shared" si="1366"/>
        <v>0</v>
      </c>
      <c r="BF164" s="23">
        <f>+'QTR Raw'!Z95</f>
        <v>0</v>
      </c>
      <c r="BG164" s="23">
        <f t="shared" si="1366"/>
        <v>0</v>
      </c>
      <c r="BH164" s="23">
        <f>+'QTR Raw'!AB95</f>
        <v>0</v>
      </c>
      <c r="BI164" s="23">
        <f t="shared" si="1366"/>
        <v>0</v>
      </c>
      <c r="BJ164" s="23">
        <f>+'QTR Raw'!AD95</f>
        <v>0</v>
      </c>
      <c r="BK164" s="23">
        <f t="shared" si="1366"/>
        <v>0</v>
      </c>
      <c r="BL164" s="23">
        <f>+'QTR Raw'!AF95</f>
        <v>0</v>
      </c>
      <c r="BM164" s="23">
        <f t="shared" si="1366"/>
        <v>0</v>
      </c>
      <c r="BN164" s="23">
        <f>+'QTR Raw'!AH95</f>
        <v>0</v>
      </c>
      <c r="BO164" s="23">
        <f t="shared" si="1366"/>
        <v>0</v>
      </c>
      <c r="BP164" s="23">
        <f>+'QTR Raw'!AJ95</f>
        <v>0</v>
      </c>
      <c r="BQ164" s="23">
        <f t="shared" si="1366"/>
        <v>0</v>
      </c>
      <c r="BR164" s="23">
        <f>+'QTR Raw'!AL95</f>
        <v>0</v>
      </c>
      <c r="BS164" s="23">
        <f t="shared" si="1366"/>
        <v>0</v>
      </c>
      <c r="BT164" s="23">
        <f>+'QTR Raw'!AN95</f>
        <v>0</v>
      </c>
      <c r="BU164" s="23">
        <f t="shared" si="1366"/>
        <v>0</v>
      </c>
      <c r="BV164" s="23">
        <f>+'QTR Raw'!AP95</f>
        <v>0</v>
      </c>
      <c r="BW164" s="23">
        <f t="shared" si="1366"/>
        <v>0</v>
      </c>
      <c r="BX164" s="23">
        <f>+'QTR Raw'!AR95</f>
        <v>0</v>
      </c>
      <c r="BY164" s="23">
        <f t="shared" si="1366"/>
        <v>0</v>
      </c>
      <c r="BZ164" s="23">
        <f>+'QTR Raw'!AT95</f>
        <v>0</v>
      </c>
      <c r="CA164" s="23">
        <f t="shared" si="1366"/>
        <v>0</v>
      </c>
      <c r="CB164" s="23">
        <f>+'QTR Raw'!AV95</f>
        <v>0</v>
      </c>
      <c r="CC164" s="23">
        <f t="shared" si="1366"/>
        <v>0</v>
      </c>
      <c r="CD164" s="23">
        <f>+'QTR Raw'!AX95</f>
        <v>0</v>
      </c>
      <c r="CE164" s="23">
        <f t="shared" si="1366"/>
        <v>0</v>
      </c>
      <c r="CF164" s="23">
        <f>+'QTR Raw'!AZ95</f>
        <v>0</v>
      </c>
      <c r="CG164" s="23">
        <f t="shared" si="1347"/>
        <v>0</v>
      </c>
      <c r="CH164" s="23">
        <f t="shared" si="1348"/>
        <v>0</v>
      </c>
      <c r="CI164" s="23">
        <f t="shared" si="1347"/>
        <v>0</v>
      </c>
      <c r="CJ164" s="23">
        <f>+'QTR Raw'!BD95</f>
        <v>0</v>
      </c>
      <c r="CK164" s="23">
        <f t="shared" si="1349"/>
        <v>0</v>
      </c>
      <c r="CL164" s="23">
        <f>+'QTR Raw'!BF95</f>
        <v>0</v>
      </c>
      <c r="CM164" s="24">
        <f t="shared" si="1350"/>
        <v>0</v>
      </c>
      <c r="CN164" s="24">
        <f t="shared" si="1351"/>
        <v>0</v>
      </c>
      <c r="CO164" s="24">
        <f t="shared" si="1352"/>
        <v>0</v>
      </c>
      <c r="CP164" s="24">
        <f t="shared" si="1353"/>
        <v>0</v>
      </c>
      <c r="CQ164" s="24">
        <f t="shared" si="1354"/>
        <v>0</v>
      </c>
      <c r="CR164" s="24">
        <f t="shared" si="1355"/>
        <v>0</v>
      </c>
      <c r="CS164" s="24">
        <f t="shared" si="1356"/>
        <v>0</v>
      </c>
      <c r="CT164" s="24">
        <f t="shared" si="1357"/>
        <v>0</v>
      </c>
      <c r="CU164" s="24">
        <f t="shared" si="1358"/>
        <v>0</v>
      </c>
      <c r="CV164" s="24">
        <f t="shared" si="1359"/>
        <v>0</v>
      </c>
      <c r="CW164" s="24">
        <f t="shared" si="1360"/>
        <v>0</v>
      </c>
      <c r="CX164" s="24">
        <f t="shared" si="1361"/>
        <v>0</v>
      </c>
      <c r="CY164" s="24">
        <f t="shared" si="1362"/>
        <v>0</v>
      </c>
      <c r="CZ164" s="24">
        <f t="shared" si="1363"/>
        <v>0</v>
      </c>
      <c r="DA164" s="24">
        <f t="shared" si="1364"/>
        <v>0</v>
      </c>
      <c r="DB164" s="24">
        <f t="shared" si="1365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67">B163+B161+B157+B140+B138+B164</f>
        <v>0</v>
      </c>
      <c r="C165" s="26">
        <f t="shared" si="1367"/>
        <v>0</v>
      </c>
      <c r="D165" s="26">
        <f t="shared" si="1367"/>
        <v>0</v>
      </c>
      <c r="E165" s="26">
        <f t="shared" si="1367"/>
        <v>0</v>
      </c>
      <c r="F165" s="26">
        <f t="shared" si="1367"/>
        <v>0</v>
      </c>
      <c r="G165" s="26">
        <f t="shared" si="1367"/>
        <v>0</v>
      </c>
      <c r="H165" s="26">
        <f t="shared" si="1367"/>
        <v>0</v>
      </c>
      <c r="I165" s="26">
        <f t="shared" si="1367"/>
        <v>180.52687120000002</v>
      </c>
      <c r="J165" s="26">
        <f t="shared" si="1367"/>
        <v>182.4074573</v>
      </c>
      <c r="K165" s="26">
        <f t="shared" si="1367"/>
        <v>261.2608146</v>
      </c>
      <c r="L165" s="26">
        <f t="shared" si="1367"/>
        <v>258.75242789999999</v>
      </c>
      <c r="M165" s="26">
        <f t="shared" si="1367"/>
        <v>229.03492720000003</v>
      </c>
      <c r="N165" s="26">
        <f t="shared" si="1367"/>
        <v>493.72953620000004</v>
      </c>
      <c r="O165" s="26">
        <f t="shared" si="1367"/>
        <v>622.38007589999995</v>
      </c>
      <c r="P165" s="26">
        <f t="shared" si="1367"/>
        <v>623.07953299999997</v>
      </c>
      <c r="Q165" s="26">
        <f t="shared" si="1367"/>
        <v>727.80352210000001</v>
      </c>
      <c r="R165" s="26">
        <f t="shared" si="1367"/>
        <v>1161.3725505999998</v>
      </c>
      <c r="S165" s="26">
        <f t="shared" si="1367"/>
        <v>1599.9263587999999</v>
      </c>
      <c r="T165" s="26">
        <f t="shared" si="1367"/>
        <v>1403.2529999999999</v>
      </c>
      <c r="U165" s="26">
        <f t="shared" si="1367"/>
        <v>1082.2979999999998</v>
      </c>
      <c r="V165" s="26">
        <f t="shared" si="1367"/>
        <v>2302.4659999999999</v>
      </c>
      <c r="W165" s="26">
        <f t="shared" si="1367"/>
        <v>2842.1090000000004</v>
      </c>
      <c r="X165" s="26">
        <f t="shared" ref="X165:Y165" si="1368">X163+X161+X157+X140+X138+X164</f>
        <v>2944.8440000000001</v>
      </c>
      <c r="Y165" s="26">
        <f t="shared" si="1368"/>
        <v>5572.152</v>
      </c>
      <c r="Z165" s="26">
        <f t="shared" ref="Z165:AA165" si="1369">Z163+Z161+Z157+Z140+Z138+Z164</f>
        <v>9016.0720000000001</v>
      </c>
      <c r="AA165" s="26">
        <f t="shared" ref="AA165" si="1370">AA163+AA161+AA157+AA140+AA138+AA164</f>
        <v>14024.834999999999</v>
      </c>
      <c r="AB165" s="27">
        <f t="shared" ref="AB165:AD165" si="1371">AB163+AB161+AB157+AB140+AB138+AB164</f>
        <v>12339.193602122521</v>
      </c>
      <c r="AC165" s="27">
        <f t="shared" si="1371"/>
        <v>13845.623698567037</v>
      </c>
      <c r="AD165" s="27">
        <f t="shared" si="1371"/>
        <v>15627.151428669871</v>
      </c>
      <c r="AE165" s="27">
        <f t="shared" ref="AE165" si="1372">AE163+AE161+AE157+AE140+AE138+AE164</f>
        <v>17730.142410192053</v>
      </c>
      <c r="AJ165" s="26">
        <f t="shared" ref="AJ165" si="1373">AJ163+AJ161+AJ157+AJ140+AJ138+AJ164</f>
        <v>0</v>
      </c>
      <c r="AK165" s="26" t="e">
        <f t="shared" ref="AK165:AL165" si="1374">AK163+AK161+AK157+AK140+AK138+AK164</f>
        <v>#DIV/0!</v>
      </c>
      <c r="AL165" s="26">
        <f t="shared" si="1374"/>
        <v>0</v>
      </c>
      <c r="AM165" s="26" t="e">
        <f t="shared" ref="AM165:AO165" si="1375">AM163+AM161+AM157+AM140+AM138+AM164</f>
        <v>#DIV/0!</v>
      </c>
      <c r="AN165" s="26">
        <f t="shared" si="1375"/>
        <v>0</v>
      </c>
      <c r="AO165" s="26" t="e">
        <f t="shared" si="1375"/>
        <v>#DIV/0!</v>
      </c>
      <c r="AP165" s="26">
        <f t="shared" ref="AP165:CE165" si="1376">AP163+AP161+AP157+AP140+AP138+AP164</f>
        <v>0</v>
      </c>
      <c r="AQ165" s="26" t="e">
        <f t="shared" si="1376"/>
        <v>#DIV/0!</v>
      </c>
      <c r="AR165" s="26">
        <f t="shared" si="1376"/>
        <v>0</v>
      </c>
      <c r="AS165" s="26" t="e">
        <f t="shared" si="1376"/>
        <v>#DIV/0!</v>
      </c>
      <c r="AT165" s="26">
        <f t="shared" si="1376"/>
        <v>0</v>
      </c>
      <c r="AU165" s="26" t="e">
        <f t="shared" si="1376"/>
        <v>#DIV/0!</v>
      </c>
      <c r="AV165" s="26">
        <f t="shared" si="1376"/>
        <v>0</v>
      </c>
      <c r="AW165" s="26" t="e">
        <f t="shared" si="1376"/>
        <v>#DIV/0!</v>
      </c>
      <c r="AX165" s="26">
        <f t="shared" si="1376"/>
        <v>0</v>
      </c>
      <c r="AY165" s="26" t="e">
        <f t="shared" si="1376"/>
        <v>#DIV/0!</v>
      </c>
      <c r="AZ165" s="26">
        <f t="shared" si="1376"/>
        <v>0</v>
      </c>
      <c r="BA165" s="26" t="e">
        <f t="shared" si="1376"/>
        <v>#DIV/0!</v>
      </c>
      <c r="BB165" s="26">
        <f t="shared" si="1376"/>
        <v>0</v>
      </c>
      <c r="BC165" s="26" t="e">
        <f t="shared" si="1376"/>
        <v>#DIV/0!</v>
      </c>
      <c r="BD165" s="26">
        <f t="shared" si="1376"/>
        <v>0</v>
      </c>
      <c r="BE165" s="26" t="e">
        <f t="shared" si="1376"/>
        <v>#DIV/0!</v>
      </c>
      <c r="BF165" s="26">
        <f t="shared" si="1376"/>
        <v>0</v>
      </c>
      <c r="BG165" s="26" t="e">
        <f t="shared" si="1376"/>
        <v>#DIV/0!</v>
      </c>
      <c r="BH165" s="26">
        <f t="shared" ref="BH165" si="1377">BH163+BH161+BH157+BH140+BH138+BH164</f>
        <v>0</v>
      </c>
      <c r="BI165" s="26" t="e">
        <f t="shared" si="1376"/>
        <v>#DIV/0!</v>
      </c>
      <c r="BJ165" s="26">
        <f t="shared" si="1376"/>
        <v>0</v>
      </c>
      <c r="BK165" s="26" t="e">
        <f t="shared" si="1376"/>
        <v>#DIV/0!</v>
      </c>
      <c r="BL165" s="26">
        <f t="shared" si="1376"/>
        <v>0</v>
      </c>
      <c r="BM165" s="26">
        <f t="shared" si="1376"/>
        <v>27.013000000000002</v>
      </c>
      <c r="BN165" s="26">
        <f t="shared" si="1376"/>
        <v>1082.2979999999998</v>
      </c>
      <c r="BO165" s="26">
        <f t="shared" si="1376"/>
        <v>1129.5979999999997</v>
      </c>
      <c r="BP165" s="26">
        <f t="shared" si="1376"/>
        <v>1580.1059999999995</v>
      </c>
      <c r="BQ165" s="26">
        <f t="shared" si="1376"/>
        <v>1653.2739999999997</v>
      </c>
      <c r="BR165" s="26">
        <f t="shared" si="1376"/>
        <v>2302.4659999999994</v>
      </c>
      <c r="BS165" s="26">
        <f t="shared" si="1376"/>
        <v>2423.8329999999996</v>
      </c>
      <c r="BT165" s="26">
        <f t="shared" si="1376"/>
        <v>2461.4880000000003</v>
      </c>
      <c r="BU165" s="26">
        <f t="shared" si="1376"/>
        <v>2626.0350000000003</v>
      </c>
      <c r="BV165" s="26">
        <f t="shared" si="1376"/>
        <v>2817.5420000000004</v>
      </c>
      <c r="BW165" s="26">
        <f t="shared" si="1376"/>
        <v>2999.0420000000008</v>
      </c>
      <c r="BX165" s="26">
        <f t="shared" si="1376"/>
        <v>4854.5329999999994</v>
      </c>
      <c r="BY165" s="26">
        <f t="shared" si="1376"/>
        <v>5082.5329999999994</v>
      </c>
      <c r="BZ165" s="26">
        <f t="shared" si="1376"/>
        <v>2917.6820000000002</v>
      </c>
      <c r="CA165" s="26">
        <f t="shared" si="1376"/>
        <v>3138.4869999999996</v>
      </c>
      <c r="CB165" s="26">
        <f t="shared" si="1376"/>
        <v>4107.9999999999991</v>
      </c>
      <c r="CC165" s="26">
        <f t="shared" si="1376"/>
        <v>4368.3099999999986</v>
      </c>
      <c r="CD165" s="26">
        <f t="shared" si="1376"/>
        <v>5440.8860000000004</v>
      </c>
      <c r="CE165" s="26">
        <f t="shared" si="1376"/>
        <v>5733.612000000001</v>
      </c>
      <c r="CF165" s="26">
        <f t="shared" ref="CF165:CG165" si="1378">CF163+CF161+CF157+CF140+CF138+CF164</f>
        <v>7165.4220000000005</v>
      </c>
      <c r="CG165" s="26">
        <f t="shared" si="1378"/>
        <v>7446.8879999999999</v>
      </c>
      <c r="CH165" s="26">
        <f t="shared" ref="CH165:CI165" si="1379">CH163+CH161+CH157+CH140+CH138+CH164</f>
        <v>9016.0720000000001</v>
      </c>
      <c r="CI165" s="26">
        <f t="shared" si="1379"/>
        <v>9130.5400000000009</v>
      </c>
      <c r="CJ165" s="26">
        <f t="shared" ref="CJ165:DB165" si="1380">CJ163+CJ161+CJ157+CJ140+CJ138+CJ164</f>
        <v>7514.8970000000008</v>
      </c>
      <c r="CK165" s="26">
        <f t="shared" si="1380"/>
        <v>7783.5610000000015</v>
      </c>
      <c r="CL165" s="26">
        <f t="shared" ref="CL165" si="1381">CL163+CL161+CL157+CL140+CL138+CL164</f>
        <v>11075.183999999999</v>
      </c>
      <c r="CM165" s="27">
        <f t="shared" si="1380"/>
        <v>11288.396271011587</v>
      </c>
      <c r="CN165" s="27">
        <f t="shared" si="1380"/>
        <v>11571.440019871477</v>
      </c>
      <c r="CO165" s="27">
        <f t="shared" si="1380"/>
        <v>11931.821421450621</v>
      </c>
      <c r="CP165" s="27">
        <f t="shared" si="1380"/>
        <v>12339.193602122521</v>
      </c>
      <c r="CQ165" s="27">
        <f t="shared" si="1380"/>
        <v>12609.147142324608</v>
      </c>
      <c r="CR165" s="27">
        <f t="shared" si="1380"/>
        <v>12946.729928704788</v>
      </c>
      <c r="CS165" s="27">
        <f t="shared" si="1380"/>
        <v>13369.651931312279</v>
      </c>
      <c r="CT165" s="27">
        <f t="shared" si="1380"/>
        <v>13845.623698567037</v>
      </c>
      <c r="CU165" s="27">
        <f t="shared" si="1380"/>
        <v>14168.61741359171</v>
      </c>
      <c r="CV165" s="27">
        <f t="shared" si="1380"/>
        <v>14567.684734152524</v>
      </c>
      <c r="CW165" s="27">
        <f t="shared" si="1380"/>
        <v>15065.993804150128</v>
      </c>
      <c r="CX165" s="27">
        <f t="shared" si="1380"/>
        <v>15627.151428669871</v>
      </c>
      <c r="CY165" s="27">
        <f t="shared" si="1380"/>
        <v>16009.824272592601</v>
      </c>
      <c r="CZ165" s="27">
        <f t="shared" si="1380"/>
        <v>16480.967874311824</v>
      </c>
      <c r="DA165" s="27">
        <f t="shared" si="1380"/>
        <v>17068.546522110639</v>
      </c>
      <c r="DB165" s="27">
        <f t="shared" si="1380"/>
        <v>17730.142410192053</v>
      </c>
      <c r="DE165" s="121"/>
      <c r="DF165" s="26">
        <v>14024.834999999999</v>
      </c>
    </row>
    <row r="166" spans="1:110" s="23" customFormat="1" x14ac:dyDescent="0.2">
      <c r="A166" s="28" t="s">
        <v>439</v>
      </c>
      <c r="B166" s="23">
        <f t="shared" ref="B166:W166" si="1382">B165-B129</f>
        <v>0</v>
      </c>
      <c r="C166" s="23">
        <f t="shared" si="1382"/>
        <v>0</v>
      </c>
      <c r="D166" s="23">
        <f t="shared" si="1382"/>
        <v>0</v>
      </c>
      <c r="E166" s="23">
        <f t="shared" si="1382"/>
        <v>0</v>
      </c>
      <c r="F166" s="23">
        <f t="shared" si="1382"/>
        <v>0</v>
      </c>
      <c r="G166" s="23">
        <f t="shared" si="1382"/>
        <v>0</v>
      </c>
      <c r="H166" s="23">
        <f t="shared" si="1382"/>
        <v>0</v>
      </c>
      <c r="I166" s="23">
        <f t="shared" si="1382"/>
        <v>0</v>
      </c>
      <c r="J166" s="23">
        <f t="shared" si="1382"/>
        <v>0</v>
      </c>
      <c r="K166" s="23">
        <f t="shared" si="1382"/>
        <v>0</v>
      </c>
      <c r="L166" s="23">
        <f t="shared" si="1382"/>
        <v>0</v>
      </c>
      <c r="M166" s="23">
        <f t="shared" si="1382"/>
        <v>0</v>
      </c>
      <c r="N166" s="23">
        <f t="shared" si="1382"/>
        <v>0</v>
      </c>
      <c r="O166" s="23">
        <f t="shared" si="1382"/>
        <v>0</v>
      </c>
      <c r="P166" s="23">
        <f t="shared" si="1382"/>
        <v>0</v>
      </c>
      <c r="Q166" s="23">
        <f t="shared" si="1382"/>
        <v>0</v>
      </c>
      <c r="R166" s="23">
        <f t="shared" si="1382"/>
        <v>0</v>
      </c>
      <c r="S166" s="23">
        <f t="shared" si="1382"/>
        <v>0</v>
      </c>
      <c r="T166" s="23">
        <f t="shared" si="1382"/>
        <v>0</v>
      </c>
      <c r="U166" s="23">
        <f t="shared" si="1382"/>
        <v>0</v>
      </c>
      <c r="V166" s="23">
        <f t="shared" si="1382"/>
        <v>0</v>
      </c>
      <c r="W166" s="23">
        <f t="shared" si="1382"/>
        <v>0</v>
      </c>
      <c r="X166" s="23">
        <f t="shared" ref="X166:Y166" si="1383">X165-X129</f>
        <v>0</v>
      </c>
      <c r="Y166" s="23">
        <f t="shared" si="1383"/>
        <v>0</v>
      </c>
      <c r="Z166" s="23">
        <f t="shared" ref="Z166:AA166" si="1384">Z165-Z129</f>
        <v>0</v>
      </c>
      <c r="AA166" s="23">
        <f t="shared" ref="AA166" si="1385">AA165-AA129</f>
        <v>0</v>
      </c>
      <c r="AB166" s="24">
        <f t="shared" ref="AB166:AD166" si="1386">AB165-AB129</f>
        <v>0</v>
      </c>
      <c r="AC166" s="24">
        <f t="shared" si="1386"/>
        <v>0</v>
      </c>
      <c r="AD166" s="24">
        <f t="shared" si="1386"/>
        <v>0</v>
      </c>
      <c r="AE166" s="24">
        <f t="shared" ref="AE166" si="1387">AE165-AE129</f>
        <v>0</v>
      </c>
      <c r="AJ166" s="23">
        <f t="shared" ref="AJ166" si="1388">AJ165-AJ129</f>
        <v>0</v>
      </c>
      <c r="AK166" s="23" t="e">
        <f t="shared" ref="AK166" si="1389">AK165-AK129</f>
        <v>#DIV/0!</v>
      </c>
      <c r="AL166" s="23">
        <f t="shared" ref="AL166:AM166" si="1390">AL165-AL129</f>
        <v>0</v>
      </c>
      <c r="AM166" s="23" t="e">
        <f t="shared" si="1390"/>
        <v>#DIV/0!</v>
      </c>
      <c r="AN166" s="23">
        <f t="shared" ref="AN166:AO166" si="1391">AN165-AN129</f>
        <v>0</v>
      </c>
      <c r="AO166" s="23" t="e">
        <f t="shared" si="1391"/>
        <v>#DIV/0!</v>
      </c>
      <c r="AP166" s="23">
        <f t="shared" ref="AP166:CE166" si="1392">AP165-AP129</f>
        <v>0</v>
      </c>
      <c r="AQ166" s="23" t="e">
        <f t="shared" si="1392"/>
        <v>#DIV/0!</v>
      </c>
      <c r="AR166" s="23">
        <f t="shared" si="1392"/>
        <v>0</v>
      </c>
      <c r="AS166" s="23" t="e">
        <f t="shared" si="1392"/>
        <v>#DIV/0!</v>
      </c>
      <c r="AT166" s="23">
        <f t="shared" si="1392"/>
        <v>0</v>
      </c>
      <c r="AU166" s="23" t="e">
        <f t="shared" si="1392"/>
        <v>#DIV/0!</v>
      </c>
      <c r="AV166" s="23">
        <f t="shared" si="1392"/>
        <v>0</v>
      </c>
      <c r="AW166" s="23" t="e">
        <f t="shared" si="1392"/>
        <v>#DIV/0!</v>
      </c>
      <c r="AX166" s="23">
        <f t="shared" si="1392"/>
        <v>0</v>
      </c>
      <c r="AY166" s="23" t="e">
        <f t="shared" si="1392"/>
        <v>#DIV/0!</v>
      </c>
      <c r="AZ166" s="23">
        <f t="shared" si="1392"/>
        <v>0</v>
      </c>
      <c r="BA166" s="23" t="e">
        <f t="shared" si="1392"/>
        <v>#DIV/0!</v>
      </c>
      <c r="BB166" s="23">
        <f t="shared" si="1392"/>
        <v>0</v>
      </c>
      <c r="BC166" s="23" t="e">
        <f t="shared" si="1392"/>
        <v>#DIV/0!</v>
      </c>
      <c r="BD166" s="23">
        <f t="shared" si="1392"/>
        <v>0</v>
      </c>
      <c r="BE166" s="23" t="e">
        <f t="shared" si="1392"/>
        <v>#DIV/0!</v>
      </c>
      <c r="BF166" s="23">
        <f t="shared" si="1392"/>
        <v>0</v>
      </c>
      <c r="BG166" s="23" t="e">
        <f t="shared" si="1392"/>
        <v>#DIV/0!</v>
      </c>
      <c r="BH166" s="23">
        <f t="shared" ref="BH166" si="1393">BH165-BH129</f>
        <v>0</v>
      </c>
      <c r="BI166" s="23" t="e">
        <f t="shared" si="1392"/>
        <v>#DIV/0!</v>
      </c>
      <c r="BJ166" s="23">
        <f t="shared" si="1392"/>
        <v>0</v>
      </c>
      <c r="BK166" s="23" t="e">
        <f t="shared" si="1392"/>
        <v>#DIV/0!</v>
      </c>
      <c r="BL166" s="23">
        <f t="shared" si="1392"/>
        <v>0</v>
      </c>
      <c r="BM166" s="23">
        <f t="shared" si="1392"/>
        <v>0</v>
      </c>
      <c r="BN166" s="23">
        <f t="shared" si="1392"/>
        <v>0</v>
      </c>
      <c r="BO166" s="23">
        <f t="shared" si="1392"/>
        <v>0</v>
      </c>
      <c r="BP166" s="23">
        <f t="shared" si="1392"/>
        <v>0</v>
      </c>
      <c r="BQ166" s="23">
        <f t="shared" si="1392"/>
        <v>0</v>
      </c>
      <c r="BR166" s="23">
        <f t="shared" si="1392"/>
        <v>0</v>
      </c>
      <c r="BS166" s="23">
        <f t="shared" si="1392"/>
        <v>0</v>
      </c>
      <c r="BT166" s="23">
        <f t="shared" si="1392"/>
        <v>0</v>
      </c>
      <c r="BU166" s="23">
        <f t="shared" si="1392"/>
        <v>0</v>
      </c>
      <c r="BV166" s="23">
        <f t="shared" si="1392"/>
        <v>0</v>
      </c>
      <c r="BW166" s="23">
        <f t="shared" si="1392"/>
        <v>0</v>
      </c>
      <c r="BX166" s="23">
        <f t="shared" si="1392"/>
        <v>0</v>
      </c>
      <c r="BY166" s="23">
        <f t="shared" si="1392"/>
        <v>0</v>
      </c>
      <c r="BZ166" s="23">
        <f t="shared" si="1392"/>
        <v>0</v>
      </c>
      <c r="CA166" s="23">
        <f t="shared" si="1392"/>
        <v>0</v>
      </c>
      <c r="CB166" s="23">
        <f t="shared" si="1392"/>
        <v>0</v>
      </c>
      <c r="CC166" s="23">
        <f t="shared" si="1392"/>
        <v>0</v>
      </c>
      <c r="CD166" s="23">
        <f t="shared" si="1392"/>
        <v>0</v>
      </c>
      <c r="CE166" s="23">
        <f t="shared" si="1392"/>
        <v>0</v>
      </c>
      <c r="CF166" s="23">
        <f t="shared" ref="CF166:CG166" si="1394">CF165-CF129</f>
        <v>0</v>
      </c>
      <c r="CG166" s="23">
        <f t="shared" si="1394"/>
        <v>0</v>
      </c>
      <c r="CH166" s="23">
        <f t="shared" ref="CH166:CI166" si="1395">CH165-CH129</f>
        <v>0</v>
      </c>
      <c r="CI166" s="23">
        <f t="shared" si="1395"/>
        <v>0</v>
      </c>
      <c r="CJ166" s="23">
        <f t="shared" ref="CJ166:DB166" si="1396">CJ165-CJ129</f>
        <v>0</v>
      </c>
      <c r="CK166" s="23">
        <f t="shared" si="1396"/>
        <v>0</v>
      </c>
      <c r="CL166" s="23">
        <f t="shared" ref="CL166" si="1397">CL165-CL129</f>
        <v>0</v>
      </c>
      <c r="CM166" s="24">
        <f t="shared" si="1396"/>
        <v>0</v>
      </c>
      <c r="CN166" s="24">
        <f t="shared" si="1396"/>
        <v>0</v>
      </c>
      <c r="CO166" s="24">
        <f t="shared" si="1396"/>
        <v>0</v>
      </c>
      <c r="CP166" s="24">
        <f t="shared" si="1396"/>
        <v>0</v>
      </c>
      <c r="CQ166" s="24">
        <f t="shared" si="1396"/>
        <v>0</v>
      </c>
      <c r="CR166" s="24">
        <f t="shared" si="1396"/>
        <v>0</v>
      </c>
      <c r="CS166" s="24">
        <f t="shared" si="1396"/>
        <v>0</v>
      </c>
      <c r="CT166" s="24">
        <f t="shared" si="1396"/>
        <v>0</v>
      </c>
      <c r="CU166" s="24">
        <f t="shared" si="1396"/>
        <v>0</v>
      </c>
      <c r="CV166" s="24">
        <f t="shared" si="1396"/>
        <v>0</v>
      </c>
      <c r="CW166" s="24">
        <f t="shared" si="1396"/>
        <v>0</v>
      </c>
      <c r="CX166" s="24">
        <f t="shared" si="1396"/>
        <v>0</v>
      </c>
      <c r="CY166" s="24">
        <f t="shared" si="1396"/>
        <v>0</v>
      </c>
      <c r="CZ166" s="24">
        <f t="shared" si="1396"/>
        <v>0</v>
      </c>
      <c r="DA166" s="24">
        <f t="shared" si="1396"/>
        <v>0</v>
      </c>
      <c r="DB166" s="24">
        <f t="shared" si="1396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98">B128-B161</f>
        <v>0</v>
      </c>
      <c r="C168" s="22">
        <f t="shared" si="1398"/>
        <v>0</v>
      </c>
      <c r="D168" s="22">
        <f t="shared" si="1398"/>
        <v>0</v>
      </c>
      <c r="E168" s="22">
        <f t="shared" si="1398"/>
        <v>0</v>
      </c>
      <c r="F168" s="22">
        <f t="shared" si="1398"/>
        <v>0</v>
      </c>
      <c r="G168" s="22">
        <f t="shared" si="1398"/>
        <v>0</v>
      </c>
      <c r="H168" s="22">
        <f t="shared" si="1398"/>
        <v>0</v>
      </c>
      <c r="I168" s="22">
        <f t="shared" si="1398"/>
        <v>-0.20202789999999998</v>
      </c>
      <c r="J168" s="22">
        <f t="shared" si="1398"/>
        <v>-1.3723447</v>
      </c>
      <c r="K168" s="22">
        <f t="shared" si="1398"/>
        <v>66.415730800000006</v>
      </c>
      <c r="L168" s="22">
        <f t="shared" si="1398"/>
        <v>54.921680600000002</v>
      </c>
      <c r="M168" s="22">
        <f t="shared" si="1398"/>
        <v>25.5569928</v>
      </c>
      <c r="N168" s="22">
        <f t="shared" si="1398"/>
        <v>-342.71722340000002</v>
      </c>
      <c r="O168" s="22">
        <f t="shared" si="1398"/>
        <v>-41.793429099999969</v>
      </c>
      <c r="P168" s="22">
        <f t="shared" si="1398"/>
        <v>-82.0826639</v>
      </c>
      <c r="Q168" s="22">
        <f t="shared" si="1398"/>
        <v>-79.111754799999972</v>
      </c>
      <c r="R168" s="22">
        <f t="shared" si="1398"/>
        <v>104.83631609999998</v>
      </c>
      <c r="S168" s="22">
        <f t="shared" si="1398"/>
        <v>191.97712960000024</v>
      </c>
      <c r="T168" s="22">
        <f t="shared" si="1398"/>
        <v>-129.06299999999999</v>
      </c>
      <c r="U168" s="22">
        <f t="shared" si="1398"/>
        <v>-957.94500000000016</v>
      </c>
      <c r="V168" s="22">
        <f t="shared" si="1398"/>
        <v>-711.5179999999998</v>
      </c>
      <c r="W168" s="22">
        <f t="shared" si="1398"/>
        <v>-3635.8770000000004</v>
      </c>
      <c r="X168" s="22">
        <f t="shared" ref="X168:Y168" si="1399">X128-X161</f>
        <v>-4707.7969999999996</v>
      </c>
      <c r="Y168" s="22">
        <f t="shared" si="1399"/>
        <v>-4306.0339999999997</v>
      </c>
      <c r="Z168" s="22">
        <f t="shared" ref="Z168:AA168" si="1400">Z128-Z161</f>
        <v>-4572.3410000000003</v>
      </c>
      <c r="AA168" s="22">
        <f t="shared" ref="AA168" si="1401">AA128-AA161</f>
        <v>-7605.4160000000002</v>
      </c>
      <c r="AB168" s="21">
        <f t="shared" ref="AB168:AD168" si="1402">AB128-AB161</f>
        <v>-14291.420286830187</v>
      </c>
      <c r="AC168" s="21">
        <f t="shared" si="1402"/>
        <v>-17149.14315183794</v>
      </c>
      <c r="AD168" s="21">
        <f t="shared" si="1402"/>
        <v>-20443.268291070992</v>
      </c>
      <c r="AE168" s="21">
        <f t="shared" ref="AE168" si="1403">AE128-AE161</f>
        <v>-24313.491757045391</v>
      </c>
      <c r="AJ168" s="22">
        <f t="shared" ref="AJ168:AM168" si="1404">AJ128-AJ161</f>
        <v>0</v>
      </c>
      <c r="AK168" s="22" t="e">
        <f t="shared" si="1404"/>
        <v>#DIV/0!</v>
      </c>
      <c r="AL168" s="22">
        <f t="shared" si="1404"/>
        <v>0</v>
      </c>
      <c r="AM168" s="22" t="e">
        <f t="shared" si="1404"/>
        <v>#DIV/0!</v>
      </c>
      <c r="AN168" s="22">
        <f t="shared" ref="AN168:AO168" si="1405">AN128-AN161</f>
        <v>0</v>
      </c>
      <c r="AO168" s="22" t="e">
        <f t="shared" si="1405"/>
        <v>#DIV/0!</v>
      </c>
      <c r="AP168" s="22">
        <f t="shared" ref="AP168:CE168" si="1406">AP128-AP161</f>
        <v>0</v>
      </c>
      <c r="AQ168" s="22" t="e">
        <f t="shared" si="1406"/>
        <v>#DIV/0!</v>
      </c>
      <c r="AR168" s="22">
        <f t="shared" si="1406"/>
        <v>0</v>
      </c>
      <c r="AS168" s="22" t="e">
        <f t="shared" si="1406"/>
        <v>#DIV/0!</v>
      </c>
      <c r="AT168" s="22">
        <f t="shared" si="1406"/>
        <v>0</v>
      </c>
      <c r="AU168" s="22" t="e">
        <f t="shared" si="1406"/>
        <v>#DIV/0!</v>
      </c>
      <c r="AV168" s="22">
        <f t="shared" si="1406"/>
        <v>0</v>
      </c>
      <c r="AW168" s="22" t="e">
        <f t="shared" si="1406"/>
        <v>#DIV/0!</v>
      </c>
      <c r="AX168" s="22">
        <f t="shared" si="1406"/>
        <v>0</v>
      </c>
      <c r="AY168" s="22" t="e">
        <f t="shared" si="1406"/>
        <v>#DIV/0!</v>
      </c>
      <c r="AZ168" s="22">
        <f t="shared" si="1406"/>
        <v>0</v>
      </c>
      <c r="BA168" s="22" t="e">
        <f t="shared" si="1406"/>
        <v>#DIV/0!</v>
      </c>
      <c r="BB168" s="22">
        <f t="shared" si="1406"/>
        <v>0</v>
      </c>
      <c r="BC168" s="22" t="e">
        <f t="shared" si="1406"/>
        <v>#DIV/0!</v>
      </c>
      <c r="BD168" s="22">
        <f t="shared" si="1406"/>
        <v>0</v>
      </c>
      <c r="BE168" s="22" t="e">
        <f t="shared" si="1406"/>
        <v>#DIV/0!</v>
      </c>
      <c r="BF168" s="22">
        <f t="shared" si="1406"/>
        <v>0</v>
      </c>
      <c r="BG168" s="22" t="e">
        <f t="shared" si="1406"/>
        <v>#DIV/0!</v>
      </c>
      <c r="BH168" s="22">
        <f t="shared" si="1406"/>
        <v>0</v>
      </c>
      <c r="BI168" s="22" t="e">
        <f t="shared" si="1406"/>
        <v>#DIV/0!</v>
      </c>
      <c r="BJ168" s="22">
        <f t="shared" si="1406"/>
        <v>0</v>
      </c>
      <c r="BK168" s="22" t="e">
        <f t="shared" si="1406"/>
        <v>#DIV/0!</v>
      </c>
      <c r="BL168" s="22">
        <f t="shared" si="1406"/>
        <v>0</v>
      </c>
      <c r="BM168" s="22">
        <f t="shared" si="1406"/>
        <v>-27.013000000000002</v>
      </c>
      <c r="BN168" s="22">
        <f t="shared" si="1406"/>
        <v>-957.94500000000005</v>
      </c>
      <c r="BO168" s="22">
        <f t="shared" si="1406"/>
        <v>-1218.6019007278746</v>
      </c>
      <c r="BP168" s="22">
        <f t="shared" si="1406"/>
        <v>-2011.2749999999996</v>
      </c>
      <c r="BQ168" s="22">
        <f t="shared" si="1406"/>
        <v>-2069.6583293314611</v>
      </c>
      <c r="BR168" s="22">
        <f t="shared" si="1406"/>
        <v>-711.5179999999998</v>
      </c>
      <c r="BS168" s="22">
        <f t="shared" si="1406"/>
        <v>-1103.9156234373927</v>
      </c>
      <c r="BT168" s="22">
        <f t="shared" si="1406"/>
        <v>-3422.7940000000003</v>
      </c>
      <c r="BU168" s="22">
        <f t="shared" si="1406"/>
        <v>-4077.4499818921372</v>
      </c>
      <c r="BV168" s="22">
        <f t="shared" si="1406"/>
        <v>-3660.4440000000004</v>
      </c>
      <c r="BW168" s="22">
        <f t="shared" si="1406"/>
        <v>-3848.0694622456531</v>
      </c>
      <c r="BX168" s="22">
        <f t="shared" si="1406"/>
        <v>-2416.8409999999999</v>
      </c>
      <c r="BY168" s="22">
        <f t="shared" si="1406"/>
        <v>-2661.3204552529182</v>
      </c>
      <c r="BZ168" s="22">
        <f t="shared" si="1406"/>
        <v>-4844.433</v>
      </c>
      <c r="CA168" s="22">
        <f t="shared" si="1406"/>
        <v>-4983.5979516323569</v>
      </c>
      <c r="CB168" s="22">
        <f t="shared" si="1406"/>
        <v>-6261.6</v>
      </c>
      <c r="CC168" s="22">
        <f t="shared" si="1406"/>
        <v>-6583.914384144171</v>
      </c>
      <c r="CD168" s="22">
        <f t="shared" si="1406"/>
        <v>-7442.0110000000004</v>
      </c>
      <c r="CE168" s="22">
        <f t="shared" si="1406"/>
        <v>-7972.9169795133785</v>
      </c>
      <c r="CF168" s="22">
        <f t="shared" ref="CF168:CG168" si="1407">CF128-CF161</f>
        <v>-9279.4240000000009</v>
      </c>
      <c r="CG168" s="22">
        <f t="shared" si="1407"/>
        <v>-8084.0244003390744</v>
      </c>
      <c r="CH168" s="22">
        <f t="shared" ref="CH168:CI168" si="1408">CH128-CH161</f>
        <v>-4572.3410000000003</v>
      </c>
      <c r="CI168" s="22">
        <f t="shared" si="1408"/>
        <v>-4669.5562525139394</v>
      </c>
      <c r="CJ168" s="22">
        <f t="shared" ref="CJ168:DB168" si="1409">CJ128-CJ161</f>
        <v>-9587.3370000000014</v>
      </c>
      <c r="CK168" s="22">
        <f t="shared" si="1409"/>
        <v>-10350.934921268676</v>
      </c>
      <c r="CL168" s="22">
        <f t="shared" ref="CL168" si="1410">CL128-CL161</f>
        <v>-11891.591</v>
      </c>
      <c r="CM168" s="21">
        <f t="shared" si="1409"/>
        <v>-10907.90351606824</v>
      </c>
      <c r="CN168" s="21">
        <f t="shared" si="1409"/>
        <v>-11735.665600064458</v>
      </c>
      <c r="CO168" s="21">
        <f t="shared" si="1409"/>
        <v>-13118.450578416152</v>
      </c>
      <c r="CP168" s="21">
        <f t="shared" si="1409"/>
        <v>-14291.420286830187</v>
      </c>
      <c r="CQ168" s="21">
        <f t="shared" si="1409"/>
        <v>-12898.68368524357</v>
      </c>
      <c r="CR168" s="21">
        <f t="shared" si="1409"/>
        <v>-13998.229843888475</v>
      </c>
      <c r="CS168" s="21">
        <f t="shared" si="1409"/>
        <v>-15731.460494458013</v>
      </c>
      <c r="CT168" s="21">
        <f t="shared" si="1409"/>
        <v>-17149.14315183794</v>
      </c>
      <c r="CU168" s="21">
        <f t="shared" si="1409"/>
        <v>-15389.769464184377</v>
      </c>
      <c r="CV168" s="21">
        <f t="shared" si="1409"/>
        <v>-16725.361745562222</v>
      </c>
      <c r="CW168" s="21">
        <f t="shared" si="1409"/>
        <v>-18783.472142312614</v>
      </c>
      <c r="CX168" s="21">
        <f t="shared" si="1409"/>
        <v>-20443.268291070992</v>
      </c>
      <c r="CY168" s="21">
        <f t="shared" si="1409"/>
        <v>-18362.396797342841</v>
      </c>
      <c r="CZ168" s="21">
        <f t="shared" si="1409"/>
        <v>-19944.474879257981</v>
      </c>
      <c r="DA168" s="21">
        <f t="shared" si="1409"/>
        <v>-22365.812103867869</v>
      </c>
      <c r="DB168" s="21">
        <f t="shared" si="1409"/>
        <v>-24313.491757045391</v>
      </c>
      <c r="DE168" s="126"/>
      <c r="DF168" s="22">
        <v>-7605.4160000000002</v>
      </c>
    </row>
    <row r="169" spans="1:110" x14ac:dyDescent="0.2">
      <c r="AA169" s="2"/>
      <c r="CE169" s="111"/>
      <c r="CG169" s="111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269.75</v>
      </c>
      <c r="L170" s="49">
        <f>'Annual Raw'!M85</f>
        <v>0</v>
      </c>
      <c r="M170" s="49">
        <f>'Annual Raw'!N85</f>
        <v>376.41333600000002</v>
      </c>
      <c r="N170" s="49">
        <f>'Annual Raw'!O85</f>
        <v>292.46650979999998</v>
      </c>
      <c r="O170" s="49">
        <f>'Annual Raw'!P85</f>
        <v>318.82610419999997</v>
      </c>
      <c r="P170" s="49">
        <f>'Annual Raw'!Q85</f>
        <v>0</v>
      </c>
      <c r="Q170" s="49">
        <f>'Annual Raw'!R85</f>
        <v>144.70893760000001</v>
      </c>
      <c r="R170" s="49">
        <f>'Annual Raw'!S85</f>
        <v>81.863484200000002</v>
      </c>
      <c r="S170" s="49">
        <f>'Annual Raw'!T85</f>
        <v>213.60448779999999</v>
      </c>
      <c r="T170" s="49">
        <f>'Annual Raw'!U85</f>
        <v>356.36599999999999</v>
      </c>
      <c r="U170" s="49">
        <f>'Annual Raw'!V85</f>
        <v>271.358</v>
      </c>
      <c r="V170" s="49">
        <f>'Annual Raw'!W85</f>
        <v>433.77699999999999</v>
      </c>
      <c r="W170" s="49">
        <f>'Annual Raw'!X85</f>
        <v>999.4</v>
      </c>
      <c r="X170" s="49">
        <f>'Annual Raw'!Y85</f>
        <v>3523.2420000000002</v>
      </c>
      <c r="Y170" s="49">
        <f>'Annual Raw'!Z85</f>
        <v>3082.71</v>
      </c>
      <c r="Z170" s="49">
        <f>'Annual Raw'!AA85</f>
        <v>1879.5319999999999</v>
      </c>
      <c r="AA170" s="49">
        <f>'Annual Raw'!AB85</f>
        <v>2830.1370000000002</v>
      </c>
      <c r="AB170" s="50"/>
      <c r="AC170" s="50"/>
      <c r="AD170" s="50"/>
      <c r="AE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2830.1370000000002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269.75</v>
      </c>
      <c r="L171" s="29">
        <f>'Annual Raw'!M95</f>
        <v>0</v>
      </c>
      <c r="M171" s="29">
        <f>'Annual Raw'!N95</f>
        <v>349.75</v>
      </c>
      <c r="N171" s="29">
        <f>'Annual Raw'!O95</f>
        <v>248</v>
      </c>
      <c r="O171" s="29">
        <f>'Annual Raw'!P95</f>
        <v>288.5</v>
      </c>
      <c r="P171" s="29">
        <f>'Annual Raw'!Q95</f>
        <v>0</v>
      </c>
      <c r="Q171" s="29">
        <f>'Annual Raw'!R95</f>
        <v>114.309</v>
      </c>
      <c r="R171" s="29">
        <f>'Annual Raw'!S95</f>
        <v>51</v>
      </c>
      <c r="S171" s="29">
        <f>'Annual Raw'!T95</f>
        <v>197.25</v>
      </c>
      <c r="T171" s="29">
        <f>'Annual Raw'!U95</f>
        <v>325.27</v>
      </c>
      <c r="U171" s="29">
        <f>'Annual Raw'!V95</f>
        <v>240.15</v>
      </c>
      <c r="V171" s="29">
        <f>'Annual Raw'!W95</f>
        <v>418.15</v>
      </c>
      <c r="W171" s="29">
        <f>'Annual Raw'!X95</f>
        <v>980.15</v>
      </c>
      <c r="X171" s="29">
        <f>'Annual Raw'!Y95</f>
        <v>3505.15</v>
      </c>
      <c r="Y171" s="29">
        <f>'Annual Raw'!Z95</f>
        <v>3065.63</v>
      </c>
      <c r="Z171" s="29">
        <f>'Annual Raw'!AA95</f>
        <v>1861.75</v>
      </c>
      <c r="AA171" s="29">
        <f>'Annual Raw'!AB95</f>
        <v>2805.25</v>
      </c>
      <c r="AB171" s="30"/>
      <c r="AC171" s="30"/>
      <c r="AD171" s="30"/>
      <c r="AE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2805.25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26.663336000000001</v>
      </c>
      <c r="N172" s="29">
        <f>'Annual Raw'!O93</f>
        <v>44.466509799999997</v>
      </c>
      <c r="O172" s="29">
        <f>'Annual Raw'!P93</f>
        <v>30.3261042</v>
      </c>
      <c r="P172" s="29">
        <f>'Annual Raw'!Q93</f>
        <v>0</v>
      </c>
      <c r="Q172" s="29">
        <f>'Annual Raw'!R93</f>
        <v>30.399937600000001</v>
      </c>
      <c r="R172" s="29">
        <f>'Annual Raw'!S93</f>
        <v>30.863484199999998</v>
      </c>
      <c r="S172" s="29">
        <f>'Annual Raw'!T93</f>
        <v>16.354487800000001</v>
      </c>
      <c r="T172" s="29">
        <f>'Annual Raw'!U93</f>
        <v>31.096</v>
      </c>
      <c r="U172" s="29">
        <f>'Annual Raw'!V93</f>
        <v>31.207999999999998</v>
      </c>
      <c r="V172" s="29">
        <f>'Annual Raw'!W93</f>
        <v>15.627000000000001</v>
      </c>
      <c r="W172" s="29">
        <f>'Annual Raw'!X93</f>
        <v>19.25</v>
      </c>
      <c r="X172" s="29">
        <f>'Annual Raw'!Y93</f>
        <v>18.091999999999999</v>
      </c>
      <c r="Y172" s="29">
        <f>'Annual Raw'!Z93</f>
        <v>17.079999999999998</v>
      </c>
      <c r="Z172" s="29">
        <f>'Annual Raw'!AA93</f>
        <v>17.782</v>
      </c>
      <c r="AA172" s="29">
        <f>'Annual Raw'!AB93</f>
        <v>24.887</v>
      </c>
      <c r="AB172" s="30"/>
      <c r="AC172" s="30"/>
      <c r="AD172" s="30"/>
      <c r="AE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24.887</v>
      </c>
    </row>
    <row r="173" spans="1:110" s="29" customFormat="1" x14ac:dyDescent="0.2">
      <c r="A173" s="29" t="s">
        <v>84</v>
      </c>
      <c r="B173" s="29">
        <f t="shared" ref="B173:V173" si="1411">B170-B171-B172</f>
        <v>0</v>
      </c>
      <c r="C173" s="29">
        <f t="shared" si="1411"/>
        <v>0</v>
      </c>
      <c r="D173" s="29">
        <f t="shared" si="1411"/>
        <v>0</v>
      </c>
      <c r="E173" s="29">
        <f t="shared" si="1411"/>
        <v>0</v>
      </c>
      <c r="F173" s="29">
        <f t="shared" si="1411"/>
        <v>0</v>
      </c>
      <c r="G173" s="29">
        <f t="shared" si="1411"/>
        <v>0</v>
      </c>
      <c r="H173" s="29">
        <f t="shared" si="1411"/>
        <v>0</v>
      </c>
      <c r="I173" s="29">
        <f t="shared" si="1411"/>
        <v>0</v>
      </c>
      <c r="J173" s="29">
        <f t="shared" si="1411"/>
        <v>0</v>
      </c>
      <c r="K173" s="29">
        <f t="shared" si="1411"/>
        <v>0</v>
      </c>
      <c r="L173" s="29">
        <f t="shared" si="1411"/>
        <v>0</v>
      </c>
      <c r="M173" s="29">
        <f t="shared" si="1411"/>
        <v>0</v>
      </c>
      <c r="N173" s="29">
        <f t="shared" si="1411"/>
        <v>0</v>
      </c>
      <c r="O173" s="29">
        <f t="shared" si="1411"/>
        <v>0</v>
      </c>
      <c r="P173" s="29">
        <f t="shared" si="1411"/>
        <v>0</v>
      </c>
      <c r="Q173" s="29">
        <f t="shared" si="1411"/>
        <v>0</v>
      </c>
      <c r="R173" s="29">
        <f t="shared" si="1411"/>
        <v>0</v>
      </c>
      <c r="S173" s="29">
        <f t="shared" si="1411"/>
        <v>0</v>
      </c>
      <c r="T173" s="29">
        <f t="shared" si="1411"/>
        <v>0</v>
      </c>
      <c r="U173" s="29">
        <f t="shared" si="1411"/>
        <v>0</v>
      </c>
      <c r="V173" s="29">
        <f t="shared" si="1411"/>
        <v>0</v>
      </c>
      <c r="W173" s="29">
        <f t="shared" ref="W173" si="1412">W170-W171-W172</f>
        <v>0</v>
      </c>
      <c r="X173" s="29">
        <f t="shared" ref="X173:Y173" si="1413">X170-X171-X172</f>
        <v>9.9475983006414026E-14</v>
      </c>
      <c r="Y173" s="29">
        <f t="shared" si="1413"/>
        <v>-7.1054273576010019E-14</v>
      </c>
      <c r="Z173" s="29">
        <f t="shared" ref="Z173:AA173" si="1414">Z170-Z171-Z172</f>
        <v>-7.460698725481052E-14</v>
      </c>
      <c r="AA173" s="29">
        <f t="shared" ref="AA173" si="1415">AA170-AA171-AA172</f>
        <v>1.7053025658242404E-13</v>
      </c>
      <c r="AB173" s="30">
        <f t="shared" ref="AB173:AD173" si="1416">AB170-AB171-AB172</f>
        <v>0</v>
      </c>
      <c r="AC173" s="30">
        <f t="shared" si="1416"/>
        <v>0</v>
      </c>
      <c r="AD173" s="30">
        <f t="shared" si="1416"/>
        <v>0</v>
      </c>
      <c r="AE173" s="30">
        <f t="shared" ref="AE173" si="1417">AE170-AE171-AE172</f>
        <v>0</v>
      </c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1.7053025658242404E-13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18">B170/B120</f>
        <v>#DIV/0!</v>
      </c>
      <c r="C175" s="95" t="e">
        <f t="shared" si="1418"/>
        <v>#DIV/0!</v>
      </c>
      <c r="D175" s="95" t="e">
        <f t="shared" si="1418"/>
        <v>#DIV/0!</v>
      </c>
      <c r="E175" s="95" t="e">
        <f t="shared" si="1418"/>
        <v>#DIV/0!</v>
      </c>
      <c r="F175" s="95" t="e">
        <f t="shared" si="1418"/>
        <v>#DIV/0!</v>
      </c>
      <c r="G175" s="95" t="e">
        <f t="shared" si="1418"/>
        <v>#DIV/0!</v>
      </c>
      <c r="H175" s="95" t="e">
        <f t="shared" si="1418"/>
        <v>#DIV/0!</v>
      </c>
      <c r="I175" s="95">
        <f t="shared" si="1418"/>
        <v>0</v>
      </c>
      <c r="J175" s="95">
        <f t="shared" si="1418"/>
        <v>0</v>
      </c>
      <c r="K175" s="95">
        <f t="shared" si="1418"/>
        <v>1.4092928236946383</v>
      </c>
      <c r="L175" s="95">
        <f t="shared" si="1418"/>
        <v>0</v>
      </c>
      <c r="M175" s="95">
        <f t="shared" si="1418"/>
        <v>1.8944268595200175</v>
      </c>
      <c r="N175" s="95">
        <f t="shared" si="1418"/>
        <v>0.94703979614696465</v>
      </c>
      <c r="O175" s="95">
        <f t="shared" si="1418"/>
        <v>1.0236132361127721</v>
      </c>
      <c r="P175" s="95">
        <f t="shared" si="1418"/>
        <v>0</v>
      </c>
      <c r="Q175" s="95">
        <f t="shared" si="1418"/>
        <v>0.39184289700178898</v>
      </c>
      <c r="R175" s="95">
        <f t="shared" si="1418"/>
        <v>0.21021090351922339</v>
      </c>
      <c r="S175" s="95">
        <f t="shared" si="1418"/>
        <v>0.44974751479703401</v>
      </c>
      <c r="T175" s="95">
        <f t="shared" si="1418"/>
        <v>0.67057307102467834</v>
      </c>
      <c r="U175" s="95">
        <f t="shared" si="1418"/>
        <v>0.45882529982973158</v>
      </c>
      <c r="V175" s="95">
        <f t="shared" si="1418"/>
        <v>0.38353505800634302</v>
      </c>
      <c r="W175" s="95">
        <f t="shared" si="1418"/>
        <v>0.63078421360572645</v>
      </c>
      <c r="X175" s="95">
        <f t="shared" ref="X175:Y175" si="1419">X170/X120</f>
        <v>1.6299548751409865</v>
      </c>
      <c r="Y175" s="95">
        <f t="shared" si="1419"/>
        <v>1.0145155520480957</v>
      </c>
      <c r="Z175" s="95">
        <f t="shared" ref="Z175:AA175" si="1420">Z170/Z120</f>
        <v>0.33435312710468112</v>
      </c>
      <c r="AA175" s="95">
        <f t="shared" ref="AA175" si="1421">AA170/AA120</f>
        <v>0.46260766345238014</v>
      </c>
      <c r="AB175" s="87">
        <f t="shared" ref="AB175:AD175" si="1422">AB170/AB120</f>
        <v>0</v>
      </c>
      <c r="AC175" s="87">
        <f t="shared" si="1422"/>
        <v>0</v>
      </c>
      <c r="AD175" s="87">
        <f t="shared" si="1422"/>
        <v>0</v>
      </c>
      <c r="AE175" s="87">
        <f t="shared" ref="AE175" si="1423">AE170/AE120</f>
        <v>0</v>
      </c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0.46260766345238014</v>
      </c>
    </row>
    <row r="176" spans="1:110" x14ac:dyDescent="0.2">
      <c r="A176" s="152" t="s">
        <v>492</v>
      </c>
      <c r="AA176" s="2"/>
      <c r="CE176" s="111"/>
      <c r="CG176" s="111"/>
    </row>
    <row r="177" spans="1:110" s="6" customFormat="1" x14ac:dyDescent="0.2">
      <c r="AB177" s="19"/>
      <c r="AC177" s="19"/>
      <c r="AD177" s="19"/>
      <c r="AE177" s="19"/>
      <c r="CE177" s="113"/>
      <c r="CG177" s="113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24">B144/B8*365</f>
        <v>#DIV/0!</v>
      </c>
      <c r="C179" s="67" t="e">
        <f t="shared" si="1424"/>
        <v>#DIV/0!</v>
      </c>
      <c r="D179" s="67" t="e">
        <f t="shared" si="1424"/>
        <v>#DIV/0!</v>
      </c>
      <c r="E179" s="67" t="e">
        <f t="shared" si="1424"/>
        <v>#DIV/0!</v>
      </c>
      <c r="F179" s="67" t="e">
        <f t="shared" si="1424"/>
        <v>#DIV/0!</v>
      </c>
      <c r="G179" s="67" t="e">
        <f t="shared" si="1424"/>
        <v>#DIV/0!</v>
      </c>
      <c r="H179" s="67" t="e">
        <f t="shared" si="1424"/>
        <v>#DIV/0!</v>
      </c>
      <c r="I179" s="67">
        <f t="shared" si="1424"/>
        <v>1093.8204778369675</v>
      </c>
      <c r="J179" s="67">
        <f t="shared" si="1424"/>
        <v>1999.8088898650678</v>
      </c>
      <c r="K179" s="67">
        <f t="shared" si="1424"/>
        <v>645.2326297788145</v>
      </c>
      <c r="L179" s="67">
        <f t="shared" si="1424"/>
        <v>157.05325514541789</v>
      </c>
      <c r="M179" s="67">
        <f t="shared" si="1424"/>
        <v>43.851436938738814</v>
      </c>
      <c r="N179" s="67" t="e">
        <f t="shared" si="1424"/>
        <v>#DIV/0!</v>
      </c>
      <c r="O179" s="67">
        <f t="shared" si="1424"/>
        <v>8.0275369669240523E-2</v>
      </c>
      <c r="P179" s="67">
        <f t="shared" si="1424"/>
        <v>7.2256151459914583E-2</v>
      </c>
      <c r="Q179" s="67">
        <f t="shared" si="1424"/>
        <v>0.12266722856503444</v>
      </c>
      <c r="R179" s="67">
        <f t="shared" si="1424"/>
        <v>0.15394863493924374</v>
      </c>
      <c r="S179" s="67">
        <f t="shared" si="1424"/>
        <v>2.6935195917685981E-2</v>
      </c>
      <c r="T179" s="67">
        <f t="shared" si="1424"/>
        <v>2.1537594083554063E-2</v>
      </c>
      <c r="U179" s="67">
        <f t="shared" si="1424"/>
        <v>2.2666927951599723E-2</v>
      </c>
      <c r="V179" s="67">
        <f t="shared" si="1424"/>
        <v>0</v>
      </c>
      <c r="W179" s="67">
        <f t="shared" si="1424"/>
        <v>0</v>
      </c>
      <c r="X179" s="67">
        <f t="shared" si="1424"/>
        <v>0</v>
      </c>
      <c r="Y179" s="67">
        <f t="shared" si="1424"/>
        <v>0</v>
      </c>
      <c r="Z179" s="67">
        <f t="shared" si="1424"/>
        <v>0</v>
      </c>
      <c r="AA179" s="67">
        <f t="shared" ref="AA179" si="1425">AA144/AA8*365</f>
        <v>0</v>
      </c>
      <c r="AB179" s="18">
        <f t="shared" si="1424"/>
        <v>0</v>
      </c>
      <c r="AC179" s="18">
        <f t="shared" si="1424"/>
        <v>0</v>
      </c>
      <c r="AD179" s="18">
        <f t="shared" si="1424"/>
        <v>0</v>
      </c>
      <c r="AE179" s="18">
        <f t="shared" si="1424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26">+AJ179</f>
        <v>#DIV/0!</v>
      </c>
      <c r="AL179" s="67" t="e">
        <f>AL144/AL8*90</f>
        <v>#DIV/0!</v>
      </c>
      <c r="AM179" s="67" t="e">
        <f t="shared" ref="AM179:AM180" si="1427">+AL179</f>
        <v>#DIV/0!</v>
      </c>
      <c r="AN179" s="67" t="e">
        <f>AN144/AN8*90</f>
        <v>#DIV/0!</v>
      </c>
      <c r="AO179" s="67" t="e">
        <f t="shared" ref="AO179:AO180" si="1428">+AN179</f>
        <v>#DIV/0!</v>
      </c>
      <c r="AP179" s="67" t="e">
        <f>AP144/AP8*90</f>
        <v>#DIV/0!</v>
      </c>
      <c r="AQ179" s="67" t="e">
        <f t="shared" ref="AQ179:AQ180" si="1429">+AP179</f>
        <v>#DIV/0!</v>
      </c>
      <c r="AR179" s="67" t="e">
        <f>AR144/AR8*90</f>
        <v>#DIV/0!</v>
      </c>
      <c r="AS179" s="67" t="e">
        <f t="shared" ref="AS179:AS180" si="1430">+AR179</f>
        <v>#DIV/0!</v>
      </c>
      <c r="AT179" s="67" t="e">
        <f>AT144/AT8*90</f>
        <v>#DIV/0!</v>
      </c>
      <c r="AU179" s="67" t="e">
        <f t="shared" ref="AU179:AU180" si="1431">+AT179</f>
        <v>#DIV/0!</v>
      </c>
      <c r="AV179" s="67" t="e">
        <f>AV144/AV8*90</f>
        <v>#DIV/0!</v>
      </c>
      <c r="AW179" s="67" t="e">
        <f t="shared" ref="AW179:AW180" si="1432">+AV179</f>
        <v>#DIV/0!</v>
      </c>
      <c r="AX179" s="67" t="e">
        <f>AX144/AX8*90</f>
        <v>#DIV/0!</v>
      </c>
      <c r="AY179" s="67" t="e">
        <f t="shared" ref="AY179:AY180" si="1433">+AX179</f>
        <v>#DIV/0!</v>
      </c>
      <c r="AZ179" s="67" t="e">
        <f>AZ144/AZ8*90</f>
        <v>#DIV/0!</v>
      </c>
      <c r="BA179" s="67" t="e">
        <f t="shared" ref="BA179:BA180" si="1434">+AZ179</f>
        <v>#DIV/0!</v>
      </c>
      <c r="BB179" s="67" t="e">
        <f>BB144/BB8*90</f>
        <v>#DIV/0!</v>
      </c>
      <c r="BC179" s="67" t="e">
        <f t="shared" ref="BC179:BC180" si="1435">+BB179</f>
        <v>#DIV/0!</v>
      </c>
      <c r="BD179" s="67" t="e">
        <f>BD144/BD8*90</f>
        <v>#DIV/0!</v>
      </c>
      <c r="BE179" s="67" t="e">
        <f t="shared" ref="BE179:BE180" si="1436">+BD179</f>
        <v>#DIV/0!</v>
      </c>
      <c r="BF179" s="67" t="e">
        <f>BF144/BF8*90</f>
        <v>#DIV/0!</v>
      </c>
      <c r="BG179" s="67" t="e">
        <f t="shared" ref="BG179:BG180" si="1437">+BF179</f>
        <v>#DIV/0!</v>
      </c>
      <c r="BH179" s="67" t="e">
        <f>BH144/BH8*90</f>
        <v>#DIV/0!</v>
      </c>
      <c r="BI179" s="67" t="e">
        <f t="shared" ref="BI179:BI180" si="1438">+BH179</f>
        <v>#DIV/0!</v>
      </c>
      <c r="BJ179" s="67" t="e">
        <f>BJ144/BJ8*90</f>
        <v>#DIV/0!</v>
      </c>
      <c r="BK179" s="67" t="e">
        <f t="shared" ref="BK179:BK180" si="1439">+BJ179</f>
        <v>#DIV/0!</v>
      </c>
      <c r="BL179" s="67">
        <f>BL144/BL8*90</f>
        <v>0</v>
      </c>
      <c r="BM179" s="67">
        <f t="shared" ref="BM179:BM180" si="1440">+BL179</f>
        <v>0</v>
      </c>
      <c r="BN179" s="67">
        <f>BN144/BN8*90</f>
        <v>0</v>
      </c>
      <c r="BO179" s="67">
        <f t="shared" ref="BO179:BO180" si="1441">+BN179</f>
        <v>0</v>
      </c>
      <c r="BP179" s="67">
        <f>BP144/BP8*90</f>
        <v>0</v>
      </c>
      <c r="BQ179" s="67">
        <f t="shared" ref="BQ179:BQ180" si="1442">+BP179</f>
        <v>0</v>
      </c>
      <c r="BR179" s="67">
        <f>BR144/BR8*90</f>
        <v>0</v>
      </c>
      <c r="BS179" s="67">
        <f t="shared" ref="BS179:BS180" si="1443">+BR179</f>
        <v>0</v>
      </c>
      <c r="BT179" s="67">
        <f>BT144/BT8*90</f>
        <v>0</v>
      </c>
      <c r="BU179" s="67">
        <f t="shared" ref="BU179:BU180" si="1444">+BT179</f>
        <v>0</v>
      </c>
      <c r="BV179" s="67">
        <f>BV144/BV8*90</f>
        <v>0</v>
      </c>
      <c r="BW179" s="67">
        <f t="shared" ref="BW179:BW180" si="1445">+BV179</f>
        <v>0</v>
      </c>
      <c r="BX179" s="67">
        <f>BX144/BX8*90</f>
        <v>0</v>
      </c>
      <c r="BY179" s="67">
        <f t="shared" ref="BY179:BY180" si="1446">+BX179</f>
        <v>0</v>
      </c>
      <c r="BZ179" s="67">
        <f>BZ144/BZ8*90</f>
        <v>0</v>
      </c>
      <c r="CA179" s="67">
        <f t="shared" ref="CA179:CA180" si="1447">+BZ179</f>
        <v>0</v>
      </c>
      <c r="CB179" s="67">
        <f>CB144/CB8*90</f>
        <v>0</v>
      </c>
      <c r="CC179" s="67">
        <f t="shared" ref="CC179:CC180" si="1448">+CB179</f>
        <v>0</v>
      </c>
      <c r="CD179" s="67">
        <f>CD144/CD8*90</f>
        <v>0</v>
      </c>
      <c r="CE179" s="67">
        <f t="shared" si="1426"/>
        <v>0</v>
      </c>
      <c r="CF179" s="67">
        <f>CF144/CF8*90</f>
        <v>0</v>
      </c>
      <c r="CG179" s="67">
        <f t="shared" ref="CG179:CI180" si="1449">+CF179</f>
        <v>0</v>
      </c>
      <c r="CH179" s="67">
        <f>CH144/CH8*90</f>
        <v>0</v>
      </c>
      <c r="CI179" s="67">
        <f t="shared" si="1449"/>
        <v>0</v>
      </c>
      <c r="CJ179" s="67">
        <f>CJ144/CJ8*90</f>
        <v>0</v>
      </c>
      <c r="CK179" s="67">
        <f t="shared" ref="CK179:CK180" si="1450">+CJ179</f>
        <v>0</v>
      </c>
      <c r="CL179" s="67">
        <f>CL144/CL8*90</f>
        <v>0</v>
      </c>
      <c r="CM179" s="30">
        <f t="shared" ref="CM179:CM180" si="1451">+CL179</f>
        <v>0</v>
      </c>
      <c r="CN179" s="30">
        <f t="shared" ref="CN179:CN180" si="1452">+CM179</f>
        <v>0</v>
      </c>
      <c r="CO179" s="30">
        <f t="shared" ref="CO179:CO180" si="1453">+CN179</f>
        <v>0</v>
      </c>
      <c r="CP179" s="30">
        <f t="shared" ref="CP179:CP180" si="1454">+CO179</f>
        <v>0</v>
      </c>
      <c r="CQ179" s="30">
        <f t="shared" ref="CQ179:CQ180" si="1455">+CP179</f>
        <v>0</v>
      </c>
      <c r="CR179" s="30">
        <f t="shared" ref="CR179:CR180" si="1456">+CQ179</f>
        <v>0</v>
      </c>
      <c r="CS179" s="30">
        <f t="shared" ref="CS179:CS180" si="1457">+CR179</f>
        <v>0</v>
      </c>
      <c r="CT179" s="30">
        <f t="shared" ref="CT179:CT180" si="1458">+CS179</f>
        <v>0</v>
      </c>
      <c r="CU179" s="30">
        <f t="shared" ref="CU179:CU180" si="1459">+CT179</f>
        <v>0</v>
      </c>
      <c r="CV179" s="30">
        <f t="shared" ref="CV179:CV180" si="1460">+CU179</f>
        <v>0</v>
      </c>
      <c r="CW179" s="30">
        <f t="shared" ref="CW179:CW180" si="1461">+CV179</f>
        <v>0</v>
      </c>
      <c r="CX179" s="30">
        <f t="shared" ref="CX179:CX180" si="1462">+CW179</f>
        <v>0</v>
      </c>
      <c r="CY179" s="30">
        <f t="shared" ref="CY179:CY180" si="1463">+CX179</f>
        <v>0</v>
      </c>
      <c r="CZ179" s="30">
        <f t="shared" ref="CZ179:CZ180" si="1464">+CY179</f>
        <v>0</v>
      </c>
      <c r="DA179" s="30">
        <f t="shared" ref="DA179:DA180" si="1465">+CZ179</f>
        <v>0</v>
      </c>
      <c r="DB179" s="30">
        <f t="shared" ref="DB179:DB180" si="1466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67">B145/B8*365</f>
        <v>#DIV/0!</v>
      </c>
      <c r="C180" s="67" t="e">
        <f t="shared" si="1467"/>
        <v>#DIV/0!</v>
      </c>
      <c r="D180" s="67" t="e">
        <f t="shared" si="1467"/>
        <v>#DIV/0!</v>
      </c>
      <c r="E180" s="67" t="e">
        <f t="shared" si="1467"/>
        <v>#DIV/0!</v>
      </c>
      <c r="F180" s="67" t="e">
        <f t="shared" si="1467"/>
        <v>#DIV/0!</v>
      </c>
      <c r="G180" s="67" t="e">
        <f t="shared" si="1467"/>
        <v>#DIV/0!</v>
      </c>
      <c r="H180" s="67" t="e">
        <f t="shared" si="1467"/>
        <v>#DIV/0!</v>
      </c>
      <c r="I180" s="67">
        <f t="shared" si="1467"/>
        <v>0</v>
      </c>
      <c r="J180" s="67">
        <f t="shared" si="1467"/>
        <v>15.187263681124557</v>
      </c>
      <c r="K180" s="67">
        <f t="shared" si="1467"/>
        <v>536.04409033872105</v>
      </c>
      <c r="L180" s="67">
        <f t="shared" si="1467"/>
        <v>133.51514597882132</v>
      </c>
      <c r="M180" s="67">
        <f t="shared" si="1467"/>
        <v>0</v>
      </c>
      <c r="N180" s="67" t="e">
        <f t="shared" si="1467"/>
        <v>#DIV/0!</v>
      </c>
      <c r="O180" s="67">
        <f t="shared" si="1467"/>
        <v>228.34460909625179</v>
      </c>
      <c r="P180" s="67">
        <f t="shared" si="1467"/>
        <v>219.06496890934559</v>
      </c>
      <c r="Q180" s="67">
        <f t="shared" si="1467"/>
        <v>363.52495536777349</v>
      </c>
      <c r="R180" s="67">
        <f t="shared" si="1467"/>
        <v>726.92821922228211</v>
      </c>
      <c r="S180" s="67">
        <f t="shared" si="1467"/>
        <v>75.621566369111633</v>
      </c>
      <c r="T180" s="67">
        <f t="shared" si="1467"/>
        <v>102.73145209934175</v>
      </c>
      <c r="U180" s="67">
        <f t="shared" si="1467"/>
        <v>19.658271048157388</v>
      </c>
      <c r="V180" s="67">
        <f t="shared" si="1467"/>
        <v>65.76697576292807</v>
      </c>
      <c r="W180" s="67">
        <f t="shared" si="1467"/>
        <v>90.062415052240951</v>
      </c>
      <c r="X180" s="67">
        <f t="shared" si="1467"/>
        <v>45.501679945761992</v>
      </c>
      <c r="Y180" s="67">
        <f t="shared" si="1467"/>
        <v>41.607865890829004</v>
      </c>
      <c r="Z180" s="67">
        <f t="shared" si="1467"/>
        <v>20.874914739846048</v>
      </c>
      <c r="AA180" s="67">
        <f t="shared" ref="AA180" si="1468">AA145/AA8*365</f>
        <v>30.871542245688644</v>
      </c>
      <c r="AB180" s="18">
        <f t="shared" si="1467"/>
        <v>32.626981687916945</v>
      </c>
      <c r="AC180" s="18">
        <f t="shared" si="1467"/>
        <v>33.103839770836601</v>
      </c>
      <c r="AD180" s="18">
        <f t="shared" si="1467"/>
        <v>33.1611877378282</v>
      </c>
      <c r="AE180" s="18">
        <f t="shared" si="1467"/>
        <v>33.165867907682568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27"/>
        <v>#DIV/0!</v>
      </c>
      <c r="AN180" s="67" t="e">
        <f>AN145/AN8*90</f>
        <v>#DIV/0!</v>
      </c>
      <c r="AO180" s="67" t="e">
        <f t="shared" si="1428"/>
        <v>#DIV/0!</v>
      </c>
      <c r="AP180" s="67" t="e">
        <f>AP145/AP8*90</f>
        <v>#DIV/0!</v>
      </c>
      <c r="AQ180" s="67" t="e">
        <f t="shared" si="1429"/>
        <v>#DIV/0!</v>
      </c>
      <c r="AR180" s="67" t="e">
        <f>AR145/AR8*90</f>
        <v>#DIV/0!</v>
      </c>
      <c r="AS180" s="67" t="e">
        <f t="shared" si="1430"/>
        <v>#DIV/0!</v>
      </c>
      <c r="AT180" s="67" t="e">
        <f>AT145/AT8*90</f>
        <v>#DIV/0!</v>
      </c>
      <c r="AU180" s="67" t="e">
        <f t="shared" si="1431"/>
        <v>#DIV/0!</v>
      </c>
      <c r="AV180" s="67" t="e">
        <f>AV145/AV8*90</f>
        <v>#DIV/0!</v>
      </c>
      <c r="AW180" s="67" t="e">
        <f t="shared" si="1432"/>
        <v>#DIV/0!</v>
      </c>
      <c r="AX180" s="67" t="e">
        <f>AX145/AX8*90</f>
        <v>#DIV/0!</v>
      </c>
      <c r="AY180" s="67" t="e">
        <f t="shared" si="1433"/>
        <v>#DIV/0!</v>
      </c>
      <c r="AZ180" s="67" t="e">
        <f>AZ145/AZ8*90</f>
        <v>#DIV/0!</v>
      </c>
      <c r="BA180" s="67" t="e">
        <f t="shared" si="1434"/>
        <v>#DIV/0!</v>
      </c>
      <c r="BB180" s="67" t="e">
        <f>BB145/BB8*90</f>
        <v>#DIV/0!</v>
      </c>
      <c r="BC180" s="67" t="e">
        <f t="shared" si="1435"/>
        <v>#DIV/0!</v>
      </c>
      <c r="BD180" s="67" t="e">
        <f>BD145/BD8*90</f>
        <v>#DIV/0!</v>
      </c>
      <c r="BE180" s="67" t="e">
        <f t="shared" si="1436"/>
        <v>#DIV/0!</v>
      </c>
      <c r="BF180" s="67" t="e">
        <f>BF145/BF8*90</f>
        <v>#DIV/0!</v>
      </c>
      <c r="BG180" s="67" t="e">
        <f t="shared" si="1437"/>
        <v>#DIV/0!</v>
      </c>
      <c r="BH180" s="67" t="e">
        <f>BH145/BH8*90</f>
        <v>#DIV/0!</v>
      </c>
      <c r="BI180" s="67" t="e">
        <f t="shared" si="1438"/>
        <v>#DIV/0!</v>
      </c>
      <c r="BJ180" s="67" t="e">
        <f>BJ145/BJ8*90</f>
        <v>#DIV/0!</v>
      </c>
      <c r="BK180" s="67" t="e">
        <f t="shared" si="1439"/>
        <v>#DIV/0!</v>
      </c>
      <c r="BL180" s="67">
        <f>BL145/BL8*90</f>
        <v>0</v>
      </c>
      <c r="BM180" s="67">
        <f t="shared" si="1440"/>
        <v>0</v>
      </c>
      <c r="BN180" s="67">
        <f>BN145/BN8*90</f>
        <v>18.222440117663542</v>
      </c>
      <c r="BO180" s="67">
        <f t="shared" si="1441"/>
        <v>18.222440117663542</v>
      </c>
      <c r="BP180" s="67">
        <f>BP145/BP8*90</f>
        <v>13.344532119862516</v>
      </c>
      <c r="BQ180" s="67">
        <f t="shared" si="1442"/>
        <v>13.344532119862516</v>
      </c>
      <c r="BR180" s="67">
        <f>BR145/BR8*90</f>
        <v>50.151610819065517</v>
      </c>
      <c r="BS180" s="67">
        <f t="shared" si="1443"/>
        <v>50.151610819065517</v>
      </c>
      <c r="BT180" s="67">
        <f>BT145/BT8*90</f>
        <v>13.746444419160312</v>
      </c>
      <c r="BU180" s="67">
        <f t="shared" si="1444"/>
        <v>13.746444419160312</v>
      </c>
      <c r="BV180" s="67">
        <f>BV145/BV8*90</f>
        <v>74.733383371841441</v>
      </c>
      <c r="BW180" s="67">
        <f t="shared" si="1445"/>
        <v>74.733383371841441</v>
      </c>
      <c r="BX180" s="67">
        <f>BX145/BX8*90</f>
        <v>51.529075540050989</v>
      </c>
      <c r="BY180" s="67">
        <f t="shared" si="1446"/>
        <v>51.529075540050989</v>
      </c>
      <c r="BZ180" s="67">
        <f>BZ145/BZ8*90</f>
        <v>40.783589952260883</v>
      </c>
      <c r="CA180" s="67">
        <f t="shared" si="1447"/>
        <v>40.783589952260883</v>
      </c>
      <c r="CB180" s="67">
        <f>CB145/CB8*90</f>
        <v>25.380129348476476</v>
      </c>
      <c r="CC180" s="67">
        <f t="shared" si="1448"/>
        <v>25.380129348476476</v>
      </c>
      <c r="CD180" s="67">
        <f>CD145/CD8*90</f>
        <v>32.289107005502196</v>
      </c>
      <c r="CE180" s="114">
        <f t="shared" ref="CE180" si="1469">+CD180</f>
        <v>32.289107005502196</v>
      </c>
      <c r="CF180" s="67">
        <f>CF145/CF8*90</f>
        <v>33.754471164701272</v>
      </c>
      <c r="CG180" s="67">
        <f t="shared" si="1449"/>
        <v>33.754471164701272</v>
      </c>
      <c r="CH180" s="67">
        <f>CH145/CH8*90</f>
        <v>25.533009536814419</v>
      </c>
      <c r="CI180" s="67">
        <f t="shared" si="1449"/>
        <v>25.533009536814419</v>
      </c>
      <c r="CJ180" s="67">
        <f>CJ145/CJ8*90</f>
        <v>21.193801081415724</v>
      </c>
      <c r="CK180" s="67">
        <f t="shared" si="1450"/>
        <v>21.193801081415724</v>
      </c>
      <c r="CL180" s="67">
        <f>CL145/CL8*90</f>
        <v>26.791894325287679</v>
      </c>
      <c r="CM180" s="30">
        <f t="shared" si="1451"/>
        <v>26.791894325287679</v>
      </c>
      <c r="CN180" s="30">
        <f t="shared" si="1452"/>
        <v>26.791894325287679</v>
      </c>
      <c r="CO180" s="30">
        <f t="shared" si="1453"/>
        <v>26.791894325287679</v>
      </c>
      <c r="CP180" s="30">
        <f t="shared" si="1454"/>
        <v>26.791894325287679</v>
      </c>
      <c r="CQ180" s="30">
        <f t="shared" si="1455"/>
        <v>26.791894325287679</v>
      </c>
      <c r="CR180" s="30">
        <f t="shared" si="1456"/>
        <v>26.791894325287679</v>
      </c>
      <c r="CS180" s="30">
        <f t="shared" si="1457"/>
        <v>26.791894325287679</v>
      </c>
      <c r="CT180" s="30">
        <f t="shared" si="1458"/>
        <v>26.791894325287679</v>
      </c>
      <c r="CU180" s="30">
        <f t="shared" si="1459"/>
        <v>26.791894325287679</v>
      </c>
      <c r="CV180" s="30">
        <f t="shared" si="1460"/>
        <v>26.791894325287679</v>
      </c>
      <c r="CW180" s="30">
        <f t="shared" si="1461"/>
        <v>26.791894325287679</v>
      </c>
      <c r="CX180" s="30">
        <f t="shared" si="1462"/>
        <v>26.791894325287679</v>
      </c>
      <c r="CY180" s="30">
        <f t="shared" si="1463"/>
        <v>26.791894325287679</v>
      </c>
      <c r="CZ180" s="30">
        <f t="shared" si="1464"/>
        <v>26.791894325287679</v>
      </c>
      <c r="DA180" s="30">
        <f t="shared" si="1465"/>
        <v>26.791894325287679</v>
      </c>
      <c r="DB180" s="30">
        <f t="shared" si="1466"/>
        <v>26.791894325287679</v>
      </c>
      <c r="DE180" s="139"/>
      <c r="DF180" s="62">
        <v>30.871542245688644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70">C182-C180-C179</f>
        <v>#DIV/0!</v>
      </c>
      <c r="D181" s="67" t="e">
        <f t="shared" si="1470"/>
        <v>#DIV/0!</v>
      </c>
      <c r="E181" s="67" t="e">
        <f t="shared" si="1470"/>
        <v>#DIV/0!</v>
      </c>
      <c r="F181" s="67" t="e">
        <f t="shared" si="1470"/>
        <v>#DIV/0!</v>
      </c>
      <c r="G181" s="67" t="e">
        <f t="shared" si="1470"/>
        <v>#DIV/0!</v>
      </c>
      <c r="H181" s="67" t="e">
        <f t="shared" si="1470"/>
        <v>#DIV/0!</v>
      </c>
      <c r="I181" s="67">
        <f t="shared" si="1470"/>
        <v>1176.6201898112915</v>
      </c>
      <c r="J181" s="67">
        <f t="shared" si="1470"/>
        <v>2271.5632599789515</v>
      </c>
      <c r="K181" s="67">
        <f t="shared" si="1470"/>
        <v>1653.1201488075335</v>
      </c>
      <c r="L181" s="67">
        <f t="shared" si="1470"/>
        <v>1025.3529149688893</v>
      </c>
      <c r="M181" s="67">
        <f t="shared" si="1470"/>
        <v>643.37712502156046</v>
      </c>
      <c r="N181" s="67" t="e">
        <f t="shared" si="1470"/>
        <v>#DIV/0!</v>
      </c>
      <c r="O181" s="67">
        <f t="shared" si="1470"/>
        <v>297.51709804970892</v>
      </c>
      <c r="P181" s="67">
        <f t="shared" si="1470"/>
        <v>183.76170339831583</v>
      </c>
      <c r="Q181" s="67">
        <f t="shared" si="1470"/>
        <v>106.15211599971514</v>
      </c>
      <c r="R181" s="67">
        <f t="shared" si="1470"/>
        <v>204.84487762667885</v>
      </c>
      <c r="S181" s="67">
        <f t="shared" si="1470"/>
        <v>615.39536127985536</v>
      </c>
      <c r="T181" s="67">
        <f t="shared" si="1470"/>
        <v>488.56404893656077</v>
      </c>
      <c r="U181" s="67">
        <f t="shared" si="1470"/>
        <v>368.60152299675417</v>
      </c>
      <c r="V181" s="67">
        <f>V182-V180-V179</f>
        <v>824.68255117576871</v>
      </c>
      <c r="W181" s="67">
        <f t="shared" ref="W181" si="1471">W182-W180-W179</f>
        <v>330.67306777401728</v>
      </c>
      <c r="X181" s="67">
        <f t="shared" ref="X181:Y181" si="1472">X182-X180-X179</f>
        <v>225.62976394138425</v>
      </c>
      <c r="Y181" s="67">
        <f t="shared" si="1472"/>
        <v>533.60137477397677</v>
      </c>
      <c r="Z181" s="67">
        <f t="shared" ref="Z181:AA181" si="1473">Z182-Z180-Z179</f>
        <v>660.75821069838582</v>
      </c>
      <c r="AA181" s="67">
        <f t="shared" ref="AA181" si="1474">AA182-AA180-AA179</f>
        <v>613.41198479852562</v>
      </c>
      <c r="AB181" s="18">
        <f t="shared" ref="AB181:AD181" si="1475">AB182-AB180-AB179</f>
        <v>466.1746015361577</v>
      </c>
      <c r="AC181" s="18">
        <f t="shared" si="1475"/>
        <v>472.98795402216757</v>
      </c>
      <c r="AD181" s="18">
        <f t="shared" si="1475"/>
        <v>473.8073422793143</v>
      </c>
      <c r="AE181" s="18">
        <f t="shared" ref="AE181" si="1476">AE182-AE180-AE179</f>
        <v>473.87421258738783</v>
      </c>
      <c r="AI181" s="67" t="e">
        <f t="shared" ref="AI181:AK181" si="1477">AI182-AI180-AI179</f>
        <v>#DIV/0!</v>
      </c>
      <c r="AJ181" s="67" t="e">
        <f t="shared" ref="AJ181:AM181" si="1478">AJ182-AJ180-AJ179</f>
        <v>#DIV/0!</v>
      </c>
      <c r="AK181" s="67" t="e">
        <f t="shared" si="1477"/>
        <v>#DIV/0!</v>
      </c>
      <c r="AL181" s="67" t="e">
        <f t="shared" si="1478"/>
        <v>#DIV/0!</v>
      </c>
      <c r="AM181" s="67" t="e">
        <f t="shared" si="1478"/>
        <v>#DIV/0!</v>
      </c>
      <c r="AN181" s="67" t="e">
        <f t="shared" ref="AN181:AY181" si="1479">AN182-AN180-AN179</f>
        <v>#DIV/0!</v>
      </c>
      <c r="AO181" s="67" t="e">
        <f t="shared" si="1479"/>
        <v>#DIV/0!</v>
      </c>
      <c r="AP181" s="67" t="e">
        <f t="shared" si="1479"/>
        <v>#DIV/0!</v>
      </c>
      <c r="AQ181" s="67" t="e">
        <f t="shared" si="1479"/>
        <v>#DIV/0!</v>
      </c>
      <c r="AR181" s="67" t="e">
        <f t="shared" si="1479"/>
        <v>#DIV/0!</v>
      </c>
      <c r="AS181" s="67" t="e">
        <f t="shared" si="1479"/>
        <v>#DIV/0!</v>
      </c>
      <c r="AT181" s="67" t="e">
        <f t="shared" si="1479"/>
        <v>#DIV/0!</v>
      </c>
      <c r="AU181" s="67" t="e">
        <f t="shared" si="1479"/>
        <v>#DIV/0!</v>
      </c>
      <c r="AV181" s="67" t="e">
        <f t="shared" si="1479"/>
        <v>#DIV/0!</v>
      </c>
      <c r="AW181" s="67" t="e">
        <f t="shared" si="1479"/>
        <v>#DIV/0!</v>
      </c>
      <c r="AX181" s="67" t="e">
        <f t="shared" si="1479"/>
        <v>#DIV/0!</v>
      </c>
      <c r="AY181" s="67" t="e">
        <f t="shared" si="1479"/>
        <v>#DIV/0!</v>
      </c>
      <c r="AZ181" s="67" t="e">
        <f t="shared" ref="AZ181:BC181" si="1480">AZ182-AZ180-AZ179</f>
        <v>#DIV/0!</v>
      </c>
      <c r="BA181" s="67" t="e">
        <f t="shared" si="1480"/>
        <v>#DIV/0!</v>
      </c>
      <c r="BB181" s="67" t="e">
        <f t="shared" si="1480"/>
        <v>#DIV/0!</v>
      </c>
      <c r="BC181" s="67" t="e">
        <f t="shared" si="1480"/>
        <v>#DIV/0!</v>
      </c>
      <c r="BD181" s="67" t="e">
        <f t="shared" ref="BD181:CE181" si="1481">BD182-BD180-BD179</f>
        <v>#DIV/0!</v>
      </c>
      <c r="BE181" s="67" t="e">
        <f t="shared" si="1481"/>
        <v>#DIV/0!</v>
      </c>
      <c r="BF181" s="67" t="e">
        <f t="shared" si="1481"/>
        <v>#DIV/0!</v>
      </c>
      <c r="BG181" s="67" t="e">
        <f t="shared" si="1481"/>
        <v>#DIV/0!</v>
      </c>
      <c r="BH181" s="67" t="e">
        <f t="shared" si="1481"/>
        <v>#DIV/0!</v>
      </c>
      <c r="BI181" s="67" t="e">
        <f t="shared" si="1481"/>
        <v>#DIV/0!</v>
      </c>
      <c r="BJ181" s="67" t="e">
        <f t="shared" si="1481"/>
        <v>#DIV/0!</v>
      </c>
      <c r="BK181" s="67" t="e">
        <f t="shared" si="1481"/>
        <v>#DIV/0!</v>
      </c>
      <c r="BL181" s="67">
        <f t="shared" si="1481"/>
        <v>0</v>
      </c>
      <c r="BM181" s="67">
        <f t="shared" si="1481"/>
        <v>0</v>
      </c>
      <c r="BN181" s="67">
        <f t="shared" si="1481"/>
        <v>273.89597049073166</v>
      </c>
      <c r="BO181" s="67">
        <f t="shared" si="1481"/>
        <v>221.43018320303321</v>
      </c>
      <c r="BP181" s="67">
        <f t="shared" si="1481"/>
        <v>248.14038824611512</v>
      </c>
      <c r="BQ181" s="67">
        <f t="shared" si="1481"/>
        <v>250.61699582454619</v>
      </c>
      <c r="BR181" s="67">
        <f t="shared" si="1481"/>
        <v>570.23699744500891</v>
      </c>
      <c r="BS181" s="67">
        <f t="shared" si="1481"/>
        <v>503.61313079789392</v>
      </c>
      <c r="BT181" s="67">
        <f t="shared" si="1481"/>
        <v>307.12162930936393</v>
      </c>
      <c r="BU181" s="67">
        <f t="shared" si="1481"/>
        <v>271.14074723891258</v>
      </c>
      <c r="BV181" s="67">
        <f t="shared" si="1481"/>
        <v>211.1245444757634</v>
      </c>
      <c r="BW181" s="67">
        <f t="shared" si="1481"/>
        <v>210.75585043988269</v>
      </c>
      <c r="BX181" s="67">
        <f t="shared" si="1481"/>
        <v>410.30254930900315</v>
      </c>
      <c r="BY181" s="67">
        <f t="shared" si="1481"/>
        <v>408.49384183809786</v>
      </c>
      <c r="BZ181" s="67">
        <f t="shared" si="1481"/>
        <v>137.17398254652201</v>
      </c>
      <c r="CA181" s="67">
        <f t="shared" si="1481"/>
        <v>140.27129243781772</v>
      </c>
      <c r="CB181" s="67">
        <f t="shared" si="1481"/>
        <v>212.76364271419939</v>
      </c>
      <c r="CC181" s="67">
        <f t="shared" si="1481"/>
        <v>210.51776787788256</v>
      </c>
      <c r="CD181" s="67">
        <f t="shared" si="1481"/>
        <v>167.01107217691904</v>
      </c>
      <c r="CE181" s="114">
        <f t="shared" si="1481"/>
        <v>161.28604707091091</v>
      </c>
      <c r="CF181" s="67">
        <f t="shared" ref="CF181:CG181" si="1482">CF182-CF180-CF179</f>
        <v>370.35836657410749</v>
      </c>
      <c r="CG181" s="67">
        <f t="shared" si="1482"/>
        <v>444.44729307260474</v>
      </c>
      <c r="CH181" s="67">
        <f t="shared" ref="CH181" si="1483">CH182-CH180-CH179</f>
        <v>808.20189713573609</v>
      </c>
      <c r="CI181" s="67">
        <f>CH181</f>
        <v>808.20189713573609</v>
      </c>
      <c r="CJ181" s="67">
        <f t="shared" ref="CJ181:CL181" si="1484">CJ182-CJ180-CJ179</f>
        <v>474.69289990164413</v>
      </c>
      <c r="CK181" s="67">
        <f t="shared" ref="CK181:DB181" si="1485">CJ181</f>
        <v>474.69289990164413</v>
      </c>
      <c r="CL181" s="67">
        <f t="shared" si="1484"/>
        <v>382.80282193909642</v>
      </c>
      <c r="CM181" s="30">
        <f t="shared" si="1485"/>
        <v>382.80282193909642</v>
      </c>
      <c r="CN181" s="30">
        <f t="shared" si="1485"/>
        <v>382.80282193909642</v>
      </c>
      <c r="CO181" s="30">
        <f t="shared" si="1485"/>
        <v>382.80282193909642</v>
      </c>
      <c r="CP181" s="30">
        <f t="shared" si="1485"/>
        <v>382.80282193909642</v>
      </c>
      <c r="CQ181" s="30">
        <f t="shared" si="1485"/>
        <v>382.80282193909642</v>
      </c>
      <c r="CR181" s="30">
        <f t="shared" si="1485"/>
        <v>382.80282193909642</v>
      </c>
      <c r="CS181" s="30">
        <f t="shared" si="1485"/>
        <v>382.80282193909642</v>
      </c>
      <c r="CT181" s="30">
        <f t="shared" si="1485"/>
        <v>382.80282193909642</v>
      </c>
      <c r="CU181" s="30">
        <f t="shared" si="1485"/>
        <v>382.80282193909642</v>
      </c>
      <c r="CV181" s="30">
        <f t="shared" si="1485"/>
        <v>382.80282193909642</v>
      </c>
      <c r="CW181" s="30">
        <f t="shared" si="1485"/>
        <v>382.80282193909642</v>
      </c>
      <c r="CX181" s="30">
        <f t="shared" si="1485"/>
        <v>382.80282193909642</v>
      </c>
      <c r="CY181" s="30">
        <f t="shared" si="1485"/>
        <v>382.80282193909642</v>
      </c>
      <c r="CZ181" s="30">
        <f t="shared" si="1485"/>
        <v>382.80282193909642</v>
      </c>
      <c r="DA181" s="30">
        <f t="shared" si="1485"/>
        <v>382.80282193909642</v>
      </c>
      <c r="DB181" s="30">
        <f t="shared" si="1485"/>
        <v>382.80282193909642</v>
      </c>
      <c r="DE181" s="139"/>
      <c r="DF181" s="62">
        <v>613.41198479852562</v>
      </c>
    </row>
    <row r="182" spans="1:110" s="7" customFormat="1" outlineLevel="1" x14ac:dyDescent="0.2">
      <c r="A182" s="69" t="s">
        <v>467</v>
      </c>
      <c r="B182" s="70" t="e">
        <f t="shared" ref="B182:AE182" si="1486">B148/B8*365</f>
        <v>#DIV/0!</v>
      </c>
      <c r="C182" s="70" t="e">
        <f t="shared" si="1486"/>
        <v>#DIV/0!</v>
      </c>
      <c r="D182" s="70" t="e">
        <f t="shared" si="1486"/>
        <v>#DIV/0!</v>
      </c>
      <c r="E182" s="70" t="e">
        <f t="shared" si="1486"/>
        <v>#DIV/0!</v>
      </c>
      <c r="F182" s="70" t="e">
        <f t="shared" si="1486"/>
        <v>#DIV/0!</v>
      </c>
      <c r="G182" s="70" t="e">
        <f t="shared" si="1486"/>
        <v>#DIV/0!</v>
      </c>
      <c r="H182" s="70" t="e">
        <f t="shared" si="1486"/>
        <v>#DIV/0!</v>
      </c>
      <c r="I182" s="70">
        <f t="shared" si="1486"/>
        <v>2270.440667648259</v>
      </c>
      <c r="J182" s="70">
        <f t="shared" si="1486"/>
        <v>4286.559413525144</v>
      </c>
      <c r="K182" s="70">
        <f t="shared" si="1486"/>
        <v>2834.3968689250692</v>
      </c>
      <c r="L182" s="70">
        <f t="shared" si="1486"/>
        <v>1315.9213160931283</v>
      </c>
      <c r="M182" s="70">
        <f t="shared" si="1486"/>
        <v>687.22856196029932</v>
      </c>
      <c r="N182" s="70" t="e">
        <f t="shared" si="1486"/>
        <v>#DIV/0!</v>
      </c>
      <c r="O182" s="70">
        <f t="shared" si="1486"/>
        <v>525.94198251563</v>
      </c>
      <c r="P182" s="70">
        <f t="shared" si="1486"/>
        <v>402.89892845912135</v>
      </c>
      <c r="Q182" s="70">
        <f t="shared" si="1486"/>
        <v>469.79973859605366</v>
      </c>
      <c r="R182" s="70">
        <f t="shared" si="1486"/>
        <v>931.9270454839002</v>
      </c>
      <c r="S182" s="70">
        <f t="shared" si="1486"/>
        <v>691.04386284488464</v>
      </c>
      <c r="T182" s="70">
        <f t="shared" si="1486"/>
        <v>591.31703862998609</v>
      </c>
      <c r="U182" s="70">
        <f t="shared" si="1486"/>
        <v>388.28246097286313</v>
      </c>
      <c r="V182" s="70">
        <f t="shared" si="1486"/>
        <v>890.44952693869675</v>
      </c>
      <c r="W182" s="70">
        <f t="shared" si="1486"/>
        <v>420.73548282625825</v>
      </c>
      <c r="X182" s="70">
        <f t="shared" si="1486"/>
        <v>271.13144388714625</v>
      </c>
      <c r="Y182" s="70">
        <f t="shared" si="1486"/>
        <v>575.20924066480575</v>
      </c>
      <c r="Z182" s="70">
        <f t="shared" si="1486"/>
        <v>681.6331254382319</v>
      </c>
      <c r="AA182" s="70">
        <f t="shared" ref="AA182" si="1487">AA148/AA8*365</f>
        <v>644.28352704421422</v>
      </c>
      <c r="AB182" s="71">
        <f t="shared" si="1486"/>
        <v>498.80158322407465</v>
      </c>
      <c r="AC182" s="71">
        <f t="shared" si="1486"/>
        <v>506.09179379300417</v>
      </c>
      <c r="AD182" s="71">
        <f t="shared" si="1486"/>
        <v>506.96853001714248</v>
      </c>
      <c r="AE182" s="71">
        <f t="shared" si="1486"/>
        <v>507.04008049507041</v>
      </c>
      <c r="AI182" s="70" t="e">
        <f t="shared" ref="AI182:CD182" si="1488">AI148/AI8*90</f>
        <v>#DIV/0!</v>
      </c>
      <c r="AJ182" s="70" t="e">
        <f t="shared" si="1488"/>
        <v>#DIV/0!</v>
      </c>
      <c r="AK182" s="70" t="e">
        <f t="shared" si="1488"/>
        <v>#DIV/0!</v>
      </c>
      <c r="AL182" s="70" t="e">
        <f t="shared" si="1488"/>
        <v>#DIV/0!</v>
      </c>
      <c r="AM182" s="70" t="e">
        <f t="shared" si="1488"/>
        <v>#DIV/0!</v>
      </c>
      <c r="AN182" s="70" t="e">
        <f t="shared" si="1488"/>
        <v>#DIV/0!</v>
      </c>
      <c r="AO182" s="70" t="e">
        <f t="shared" si="1488"/>
        <v>#DIV/0!</v>
      </c>
      <c r="AP182" s="70" t="e">
        <f t="shared" si="1488"/>
        <v>#DIV/0!</v>
      </c>
      <c r="AQ182" s="70" t="e">
        <f t="shared" si="1488"/>
        <v>#DIV/0!</v>
      </c>
      <c r="AR182" s="70" t="e">
        <f t="shared" si="1488"/>
        <v>#DIV/0!</v>
      </c>
      <c r="AS182" s="70" t="e">
        <f t="shared" si="1488"/>
        <v>#DIV/0!</v>
      </c>
      <c r="AT182" s="70" t="e">
        <f t="shared" si="1488"/>
        <v>#DIV/0!</v>
      </c>
      <c r="AU182" s="70" t="e">
        <f t="shared" si="1488"/>
        <v>#DIV/0!</v>
      </c>
      <c r="AV182" s="70" t="e">
        <f t="shared" si="1488"/>
        <v>#DIV/0!</v>
      </c>
      <c r="AW182" s="70" t="e">
        <f t="shared" si="1488"/>
        <v>#DIV/0!</v>
      </c>
      <c r="AX182" s="70" t="e">
        <f t="shared" si="1488"/>
        <v>#DIV/0!</v>
      </c>
      <c r="AY182" s="70" t="e">
        <f t="shared" si="1488"/>
        <v>#DIV/0!</v>
      </c>
      <c r="AZ182" s="70" t="e">
        <f t="shared" si="1488"/>
        <v>#DIV/0!</v>
      </c>
      <c r="BA182" s="70" t="e">
        <f t="shared" si="1488"/>
        <v>#DIV/0!</v>
      </c>
      <c r="BB182" s="70" t="e">
        <f t="shared" si="1488"/>
        <v>#DIV/0!</v>
      </c>
      <c r="BC182" s="70" t="e">
        <f t="shared" si="1488"/>
        <v>#DIV/0!</v>
      </c>
      <c r="BD182" s="70" t="e">
        <f t="shared" si="1488"/>
        <v>#DIV/0!</v>
      </c>
      <c r="BE182" s="70" t="e">
        <f t="shared" si="1488"/>
        <v>#DIV/0!</v>
      </c>
      <c r="BF182" s="70" t="e">
        <f t="shared" si="1488"/>
        <v>#DIV/0!</v>
      </c>
      <c r="BG182" s="70" t="e">
        <f t="shared" si="1488"/>
        <v>#DIV/0!</v>
      </c>
      <c r="BH182" s="70" t="e">
        <f t="shared" si="1488"/>
        <v>#DIV/0!</v>
      </c>
      <c r="BI182" s="70" t="e">
        <f t="shared" si="1488"/>
        <v>#DIV/0!</v>
      </c>
      <c r="BJ182" s="70" t="e">
        <f t="shared" si="1488"/>
        <v>#DIV/0!</v>
      </c>
      <c r="BK182" s="70" t="e">
        <f t="shared" si="1488"/>
        <v>#DIV/0!</v>
      </c>
      <c r="BL182" s="70">
        <f t="shared" si="1488"/>
        <v>0</v>
      </c>
      <c r="BM182" s="70">
        <f t="shared" si="1488"/>
        <v>0</v>
      </c>
      <c r="BN182" s="70">
        <f t="shared" si="1488"/>
        <v>292.11841060839521</v>
      </c>
      <c r="BO182" s="70">
        <f t="shared" si="1488"/>
        <v>239.65262332069676</v>
      </c>
      <c r="BP182" s="70">
        <f t="shared" si="1488"/>
        <v>261.48492036597764</v>
      </c>
      <c r="BQ182" s="70">
        <f t="shared" si="1488"/>
        <v>263.96152794440872</v>
      </c>
      <c r="BR182" s="70">
        <f t="shared" si="1488"/>
        <v>620.38860826407438</v>
      </c>
      <c r="BS182" s="70">
        <f t="shared" si="1488"/>
        <v>553.76474161695944</v>
      </c>
      <c r="BT182" s="70">
        <f t="shared" si="1488"/>
        <v>320.86807372852422</v>
      </c>
      <c r="BU182" s="70">
        <f t="shared" si="1488"/>
        <v>284.88719165807288</v>
      </c>
      <c r="BV182" s="70">
        <f t="shared" si="1488"/>
        <v>285.85792784760486</v>
      </c>
      <c r="BW182" s="70">
        <f t="shared" si="1488"/>
        <v>285.48923381172415</v>
      </c>
      <c r="BX182" s="70">
        <f t="shared" si="1488"/>
        <v>461.83162484905415</v>
      </c>
      <c r="BY182" s="70">
        <f t="shared" si="1488"/>
        <v>460.02291737814886</v>
      </c>
      <c r="BZ182" s="70">
        <f t="shared" si="1488"/>
        <v>177.95757249878289</v>
      </c>
      <c r="CA182" s="70">
        <f t="shared" si="1488"/>
        <v>181.0548823900786</v>
      </c>
      <c r="CB182" s="70">
        <f t="shared" si="1488"/>
        <v>238.14377206267588</v>
      </c>
      <c r="CC182" s="70">
        <f t="shared" si="1488"/>
        <v>235.89789722635905</v>
      </c>
      <c r="CD182" s="70">
        <f t="shared" si="1488"/>
        <v>199.30017918242123</v>
      </c>
      <c r="CE182" s="115">
        <f>CE148/CE10*90</f>
        <v>193.5751540764131</v>
      </c>
      <c r="CF182" s="70">
        <f>CF148/CF8*90</f>
        <v>404.11283773880876</v>
      </c>
      <c r="CG182" s="70">
        <f>CG148/CG10*90</f>
        <v>478.20176423730601</v>
      </c>
      <c r="CH182" s="70">
        <f>CH148/CH8*90</f>
        <v>833.73490667255055</v>
      </c>
      <c r="CI182" s="70">
        <f>CI179+CI180+CI181</f>
        <v>833.73490667255055</v>
      </c>
      <c r="CJ182" s="70">
        <f>CJ148/CJ8*90</f>
        <v>495.88670098305982</v>
      </c>
      <c r="CK182" s="70">
        <f t="shared" ref="CK182:DB182" si="1489">CK179+CK180+CK181</f>
        <v>495.88670098305982</v>
      </c>
      <c r="CL182" s="70">
        <f>CL148/CL8*90</f>
        <v>409.59471626438409</v>
      </c>
      <c r="CM182" s="50">
        <f t="shared" si="1489"/>
        <v>409.59471626438409</v>
      </c>
      <c r="CN182" s="50">
        <f t="shared" si="1489"/>
        <v>409.59471626438409</v>
      </c>
      <c r="CO182" s="50">
        <f t="shared" si="1489"/>
        <v>409.59471626438409</v>
      </c>
      <c r="CP182" s="50">
        <f t="shared" si="1489"/>
        <v>409.59471626438409</v>
      </c>
      <c r="CQ182" s="50">
        <f t="shared" si="1489"/>
        <v>409.59471626438409</v>
      </c>
      <c r="CR182" s="50">
        <f t="shared" si="1489"/>
        <v>409.59471626438409</v>
      </c>
      <c r="CS182" s="50">
        <f t="shared" si="1489"/>
        <v>409.59471626438409</v>
      </c>
      <c r="CT182" s="50">
        <f t="shared" si="1489"/>
        <v>409.59471626438409</v>
      </c>
      <c r="CU182" s="50">
        <f t="shared" si="1489"/>
        <v>409.59471626438409</v>
      </c>
      <c r="CV182" s="50">
        <f t="shared" si="1489"/>
        <v>409.59471626438409</v>
      </c>
      <c r="CW182" s="50">
        <f t="shared" si="1489"/>
        <v>409.59471626438409</v>
      </c>
      <c r="CX182" s="50">
        <f t="shared" si="1489"/>
        <v>409.59471626438409</v>
      </c>
      <c r="CY182" s="50">
        <f t="shared" si="1489"/>
        <v>409.59471626438409</v>
      </c>
      <c r="CZ182" s="50">
        <f t="shared" si="1489"/>
        <v>409.59471626438409</v>
      </c>
      <c r="DA182" s="50">
        <f t="shared" si="1489"/>
        <v>409.59471626438409</v>
      </c>
      <c r="DB182" s="50">
        <f t="shared" si="1489"/>
        <v>409.59471626438409</v>
      </c>
      <c r="DE182" s="138"/>
      <c r="DF182" s="7">
        <v>644.28352704421422</v>
      </c>
    </row>
    <row r="183" spans="1:110" s="62" customFormat="1" outlineLevel="1" x14ac:dyDescent="0.2">
      <c r="A183" s="68" t="s">
        <v>468</v>
      </c>
      <c r="B183" s="67" t="e">
        <f t="shared" ref="B183:AE183" si="1490">B153/B8*365</f>
        <v>#DIV/0!</v>
      </c>
      <c r="C183" s="67" t="e">
        <f t="shared" si="1490"/>
        <v>#DIV/0!</v>
      </c>
      <c r="D183" s="67" t="e">
        <f t="shared" si="1490"/>
        <v>#DIV/0!</v>
      </c>
      <c r="E183" s="67" t="e">
        <f t="shared" si="1490"/>
        <v>#DIV/0!</v>
      </c>
      <c r="F183" s="67" t="e">
        <f t="shared" si="1490"/>
        <v>#DIV/0!</v>
      </c>
      <c r="G183" s="67" t="e">
        <f t="shared" si="1490"/>
        <v>#DIV/0!</v>
      </c>
      <c r="H183" s="67" t="e">
        <f t="shared" si="1490"/>
        <v>#DIV/0!</v>
      </c>
      <c r="I183" s="67">
        <f t="shared" si="1490"/>
        <v>3.8980916299948163</v>
      </c>
      <c r="J183" s="67">
        <f t="shared" si="1490"/>
        <v>52.998662613696155</v>
      </c>
      <c r="K183" s="67">
        <f t="shared" si="1490"/>
        <v>53.29769566636903</v>
      </c>
      <c r="L183" s="67">
        <f t="shared" si="1490"/>
        <v>0</v>
      </c>
      <c r="M183" s="67">
        <f t="shared" si="1490"/>
        <v>23.996694196829964</v>
      </c>
      <c r="N183" s="67" t="e">
        <f t="shared" si="1490"/>
        <v>#DIV/0!</v>
      </c>
      <c r="O183" s="67">
        <f t="shared" si="1490"/>
        <v>336.88071813197689</v>
      </c>
      <c r="P183" s="67">
        <f t="shared" si="1490"/>
        <v>217.87312080571783</v>
      </c>
      <c r="Q183" s="67">
        <f t="shared" si="1490"/>
        <v>263.56783281913476</v>
      </c>
      <c r="R183" s="67">
        <f t="shared" si="1490"/>
        <v>450.23559008499598</v>
      </c>
      <c r="S183" s="67">
        <f t="shared" si="1490"/>
        <v>293.32222835216953</v>
      </c>
      <c r="T183" s="67">
        <f t="shared" si="1490"/>
        <v>305.24035561616529</v>
      </c>
      <c r="U183" s="67">
        <f t="shared" si="1490"/>
        <v>473.23155871182848</v>
      </c>
      <c r="V183" s="67">
        <f t="shared" si="1490"/>
        <v>657.51927301445619</v>
      </c>
      <c r="W183" s="67">
        <f t="shared" si="1490"/>
        <v>647.88816706632667</v>
      </c>
      <c r="X183" s="67">
        <f t="shared" si="1490"/>
        <v>495.10510446980516</v>
      </c>
      <c r="Y183" s="67">
        <f t="shared" si="1490"/>
        <v>614.95599861787525</v>
      </c>
      <c r="Z183" s="67">
        <f t="shared" si="1490"/>
        <v>509.88406432600618</v>
      </c>
      <c r="AA183" s="67">
        <f t="shared" ref="AA183" si="1491">AA153/AA8*365</f>
        <v>651.62728918136031</v>
      </c>
      <c r="AB183" s="18">
        <f t="shared" si="1490"/>
        <v>688.68058039556968</v>
      </c>
      <c r="AC183" s="18">
        <f t="shared" si="1490"/>
        <v>698.74595832273008</v>
      </c>
      <c r="AD183" s="18">
        <f t="shared" si="1490"/>
        <v>699.95644207418638</v>
      </c>
      <c r="AE183" s="18">
        <f t="shared" si="1490"/>
        <v>700.05522970101879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92">+AJ183</f>
        <v>#DIV/0!</v>
      </c>
      <c r="AL183" s="67" t="e">
        <f>AL153/AL8*90</f>
        <v>#DIV/0!</v>
      </c>
      <c r="AM183" s="67" t="e">
        <f t="shared" ref="AM183" si="1493">+AL183</f>
        <v>#DIV/0!</v>
      </c>
      <c r="AN183" s="67" t="e">
        <f>AN153/AN8*90</f>
        <v>#DIV/0!</v>
      </c>
      <c r="AO183" s="67" t="e">
        <f t="shared" ref="AO183" si="1494">+AN183</f>
        <v>#DIV/0!</v>
      </c>
      <c r="AP183" s="67" t="e">
        <f>AP153/AP8*90</f>
        <v>#DIV/0!</v>
      </c>
      <c r="AQ183" s="67" t="e">
        <f t="shared" ref="AQ183" si="1495">+AP183</f>
        <v>#DIV/0!</v>
      </c>
      <c r="AR183" s="67" t="e">
        <f>AR153/AR8*90</f>
        <v>#DIV/0!</v>
      </c>
      <c r="AS183" s="67" t="e">
        <f t="shared" ref="AS183" si="1496">+AR183</f>
        <v>#DIV/0!</v>
      </c>
      <c r="AT183" s="67" t="e">
        <f>AT153/AT8*90</f>
        <v>#DIV/0!</v>
      </c>
      <c r="AU183" s="67" t="e">
        <f t="shared" ref="AU183" si="1497">+AT183</f>
        <v>#DIV/0!</v>
      </c>
      <c r="AV183" s="67" t="e">
        <f>AV153/AV8*90</f>
        <v>#DIV/0!</v>
      </c>
      <c r="AW183" s="67" t="e">
        <f t="shared" ref="AW183" si="1498">+AV183</f>
        <v>#DIV/0!</v>
      </c>
      <c r="AX183" s="67" t="e">
        <f>AX153/AX8*90</f>
        <v>#DIV/0!</v>
      </c>
      <c r="AY183" s="67" t="e">
        <f t="shared" ref="AY183" si="1499">+AX183</f>
        <v>#DIV/0!</v>
      </c>
      <c r="AZ183" s="67" t="e">
        <f>AZ153/AZ8*90</f>
        <v>#DIV/0!</v>
      </c>
      <c r="BA183" s="67" t="e">
        <f t="shared" ref="BA183" si="1500">+AZ183</f>
        <v>#DIV/0!</v>
      </c>
      <c r="BB183" s="67" t="e">
        <f>BB153/BB8*90</f>
        <v>#DIV/0!</v>
      </c>
      <c r="BC183" s="67" t="e">
        <f t="shared" ref="BC183" si="1501">+BB183</f>
        <v>#DIV/0!</v>
      </c>
      <c r="BD183" s="67" t="e">
        <f>BD153/BD8*90</f>
        <v>#DIV/0!</v>
      </c>
      <c r="BE183" s="67" t="e">
        <f t="shared" ref="BE183" si="1502">+BD183</f>
        <v>#DIV/0!</v>
      </c>
      <c r="BF183" s="67" t="e">
        <f>BF153/BF8*90</f>
        <v>#DIV/0!</v>
      </c>
      <c r="BG183" s="67" t="e">
        <f t="shared" ref="BG183" si="1503">+BF183</f>
        <v>#DIV/0!</v>
      </c>
      <c r="BH183" s="67" t="e">
        <f>BH153/BH8*90</f>
        <v>#DIV/0!</v>
      </c>
      <c r="BI183" s="67" t="e">
        <f t="shared" ref="BI183" si="1504">+BH183</f>
        <v>#DIV/0!</v>
      </c>
      <c r="BJ183" s="67" t="e">
        <f>BJ153/BJ8*90</f>
        <v>#DIV/0!</v>
      </c>
      <c r="BK183" s="67" t="e">
        <f t="shared" ref="BK183" si="1505">+BJ183</f>
        <v>#DIV/0!</v>
      </c>
      <c r="BL183" s="67">
        <f>BL153/BL8*90</f>
        <v>0</v>
      </c>
      <c r="BM183" s="67">
        <f t="shared" ref="BM183" si="1506">+BL183</f>
        <v>0</v>
      </c>
      <c r="BN183" s="67">
        <f>BN153/BN8*90</f>
        <v>438.66694681794843</v>
      </c>
      <c r="BO183" s="67">
        <f t="shared" ref="BO183" si="1507">+BN183</f>
        <v>438.66694681794843</v>
      </c>
      <c r="BP183" s="67">
        <f>BP153/BP8*90</f>
        <v>447.90376143680106</v>
      </c>
      <c r="BQ183" s="67">
        <f t="shared" ref="BQ183" si="1508">+BP183</f>
        <v>447.90376143680106</v>
      </c>
      <c r="BR183" s="67">
        <f>BR153/BR8*90</f>
        <v>501.40135385157555</v>
      </c>
      <c r="BS183" s="67">
        <f t="shared" ref="BS183" si="1509">+BR183</f>
        <v>501.40135385157555</v>
      </c>
      <c r="BT183" s="67">
        <f>BT153/BT8*90</f>
        <v>644.07566276026841</v>
      </c>
      <c r="BU183" s="67">
        <f t="shared" ref="BU183" si="1510">+BT183</f>
        <v>644.07566276026841</v>
      </c>
      <c r="BV183" s="67">
        <f>BV153/BV8*90</f>
        <v>537.61466138079845</v>
      </c>
      <c r="BW183" s="67">
        <f t="shared" ref="BW183" si="1511">+BV183</f>
        <v>537.61466138079845</v>
      </c>
      <c r="BX183" s="67">
        <f>BX153/BX8*90</f>
        <v>500.96876425600442</v>
      </c>
      <c r="BY183" s="67">
        <f t="shared" ref="BY183" si="1512">+BX183</f>
        <v>500.96876425600442</v>
      </c>
      <c r="BZ183" s="67">
        <f>BZ153/BZ8*90</f>
        <v>443.76742986274093</v>
      </c>
      <c r="CA183" s="67">
        <f t="shared" ref="CA183" si="1513">+BZ183</f>
        <v>443.76742986274093</v>
      </c>
      <c r="CB183" s="67">
        <f>CB153/CB8*90</f>
        <v>524.56561758314751</v>
      </c>
      <c r="CC183" s="67">
        <f t="shared" ref="CC183" si="1514">+CB183</f>
        <v>524.56561758314751</v>
      </c>
      <c r="CD183" s="67">
        <f>CD153/CD8*90</f>
        <v>477.22659208591318</v>
      </c>
      <c r="CE183" s="114">
        <f t="shared" si="1492"/>
        <v>477.22659208591318</v>
      </c>
      <c r="CF183" s="67">
        <f>CF153/CF8*90</f>
        <v>560.16201163790208</v>
      </c>
      <c r="CG183" s="67">
        <f t="shared" ref="CG183:CI183" si="1515">+CF183</f>
        <v>560.16201163790208</v>
      </c>
      <c r="CH183" s="67">
        <f>CH153/CH8*90</f>
        <v>623.66121439792892</v>
      </c>
      <c r="CI183" s="67">
        <f t="shared" si="1515"/>
        <v>623.66121439792892</v>
      </c>
      <c r="CJ183" s="67">
        <f>CJ153/CJ8*90</f>
        <v>568.48212368879581</v>
      </c>
      <c r="CK183" s="67">
        <f t="shared" ref="CK183" si="1516">+CJ183</f>
        <v>568.48212368879581</v>
      </c>
      <c r="CL183" s="67">
        <f>CL153/CL8*90</f>
        <v>565.51529989269716</v>
      </c>
      <c r="CM183" s="30">
        <f t="shared" ref="CM183" si="1517">+CL183</f>
        <v>565.51529989269716</v>
      </c>
      <c r="CN183" s="30">
        <f t="shared" ref="CN183" si="1518">+CM183</f>
        <v>565.51529989269716</v>
      </c>
      <c r="CO183" s="30">
        <f t="shared" ref="CO183" si="1519">+CN183</f>
        <v>565.51529989269716</v>
      </c>
      <c r="CP183" s="30">
        <f t="shared" ref="CP183" si="1520">+CO183</f>
        <v>565.51529989269716</v>
      </c>
      <c r="CQ183" s="30">
        <f t="shared" ref="CQ183" si="1521">+CP183</f>
        <v>565.51529989269716</v>
      </c>
      <c r="CR183" s="30">
        <f t="shared" ref="CR183" si="1522">+CQ183</f>
        <v>565.51529989269716</v>
      </c>
      <c r="CS183" s="30">
        <f t="shared" ref="CS183" si="1523">+CR183</f>
        <v>565.51529989269716</v>
      </c>
      <c r="CT183" s="30">
        <f t="shared" ref="CT183" si="1524">+CS183</f>
        <v>565.51529989269716</v>
      </c>
      <c r="CU183" s="30">
        <f t="shared" ref="CU183" si="1525">+CT183</f>
        <v>565.51529989269716</v>
      </c>
      <c r="CV183" s="30">
        <f t="shared" ref="CV183" si="1526">+CU183</f>
        <v>565.51529989269716</v>
      </c>
      <c r="CW183" s="30">
        <f t="shared" ref="CW183" si="1527">+CV183</f>
        <v>565.51529989269716</v>
      </c>
      <c r="CX183" s="30">
        <f t="shared" ref="CX183" si="1528">+CW183</f>
        <v>565.51529989269716</v>
      </c>
      <c r="CY183" s="30">
        <f t="shared" ref="CY183" si="1529">+CX183</f>
        <v>565.51529989269716</v>
      </c>
      <c r="CZ183" s="30">
        <f t="shared" ref="CZ183" si="1530">+CY183</f>
        <v>565.51529989269716</v>
      </c>
      <c r="DA183" s="30">
        <f t="shared" ref="DA183" si="1531">+CZ183</f>
        <v>565.51529989269716</v>
      </c>
      <c r="DB183" s="30">
        <f t="shared" ref="DB183" si="1532">+DA183</f>
        <v>565.51529989269716</v>
      </c>
      <c r="DE183" s="139"/>
      <c r="DF183" s="62">
        <v>651.62728918136031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33">C185-C183</f>
        <v>#DIV/0!</v>
      </c>
      <c r="D184" s="67" t="e">
        <f t="shared" si="1533"/>
        <v>#DIV/0!</v>
      </c>
      <c r="E184" s="67" t="e">
        <f t="shared" si="1533"/>
        <v>#DIV/0!</v>
      </c>
      <c r="F184" s="67" t="e">
        <f t="shared" si="1533"/>
        <v>#DIV/0!</v>
      </c>
      <c r="G184" s="67" t="e">
        <f t="shared" si="1533"/>
        <v>#DIV/0!</v>
      </c>
      <c r="H184" s="67" t="e">
        <f t="shared" si="1533"/>
        <v>#DIV/0!</v>
      </c>
      <c r="I184" s="67">
        <f t="shared" si="1533"/>
        <v>426.05795955618783</v>
      </c>
      <c r="J184" s="67">
        <f t="shared" si="1533"/>
        <v>396.4117304367436</v>
      </c>
      <c r="K184" s="67">
        <f t="shared" si="1533"/>
        <v>223.14348173439637</v>
      </c>
      <c r="L184" s="67">
        <f t="shared" si="1533"/>
        <v>143.82879759286195</v>
      </c>
      <c r="M184" s="67">
        <f t="shared" si="1533"/>
        <v>113.95800599290246</v>
      </c>
      <c r="N184" s="67" t="e">
        <f t="shared" si="1533"/>
        <v>#DIV/0!</v>
      </c>
      <c r="O184" s="67">
        <f t="shared" si="1533"/>
        <v>33.812811855919392</v>
      </c>
      <c r="P184" s="67">
        <f t="shared" si="1533"/>
        <v>68.648222797380043</v>
      </c>
      <c r="Q184" s="67">
        <f t="shared" si="1533"/>
        <v>70.755258252176191</v>
      </c>
      <c r="R184" s="67">
        <f t="shared" si="1533"/>
        <v>167.14321352743053</v>
      </c>
      <c r="S184" s="67">
        <f t="shared" si="1533"/>
        <v>136.1183158074474</v>
      </c>
      <c r="T184" s="67">
        <f t="shared" si="1533"/>
        <v>161.51185387217748</v>
      </c>
      <c r="U184" s="67">
        <f t="shared" si="1533"/>
        <v>165.67912462187292</v>
      </c>
      <c r="V184" s="67">
        <f t="shared" si="1533"/>
        <v>146.34643233593204</v>
      </c>
      <c r="W184" s="67">
        <f t="shared" ref="W184" si="1534">W185-W183</f>
        <v>126.06705297073825</v>
      </c>
      <c r="X184" s="67">
        <f t="shared" ref="X184:Y184" si="1535">X185-X183</f>
        <v>128.66897988895857</v>
      </c>
      <c r="Y184" s="67">
        <f t="shared" si="1535"/>
        <v>102.16253004669818</v>
      </c>
      <c r="Z184" s="67">
        <f t="shared" ref="Z184:AA184" si="1536">Z185-Z183</f>
        <v>130.68333066393257</v>
      </c>
      <c r="AA184" s="67">
        <f t="shared" ref="AA184" si="1537">AA185-AA183</f>
        <v>130.93772698592682</v>
      </c>
      <c r="AB184" s="18">
        <f t="shared" ref="AB184:AD184" si="1538">AB185-AB183</f>
        <v>272.85148163720476</v>
      </c>
      <c r="AC184" s="18">
        <f t="shared" si="1538"/>
        <v>276.8393293547731</v>
      </c>
      <c r="AD184" s="18">
        <f t="shared" si="1538"/>
        <v>277.31891640061792</v>
      </c>
      <c r="AE184" s="18">
        <f t="shared" ref="AE184" si="1539">AE185-AE183</f>
        <v>277.35805551839769</v>
      </c>
      <c r="AI184" s="67" t="e">
        <f t="shared" ref="AI184:AK184" si="1540">AI185-AI183</f>
        <v>#DIV/0!</v>
      </c>
      <c r="AJ184" s="67" t="e">
        <f t="shared" ref="AJ184:AM184" si="1541">AJ185-AJ183</f>
        <v>#DIV/0!</v>
      </c>
      <c r="AK184" s="67" t="e">
        <f t="shared" si="1540"/>
        <v>#DIV/0!</v>
      </c>
      <c r="AL184" s="67" t="e">
        <f t="shared" si="1541"/>
        <v>#DIV/0!</v>
      </c>
      <c r="AM184" s="67" t="e">
        <f t="shared" si="1541"/>
        <v>#DIV/0!</v>
      </c>
      <c r="AN184" s="67" t="e">
        <f t="shared" ref="AN184:AY184" si="1542">AN185-AN183</f>
        <v>#DIV/0!</v>
      </c>
      <c r="AO184" s="67" t="e">
        <f t="shared" si="1542"/>
        <v>#DIV/0!</v>
      </c>
      <c r="AP184" s="67" t="e">
        <f t="shared" si="1542"/>
        <v>#DIV/0!</v>
      </c>
      <c r="AQ184" s="67" t="e">
        <f t="shared" si="1542"/>
        <v>#DIV/0!</v>
      </c>
      <c r="AR184" s="67" t="e">
        <f t="shared" si="1542"/>
        <v>#DIV/0!</v>
      </c>
      <c r="AS184" s="67" t="e">
        <f t="shared" si="1542"/>
        <v>#DIV/0!</v>
      </c>
      <c r="AT184" s="67" t="e">
        <f t="shared" si="1542"/>
        <v>#DIV/0!</v>
      </c>
      <c r="AU184" s="67" t="e">
        <f t="shared" si="1542"/>
        <v>#DIV/0!</v>
      </c>
      <c r="AV184" s="67" t="e">
        <f t="shared" si="1542"/>
        <v>#DIV/0!</v>
      </c>
      <c r="AW184" s="67" t="e">
        <f t="shared" si="1542"/>
        <v>#DIV/0!</v>
      </c>
      <c r="AX184" s="67" t="e">
        <f t="shared" si="1542"/>
        <v>#DIV/0!</v>
      </c>
      <c r="AY184" s="67" t="e">
        <f t="shared" si="1542"/>
        <v>#DIV/0!</v>
      </c>
      <c r="AZ184" s="67" t="e">
        <f t="shared" ref="AZ184:BC184" si="1543">AZ185-AZ183</f>
        <v>#DIV/0!</v>
      </c>
      <c r="BA184" s="67" t="e">
        <f t="shared" si="1543"/>
        <v>#DIV/0!</v>
      </c>
      <c r="BB184" s="67" t="e">
        <f t="shared" si="1543"/>
        <v>#DIV/0!</v>
      </c>
      <c r="BC184" s="67" t="e">
        <f t="shared" si="1543"/>
        <v>#DIV/0!</v>
      </c>
      <c r="BD184" s="67" t="e">
        <f t="shared" ref="BD184:CE184" si="1544">BD185-BD183</f>
        <v>#DIV/0!</v>
      </c>
      <c r="BE184" s="67" t="e">
        <f t="shared" si="1544"/>
        <v>#DIV/0!</v>
      </c>
      <c r="BF184" s="67" t="e">
        <f t="shared" si="1544"/>
        <v>#DIV/0!</v>
      </c>
      <c r="BG184" s="67" t="e">
        <f t="shared" si="1544"/>
        <v>#DIV/0!</v>
      </c>
      <c r="BH184" s="67" t="e">
        <f t="shared" si="1544"/>
        <v>#DIV/0!</v>
      </c>
      <c r="BI184" s="67" t="e">
        <f t="shared" si="1544"/>
        <v>#DIV/0!</v>
      </c>
      <c r="BJ184" s="67" t="e">
        <f t="shared" si="1544"/>
        <v>#DIV/0!</v>
      </c>
      <c r="BK184" s="67" t="e">
        <f t="shared" si="1544"/>
        <v>#DIV/0!</v>
      </c>
      <c r="BL184" s="67">
        <f t="shared" si="1544"/>
        <v>0</v>
      </c>
      <c r="BM184" s="67">
        <f t="shared" si="1544"/>
        <v>0</v>
      </c>
      <c r="BN184" s="67">
        <f t="shared" si="1544"/>
        <v>78.622589531680546</v>
      </c>
      <c r="BO184" s="67">
        <f t="shared" si="1544"/>
        <v>63.562141395161518</v>
      </c>
      <c r="BP184" s="67">
        <f t="shared" si="1544"/>
        <v>144.60008713753206</v>
      </c>
      <c r="BQ184" s="67">
        <f t="shared" si="1544"/>
        <v>146.04329303471724</v>
      </c>
      <c r="BR184" s="67">
        <f t="shared" si="1544"/>
        <v>51.74605738451146</v>
      </c>
      <c r="BS184" s="67">
        <f t="shared" si="1544"/>
        <v>45.700286166322371</v>
      </c>
      <c r="BT184" s="67">
        <f t="shared" si="1544"/>
        <v>60.281772670383475</v>
      </c>
      <c r="BU184" s="67">
        <f t="shared" si="1544"/>
        <v>53.21945225248146</v>
      </c>
      <c r="BV184" s="67">
        <f t="shared" si="1544"/>
        <v>44.363676155867438</v>
      </c>
      <c r="BW184" s="67">
        <f t="shared" si="1544"/>
        <v>44.286202346041023</v>
      </c>
      <c r="BX184" s="67">
        <f t="shared" si="1544"/>
        <v>50.90005366966318</v>
      </c>
      <c r="BY184" s="67">
        <f t="shared" si="1544"/>
        <v>50.675674592572818</v>
      </c>
      <c r="BZ184" s="67">
        <f t="shared" si="1544"/>
        <v>52.814827463432721</v>
      </c>
      <c r="CA184" s="67">
        <f t="shared" si="1544"/>
        <v>54.007355991603731</v>
      </c>
      <c r="CB184" s="67">
        <f t="shared" si="1544"/>
        <v>51.885401487020772</v>
      </c>
      <c r="CC184" s="67">
        <f t="shared" si="1544"/>
        <v>51.337713376000693</v>
      </c>
      <c r="CD184" s="67">
        <f t="shared" si="1544"/>
        <v>39.776088282707462</v>
      </c>
      <c r="CE184" s="114">
        <f t="shared" si="1544"/>
        <v>38.412591233864703</v>
      </c>
      <c r="CF184" s="67">
        <f t="shared" ref="CF184:CG184" si="1545">CF185-CF183</f>
        <v>106.59773579823411</v>
      </c>
      <c r="CG184" s="67">
        <f t="shared" si="1545"/>
        <v>127.92224882467667</v>
      </c>
      <c r="CH184" s="67">
        <f t="shared" ref="CH184" si="1546">CH185-CH183</f>
        <v>159.84442426371652</v>
      </c>
      <c r="CI184" s="67">
        <f>CH184</f>
        <v>159.84442426371652</v>
      </c>
      <c r="CJ184" s="67">
        <f t="shared" ref="CJ184:CL184" si="1547">CJ185-CJ183</f>
        <v>240.68210072244176</v>
      </c>
      <c r="CK184" s="67">
        <f t="shared" ref="CK184:DB184" si="1548">CJ184</f>
        <v>240.68210072244176</v>
      </c>
      <c r="CL184" s="67">
        <f t="shared" si="1547"/>
        <v>224.05407072114861</v>
      </c>
      <c r="CM184" s="30">
        <f t="shared" si="1548"/>
        <v>224.05407072114861</v>
      </c>
      <c r="CN184" s="30">
        <f t="shared" si="1548"/>
        <v>224.05407072114861</v>
      </c>
      <c r="CO184" s="30">
        <f t="shared" si="1548"/>
        <v>224.05407072114861</v>
      </c>
      <c r="CP184" s="30">
        <f t="shared" si="1548"/>
        <v>224.05407072114861</v>
      </c>
      <c r="CQ184" s="30">
        <f t="shared" si="1548"/>
        <v>224.05407072114861</v>
      </c>
      <c r="CR184" s="30">
        <f t="shared" si="1548"/>
        <v>224.05407072114861</v>
      </c>
      <c r="CS184" s="30">
        <f t="shared" si="1548"/>
        <v>224.05407072114861</v>
      </c>
      <c r="CT184" s="30">
        <f t="shared" si="1548"/>
        <v>224.05407072114861</v>
      </c>
      <c r="CU184" s="30">
        <f t="shared" si="1548"/>
        <v>224.05407072114861</v>
      </c>
      <c r="CV184" s="30">
        <f t="shared" si="1548"/>
        <v>224.05407072114861</v>
      </c>
      <c r="CW184" s="30">
        <f t="shared" si="1548"/>
        <v>224.05407072114861</v>
      </c>
      <c r="CX184" s="30">
        <f t="shared" si="1548"/>
        <v>224.05407072114861</v>
      </c>
      <c r="CY184" s="30">
        <f t="shared" si="1548"/>
        <v>224.05407072114861</v>
      </c>
      <c r="CZ184" s="30">
        <f t="shared" si="1548"/>
        <v>224.05407072114861</v>
      </c>
      <c r="DA184" s="30">
        <f t="shared" si="1548"/>
        <v>224.05407072114861</v>
      </c>
      <c r="DB184" s="30">
        <f t="shared" si="1548"/>
        <v>224.05407072114861</v>
      </c>
      <c r="DE184" s="139"/>
      <c r="DF184" s="62">
        <v>130.93772698592682</v>
      </c>
    </row>
    <row r="185" spans="1:110" s="7" customFormat="1" outlineLevel="1" x14ac:dyDescent="0.2">
      <c r="A185" s="69" t="s">
        <v>469</v>
      </c>
      <c r="B185" s="70" t="e">
        <f t="shared" ref="B185:AE185" si="1549">B156/B8*365</f>
        <v>#DIV/0!</v>
      </c>
      <c r="C185" s="70" t="e">
        <f t="shared" si="1549"/>
        <v>#DIV/0!</v>
      </c>
      <c r="D185" s="70" t="e">
        <f t="shared" si="1549"/>
        <v>#DIV/0!</v>
      </c>
      <c r="E185" s="70" t="e">
        <f t="shared" si="1549"/>
        <v>#DIV/0!</v>
      </c>
      <c r="F185" s="70" t="e">
        <f t="shared" si="1549"/>
        <v>#DIV/0!</v>
      </c>
      <c r="G185" s="70" t="e">
        <f t="shared" si="1549"/>
        <v>#DIV/0!</v>
      </c>
      <c r="H185" s="70" t="e">
        <f t="shared" si="1549"/>
        <v>#DIV/0!</v>
      </c>
      <c r="I185" s="70">
        <f t="shared" si="1549"/>
        <v>429.95605118618266</v>
      </c>
      <c r="J185" s="70">
        <f t="shared" si="1549"/>
        <v>449.41039305043972</v>
      </c>
      <c r="K185" s="70">
        <f t="shared" si="1549"/>
        <v>276.44117740076541</v>
      </c>
      <c r="L185" s="70">
        <f t="shared" si="1549"/>
        <v>143.82879759286195</v>
      </c>
      <c r="M185" s="70">
        <f t="shared" si="1549"/>
        <v>137.95470018973242</v>
      </c>
      <c r="N185" s="70" t="e">
        <f t="shared" si="1549"/>
        <v>#DIV/0!</v>
      </c>
      <c r="O185" s="70">
        <f t="shared" si="1549"/>
        <v>370.69352998789628</v>
      </c>
      <c r="P185" s="70">
        <f t="shared" si="1549"/>
        <v>286.52134360309788</v>
      </c>
      <c r="Q185" s="70">
        <f t="shared" si="1549"/>
        <v>334.32309107131096</v>
      </c>
      <c r="R185" s="70">
        <f t="shared" si="1549"/>
        <v>617.37880361242651</v>
      </c>
      <c r="S185" s="70">
        <f t="shared" si="1549"/>
        <v>429.44054415961693</v>
      </c>
      <c r="T185" s="70">
        <f t="shared" si="1549"/>
        <v>466.75220948834277</v>
      </c>
      <c r="U185" s="70">
        <f t="shared" si="1549"/>
        <v>638.9106833337014</v>
      </c>
      <c r="V185" s="70">
        <f t="shared" si="1549"/>
        <v>803.86570535038823</v>
      </c>
      <c r="W185" s="70">
        <f t="shared" si="1549"/>
        <v>773.95522003706492</v>
      </c>
      <c r="X185" s="70">
        <f t="shared" si="1549"/>
        <v>623.77408435876373</v>
      </c>
      <c r="Y185" s="70">
        <f t="shared" si="1549"/>
        <v>717.11852866457343</v>
      </c>
      <c r="Z185" s="70">
        <f t="shared" si="1549"/>
        <v>640.56739498993875</v>
      </c>
      <c r="AA185" s="70">
        <f t="shared" ref="AA185" si="1550">AA156/AA8*365</f>
        <v>782.56501616728713</v>
      </c>
      <c r="AB185" s="71">
        <f t="shared" si="1549"/>
        <v>961.53206203277443</v>
      </c>
      <c r="AC185" s="71">
        <f t="shared" si="1549"/>
        <v>975.58528767750317</v>
      </c>
      <c r="AD185" s="71">
        <f t="shared" si="1549"/>
        <v>977.27535847480431</v>
      </c>
      <c r="AE185" s="71">
        <f t="shared" si="1549"/>
        <v>977.41328521941648</v>
      </c>
      <c r="AI185" s="70" t="e">
        <f t="shared" ref="AI185:CD185" si="1551">AI156/AI8*90</f>
        <v>#DIV/0!</v>
      </c>
      <c r="AJ185" s="70" t="e">
        <f t="shared" si="1551"/>
        <v>#DIV/0!</v>
      </c>
      <c r="AK185" s="70" t="e">
        <f>AK156/AK8*90</f>
        <v>#DIV/0!</v>
      </c>
      <c r="AL185" s="70" t="e">
        <f t="shared" si="1551"/>
        <v>#DIV/0!</v>
      </c>
      <c r="AM185" s="70" t="e">
        <f t="shared" si="1551"/>
        <v>#DIV/0!</v>
      </c>
      <c r="AN185" s="70" t="e">
        <f t="shared" si="1551"/>
        <v>#DIV/0!</v>
      </c>
      <c r="AO185" s="70" t="e">
        <f t="shared" si="1551"/>
        <v>#DIV/0!</v>
      </c>
      <c r="AP185" s="70" t="e">
        <f t="shared" si="1551"/>
        <v>#DIV/0!</v>
      </c>
      <c r="AQ185" s="70" t="e">
        <f t="shared" si="1551"/>
        <v>#DIV/0!</v>
      </c>
      <c r="AR185" s="70" t="e">
        <f t="shared" si="1551"/>
        <v>#DIV/0!</v>
      </c>
      <c r="AS185" s="70" t="e">
        <f t="shared" si="1551"/>
        <v>#DIV/0!</v>
      </c>
      <c r="AT185" s="70" t="e">
        <f t="shared" si="1551"/>
        <v>#DIV/0!</v>
      </c>
      <c r="AU185" s="70" t="e">
        <f t="shared" si="1551"/>
        <v>#DIV/0!</v>
      </c>
      <c r="AV185" s="70" t="e">
        <f t="shared" si="1551"/>
        <v>#DIV/0!</v>
      </c>
      <c r="AW185" s="70" t="e">
        <f t="shared" si="1551"/>
        <v>#DIV/0!</v>
      </c>
      <c r="AX185" s="70" t="e">
        <f t="shared" si="1551"/>
        <v>#DIV/0!</v>
      </c>
      <c r="AY185" s="70" t="e">
        <f t="shared" si="1551"/>
        <v>#DIV/0!</v>
      </c>
      <c r="AZ185" s="70" t="e">
        <f t="shared" si="1551"/>
        <v>#DIV/0!</v>
      </c>
      <c r="BA185" s="70" t="e">
        <f t="shared" si="1551"/>
        <v>#DIV/0!</v>
      </c>
      <c r="BB185" s="70" t="e">
        <f t="shared" si="1551"/>
        <v>#DIV/0!</v>
      </c>
      <c r="BC185" s="70" t="e">
        <f t="shared" si="1551"/>
        <v>#DIV/0!</v>
      </c>
      <c r="BD185" s="70" t="e">
        <f t="shared" si="1551"/>
        <v>#DIV/0!</v>
      </c>
      <c r="BE185" s="70" t="e">
        <f t="shared" si="1551"/>
        <v>#DIV/0!</v>
      </c>
      <c r="BF185" s="70" t="e">
        <f t="shared" si="1551"/>
        <v>#DIV/0!</v>
      </c>
      <c r="BG185" s="70" t="e">
        <f t="shared" si="1551"/>
        <v>#DIV/0!</v>
      </c>
      <c r="BH185" s="70" t="e">
        <f t="shared" si="1551"/>
        <v>#DIV/0!</v>
      </c>
      <c r="BI185" s="70" t="e">
        <f t="shared" si="1551"/>
        <v>#DIV/0!</v>
      </c>
      <c r="BJ185" s="70" t="e">
        <f t="shared" si="1551"/>
        <v>#DIV/0!</v>
      </c>
      <c r="BK185" s="70" t="e">
        <f t="shared" si="1551"/>
        <v>#DIV/0!</v>
      </c>
      <c r="BL185" s="70">
        <f t="shared" si="1551"/>
        <v>0</v>
      </c>
      <c r="BM185" s="70">
        <f t="shared" si="1551"/>
        <v>0</v>
      </c>
      <c r="BN185" s="70">
        <f t="shared" si="1551"/>
        <v>517.28953634962897</v>
      </c>
      <c r="BO185" s="70">
        <f t="shared" si="1551"/>
        <v>502.22908821310995</v>
      </c>
      <c r="BP185" s="70">
        <f t="shared" si="1551"/>
        <v>592.50384857433312</v>
      </c>
      <c r="BQ185" s="70">
        <f t="shared" si="1551"/>
        <v>593.9470544715183</v>
      </c>
      <c r="BR185" s="70">
        <f t="shared" si="1551"/>
        <v>553.14741123608701</v>
      </c>
      <c r="BS185" s="70">
        <f t="shared" si="1551"/>
        <v>547.10164001789792</v>
      </c>
      <c r="BT185" s="70">
        <f t="shared" si="1551"/>
        <v>704.35743543065189</v>
      </c>
      <c r="BU185" s="70">
        <f t="shared" si="1551"/>
        <v>697.29511501274987</v>
      </c>
      <c r="BV185" s="70">
        <f t="shared" si="1551"/>
        <v>581.97833753666589</v>
      </c>
      <c r="BW185" s="70">
        <f t="shared" si="1551"/>
        <v>581.90086372683948</v>
      </c>
      <c r="BX185" s="70">
        <f t="shared" si="1551"/>
        <v>551.8688179256676</v>
      </c>
      <c r="BY185" s="70">
        <f t="shared" si="1551"/>
        <v>551.64443884857724</v>
      </c>
      <c r="BZ185" s="70">
        <f t="shared" si="1551"/>
        <v>496.58225732617365</v>
      </c>
      <c r="CA185" s="70">
        <f t="shared" si="1551"/>
        <v>497.77478585434466</v>
      </c>
      <c r="CB185" s="70">
        <f t="shared" si="1551"/>
        <v>576.45101907016829</v>
      </c>
      <c r="CC185" s="70">
        <f t="shared" si="1551"/>
        <v>575.90333095914821</v>
      </c>
      <c r="CD185" s="70">
        <f t="shared" si="1551"/>
        <v>517.00268036862064</v>
      </c>
      <c r="CE185" s="115">
        <f>CE156/CE10*90</f>
        <v>515.63918331977789</v>
      </c>
      <c r="CF185" s="70">
        <f>CF156/CF8*90</f>
        <v>666.75974743613619</v>
      </c>
      <c r="CG185" s="70">
        <f>CG156/CG10*90</f>
        <v>688.08426046257875</v>
      </c>
      <c r="CH185" s="70">
        <f>CH156/CH8*90</f>
        <v>783.50563866164543</v>
      </c>
      <c r="CI185" s="70">
        <f>CI183+CI184</f>
        <v>783.50563866164543</v>
      </c>
      <c r="CJ185" s="70">
        <f>CJ156/CJ8*90</f>
        <v>809.16422441123757</v>
      </c>
      <c r="CK185" s="70">
        <f t="shared" ref="CK185:DB185" si="1552">CK183+CK184</f>
        <v>809.16422441123757</v>
      </c>
      <c r="CL185" s="70">
        <f>CL156/CL8*90</f>
        <v>789.56937061384576</v>
      </c>
      <c r="CM185" s="50">
        <f t="shared" si="1552"/>
        <v>789.56937061384576</v>
      </c>
      <c r="CN185" s="50">
        <f t="shared" si="1552"/>
        <v>789.56937061384576</v>
      </c>
      <c r="CO185" s="50">
        <f t="shared" si="1552"/>
        <v>789.56937061384576</v>
      </c>
      <c r="CP185" s="50">
        <f t="shared" si="1552"/>
        <v>789.56937061384576</v>
      </c>
      <c r="CQ185" s="50">
        <f t="shared" si="1552"/>
        <v>789.56937061384576</v>
      </c>
      <c r="CR185" s="50">
        <f t="shared" si="1552"/>
        <v>789.56937061384576</v>
      </c>
      <c r="CS185" s="50">
        <f t="shared" si="1552"/>
        <v>789.56937061384576</v>
      </c>
      <c r="CT185" s="50">
        <f t="shared" si="1552"/>
        <v>789.56937061384576</v>
      </c>
      <c r="CU185" s="50">
        <f t="shared" si="1552"/>
        <v>789.56937061384576</v>
      </c>
      <c r="CV185" s="50">
        <f t="shared" si="1552"/>
        <v>789.56937061384576</v>
      </c>
      <c r="CW185" s="50">
        <f t="shared" si="1552"/>
        <v>789.56937061384576</v>
      </c>
      <c r="CX185" s="50">
        <f t="shared" si="1552"/>
        <v>789.56937061384576</v>
      </c>
      <c r="CY185" s="50">
        <f t="shared" si="1552"/>
        <v>789.56937061384576</v>
      </c>
      <c r="CZ185" s="50">
        <f t="shared" si="1552"/>
        <v>789.56937061384576</v>
      </c>
      <c r="DA185" s="50">
        <f t="shared" si="1552"/>
        <v>789.56937061384576</v>
      </c>
      <c r="DB185" s="50">
        <f t="shared" si="1552"/>
        <v>789.56937061384576</v>
      </c>
      <c r="DE185" s="138"/>
      <c r="DF185" s="7">
        <v>782.56501616728713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53">C182-C185</f>
        <v>#DIV/0!</v>
      </c>
      <c r="D186" s="70" t="e">
        <f t="shared" si="1553"/>
        <v>#DIV/0!</v>
      </c>
      <c r="E186" s="70" t="e">
        <f t="shared" si="1553"/>
        <v>#DIV/0!</v>
      </c>
      <c r="F186" s="70" t="e">
        <f t="shared" si="1553"/>
        <v>#DIV/0!</v>
      </c>
      <c r="G186" s="70" t="e">
        <f t="shared" si="1553"/>
        <v>#DIV/0!</v>
      </c>
      <c r="H186" s="70" t="e">
        <f t="shared" si="1553"/>
        <v>#DIV/0!</v>
      </c>
      <c r="I186" s="70">
        <f t="shared" si="1553"/>
        <v>1840.4846164620762</v>
      </c>
      <c r="J186" s="70">
        <f t="shared" si="1553"/>
        <v>3837.1490204747042</v>
      </c>
      <c r="K186" s="70">
        <f t="shared" si="1553"/>
        <v>2557.9556915243038</v>
      </c>
      <c r="L186" s="70">
        <f t="shared" si="1553"/>
        <v>1172.0925185002664</v>
      </c>
      <c r="M186" s="70">
        <f t="shared" si="1553"/>
        <v>549.2738617705669</v>
      </c>
      <c r="N186" s="70" t="e">
        <f t="shared" si="1553"/>
        <v>#DIV/0!</v>
      </c>
      <c r="O186" s="70">
        <f t="shared" si="1553"/>
        <v>155.24845252773372</v>
      </c>
      <c r="P186" s="70">
        <f t="shared" si="1553"/>
        <v>116.37758485602347</v>
      </c>
      <c r="Q186" s="70">
        <f t="shared" si="1553"/>
        <v>135.4766475247427</v>
      </c>
      <c r="R186" s="70">
        <f t="shared" si="1553"/>
        <v>314.54824187147369</v>
      </c>
      <c r="S186" s="70">
        <f t="shared" si="1553"/>
        <v>261.60331868526771</v>
      </c>
      <c r="T186" s="70">
        <f t="shared" si="1553"/>
        <v>124.56482914164332</v>
      </c>
      <c r="U186" s="70">
        <f t="shared" si="1553"/>
        <v>-250.62822236083827</v>
      </c>
      <c r="V186" s="70">
        <f t="shared" si="1553"/>
        <v>86.583821588308524</v>
      </c>
      <c r="W186" s="70">
        <f t="shared" ref="W186" si="1554">W182-W185</f>
        <v>-353.21973721080667</v>
      </c>
      <c r="X186" s="70">
        <f t="shared" ref="X186:Y186" si="1555">X182-X185</f>
        <v>-352.64264047161748</v>
      </c>
      <c r="Y186" s="70">
        <f t="shared" si="1555"/>
        <v>-141.90928799976768</v>
      </c>
      <c r="Z186" s="70">
        <f t="shared" ref="Z186:AA186" si="1556">Z182-Z185</f>
        <v>41.065730448293152</v>
      </c>
      <c r="AA186" s="70">
        <f t="shared" ref="AA186" si="1557">AA182-AA185</f>
        <v>-138.2814891230729</v>
      </c>
      <c r="AB186" s="71">
        <f t="shared" ref="AB186:AD186" si="1558">AB182-AB185</f>
        <v>-462.73047880869979</v>
      </c>
      <c r="AC186" s="71">
        <f t="shared" si="1558"/>
        <v>-469.493493884499</v>
      </c>
      <c r="AD186" s="71">
        <f t="shared" si="1558"/>
        <v>-470.30682845766182</v>
      </c>
      <c r="AE186" s="71">
        <f t="shared" ref="AE186" si="1559">AE182-AE185</f>
        <v>-470.37320472434607</v>
      </c>
      <c r="AI186" s="70" t="e">
        <f t="shared" ref="AI186:AK186" si="1560">AI182-AI185</f>
        <v>#DIV/0!</v>
      </c>
      <c r="AJ186" s="70" t="e">
        <f t="shared" ref="AJ186:AM186" si="1561">AJ182-AJ185</f>
        <v>#DIV/0!</v>
      </c>
      <c r="AK186" s="70" t="e">
        <f t="shared" si="1560"/>
        <v>#DIV/0!</v>
      </c>
      <c r="AL186" s="70" t="e">
        <f t="shared" si="1561"/>
        <v>#DIV/0!</v>
      </c>
      <c r="AM186" s="70" t="e">
        <f t="shared" si="1561"/>
        <v>#DIV/0!</v>
      </c>
      <c r="AN186" s="70" t="e">
        <f t="shared" ref="AN186:AY186" si="1562">AN182-AN185</f>
        <v>#DIV/0!</v>
      </c>
      <c r="AO186" s="70" t="e">
        <f t="shared" si="1562"/>
        <v>#DIV/0!</v>
      </c>
      <c r="AP186" s="70" t="e">
        <f t="shared" si="1562"/>
        <v>#DIV/0!</v>
      </c>
      <c r="AQ186" s="70" t="e">
        <f t="shared" si="1562"/>
        <v>#DIV/0!</v>
      </c>
      <c r="AR186" s="70" t="e">
        <f t="shared" si="1562"/>
        <v>#DIV/0!</v>
      </c>
      <c r="AS186" s="70" t="e">
        <f t="shared" si="1562"/>
        <v>#DIV/0!</v>
      </c>
      <c r="AT186" s="70" t="e">
        <f t="shared" si="1562"/>
        <v>#DIV/0!</v>
      </c>
      <c r="AU186" s="70" t="e">
        <f t="shared" si="1562"/>
        <v>#DIV/0!</v>
      </c>
      <c r="AV186" s="70" t="e">
        <f t="shared" si="1562"/>
        <v>#DIV/0!</v>
      </c>
      <c r="AW186" s="70" t="e">
        <f t="shared" si="1562"/>
        <v>#DIV/0!</v>
      </c>
      <c r="AX186" s="70" t="e">
        <f t="shared" si="1562"/>
        <v>#DIV/0!</v>
      </c>
      <c r="AY186" s="70" t="e">
        <f t="shared" si="1562"/>
        <v>#DIV/0!</v>
      </c>
      <c r="AZ186" s="70" t="e">
        <f t="shared" ref="AZ186:BC186" si="1563">AZ182-AZ185</f>
        <v>#DIV/0!</v>
      </c>
      <c r="BA186" s="70" t="e">
        <f t="shared" si="1563"/>
        <v>#DIV/0!</v>
      </c>
      <c r="BB186" s="70" t="e">
        <f t="shared" si="1563"/>
        <v>#DIV/0!</v>
      </c>
      <c r="BC186" s="70" t="e">
        <f t="shared" si="1563"/>
        <v>#DIV/0!</v>
      </c>
      <c r="BD186" s="70" t="e">
        <f t="shared" ref="BD186:CE186" si="1564">BD182-BD185</f>
        <v>#DIV/0!</v>
      </c>
      <c r="BE186" s="70" t="e">
        <f t="shared" si="1564"/>
        <v>#DIV/0!</v>
      </c>
      <c r="BF186" s="70" t="e">
        <f t="shared" si="1564"/>
        <v>#DIV/0!</v>
      </c>
      <c r="BG186" s="70" t="e">
        <f t="shared" si="1564"/>
        <v>#DIV/0!</v>
      </c>
      <c r="BH186" s="70" t="e">
        <f t="shared" si="1564"/>
        <v>#DIV/0!</v>
      </c>
      <c r="BI186" s="70" t="e">
        <f t="shared" si="1564"/>
        <v>#DIV/0!</v>
      </c>
      <c r="BJ186" s="70" t="e">
        <f t="shared" si="1564"/>
        <v>#DIV/0!</v>
      </c>
      <c r="BK186" s="70" t="e">
        <f t="shared" si="1564"/>
        <v>#DIV/0!</v>
      </c>
      <c r="BL186" s="70">
        <f t="shared" si="1564"/>
        <v>0</v>
      </c>
      <c r="BM186" s="70">
        <f t="shared" si="1564"/>
        <v>0</v>
      </c>
      <c r="BN186" s="70">
        <f t="shared" si="1564"/>
        <v>-225.17112574123377</v>
      </c>
      <c r="BO186" s="70">
        <f t="shared" si="1564"/>
        <v>-262.57646489241318</v>
      </c>
      <c r="BP186" s="70">
        <f t="shared" si="1564"/>
        <v>-331.01892820835548</v>
      </c>
      <c r="BQ186" s="70">
        <f t="shared" si="1564"/>
        <v>-329.98552652710958</v>
      </c>
      <c r="BR186" s="70">
        <f t="shared" si="1564"/>
        <v>67.241197027987369</v>
      </c>
      <c r="BS186" s="70">
        <f t="shared" si="1564"/>
        <v>6.6631015990615197</v>
      </c>
      <c r="BT186" s="70">
        <f t="shared" si="1564"/>
        <v>-383.48936170212767</v>
      </c>
      <c r="BU186" s="70">
        <f t="shared" si="1564"/>
        <v>-412.407923354677</v>
      </c>
      <c r="BV186" s="70">
        <f t="shared" si="1564"/>
        <v>-296.12040968906103</v>
      </c>
      <c r="BW186" s="70">
        <f t="shared" si="1564"/>
        <v>-296.41162991511533</v>
      </c>
      <c r="BX186" s="70">
        <f t="shared" si="1564"/>
        <v>-90.037193076613448</v>
      </c>
      <c r="BY186" s="70">
        <f t="shared" si="1564"/>
        <v>-91.621521470428377</v>
      </c>
      <c r="BZ186" s="70">
        <f t="shared" si="1564"/>
        <v>-318.62468482739075</v>
      </c>
      <c r="CA186" s="70">
        <f t="shared" si="1564"/>
        <v>-316.71990346426605</v>
      </c>
      <c r="CB186" s="70">
        <f t="shared" si="1564"/>
        <v>-338.30724700749238</v>
      </c>
      <c r="CC186" s="70">
        <f t="shared" si="1564"/>
        <v>-340.00543373278913</v>
      </c>
      <c r="CD186" s="70">
        <f t="shared" si="1564"/>
        <v>-317.70250118619941</v>
      </c>
      <c r="CE186" s="115">
        <f t="shared" si="1564"/>
        <v>-322.06402924336476</v>
      </c>
      <c r="CF186" s="70">
        <f t="shared" ref="CF186:CG186" si="1565">CF182-CF185</f>
        <v>-262.64690969732743</v>
      </c>
      <c r="CG186" s="70">
        <f t="shared" si="1565"/>
        <v>-209.88249622527275</v>
      </c>
      <c r="CH186" s="70">
        <f t="shared" ref="CH186:CI186" si="1566">CH182-CH185</f>
        <v>50.229268010905116</v>
      </c>
      <c r="CI186" s="70">
        <f t="shared" si="1566"/>
        <v>50.229268010905116</v>
      </c>
      <c r="CJ186" s="70">
        <f t="shared" ref="CJ186:DB186" si="1567">CJ182-CJ185</f>
        <v>-313.27752342817774</v>
      </c>
      <c r="CK186" s="70">
        <f t="shared" si="1567"/>
        <v>-313.27752342817774</v>
      </c>
      <c r="CL186" s="70">
        <f t="shared" ref="CL186" si="1568">CL182-CL185</f>
        <v>-379.97465434946167</v>
      </c>
      <c r="CM186" s="50">
        <f t="shared" si="1567"/>
        <v>-379.97465434946167</v>
      </c>
      <c r="CN186" s="50">
        <f t="shared" si="1567"/>
        <v>-379.97465434946167</v>
      </c>
      <c r="CO186" s="50">
        <f t="shared" si="1567"/>
        <v>-379.97465434946167</v>
      </c>
      <c r="CP186" s="50">
        <f t="shared" si="1567"/>
        <v>-379.97465434946167</v>
      </c>
      <c r="CQ186" s="50">
        <f t="shared" si="1567"/>
        <v>-379.97465434946167</v>
      </c>
      <c r="CR186" s="50">
        <f t="shared" si="1567"/>
        <v>-379.97465434946167</v>
      </c>
      <c r="CS186" s="50">
        <f t="shared" si="1567"/>
        <v>-379.97465434946167</v>
      </c>
      <c r="CT186" s="50">
        <f t="shared" si="1567"/>
        <v>-379.97465434946167</v>
      </c>
      <c r="CU186" s="50">
        <f t="shared" si="1567"/>
        <v>-379.97465434946167</v>
      </c>
      <c r="CV186" s="50">
        <f t="shared" si="1567"/>
        <v>-379.97465434946167</v>
      </c>
      <c r="CW186" s="50">
        <f t="shared" si="1567"/>
        <v>-379.97465434946167</v>
      </c>
      <c r="CX186" s="50">
        <f t="shared" si="1567"/>
        <v>-379.97465434946167</v>
      </c>
      <c r="CY186" s="50">
        <f t="shared" si="1567"/>
        <v>-379.97465434946167</v>
      </c>
      <c r="CZ186" s="50">
        <f t="shared" si="1567"/>
        <v>-379.97465434946167</v>
      </c>
      <c r="DA186" s="50">
        <f t="shared" si="1567"/>
        <v>-379.97465434946167</v>
      </c>
      <c r="DB186" s="50">
        <f t="shared" si="1567"/>
        <v>-379.97465434946167</v>
      </c>
      <c r="DE186" s="138"/>
      <c r="DF186" s="7">
        <v>-138.2814891230729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69">C10/B10-1</f>
        <v>#DIV/0!</v>
      </c>
      <c r="D188" s="86" t="e">
        <f t="shared" si="1569"/>
        <v>#DIV/0!</v>
      </c>
      <c r="E188" s="86" t="e">
        <f t="shared" si="1569"/>
        <v>#DIV/0!</v>
      </c>
      <c r="F188" s="86" t="e">
        <f t="shared" si="1569"/>
        <v>#DIV/0!</v>
      </c>
      <c r="G188" s="86" t="e">
        <f t="shared" si="1569"/>
        <v>#DIV/0!</v>
      </c>
      <c r="H188" s="86" t="e">
        <f t="shared" si="1569"/>
        <v>#DIV/0!</v>
      </c>
      <c r="I188" s="86" t="e">
        <f t="shared" si="1569"/>
        <v>#DIV/0!</v>
      </c>
      <c r="J188" s="86">
        <f t="shared" si="1569"/>
        <v>0.17376391048759765</v>
      </c>
      <c r="K188" s="86">
        <f t="shared" si="1569"/>
        <v>1.3887562955724273</v>
      </c>
      <c r="L188" s="86">
        <f t="shared" si="1569"/>
        <v>-1.8212500147509525E-2</v>
      </c>
      <c r="M188" s="86">
        <f t="shared" si="1569"/>
        <v>9.1742090059337089E-2</v>
      </c>
      <c r="N188" s="86">
        <f t="shared" si="1569"/>
        <v>-1</v>
      </c>
      <c r="O188" s="86" t="e">
        <f t="shared" si="1569"/>
        <v>#DIV/0!</v>
      </c>
      <c r="P188" s="86">
        <f t="shared" si="1569"/>
        <v>0.36235968862240475</v>
      </c>
      <c r="Q188" s="86">
        <f t="shared" si="1569"/>
        <v>1.0090007559024894E-3</v>
      </c>
      <c r="R188" s="86">
        <f t="shared" si="1569"/>
        <v>-3.7626073659955961E-2</v>
      </c>
      <c r="S188" s="86">
        <f t="shared" si="1569"/>
        <v>0.77504450740662478</v>
      </c>
      <c r="T188" s="86">
        <f t="shared" si="1569"/>
        <v>-2.9129618939318647E-3</v>
      </c>
      <c r="U188" s="86">
        <f t="shared" si="1569"/>
        <v>-4.9822978678765284E-2</v>
      </c>
      <c r="V188" s="86">
        <f t="shared" si="1569"/>
        <v>0.74391684515003642</v>
      </c>
      <c r="W188" s="86">
        <f t="shared" si="1569"/>
        <v>0.81304345073610174</v>
      </c>
      <c r="X188" s="86">
        <f t="shared" si="1569"/>
        <v>0.31009849357124963</v>
      </c>
      <c r="Y188" s="86">
        <f t="shared" si="1569"/>
        <v>0.42314277290165037</v>
      </c>
      <c r="Z188" s="86">
        <f>Z10/Y10-1</f>
        <v>0.22630302241457922</v>
      </c>
      <c r="AA188" s="86">
        <f>AA10/Z10-1</f>
        <v>-1.9428147524262696E-2</v>
      </c>
      <c r="AB188" s="87">
        <f t="shared" ref="AB188:AE188" si="1570">AB10/AA10-1</f>
        <v>0.12085386424285161</v>
      </c>
      <c r="AC188" s="87">
        <f t="shared" si="1570"/>
        <v>0.16821335956422656</v>
      </c>
      <c r="AD188" s="87">
        <f t="shared" si="1570"/>
        <v>0.17290001427122181</v>
      </c>
      <c r="AE188" s="87">
        <f t="shared" si="1570"/>
        <v>0.17374999520986334</v>
      </c>
      <c r="AN188" s="86" t="e">
        <f t="shared" ref="AN188:CI188" si="1571">+(AN10+AM10)/(AJ10+AI10)-1</f>
        <v>#DIV/0!</v>
      </c>
      <c r="AO188" s="86" t="e">
        <f t="shared" si="1571"/>
        <v>#DIV/0!</v>
      </c>
      <c r="AP188" s="86" t="e">
        <f t="shared" si="1571"/>
        <v>#DIV/0!</v>
      </c>
      <c r="AQ188" s="86" t="e">
        <f t="shared" si="1571"/>
        <v>#DIV/0!</v>
      </c>
      <c r="AR188" s="86" t="e">
        <f t="shared" si="1571"/>
        <v>#DIV/0!</v>
      </c>
      <c r="AS188" s="86" t="e">
        <f t="shared" si="1571"/>
        <v>#DIV/0!</v>
      </c>
      <c r="AT188" s="86" t="e">
        <f t="shared" si="1571"/>
        <v>#DIV/0!</v>
      </c>
      <c r="AU188" s="86" t="e">
        <f t="shared" si="1571"/>
        <v>#DIV/0!</v>
      </c>
      <c r="AV188" s="86" t="e">
        <f t="shared" si="1571"/>
        <v>#DIV/0!</v>
      </c>
      <c r="AW188" s="86" t="e">
        <f t="shared" si="1571"/>
        <v>#DIV/0!</v>
      </c>
      <c r="AX188" s="86" t="e">
        <f t="shared" si="1571"/>
        <v>#DIV/0!</v>
      </c>
      <c r="AY188" s="86" t="e">
        <f t="shared" si="1571"/>
        <v>#DIV/0!</v>
      </c>
      <c r="AZ188" s="86" t="e">
        <f t="shared" si="1571"/>
        <v>#DIV/0!</v>
      </c>
      <c r="BA188" s="86" t="e">
        <f t="shared" si="1571"/>
        <v>#DIV/0!</v>
      </c>
      <c r="BB188" s="86" t="e">
        <f t="shared" si="1571"/>
        <v>#DIV/0!</v>
      </c>
      <c r="BC188" s="86" t="e">
        <f t="shared" si="1571"/>
        <v>#DIV/0!</v>
      </c>
      <c r="BD188" s="86" t="e">
        <f t="shared" si="1571"/>
        <v>#DIV/0!</v>
      </c>
      <c r="BE188" s="86" t="e">
        <f t="shared" si="1571"/>
        <v>#DIV/0!</v>
      </c>
      <c r="BF188" s="86" t="e">
        <f t="shared" si="1571"/>
        <v>#DIV/0!</v>
      </c>
      <c r="BG188" s="86" t="e">
        <f t="shared" si="1571"/>
        <v>#DIV/0!</v>
      </c>
      <c r="BH188" s="86" t="e">
        <f t="shared" si="1571"/>
        <v>#DIV/0!</v>
      </c>
      <c r="BI188" s="86" t="e">
        <f t="shared" si="1571"/>
        <v>#DIV/0!</v>
      </c>
      <c r="BJ188" s="86" t="e">
        <f t="shared" si="1571"/>
        <v>#DIV/0!</v>
      </c>
      <c r="BK188" s="86" t="e">
        <f t="shared" si="1571"/>
        <v>#DIV/0!</v>
      </c>
      <c r="BL188" s="86" t="e">
        <f t="shared" si="1571"/>
        <v>#DIV/0!</v>
      </c>
      <c r="BM188" s="86" t="e">
        <f t="shared" si="1571"/>
        <v>#DIV/0!</v>
      </c>
      <c r="BN188" s="86" t="e">
        <f t="shared" si="1571"/>
        <v>#DIV/0!</v>
      </c>
      <c r="BO188" s="86" t="e">
        <f t="shared" si="1571"/>
        <v>#DIV/0!</v>
      </c>
      <c r="BP188" s="86">
        <f t="shared" si="1571"/>
        <v>2.1910451757091804</v>
      </c>
      <c r="BQ188" s="86">
        <f t="shared" si="1571"/>
        <v>0.75902191617483883</v>
      </c>
      <c r="BR188" s="86">
        <f t="shared" si="1571"/>
        <v>0.92573042115973703</v>
      </c>
      <c r="BS188" s="86">
        <f t="shared" si="1571"/>
        <v>1.0207014752642185</v>
      </c>
      <c r="BT188" s="86">
        <f t="shared" si="1571"/>
        <v>0.80566463424643309</v>
      </c>
      <c r="BU188" s="86">
        <f t="shared" si="1571"/>
        <v>0.82382655907422064</v>
      </c>
      <c r="BV188" s="86">
        <f t="shared" si="1571"/>
        <v>0.78657962972022832</v>
      </c>
      <c r="BW188" s="86">
        <f t="shared" si="1571"/>
        <v>0.56414585437517228</v>
      </c>
      <c r="BX188" s="86">
        <f t="shared" si="1571"/>
        <v>0.44170552157154286</v>
      </c>
      <c r="BY188" s="86">
        <f t="shared" si="1571"/>
        <v>0.3283137377640688</v>
      </c>
      <c r="BZ188" s="86">
        <f t="shared" si="1571"/>
        <v>0.23175300126434939</v>
      </c>
      <c r="CA188" s="86">
        <f t="shared" si="1571"/>
        <v>0.19843866601996307</v>
      </c>
      <c r="CB188" s="86">
        <f t="shared" si="1571"/>
        <v>0.29991732642051416</v>
      </c>
      <c r="CC188" s="86">
        <f t="shared" si="1571"/>
        <v>0.41034406586786254</v>
      </c>
      <c r="CD188" s="86">
        <f t="shared" si="1571"/>
        <v>0.53481780913628452</v>
      </c>
      <c r="CE188" s="86">
        <f t="shared" si="1571"/>
        <v>0.69156090061307474</v>
      </c>
      <c r="CF188" s="86">
        <f t="shared" si="1571"/>
        <v>0.57389461520385132</v>
      </c>
      <c r="CG188" s="86">
        <f t="shared" si="1571"/>
        <v>0.31800031610227841</v>
      </c>
      <c r="CH188" s="86">
        <f t="shared" si="1571"/>
        <v>-4.0600135246875224E-2</v>
      </c>
      <c r="CI188" s="86">
        <f t="shared" si="1571"/>
        <v>-0.20493714550462772</v>
      </c>
      <c r="CJ188" s="86">
        <f>+(CJ10+CI10)/(CF10+CE10)-1</f>
        <v>-0.19789018409950143</v>
      </c>
      <c r="CL188" s="86">
        <f>+(CL10+CK10)/(CH10+CG10)-1</f>
        <v>0.20537274519792992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-1.9428147524262696E-2</v>
      </c>
    </row>
    <row r="189" spans="1:110" s="86" customFormat="1" x14ac:dyDescent="0.2">
      <c r="A189" s="86" t="s">
        <v>441</v>
      </c>
      <c r="C189" s="86" t="e">
        <f t="shared" ref="C189" si="1572">C186/B186-1</f>
        <v>#DIV/0!</v>
      </c>
      <c r="D189" s="86" t="e">
        <f t="shared" ref="D189" si="1573">D186/C186-1</f>
        <v>#DIV/0!</v>
      </c>
      <c r="E189" s="86" t="e">
        <f>E186/D186-1</f>
        <v>#DIV/0!</v>
      </c>
      <c r="F189" s="86" t="e">
        <f t="shared" ref="F189" si="1574">F186/E186-1</f>
        <v>#DIV/0!</v>
      </c>
      <c r="G189" s="86" t="e">
        <f t="shared" ref="G189" si="1575">G186/F186-1</f>
        <v>#DIV/0!</v>
      </c>
      <c r="H189" s="86" t="e">
        <f t="shared" ref="H189" si="1576">H186/G186-1</f>
        <v>#DIV/0!</v>
      </c>
      <c r="I189" s="86" t="e">
        <f t="shared" ref="I189" si="1577">I186/H186-1</f>
        <v>#DIV/0!</v>
      </c>
      <c r="J189" s="86">
        <f t="shared" ref="J189" si="1578">J186/I186-1</f>
        <v>1.0848579695551992</v>
      </c>
      <c r="K189" s="86">
        <f>K186/J186-1</f>
        <v>-0.3333707714046894</v>
      </c>
      <c r="L189" s="86">
        <f t="shared" ref="L189" si="1579">L186/K186-1</f>
        <v>-0.54178544906623927</v>
      </c>
      <c r="M189" s="86">
        <f t="shared" ref="M189" si="1580">M186/L186-1</f>
        <v>-0.53137328913814574</v>
      </c>
      <c r="N189" s="86" t="e">
        <f t="shared" ref="N189" si="1581">N186/M186-1</f>
        <v>#DIV/0!</v>
      </c>
      <c r="O189" s="86" t="e">
        <f t="shared" ref="O189" si="1582">O186/N186-1</f>
        <v>#DIV/0!</v>
      </c>
      <c r="P189" s="86">
        <f t="shared" ref="P189" si="1583">P186/O186-1</f>
        <v>-0.25037845491417265</v>
      </c>
      <c r="Q189" s="86">
        <f t="shared" ref="Q189" si="1584">Q186/P186-1</f>
        <v>0.16411289761982628</v>
      </c>
      <c r="R189" s="86">
        <f t="shared" ref="R189" si="1585">R186/Q186-1</f>
        <v>1.321789383030211</v>
      </c>
      <c r="S189" s="86">
        <f t="shared" ref="S189" si="1586">S186/R186-1</f>
        <v>-0.16832051856719521</v>
      </c>
      <c r="T189" s="86">
        <f t="shared" ref="T189" si="1587">T186/S186-1</f>
        <v>-0.52384079159368002</v>
      </c>
      <c r="U189" s="86">
        <f t="shared" ref="U189" si="1588">U186/T186-1</f>
        <v>-3.0120303948383986</v>
      </c>
      <c r="V189" s="86">
        <f t="shared" ref="V189" si="1589">V186/U186-1</f>
        <v>-1.3454671655598736</v>
      </c>
      <c r="W189" s="86">
        <f t="shared" ref="W189:AA189" si="1590">W186/V186-1</f>
        <v>-5.0795119773103456</v>
      </c>
      <c r="X189" s="86">
        <f t="shared" si="1590"/>
        <v>-1.6338179280304121E-3</v>
      </c>
      <c r="Y189" s="86">
        <f t="shared" si="1590"/>
        <v>-0.59758329903048324</v>
      </c>
      <c r="Z189" s="86">
        <f t="shared" si="1590"/>
        <v>-1.2893801457756617</v>
      </c>
      <c r="AA189" s="86">
        <f t="shared" si="1590"/>
        <v>-4.3673208199032629</v>
      </c>
      <c r="AB189" s="87">
        <f t="shared" ref="AB189" si="1591">AB186/AA186-1</f>
        <v>2.3462937211853547</v>
      </c>
      <c r="AC189" s="87">
        <f t="shared" ref="AC189" si="1592">AC186/AB186-1</f>
        <v>1.4615451943452262E-2</v>
      </c>
      <c r="AD189" s="87">
        <f t="shared" ref="AD189" si="1593">AD186/AC186-1</f>
        <v>1.732366015199549E-3</v>
      </c>
      <c r="AE189" s="87">
        <f t="shared" ref="AE189" si="1594">AE186/AD186-1</f>
        <v>1.4113396333614858E-4</v>
      </c>
      <c r="AN189" s="86" t="e">
        <f t="shared" ref="AN189:CI189" si="1595">+AN186/AJ186-1</f>
        <v>#DIV/0!</v>
      </c>
      <c r="AO189" s="86" t="e">
        <f t="shared" si="1595"/>
        <v>#DIV/0!</v>
      </c>
      <c r="AP189" s="86" t="e">
        <f t="shared" si="1595"/>
        <v>#DIV/0!</v>
      </c>
      <c r="AQ189" s="86" t="e">
        <f t="shared" si="1595"/>
        <v>#DIV/0!</v>
      </c>
      <c r="AR189" s="86" t="e">
        <f t="shared" si="1595"/>
        <v>#DIV/0!</v>
      </c>
      <c r="AS189" s="86" t="e">
        <f t="shared" si="1595"/>
        <v>#DIV/0!</v>
      </c>
      <c r="AT189" s="86" t="e">
        <f t="shared" si="1595"/>
        <v>#DIV/0!</v>
      </c>
      <c r="AU189" s="86" t="e">
        <f t="shared" si="1595"/>
        <v>#DIV/0!</v>
      </c>
      <c r="AV189" s="86" t="e">
        <f t="shared" si="1595"/>
        <v>#DIV/0!</v>
      </c>
      <c r="AW189" s="86" t="e">
        <f t="shared" si="1595"/>
        <v>#DIV/0!</v>
      </c>
      <c r="AX189" s="86" t="e">
        <f t="shared" si="1595"/>
        <v>#DIV/0!</v>
      </c>
      <c r="AY189" s="86" t="e">
        <f t="shared" si="1595"/>
        <v>#DIV/0!</v>
      </c>
      <c r="AZ189" s="86" t="e">
        <f t="shared" si="1595"/>
        <v>#DIV/0!</v>
      </c>
      <c r="BA189" s="86" t="e">
        <f t="shared" si="1595"/>
        <v>#DIV/0!</v>
      </c>
      <c r="BB189" s="86" t="e">
        <f t="shared" si="1595"/>
        <v>#DIV/0!</v>
      </c>
      <c r="BC189" s="86" t="e">
        <f t="shared" si="1595"/>
        <v>#DIV/0!</v>
      </c>
      <c r="BD189" s="86" t="e">
        <f t="shared" si="1595"/>
        <v>#DIV/0!</v>
      </c>
      <c r="BE189" s="86" t="e">
        <f t="shared" si="1595"/>
        <v>#DIV/0!</v>
      </c>
      <c r="BF189" s="86" t="e">
        <f t="shared" si="1595"/>
        <v>#DIV/0!</v>
      </c>
      <c r="BG189" s="86" t="e">
        <f t="shared" si="1595"/>
        <v>#DIV/0!</v>
      </c>
      <c r="BH189" s="86" t="e">
        <f t="shared" si="1595"/>
        <v>#DIV/0!</v>
      </c>
      <c r="BI189" s="86" t="e">
        <f t="shared" si="1595"/>
        <v>#DIV/0!</v>
      </c>
      <c r="BJ189" s="86" t="e">
        <f t="shared" si="1595"/>
        <v>#DIV/0!</v>
      </c>
      <c r="BK189" s="86" t="e">
        <f t="shared" si="1595"/>
        <v>#DIV/0!</v>
      </c>
      <c r="BL189" s="86" t="e">
        <f t="shared" si="1595"/>
        <v>#DIV/0!</v>
      </c>
      <c r="BM189" s="86" t="e">
        <f t="shared" si="1595"/>
        <v>#DIV/0!</v>
      </c>
      <c r="BN189" s="86" t="e">
        <f t="shared" si="1595"/>
        <v>#DIV/0!</v>
      </c>
      <c r="BO189" s="86" t="e">
        <f t="shared" si="1595"/>
        <v>#DIV/0!</v>
      </c>
      <c r="BP189" s="86" t="e">
        <f t="shared" si="1595"/>
        <v>#DIV/0!</v>
      </c>
      <c r="BQ189" s="86" t="e">
        <f t="shared" si="1595"/>
        <v>#DIV/0!</v>
      </c>
      <c r="BR189" s="86">
        <f t="shared" si="1595"/>
        <v>-1.2986226444737894</v>
      </c>
      <c r="BS189" s="86">
        <f t="shared" si="1595"/>
        <v>-1.0253758523323544</v>
      </c>
      <c r="BT189" s="86">
        <f t="shared" si="1595"/>
        <v>0.15851188262184635</v>
      </c>
      <c r="BU189" s="86">
        <f t="shared" si="1595"/>
        <v>0.24977579379014392</v>
      </c>
      <c r="BV189" s="86">
        <f t="shared" si="1595"/>
        <v>-5.4038539285047049</v>
      </c>
      <c r="BW189" s="86">
        <f t="shared" si="1595"/>
        <v>-45.485533577465503</v>
      </c>
      <c r="BX189" s="86">
        <f t="shared" si="1595"/>
        <v>-0.76521593017083711</v>
      </c>
      <c r="BY189" s="86">
        <f t="shared" si="1595"/>
        <v>-0.77783763045785981</v>
      </c>
      <c r="BZ189" s="86">
        <f t="shared" si="1595"/>
        <v>7.5997041750550665E-2</v>
      </c>
      <c r="CA189" s="86">
        <f t="shared" si="1595"/>
        <v>6.8513754183553877E-2</v>
      </c>
      <c r="CB189" s="86">
        <f t="shared" si="1595"/>
        <v>2.7574166346969937</v>
      </c>
      <c r="CC189" s="86">
        <f t="shared" si="1595"/>
        <v>2.7109778169589638</v>
      </c>
      <c r="CD189" s="86">
        <f t="shared" si="1595"/>
        <v>-2.8942630157199334E-3</v>
      </c>
      <c r="CE189" s="86">
        <f t="shared" si="1595"/>
        <v>1.6873349987307273E-2</v>
      </c>
      <c r="CF189" s="86">
        <f t="shared" si="1595"/>
        <v>-0.2236438562266132</v>
      </c>
      <c r="CG189" s="86">
        <f t="shared" si="1595"/>
        <v>-0.38270840580089149</v>
      </c>
      <c r="CH189" s="86">
        <f t="shared" si="1595"/>
        <v>-1.1581015818993086</v>
      </c>
      <c r="CI189" s="86">
        <f t="shared" si="1595"/>
        <v>-1.1559605030369593</v>
      </c>
      <c r="CJ189" s="86">
        <f>+CJ186/CF186-1</f>
        <v>0.19277064325331938</v>
      </c>
      <c r="CL189" s="86">
        <f>+CL186/CH186-1</f>
        <v>-8.5648057277475473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-4.3673208199032629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96">IF(E189&gt;E188,"RF",0)</f>
        <v>#DIV/0!</v>
      </c>
      <c r="F190" s="103" t="e">
        <f t="shared" si="1596"/>
        <v>#DIV/0!</v>
      </c>
      <c r="G190" s="103" t="e">
        <f t="shared" si="1596"/>
        <v>#DIV/0!</v>
      </c>
      <c r="H190" s="103" t="e">
        <f t="shared" si="1596"/>
        <v>#DIV/0!</v>
      </c>
      <c r="I190" s="103" t="e">
        <f t="shared" si="1596"/>
        <v>#DIV/0!</v>
      </c>
      <c r="J190" s="103" t="str">
        <f t="shared" si="1596"/>
        <v>RF</v>
      </c>
      <c r="K190" s="103">
        <f t="shared" si="1596"/>
        <v>0</v>
      </c>
      <c r="L190" s="103">
        <f t="shared" si="1596"/>
        <v>0</v>
      </c>
      <c r="M190" s="103">
        <f t="shared" si="1596"/>
        <v>0</v>
      </c>
      <c r="N190" s="103" t="e">
        <f t="shared" si="1596"/>
        <v>#DIV/0!</v>
      </c>
      <c r="O190" s="103" t="e">
        <f t="shared" si="1596"/>
        <v>#DIV/0!</v>
      </c>
      <c r="P190" s="103">
        <f t="shared" si="1596"/>
        <v>0</v>
      </c>
      <c r="Q190" s="103" t="str">
        <f t="shared" si="1596"/>
        <v>RF</v>
      </c>
      <c r="R190" s="103" t="str">
        <f t="shared" si="1596"/>
        <v>RF</v>
      </c>
      <c r="S190" s="103">
        <f t="shared" si="1596"/>
        <v>0</v>
      </c>
      <c r="T190" s="103">
        <f t="shared" si="1596"/>
        <v>0</v>
      </c>
      <c r="U190" s="103">
        <f t="shared" si="1596"/>
        <v>0</v>
      </c>
      <c r="V190" s="103">
        <f>IF(V189&gt;V188,"RF",0)</f>
        <v>0</v>
      </c>
      <c r="W190" s="103">
        <f t="shared" ref="W190" si="1597">IF(W189&gt;W188,"RF",0)</f>
        <v>0</v>
      </c>
      <c r="X190" s="103">
        <f t="shared" ref="X190:Y190" si="1598">IF(X189&gt;X188,"RF",0)</f>
        <v>0</v>
      </c>
      <c r="Y190" s="103">
        <f t="shared" si="1598"/>
        <v>0</v>
      </c>
      <c r="Z190" s="103">
        <f t="shared" ref="Z190:AA190" si="1599">IF(Z189&gt;Z188,"RF",0)</f>
        <v>0</v>
      </c>
      <c r="AA190" s="103">
        <f t="shared" ref="AA190" si="1600">IF(AA189&gt;AA188,"RF",0)</f>
        <v>0</v>
      </c>
      <c r="AB190" s="73" t="str">
        <f t="shared" ref="AB190:AD190" si="1601">IF(AB189&gt;AB188,"RF",0)</f>
        <v>RF</v>
      </c>
      <c r="AC190" s="73">
        <f t="shared" si="1601"/>
        <v>0</v>
      </c>
      <c r="AD190" s="73">
        <f t="shared" si="1601"/>
        <v>0</v>
      </c>
      <c r="AE190" s="73">
        <f t="shared" ref="AE190" si="1602">IF(AE189&gt;AE188,"RF",0)</f>
        <v>0</v>
      </c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</row>
    <row r="192" spans="1:110" x14ac:dyDescent="0.2">
      <c r="A192" s="152" t="s">
        <v>495</v>
      </c>
      <c r="AA192" s="2"/>
    </row>
    <row r="193" spans="1:110" s="23" customFormat="1" x14ac:dyDescent="0.2">
      <c r="A193" s="23" t="s">
        <v>22</v>
      </c>
      <c r="C193" s="23">
        <f t="shared" ref="C193:AE193" si="1603">C48</f>
        <v>0</v>
      </c>
      <c r="D193" s="23">
        <f t="shared" si="1603"/>
        <v>0</v>
      </c>
      <c r="E193" s="23">
        <f t="shared" si="1603"/>
        <v>0</v>
      </c>
      <c r="F193" s="23">
        <f t="shared" si="1603"/>
        <v>0</v>
      </c>
      <c r="G193" s="23">
        <f t="shared" si="1603"/>
        <v>0</v>
      </c>
      <c r="H193" s="23">
        <f t="shared" si="1603"/>
        <v>0</v>
      </c>
      <c r="I193" s="23">
        <f t="shared" si="1603"/>
        <v>3.6909066000000039</v>
      </c>
      <c r="J193" s="23">
        <f t="shared" si="1603"/>
        <v>1.9301925999999967</v>
      </c>
      <c r="K193" s="23">
        <f t="shared" si="1603"/>
        <v>9.0169268000000002</v>
      </c>
      <c r="L193" s="23">
        <f t="shared" si="1603"/>
        <v>7.3515999999999968</v>
      </c>
      <c r="M193" s="23">
        <f t="shared" si="1603"/>
        <v>8.2418439999999986</v>
      </c>
      <c r="N193" s="23">
        <f t="shared" si="1603"/>
        <v>74.209700799999993</v>
      </c>
      <c r="O193" s="23">
        <f t="shared" si="1603"/>
        <v>10.334949300000012</v>
      </c>
      <c r="P193" s="23">
        <f t="shared" si="1603"/>
        <v>46.950606700000016</v>
      </c>
      <c r="Q193" s="23">
        <f t="shared" si="1603"/>
        <v>31.724698800000034</v>
      </c>
      <c r="R193" s="23">
        <f t="shared" si="1603"/>
        <v>31.014299399999977</v>
      </c>
      <c r="S193" s="23">
        <f t="shared" si="1603"/>
        <v>107.92852950000008</v>
      </c>
      <c r="T193" s="23">
        <f t="shared" si="1603"/>
        <v>79.580000000000013</v>
      </c>
      <c r="U193" s="23">
        <f t="shared" si="1603"/>
        <v>82.346000000000018</v>
      </c>
      <c r="V193" s="23">
        <f t="shared" si="1603"/>
        <v>296.85599999999994</v>
      </c>
      <c r="W193" s="23">
        <f t="shared" si="1603"/>
        <v>624.80500000000018</v>
      </c>
      <c r="X193" s="23">
        <f t="shared" si="1603"/>
        <v>889.95400000000018</v>
      </c>
      <c r="Y193" s="23">
        <f t="shared" si="1603"/>
        <v>1125.528</v>
      </c>
      <c r="Z193" s="23">
        <f t="shared" si="1603"/>
        <v>1172.0809999999997</v>
      </c>
      <c r="AA193" s="23">
        <f t="shared" ref="AA193" si="1604">AA48</f>
        <v>915.09899999999971</v>
      </c>
      <c r="AB193" s="24">
        <f t="shared" si="1603"/>
        <v>1264.0096021225168</v>
      </c>
      <c r="AC193" s="24">
        <f t="shared" si="1603"/>
        <v>1506.4300964445147</v>
      </c>
      <c r="AD193" s="24">
        <f t="shared" si="1603"/>
        <v>1781.5277301028329</v>
      </c>
      <c r="AE193" s="24">
        <f t="shared" si="1603"/>
        <v>2102.9909815221827</v>
      </c>
      <c r="AI193" s="23">
        <f t="shared" ref="AI193:BN193" si="1605">AI48</f>
        <v>0</v>
      </c>
      <c r="AJ193" s="23">
        <f t="shared" si="1605"/>
        <v>0</v>
      </c>
      <c r="AK193" s="23">
        <f t="shared" si="1605"/>
        <v>0</v>
      </c>
      <c r="AL193" s="23">
        <f t="shared" si="1605"/>
        <v>0</v>
      </c>
      <c r="AM193" s="23">
        <f t="shared" si="1605"/>
        <v>0</v>
      </c>
      <c r="AN193" s="23">
        <f t="shared" si="1605"/>
        <v>0</v>
      </c>
      <c r="AO193" s="23">
        <f t="shared" si="1605"/>
        <v>0</v>
      </c>
      <c r="AP193" s="23">
        <f t="shared" si="1605"/>
        <v>0</v>
      </c>
      <c r="AQ193" s="23">
        <f t="shared" si="1605"/>
        <v>0</v>
      </c>
      <c r="AR193" s="23">
        <f t="shared" si="1605"/>
        <v>0</v>
      </c>
      <c r="AS193" s="23">
        <f t="shared" si="1605"/>
        <v>0</v>
      </c>
      <c r="AT193" s="23">
        <f t="shared" si="1605"/>
        <v>0</v>
      </c>
      <c r="AU193" s="23">
        <f t="shared" si="1605"/>
        <v>0</v>
      </c>
      <c r="AV193" s="23">
        <f t="shared" si="1605"/>
        <v>0</v>
      </c>
      <c r="AW193" s="23">
        <f t="shared" si="1605"/>
        <v>0</v>
      </c>
      <c r="AX193" s="23">
        <f t="shared" si="1605"/>
        <v>0</v>
      </c>
      <c r="AY193" s="23">
        <f t="shared" si="1605"/>
        <v>0</v>
      </c>
      <c r="AZ193" s="23">
        <f t="shared" si="1605"/>
        <v>0</v>
      </c>
      <c r="BA193" s="23">
        <f t="shared" si="1605"/>
        <v>0</v>
      </c>
      <c r="BB193" s="23">
        <f t="shared" si="1605"/>
        <v>0</v>
      </c>
      <c r="BC193" s="23">
        <f t="shared" si="1605"/>
        <v>0</v>
      </c>
      <c r="BD193" s="23">
        <f t="shared" si="1605"/>
        <v>0</v>
      </c>
      <c r="BE193" s="23">
        <f t="shared" si="1605"/>
        <v>0</v>
      </c>
      <c r="BF193" s="23">
        <f t="shared" si="1605"/>
        <v>0</v>
      </c>
      <c r="BG193" s="23">
        <f t="shared" si="1605"/>
        <v>0</v>
      </c>
      <c r="BH193" s="23">
        <f t="shared" si="1605"/>
        <v>0</v>
      </c>
      <c r="BI193" s="23">
        <f t="shared" si="1605"/>
        <v>0</v>
      </c>
      <c r="BJ193" s="23">
        <f t="shared" si="1605"/>
        <v>0</v>
      </c>
      <c r="BK193" s="23">
        <f t="shared" si="1605"/>
        <v>0</v>
      </c>
      <c r="BL193" s="23">
        <f t="shared" si="1605"/>
        <v>19.182000000000016</v>
      </c>
      <c r="BM193" s="23">
        <f t="shared" si="1605"/>
        <v>27.013000000000002</v>
      </c>
      <c r="BN193" s="23">
        <f t="shared" si="1605"/>
        <v>30.885999999999978</v>
      </c>
      <c r="BO193" s="23">
        <f t="shared" ref="BO193:CT193" si="1606">BO48</f>
        <v>47.300000000000011</v>
      </c>
      <c r="BP193" s="23">
        <f t="shared" si="1606"/>
        <v>74.476000000000013</v>
      </c>
      <c r="BQ193" s="23">
        <f t="shared" si="1606"/>
        <v>73.168000000000006</v>
      </c>
      <c r="BR193" s="23">
        <f t="shared" si="1606"/>
        <v>101.91200000000005</v>
      </c>
      <c r="BS193" s="23">
        <f t="shared" si="1606"/>
        <v>121.36699999999998</v>
      </c>
      <c r="BT193" s="23">
        <f t="shared" si="1606"/>
        <v>134.19700000000009</v>
      </c>
      <c r="BU193" s="23">
        <f t="shared" si="1606"/>
        <v>164.547</v>
      </c>
      <c r="BV193" s="23">
        <f t="shared" si="1606"/>
        <v>204.69399999999996</v>
      </c>
      <c r="BW193" s="23">
        <f t="shared" si="1606"/>
        <v>181.5</v>
      </c>
      <c r="BX193" s="23">
        <f t="shared" si="1606"/>
        <v>213.50000000000006</v>
      </c>
      <c r="BY193" s="23">
        <f t="shared" si="1606"/>
        <v>227.99999999999997</v>
      </c>
      <c r="BZ193" s="23">
        <f t="shared" si="1606"/>
        <v>266.91200000000009</v>
      </c>
      <c r="CA193" s="23">
        <f t="shared" si="1606"/>
        <v>220.80499999999998</v>
      </c>
      <c r="CB193" s="23">
        <f t="shared" si="1606"/>
        <v>304.45099999999991</v>
      </c>
      <c r="CC193" s="23">
        <f t="shared" si="1606"/>
        <v>260.31000000000006</v>
      </c>
      <c r="CD193" s="23">
        <f t="shared" si="1606"/>
        <v>339.94200000000012</v>
      </c>
      <c r="CE193" s="23">
        <f t="shared" si="1606"/>
        <v>292.72599999999994</v>
      </c>
      <c r="CF193" s="23">
        <f t="shared" si="1606"/>
        <v>423.36799999999982</v>
      </c>
      <c r="CG193" s="23">
        <f t="shared" si="1606"/>
        <v>281.46599999999995</v>
      </c>
      <c r="CH193" s="23">
        <f t="shared" si="1606"/>
        <v>174.5209999999999</v>
      </c>
      <c r="CI193" s="23">
        <f t="shared" si="1606"/>
        <v>114.46799999999992</v>
      </c>
      <c r="CJ193" s="23">
        <f t="shared" si="1606"/>
        <v>211.73</v>
      </c>
      <c r="CK193" s="23">
        <f t="shared" si="1606"/>
        <v>268.66399999999993</v>
      </c>
      <c r="CL193" s="23">
        <f t="shared" ref="CL193" si="1607">CL48</f>
        <v>320.23699999999997</v>
      </c>
      <c r="CM193" s="24">
        <f t="shared" si="1606"/>
        <v>213.21227101158573</v>
      </c>
      <c r="CN193" s="24">
        <f t="shared" si="1606"/>
        <v>283.0437488598912</v>
      </c>
      <c r="CO193" s="24">
        <f t="shared" si="1606"/>
        <v>360.38140157914097</v>
      </c>
      <c r="CP193" s="24">
        <f t="shared" si="1606"/>
        <v>407.37218067189883</v>
      </c>
      <c r="CQ193" s="24">
        <f t="shared" si="1606"/>
        <v>269.95354020208737</v>
      </c>
      <c r="CR193" s="24">
        <f t="shared" si="1606"/>
        <v>337.58278638018027</v>
      </c>
      <c r="CS193" s="24">
        <f t="shared" si="1606"/>
        <v>422.92200260749001</v>
      </c>
      <c r="CT193" s="24">
        <f t="shared" si="1606"/>
        <v>475.97176725475771</v>
      </c>
      <c r="CU193" s="24">
        <f t="shared" ref="CU193:DB193" si="1608">CU48</f>
        <v>322.99371502467312</v>
      </c>
      <c r="CV193" s="24">
        <f t="shared" si="1608"/>
        <v>399.06732056081398</v>
      </c>
      <c r="CW193" s="24">
        <f t="shared" si="1608"/>
        <v>498.30906999760191</v>
      </c>
      <c r="CX193" s="24">
        <f t="shared" si="1608"/>
        <v>561.15762451974422</v>
      </c>
      <c r="CY193" s="24">
        <f t="shared" si="1608"/>
        <v>382.67284392272938</v>
      </c>
      <c r="CZ193" s="24">
        <f t="shared" si="1608"/>
        <v>471.14360171922345</v>
      </c>
      <c r="DA193" s="24">
        <f t="shared" si="1608"/>
        <v>587.57864779881902</v>
      </c>
      <c r="DB193" s="24">
        <f t="shared" si="1608"/>
        <v>661.59588808141052</v>
      </c>
      <c r="DE193" s="123"/>
      <c r="DF193" s="23">
        <v>915.09899999999971</v>
      </c>
    </row>
    <row r="194" spans="1:110" s="23" customFormat="1" x14ac:dyDescent="0.2">
      <c r="A194" s="23" t="s">
        <v>88</v>
      </c>
      <c r="C194" s="23">
        <f t="shared" ref="C194:AE194" si="1609">C32</f>
        <v>0</v>
      </c>
      <c r="D194" s="23">
        <f t="shared" si="1609"/>
        <v>0</v>
      </c>
      <c r="E194" s="23">
        <f t="shared" si="1609"/>
        <v>0</v>
      </c>
      <c r="F194" s="23">
        <f t="shared" si="1609"/>
        <v>0</v>
      </c>
      <c r="G194" s="23">
        <f t="shared" si="1609"/>
        <v>0</v>
      </c>
      <c r="H194" s="23">
        <f t="shared" si="1609"/>
        <v>0</v>
      </c>
      <c r="I194" s="23">
        <f t="shared" si="1609"/>
        <v>0.68508899999999995</v>
      </c>
      <c r="J194" s="23">
        <f t="shared" si="1609"/>
        <v>1.073685</v>
      </c>
      <c r="K194" s="23">
        <f t="shared" si="1609"/>
        <v>1.0301914000000001</v>
      </c>
      <c r="L194" s="23">
        <f t="shared" si="1609"/>
        <v>0.9204</v>
      </c>
      <c r="M194" s="23">
        <f t="shared" si="1609"/>
        <v>1.5536264</v>
      </c>
      <c r="N194" s="23">
        <f t="shared" si="1609"/>
        <v>0</v>
      </c>
      <c r="O194" s="23">
        <f t="shared" si="1609"/>
        <v>12.187715499999999</v>
      </c>
      <c r="P194" s="23">
        <f t="shared" si="1609"/>
        <v>10.284876300000001</v>
      </c>
      <c r="Q194" s="23">
        <f t="shared" si="1609"/>
        <v>13.0146207</v>
      </c>
      <c r="R194" s="23">
        <f t="shared" si="1609"/>
        <v>13.5224952</v>
      </c>
      <c r="S194" s="23">
        <f t="shared" si="1609"/>
        <v>14.528493900000001</v>
      </c>
      <c r="T194" s="23">
        <f t="shared" si="1609"/>
        <v>20.004000000000001</v>
      </c>
      <c r="U194" s="23">
        <f t="shared" si="1609"/>
        <v>20.917000000000002</v>
      </c>
      <c r="V194" s="23">
        <f t="shared" si="1609"/>
        <v>18.36</v>
      </c>
      <c r="W194" s="23">
        <f t="shared" si="1609"/>
        <v>18.640999999999998</v>
      </c>
      <c r="X194" s="23">
        <f t="shared" si="1609"/>
        <v>30.263999999999999</v>
      </c>
      <c r="Y194" s="23">
        <f t="shared" si="1609"/>
        <v>49.981000000000002</v>
      </c>
      <c r="Z194" s="23">
        <f t="shared" si="1609"/>
        <v>103.42100000000001</v>
      </c>
      <c r="AA194" s="23">
        <f t="shared" ref="AA194" si="1610">AA32</f>
        <v>124.999</v>
      </c>
      <c r="AB194" s="24">
        <f t="shared" si="1609"/>
        <v>138.45956071929805</v>
      </c>
      <c r="AC194" s="24">
        <f t="shared" si="1609"/>
        <v>138.88926322120773</v>
      </c>
      <c r="AD194" s="24">
        <f t="shared" si="1609"/>
        <v>139.19910105694029</v>
      </c>
      <c r="AE194" s="24">
        <f t="shared" si="1609"/>
        <v>139.42251023893206</v>
      </c>
      <c r="AI194" s="23">
        <f t="shared" ref="AI194:BN194" si="1611">AI32</f>
        <v>0</v>
      </c>
      <c r="AJ194" s="23">
        <f t="shared" si="1611"/>
        <v>0</v>
      </c>
      <c r="AK194" s="23">
        <f t="shared" si="1611"/>
        <v>0</v>
      </c>
      <c r="AL194" s="23">
        <f t="shared" si="1611"/>
        <v>0</v>
      </c>
      <c r="AM194" s="23">
        <f t="shared" si="1611"/>
        <v>0</v>
      </c>
      <c r="AN194" s="23">
        <f t="shared" si="1611"/>
        <v>0</v>
      </c>
      <c r="AO194" s="23">
        <f t="shared" si="1611"/>
        <v>0</v>
      </c>
      <c r="AP194" s="23">
        <f t="shared" si="1611"/>
        <v>0</v>
      </c>
      <c r="AQ194" s="23">
        <f t="shared" si="1611"/>
        <v>0</v>
      </c>
      <c r="AR194" s="23">
        <f t="shared" si="1611"/>
        <v>0</v>
      </c>
      <c r="AS194" s="23">
        <f t="shared" si="1611"/>
        <v>0</v>
      </c>
      <c r="AT194" s="23">
        <f t="shared" si="1611"/>
        <v>0</v>
      </c>
      <c r="AU194" s="23">
        <f t="shared" si="1611"/>
        <v>0</v>
      </c>
      <c r="AV194" s="23">
        <f t="shared" si="1611"/>
        <v>0</v>
      </c>
      <c r="AW194" s="23">
        <f t="shared" si="1611"/>
        <v>0</v>
      </c>
      <c r="AX194" s="23">
        <f t="shared" si="1611"/>
        <v>0</v>
      </c>
      <c r="AY194" s="23">
        <f t="shared" si="1611"/>
        <v>0</v>
      </c>
      <c r="AZ194" s="23">
        <f t="shared" si="1611"/>
        <v>0</v>
      </c>
      <c r="BA194" s="23">
        <f t="shared" si="1611"/>
        <v>0</v>
      </c>
      <c r="BB194" s="23">
        <f t="shared" si="1611"/>
        <v>0</v>
      </c>
      <c r="BC194" s="23">
        <f t="shared" si="1611"/>
        <v>0</v>
      </c>
      <c r="BD194" s="23">
        <f t="shared" si="1611"/>
        <v>0</v>
      </c>
      <c r="BE194" s="23">
        <f t="shared" si="1611"/>
        <v>0</v>
      </c>
      <c r="BF194" s="23">
        <f t="shared" si="1611"/>
        <v>0</v>
      </c>
      <c r="BG194" s="23">
        <f t="shared" si="1611"/>
        <v>0</v>
      </c>
      <c r="BH194" s="23">
        <f t="shared" si="1611"/>
        <v>0</v>
      </c>
      <c r="BI194" s="23">
        <f t="shared" si="1611"/>
        <v>0</v>
      </c>
      <c r="BJ194" s="23">
        <f t="shared" si="1611"/>
        <v>0</v>
      </c>
      <c r="BK194" s="23">
        <f t="shared" si="1611"/>
        <v>0</v>
      </c>
      <c r="BL194" s="23">
        <f t="shared" si="1611"/>
        <v>5.6369999999999996</v>
      </c>
      <c r="BM194" s="23">
        <f t="shared" si="1611"/>
        <v>5.09</v>
      </c>
      <c r="BN194" s="23">
        <f t="shared" si="1611"/>
        <v>4.9390000000000001</v>
      </c>
      <c r="BO194" s="23">
        <f t="shared" ref="BO194:CT194" si="1612">BO32</f>
        <v>4.9669999999999996</v>
      </c>
      <c r="BP194" s="23">
        <f t="shared" si="1612"/>
        <v>4.649</v>
      </c>
      <c r="BQ194" s="23">
        <f t="shared" si="1612"/>
        <v>4.7450000000000001</v>
      </c>
      <c r="BR194" s="23">
        <f t="shared" si="1612"/>
        <v>3.9990000000000001</v>
      </c>
      <c r="BS194" s="23">
        <f t="shared" si="1612"/>
        <v>4.0620000000000003</v>
      </c>
      <c r="BT194" s="23">
        <f t="shared" si="1612"/>
        <v>4.5279999999999996</v>
      </c>
      <c r="BU194" s="23">
        <f t="shared" si="1612"/>
        <v>4.8250000000000002</v>
      </c>
      <c r="BV194" s="23">
        <f t="shared" si="1612"/>
        <v>5.226</v>
      </c>
      <c r="BW194" s="23">
        <f t="shared" si="1612"/>
        <v>6.4</v>
      </c>
      <c r="BX194" s="23">
        <f t="shared" si="1612"/>
        <v>6.9</v>
      </c>
      <c r="BY194" s="23">
        <f t="shared" si="1612"/>
        <v>8</v>
      </c>
      <c r="BZ194" s="23">
        <f t="shared" si="1612"/>
        <v>8.9339999999999993</v>
      </c>
      <c r="CA194" s="23">
        <f t="shared" si="1612"/>
        <v>8.9329999999999998</v>
      </c>
      <c r="CB194" s="23">
        <f t="shared" si="1612"/>
        <v>11.215999999999999</v>
      </c>
      <c r="CC194" s="23">
        <f t="shared" si="1612"/>
        <v>13.090999999999999</v>
      </c>
      <c r="CD194" s="23">
        <f t="shared" si="1612"/>
        <v>16.699000000000002</v>
      </c>
      <c r="CE194" s="23">
        <f t="shared" si="1612"/>
        <v>22.623000000000001</v>
      </c>
      <c r="CF194" s="23">
        <f t="shared" si="1612"/>
        <v>25.602</v>
      </c>
      <c r="CG194" s="23">
        <f t="shared" si="1612"/>
        <v>26.670999999999999</v>
      </c>
      <c r="CH194" s="23">
        <f t="shared" si="1612"/>
        <v>28.524999999999999</v>
      </c>
      <c r="CI194" s="23">
        <f t="shared" si="1612"/>
        <v>29.917000000000002</v>
      </c>
      <c r="CJ194" s="23">
        <f t="shared" si="1612"/>
        <v>30.651</v>
      </c>
      <c r="CK194" s="23">
        <f t="shared" si="1612"/>
        <v>31.498999999999999</v>
      </c>
      <c r="CL194" s="23">
        <f t="shared" ref="CL194" si="1613">CL32</f>
        <v>32.932000000000002</v>
      </c>
      <c r="CM194" s="24">
        <f t="shared" si="1612"/>
        <v>34.566454836294987</v>
      </c>
      <c r="CN194" s="24">
        <f t="shared" si="1612"/>
        <v>34.600491533041705</v>
      </c>
      <c r="CO194" s="24">
        <f t="shared" si="1612"/>
        <v>34.631856082057546</v>
      </c>
      <c r="CP194" s="24">
        <f t="shared" si="1612"/>
        <v>34.660758267903823</v>
      </c>
      <c r="CQ194" s="24">
        <f t="shared" si="1612"/>
        <v>34.687391405407915</v>
      </c>
      <c r="CR194" s="24">
        <f t="shared" si="1612"/>
        <v>34.711933632666593</v>
      </c>
      <c r="CS194" s="24">
        <f t="shared" si="1612"/>
        <v>34.734549102538445</v>
      </c>
      <c r="CT194" s="24">
        <f t="shared" si="1612"/>
        <v>34.755389080594774</v>
      </c>
      <c r="CU194" s="24">
        <f t="shared" ref="CU194:DB194" si="1614">CU32</f>
        <v>34.774592956872809</v>
      </c>
      <c r="CV194" s="24">
        <f t="shared" si="1614"/>
        <v>34.792289178198246</v>
      </c>
      <c r="CW194" s="24">
        <f t="shared" si="1614"/>
        <v>34.808596107313221</v>
      </c>
      <c r="CX194" s="24">
        <f t="shared" si="1614"/>
        <v>34.82362281455601</v>
      </c>
      <c r="CY194" s="24">
        <f t="shared" si="1614"/>
        <v>34.837469807387613</v>
      </c>
      <c r="CZ194" s="24">
        <f t="shared" si="1614"/>
        <v>34.850229702644796</v>
      </c>
      <c r="DA194" s="24">
        <f t="shared" si="1614"/>
        <v>34.861987846016021</v>
      </c>
      <c r="DB194" s="24">
        <f t="shared" si="1614"/>
        <v>34.872822882883618</v>
      </c>
      <c r="DE194" s="123"/>
      <c r="DF194" s="23">
        <v>124.999</v>
      </c>
    </row>
    <row r="195" spans="1:110" s="22" customFormat="1" x14ac:dyDescent="0.2">
      <c r="A195" s="22" t="s">
        <v>89</v>
      </c>
      <c r="C195" s="22">
        <f t="shared" ref="C195:W195" si="1615">C193+C194</f>
        <v>0</v>
      </c>
      <c r="D195" s="22">
        <f t="shared" si="1615"/>
        <v>0</v>
      </c>
      <c r="E195" s="22">
        <f t="shared" si="1615"/>
        <v>0</v>
      </c>
      <c r="F195" s="22">
        <f t="shared" si="1615"/>
        <v>0</v>
      </c>
      <c r="G195" s="22">
        <f t="shared" si="1615"/>
        <v>0</v>
      </c>
      <c r="H195" s="22">
        <f t="shared" si="1615"/>
        <v>0</v>
      </c>
      <c r="I195" s="22">
        <f t="shared" si="1615"/>
        <v>4.375995600000004</v>
      </c>
      <c r="J195" s="22">
        <f t="shared" si="1615"/>
        <v>3.0038775999999965</v>
      </c>
      <c r="K195" s="22">
        <f t="shared" si="1615"/>
        <v>10.0471182</v>
      </c>
      <c r="L195" s="22">
        <f t="shared" si="1615"/>
        <v>8.2719999999999967</v>
      </c>
      <c r="M195" s="22">
        <f t="shared" si="1615"/>
        <v>9.7954703999999992</v>
      </c>
      <c r="N195" s="22">
        <f t="shared" si="1615"/>
        <v>74.209700799999993</v>
      </c>
      <c r="O195" s="22">
        <f t="shared" si="1615"/>
        <v>22.522664800000012</v>
      </c>
      <c r="P195" s="22">
        <f t="shared" si="1615"/>
        <v>57.235483000000016</v>
      </c>
      <c r="Q195" s="22">
        <f t="shared" si="1615"/>
        <v>44.739319500000036</v>
      </c>
      <c r="R195" s="22">
        <f t="shared" si="1615"/>
        <v>44.536794599999979</v>
      </c>
      <c r="S195" s="22">
        <f t="shared" si="1615"/>
        <v>122.45702340000008</v>
      </c>
      <c r="T195" s="22">
        <f t="shared" si="1615"/>
        <v>99.584000000000017</v>
      </c>
      <c r="U195" s="22">
        <f t="shared" si="1615"/>
        <v>103.26300000000002</v>
      </c>
      <c r="V195" s="22">
        <f t="shared" si="1615"/>
        <v>315.21599999999995</v>
      </c>
      <c r="W195" s="22">
        <f t="shared" si="1615"/>
        <v>643.44600000000014</v>
      </c>
      <c r="X195" s="22">
        <f t="shared" ref="X195:Y195" si="1616">X193+X194</f>
        <v>920.21800000000019</v>
      </c>
      <c r="Y195" s="22">
        <f t="shared" si="1616"/>
        <v>1175.509</v>
      </c>
      <c r="Z195" s="22">
        <f t="shared" ref="Z195:AA195" si="1617">Z193+Z194</f>
        <v>1275.5019999999997</v>
      </c>
      <c r="AA195" s="22">
        <f t="shared" ref="AA195" si="1618">AA193+AA194</f>
        <v>1040.0979999999997</v>
      </c>
      <c r="AB195" s="21">
        <f t="shared" ref="AB195:AD195" si="1619">AB193+AB194</f>
        <v>1402.4691628418148</v>
      </c>
      <c r="AC195" s="21">
        <f t="shared" si="1619"/>
        <v>1645.3193596657225</v>
      </c>
      <c r="AD195" s="21">
        <f t="shared" si="1619"/>
        <v>1920.7268311597732</v>
      </c>
      <c r="AE195" s="21">
        <f t="shared" ref="AE195" si="1620">AE193+AE194</f>
        <v>2242.4134917611145</v>
      </c>
      <c r="AI195" s="22">
        <f t="shared" ref="AI195" si="1621">AI193+AI194</f>
        <v>0</v>
      </c>
      <c r="AJ195" s="22">
        <f t="shared" ref="AJ195:AL195" si="1622">AJ193+AJ194</f>
        <v>0</v>
      </c>
      <c r="AK195" s="22">
        <f t="shared" si="1622"/>
        <v>0</v>
      </c>
      <c r="AL195" s="22">
        <f t="shared" si="1622"/>
        <v>0</v>
      </c>
      <c r="AM195" s="22">
        <f t="shared" ref="AM195" si="1623">AM193+AM194</f>
        <v>0</v>
      </c>
      <c r="AN195" s="22">
        <f t="shared" ref="AN195:CD195" si="1624">AN193+AN194</f>
        <v>0</v>
      </c>
      <c r="AO195" s="22">
        <f t="shared" si="1624"/>
        <v>0</v>
      </c>
      <c r="AP195" s="22">
        <f t="shared" si="1624"/>
        <v>0</v>
      </c>
      <c r="AQ195" s="22">
        <f t="shared" si="1624"/>
        <v>0</v>
      </c>
      <c r="AR195" s="22">
        <f t="shared" si="1624"/>
        <v>0</v>
      </c>
      <c r="AS195" s="22">
        <f t="shared" si="1624"/>
        <v>0</v>
      </c>
      <c r="AT195" s="22">
        <f t="shared" si="1624"/>
        <v>0</v>
      </c>
      <c r="AU195" s="22">
        <f t="shared" si="1624"/>
        <v>0</v>
      </c>
      <c r="AV195" s="22">
        <f t="shared" si="1624"/>
        <v>0</v>
      </c>
      <c r="AW195" s="22">
        <f t="shared" si="1624"/>
        <v>0</v>
      </c>
      <c r="AX195" s="22">
        <f t="shared" si="1624"/>
        <v>0</v>
      </c>
      <c r="AY195" s="22">
        <f t="shared" si="1624"/>
        <v>0</v>
      </c>
      <c r="AZ195" s="22">
        <f t="shared" si="1624"/>
        <v>0</v>
      </c>
      <c r="BA195" s="22">
        <f t="shared" si="1624"/>
        <v>0</v>
      </c>
      <c r="BB195" s="22">
        <f t="shared" si="1624"/>
        <v>0</v>
      </c>
      <c r="BC195" s="22">
        <f t="shared" si="1624"/>
        <v>0</v>
      </c>
      <c r="BD195" s="22">
        <f t="shared" si="1624"/>
        <v>0</v>
      </c>
      <c r="BE195" s="22">
        <f t="shared" si="1624"/>
        <v>0</v>
      </c>
      <c r="BF195" s="22">
        <f t="shared" si="1624"/>
        <v>0</v>
      </c>
      <c r="BG195" s="22">
        <f t="shared" si="1624"/>
        <v>0</v>
      </c>
      <c r="BH195" s="22">
        <f t="shared" si="1624"/>
        <v>0</v>
      </c>
      <c r="BI195" s="22">
        <f t="shared" si="1624"/>
        <v>0</v>
      </c>
      <c r="BJ195" s="22">
        <f t="shared" si="1624"/>
        <v>0</v>
      </c>
      <c r="BK195" s="22">
        <f t="shared" si="1624"/>
        <v>0</v>
      </c>
      <c r="BL195" s="22">
        <f t="shared" si="1624"/>
        <v>24.819000000000017</v>
      </c>
      <c r="BM195" s="22">
        <f t="shared" si="1624"/>
        <v>32.103000000000002</v>
      </c>
      <c r="BN195" s="22">
        <f t="shared" si="1624"/>
        <v>35.824999999999974</v>
      </c>
      <c r="BO195" s="22">
        <f t="shared" si="1624"/>
        <v>52.26700000000001</v>
      </c>
      <c r="BP195" s="22">
        <f t="shared" si="1624"/>
        <v>79.125000000000014</v>
      </c>
      <c r="BQ195" s="22">
        <f t="shared" si="1624"/>
        <v>77.913000000000011</v>
      </c>
      <c r="BR195" s="22">
        <f t="shared" si="1624"/>
        <v>105.91100000000004</v>
      </c>
      <c r="BS195" s="22">
        <f t="shared" si="1624"/>
        <v>125.42899999999997</v>
      </c>
      <c r="BT195" s="22">
        <f t="shared" si="1624"/>
        <v>138.72500000000008</v>
      </c>
      <c r="BU195" s="22">
        <f t="shared" si="1624"/>
        <v>169.37199999999999</v>
      </c>
      <c r="BV195" s="22">
        <f t="shared" si="1624"/>
        <v>209.91999999999996</v>
      </c>
      <c r="BW195" s="22">
        <f t="shared" si="1624"/>
        <v>187.9</v>
      </c>
      <c r="BX195" s="22">
        <f t="shared" si="1624"/>
        <v>220.40000000000006</v>
      </c>
      <c r="BY195" s="22">
        <f t="shared" si="1624"/>
        <v>235.99999999999997</v>
      </c>
      <c r="BZ195" s="22">
        <f t="shared" si="1624"/>
        <v>275.84600000000012</v>
      </c>
      <c r="CA195" s="22">
        <f t="shared" si="1624"/>
        <v>229.73799999999997</v>
      </c>
      <c r="CB195" s="22">
        <f t="shared" si="1624"/>
        <v>315.66699999999992</v>
      </c>
      <c r="CC195" s="22">
        <f t="shared" si="1624"/>
        <v>273.40100000000007</v>
      </c>
      <c r="CD195" s="22">
        <f t="shared" si="1624"/>
        <v>356.64100000000013</v>
      </c>
      <c r="CE195" s="22">
        <f t="shared" ref="CE195:CF195" si="1625">CE193+CE194</f>
        <v>315.34899999999993</v>
      </c>
      <c r="CF195" s="22">
        <f t="shared" si="1625"/>
        <v>448.9699999999998</v>
      </c>
      <c r="CG195" s="22">
        <f t="shared" ref="CG195:CH195" si="1626">CG193+CG194</f>
        <v>308.13699999999994</v>
      </c>
      <c r="CH195" s="22">
        <f t="shared" si="1626"/>
        <v>203.04599999999991</v>
      </c>
      <c r="CI195" s="22">
        <f t="shared" ref="CI195:CJ195" si="1627">CI193+CI194</f>
        <v>144.38499999999993</v>
      </c>
      <c r="CJ195" s="22">
        <f t="shared" si="1627"/>
        <v>242.381</v>
      </c>
      <c r="CK195" s="22">
        <f t="shared" ref="CK195:DB195" si="1628">CK193+CK194</f>
        <v>300.16299999999995</v>
      </c>
      <c r="CL195" s="22">
        <f t="shared" si="1628"/>
        <v>353.16899999999998</v>
      </c>
      <c r="CM195" s="21">
        <f t="shared" si="1628"/>
        <v>247.77872584788071</v>
      </c>
      <c r="CN195" s="21">
        <f t="shared" si="1628"/>
        <v>317.64424039293289</v>
      </c>
      <c r="CO195" s="21">
        <f t="shared" si="1628"/>
        <v>395.01325766119851</v>
      </c>
      <c r="CP195" s="21">
        <f t="shared" si="1628"/>
        <v>442.03293893980265</v>
      </c>
      <c r="CQ195" s="21">
        <f t="shared" si="1628"/>
        <v>304.6409316074953</v>
      </c>
      <c r="CR195" s="21">
        <f t="shared" si="1628"/>
        <v>372.29472001284688</v>
      </c>
      <c r="CS195" s="21">
        <f t="shared" si="1628"/>
        <v>457.65655171002845</v>
      </c>
      <c r="CT195" s="21">
        <f t="shared" si="1628"/>
        <v>510.7271563353525</v>
      </c>
      <c r="CU195" s="21">
        <f t="shared" si="1628"/>
        <v>357.76830798154595</v>
      </c>
      <c r="CV195" s="21">
        <f t="shared" si="1628"/>
        <v>433.85960973901223</v>
      </c>
      <c r="CW195" s="21">
        <f t="shared" si="1628"/>
        <v>533.11766610491509</v>
      </c>
      <c r="CX195" s="21">
        <f t="shared" si="1628"/>
        <v>595.98124733430018</v>
      </c>
      <c r="CY195" s="21">
        <f t="shared" si="1628"/>
        <v>417.51031373011699</v>
      </c>
      <c r="CZ195" s="21">
        <f t="shared" si="1628"/>
        <v>505.99383142186826</v>
      </c>
      <c r="DA195" s="21">
        <f t="shared" si="1628"/>
        <v>622.44063564483508</v>
      </c>
      <c r="DB195" s="21">
        <f t="shared" si="1628"/>
        <v>696.46871096429413</v>
      </c>
      <c r="DE195" s="126"/>
      <c r="DF195" s="22">
        <v>1040.0979999999997</v>
      </c>
    </row>
    <row r="196" spans="1:110" s="23" customFormat="1" x14ac:dyDescent="0.2">
      <c r="A196" s="23" t="s">
        <v>65</v>
      </c>
      <c r="C196" s="23">
        <f t="shared" ref="C196:AA196" si="1629">B148-C148+B163+B164-C163-C164</f>
        <v>0</v>
      </c>
      <c r="D196" s="23">
        <f t="shared" si="1629"/>
        <v>0</v>
      </c>
      <c r="E196" s="23">
        <f>D148-E148+D163+D164-E163-E164</f>
        <v>0</v>
      </c>
      <c r="F196" s="23">
        <f t="shared" si="1629"/>
        <v>0</v>
      </c>
      <c r="G196" s="23">
        <f t="shared" si="1629"/>
        <v>0</v>
      </c>
      <c r="H196" s="23">
        <f t="shared" si="1629"/>
        <v>0</v>
      </c>
      <c r="I196" s="23">
        <f t="shared" si="1629"/>
        <v>-56.954207400000001</v>
      </c>
      <c r="J196" s="23">
        <f>I148-J148+I163+I164-J163-J164</f>
        <v>-68.682817700000001</v>
      </c>
      <c r="K196" s="23">
        <f>J148-K148+J163+J164-K163-K164</f>
        <v>-72.114834799999997</v>
      </c>
      <c r="L196" s="23">
        <f t="shared" si="1629"/>
        <v>107.55120930000001</v>
      </c>
      <c r="M196" s="23">
        <f t="shared" si="1629"/>
        <v>38.841259399999991</v>
      </c>
      <c r="N196" s="23">
        <f t="shared" si="1629"/>
        <v>-277.13833069999998</v>
      </c>
      <c r="O196" s="23">
        <f t="shared" si="1629"/>
        <v>-145.70960770000002</v>
      </c>
      <c r="P196" s="23">
        <f t="shared" si="1629"/>
        <v>-19.577998899999962</v>
      </c>
      <c r="Q196" s="23">
        <f t="shared" si="1629"/>
        <v>-81.53379310000004</v>
      </c>
      <c r="R196" s="23">
        <f t="shared" si="1629"/>
        <v>-524.35592369999995</v>
      </c>
      <c r="S196" s="23">
        <f t="shared" si="1629"/>
        <v>-351.32242510000003</v>
      </c>
      <c r="T196" s="23">
        <f t="shared" si="1629"/>
        <v>207.94847040000002</v>
      </c>
      <c r="U196" s="23">
        <f t="shared" si="1629"/>
        <v>467.31400000000002</v>
      </c>
      <c r="V196" s="23">
        <f t="shared" si="1629"/>
        <v>-2311.835</v>
      </c>
      <c r="W196" s="23">
        <f t="shared" si="1629"/>
        <v>444.75600000000031</v>
      </c>
      <c r="X196" s="23">
        <f t="shared" si="1629"/>
        <v>417.07199999999989</v>
      </c>
      <c r="Y196" s="23">
        <f t="shared" si="1629"/>
        <v>-4490.0619999999999</v>
      </c>
      <c r="Z196" s="23">
        <f t="shared" si="1629"/>
        <v>-3041.2350000000006</v>
      </c>
      <c r="AA196" s="23">
        <f t="shared" si="1629"/>
        <v>715.21200000000101</v>
      </c>
      <c r="AB196" s="24">
        <f t="shared" ref="AB196" si="1630">AA148-AB148+AA163+AA164-AB163-AB164</f>
        <v>1199.0085485227455</v>
      </c>
      <c r="AC196" s="24">
        <f t="shared" ref="AC196" si="1631">AB148-AC148+AB163+AB164-AC163-AC164</f>
        <v>-1457.8270516329567</v>
      </c>
      <c r="AD196" s="24">
        <f t="shared" ref="AD196" si="1632">AC148-AD148+AC163+AC164-AD163-AD164</f>
        <v>-1631.3718388705256</v>
      </c>
      <c r="AE196" s="24">
        <f t="shared" ref="AE196" si="1633">AD148-AE148+AD163+AD164-AE163-AE164</f>
        <v>-1905.6155891158396</v>
      </c>
      <c r="AI196" s="23">
        <f>AH148-AI148+AH163+AH164-AI163-AJ164</f>
        <v>0</v>
      </c>
      <c r="AJ196" s="23">
        <f t="shared" ref="AJ196:AL196" si="1634">AI148-AJ148+AI163+AI164-AJ163-AK164</f>
        <v>0</v>
      </c>
      <c r="AK196" s="23" t="e">
        <f t="shared" si="1634"/>
        <v>#DIV/0!</v>
      </c>
      <c r="AL196" s="23" t="e">
        <f t="shared" si="1634"/>
        <v>#DIV/0!</v>
      </c>
      <c r="AM196" s="23" t="e">
        <f t="shared" ref="AM196" si="1635">AL148-AM148+AL163+AL164-AM163-AM164</f>
        <v>#DIV/0!</v>
      </c>
      <c r="AN196" s="23" t="e">
        <f t="shared" ref="AN196" si="1636">AM148-AN148+AM163+AM164-AN163-AN164</f>
        <v>#DIV/0!</v>
      </c>
      <c r="AO196" s="23" t="e">
        <f t="shared" ref="AO196" si="1637">AN148-AO148+AN163+AN164-AO163-AO164</f>
        <v>#DIV/0!</v>
      </c>
      <c r="AP196" s="23" t="e">
        <f t="shared" ref="AP196" si="1638">AO148-AP148+AO163+AO164-AP163-AP164</f>
        <v>#DIV/0!</v>
      </c>
      <c r="AQ196" s="23" t="e">
        <f t="shared" ref="AQ196" si="1639">AP148-AQ148+AP163+AP164-AQ163-AQ164</f>
        <v>#DIV/0!</v>
      </c>
      <c r="AR196" s="23" t="e">
        <f t="shared" ref="AR196" si="1640">AQ148-AR148+AQ163+AQ164-AR163-AR164</f>
        <v>#DIV/0!</v>
      </c>
      <c r="AS196" s="23" t="e">
        <f t="shared" ref="AS196" si="1641">AR148-AS148+AR163+AR164-AS163-AS164</f>
        <v>#DIV/0!</v>
      </c>
      <c r="AT196" s="23" t="e">
        <f t="shared" ref="AT196" si="1642">AS148-AT148+AS163+AS164-AT163-AT164</f>
        <v>#DIV/0!</v>
      </c>
      <c r="AU196" s="23" t="e">
        <f t="shared" ref="AU196" si="1643">AT148-AU148+AT163+AT164-AU163-AU164</f>
        <v>#DIV/0!</v>
      </c>
      <c r="AV196" s="23" t="e">
        <f t="shared" ref="AV196" si="1644">AU148-AV148+AU163+AU164-AV163-AV164</f>
        <v>#DIV/0!</v>
      </c>
      <c r="AW196" s="23" t="e">
        <f t="shared" ref="AW196" si="1645">AV148-AW148+AV163+AV164-AW163-AW164</f>
        <v>#DIV/0!</v>
      </c>
      <c r="AX196" s="23" t="e">
        <f t="shared" ref="AX196" si="1646">AW148-AX148+AW163+AW164-AX163-AX164</f>
        <v>#DIV/0!</v>
      </c>
      <c r="AY196" s="23" t="e">
        <f t="shared" ref="AY196" si="1647">AX148-AY148+AX163+AX164-AY163-AY164</f>
        <v>#DIV/0!</v>
      </c>
      <c r="AZ196" s="23" t="e">
        <f t="shared" ref="AZ196" si="1648">AY148-AZ148+AY163+AY164-AZ163-AZ164</f>
        <v>#DIV/0!</v>
      </c>
      <c r="BA196" s="23" t="e">
        <f t="shared" ref="BA196" si="1649">AZ148-BA148+AZ163+AZ164-BA163-BA164</f>
        <v>#DIV/0!</v>
      </c>
      <c r="BB196" s="23" t="e">
        <f t="shared" ref="BB196" si="1650">BA148-BB148+BA163+BA164-BB163-BB164</f>
        <v>#DIV/0!</v>
      </c>
      <c r="BC196" s="23" t="e">
        <f t="shared" ref="BC196" si="1651">BB148-BC148+BB163+BB164-BC163-BC164</f>
        <v>#DIV/0!</v>
      </c>
      <c r="BD196" s="23" t="e">
        <f t="shared" ref="BD196" si="1652">BC148-BD148+BC163+BC164-BD163-BD164</f>
        <v>#DIV/0!</v>
      </c>
      <c r="BE196" s="23" t="e">
        <f t="shared" ref="BE196" si="1653">BD148-BE148+BD163+BD164-BE163-BE164</f>
        <v>#DIV/0!</v>
      </c>
      <c r="BF196" s="23" t="e">
        <f t="shared" ref="BF196" si="1654">BE148-BF148+BE163+BE164-BF163-BF164</f>
        <v>#DIV/0!</v>
      </c>
      <c r="BG196" s="23" t="e">
        <f t="shared" ref="BG196" si="1655">BF148-BG148+BF163+BF164-BG163-BG164</f>
        <v>#DIV/0!</v>
      </c>
      <c r="BH196" s="23" t="e">
        <f t="shared" ref="BH196" si="1656">BG148-BH148+BG163+BG164-BH163-BH164</f>
        <v>#DIV/0!</v>
      </c>
      <c r="BI196" s="23" t="e">
        <f t="shared" ref="BI196" si="1657">BH148-BI148+BH163+BH164-BI163-BI164</f>
        <v>#DIV/0!</v>
      </c>
      <c r="BJ196" s="23" t="e">
        <f t="shared" ref="BJ196" si="1658">BI148-BJ148+BI163+BI164-BJ163-BJ164</f>
        <v>#DIV/0!</v>
      </c>
      <c r="BK196" s="23" t="e">
        <f t="shared" ref="BK196" si="1659">BJ148-BK148+BJ163+BJ164-BK163-BK164</f>
        <v>#DIV/0!</v>
      </c>
      <c r="BL196" s="23" t="e">
        <f t="shared" ref="BL196" si="1660">BK148-BL148+BK163+BK164-BL163-BL164</f>
        <v>#DIV/0!</v>
      </c>
      <c r="BM196" s="23">
        <f t="shared" ref="BM196" si="1661">BL148-BM148+BL163+BL164-BM163-BM164</f>
        <v>0</v>
      </c>
      <c r="BN196" s="23">
        <f t="shared" ref="BN196" si="1662">BM148-BN148+BM163+BM164-BN163-BN164</f>
        <v>-630.51900000000001</v>
      </c>
      <c r="BO196" s="23">
        <f t="shared" ref="BO196" si="1663">BN148-BO148+BN163+BN164-BO163-BO164</f>
        <v>-9.2470784734867948</v>
      </c>
      <c r="BP196" s="23">
        <f t="shared" ref="BP196" si="1664">BO148-BP148+BO163+BO164-BP163-BP164</f>
        <v>-265.5559215265132</v>
      </c>
      <c r="BQ196" s="23">
        <f t="shared" ref="BQ196" si="1665">BP148-BQ148+BP163+BP164-BQ163-BQ164</f>
        <v>0.45401063723352308</v>
      </c>
      <c r="BR196" s="23">
        <f t="shared" ref="BR196" si="1666">BQ148-BR148+BQ163+BQ164-BR163-BR164</f>
        <v>-1916.4810106372333</v>
      </c>
      <c r="BS196" s="23">
        <f t="shared" ref="BS196" si="1667">BR148-BS148+BR163+BR164-BS163-BS164</f>
        <v>-30.12217193817105</v>
      </c>
      <c r="BT196" s="23">
        <f t="shared" ref="BT196" si="1668">BS148-BT148+BS163+BS164-BT163-BT164</f>
        <v>967.14017193817108</v>
      </c>
      <c r="BU196" s="23">
        <f t="shared" ref="BU196" si="1669">BT148-BU148+BT163+BT164-BU163-BU164</f>
        <v>-10.688471488982486</v>
      </c>
      <c r="BV196" s="23">
        <f t="shared" ref="BV196" si="1670">BU148-BV148+BU163+BU164-BV163-BV164</f>
        <v>-269.21252851101787</v>
      </c>
      <c r="BW196" s="23">
        <f t="shared" ref="BW196" si="1671">BV148-BW148+BV163+BV164-BW163-BW164</f>
        <v>-0.98897177328717589</v>
      </c>
      <c r="BX196" s="23">
        <f t="shared" ref="BX196" si="1672">BW148-BX148+BW163+BW164-BX163-BX164</f>
        <v>-1660.4970282267129</v>
      </c>
      <c r="BY196" s="23">
        <f t="shared" ref="BY196" si="1673">BX148-BY148+BX163+BX164-BY163-BY164</f>
        <v>-1.8893994364689206</v>
      </c>
      <c r="BZ196" s="23">
        <f t="shared" ref="BZ196" si="1674">BY148-BZ148+BY163+BY164-BZ163-BZ164</f>
        <v>2198.7833994364692</v>
      </c>
      <c r="CA196" s="23">
        <f t="shared" ref="CA196" si="1675">BZ148-CA148+BZ163+BZ164-CA163-CA164</f>
        <v>8.262302173328635</v>
      </c>
      <c r="CB196" s="23">
        <f t="shared" ref="CB196" si="1676">CA148-CB148+CA163+CA164-CB163-CB164</f>
        <v>-1145.8383021733284</v>
      </c>
      <c r="CC196" s="23">
        <f t="shared" ref="CC196" si="1677">CB148-CC148+CB163+CB164-CC163-CC164</f>
        <v>-3.1524940665185577</v>
      </c>
      <c r="CD196" s="23">
        <f t="shared" ref="CD196" si="1678">CC148-CD148+CC163+CC164-CD163-CD164</f>
        <v>-220.05250593348143</v>
      </c>
      <c r="CE196" s="23">
        <f t="shared" ref="CE196" si="1679">CD148-CE148+CD163+CD164-CE163-CE164</f>
        <v>-17.284717747901144</v>
      </c>
      <c r="CF196" s="23">
        <f t="shared" ref="CF196" si="1680">CE148-CF148+CE163+CE164-CF163-CF164</f>
        <v>-3774.9022822520992</v>
      </c>
      <c r="CG196" s="23">
        <f t="shared" ref="CG196" si="1681">CF148-CG148+CF163+CF164-CG163-CG164</f>
        <v>94.700044100966807</v>
      </c>
      <c r="CH196" s="23">
        <f t="shared" ref="CH196:CL196" si="1682">CG148-CH148+CG163+CG164-CH163-CH164</f>
        <v>-3069.9470441009676</v>
      </c>
      <c r="CI196" s="23">
        <f t="shared" si="1682"/>
        <v>-782.95118713500597</v>
      </c>
      <c r="CJ196" s="23">
        <f t="shared" si="1682"/>
        <v>3943.4911871350068</v>
      </c>
      <c r="CK196" s="23">
        <f t="shared" ref="CK196" si="1683">CJ148-CK148+CJ163+CJ164-CK163-CK164</f>
        <v>-733.57070661647413</v>
      </c>
      <c r="CL196" s="23">
        <f t="shared" si="1682"/>
        <v>713.27170661647415</v>
      </c>
      <c r="CM196" s="24">
        <f t="shared" ref="CM196" si="1684">CL148-CM148+CL163+CL164-CM163-CM164</f>
        <v>1289.7340180587498</v>
      </c>
      <c r="CN196" s="24">
        <f t="shared" ref="CN196" si="1685">CM148-CN148+CM163+CM164-CN163-CN164</f>
        <v>-587.61126808208792</v>
      </c>
      <c r="CO196" s="24">
        <f t="shared" ref="CO196" si="1686">CN148-CO148+CN163+CN164-CO163-CO164</f>
        <v>-1102.4995692322618</v>
      </c>
      <c r="CP196" s="24">
        <f t="shared" ref="CP196" si="1687">CO148-CP148+CO163+CO164-CP163-CP164</f>
        <v>-825.64363222165412</v>
      </c>
      <c r="CQ196" s="24">
        <f t="shared" ref="CQ196" si="1688">CP148-CQ148+CP163+CP164-CQ163-CQ164</f>
        <v>1791.9644014116429</v>
      </c>
      <c r="CR196" s="24">
        <f t="shared" ref="CR196" si="1689">CQ148-CR148+CQ163+CQ164-CR163-CR164</f>
        <v>-821.6710197766879</v>
      </c>
      <c r="CS196" s="24">
        <f t="shared" ref="CS196" si="1690">CR148-CS148+CR163+CR164-CS163-CS164</f>
        <v>-1412.7369286902849</v>
      </c>
      <c r="CT196" s="24">
        <f t="shared" ref="CT196" si="1691">CS148-CT148+CS163+CS164-CT163-CT164</f>
        <v>-1015.3835045776268</v>
      </c>
      <c r="CU196" s="24">
        <f t="shared" ref="CU196" si="1692">CT148-CU148+CT163+CT164-CU163-CU164</f>
        <v>2244.4506499635445</v>
      </c>
      <c r="CV196" s="24">
        <f t="shared" ref="CV196" si="1693">CU148-CV148+CU163+CU164-CV163-CV164</f>
        <v>-1009.7535413575652</v>
      </c>
      <c r="CW196" s="24">
        <f t="shared" ref="CW196" si="1694">CV148-CW148+CV163+CV164-CW163-CW164</f>
        <v>-1681.5984239190375</v>
      </c>
      <c r="CX196" s="24">
        <f t="shared" ref="CX196" si="1695">CW148-CX148+CW163+CW164-CX163-CX164</f>
        <v>-1184.4705235574675</v>
      </c>
      <c r="CY196" s="24">
        <f t="shared" ref="CY196" si="1696">CX148-CY148+CX163+CX164-CY163-CY164</f>
        <v>2655.409146181506</v>
      </c>
      <c r="CZ196" s="24">
        <f t="shared" ref="CZ196" si="1697">CY148-CZ148+CY163+CY164-CZ163-CZ164</f>
        <v>-1197.6963018908864</v>
      </c>
      <c r="DA196" s="24">
        <f t="shared" ref="DA196" si="1698">CZ148-DA148+CZ163+CZ164-DA163-DA164</f>
        <v>-1976.8538359522499</v>
      </c>
      <c r="DB196" s="24">
        <f t="shared" ref="DB196" si="1699">DA148-DB148+DA163+DA164-DB163-DB164</f>
        <v>-1386.4745974542093</v>
      </c>
      <c r="DE196" s="123"/>
      <c r="DF196" s="23">
        <v>715.21200000000101</v>
      </c>
    </row>
    <row r="197" spans="1:110" s="23" customFormat="1" x14ac:dyDescent="0.2">
      <c r="A197" s="23" t="s">
        <v>73</v>
      </c>
      <c r="C197" s="23">
        <f t="shared" ref="C197:AA197" si="1700">B156-C156</f>
        <v>0</v>
      </c>
      <c r="D197" s="23">
        <f t="shared" si="1700"/>
        <v>0</v>
      </c>
      <c r="E197" s="23">
        <f>D156-E156</f>
        <v>0</v>
      </c>
      <c r="F197" s="23">
        <f t="shared" si="1700"/>
        <v>0</v>
      </c>
      <c r="G197" s="23">
        <f t="shared" si="1700"/>
        <v>0</v>
      </c>
      <c r="H197" s="23">
        <f t="shared" si="1700"/>
        <v>0</v>
      </c>
      <c r="I197" s="23">
        <f t="shared" si="1700"/>
        <v>-10.6804617</v>
      </c>
      <c r="J197" s="23">
        <f>I156-J156</f>
        <v>-2.4231140999999994</v>
      </c>
      <c r="K197" s="23">
        <f>J156-K156</f>
        <v>-6.1504385999999993</v>
      </c>
      <c r="L197" s="23">
        <f t="shared" si="1700"/>
        <v>9.4188435999999989</v>
      </c>
      <c r="M197" s="23">
        <f t="shared" si="1700"/>
        <v>-0.46377120000000005</v>
      </c>
      <c r="N197" s="23">
        <f t="shared" si="1700"/>
        <v>-485.52457709999999</v>
      </c>
      <c r="O197" s="23">
        <f t="shared" si="1700"/>
        <v>162.38605119999994</v>
      </c>
      <c r="P197" s="23">
        <f t="shared" si="1700"/>
        <v>-17.676540599999953</v>
      </c>
      <c r="Q197" s="23">
        <f t="shared" si="1700"/>
        <v>-58.991435100000047</v>
      </c>
      <c r="R197" s="23">
        <f t="shared" si="1700"/>
        <v>-318.72201009999992</v>
      </c>
      <c r="S197" s="23">
        <f t="shared" si="1700"/>
        <v>-171.0539976</v>
      </c>
      <c r="T197" s="23">
        <f t="shared" si="1700"/>
        <v>-75.33654869999998</v>
      </c>
      <c r="U197" s="23">
        <f t="shared" si="1700"/>
        <v>-293.1930000000001</v>
      </c>
      <c r="V197" s="23">
        <f t="shared" si="1700"/>
        <v>-1514.6909999999998</v>
      </c>
      <c r="W197" s="23">
        <f t="shared" si="1700"/>
        <v>-2075.0339999999997</v>
      </c>
      <c r="X197" s="23">
        <f t="shared" si="1700"/>
        <v>-271.48300000000017</v>
      </c>
      <c r="Y197" s="23">
        <f t="shared" si="1700"/>
        <v>-3262.9939999999997</v>
      </c>
      <c r="Z197" s="23">
        <f t="shared" si="1700"/>
        <v>-800.63300000000163</v>
      </c>
      <c r="AA197" s="23">
        <f t="shared" si="1700"/>
        <v>-1819.7099999999991</v>
      </c>
      <c r="AB197" s="24">
        <f t="shared" ref="AB197" si="1701">AA156-AB156</f>
        <v>-4153.9235754656238</v>
      </c>
      <c r="AC197" s="24">
        <f t="shared" ref="AC197" si="1702">AB156-AC156</f>
        <v>-2810.2305569749842</v>
      </c>
      <c r="AD197" s="24">
        <f t="shared" ref="AD197" si="1703">AC156-AD156</f>
        <v>-3144.7701469438034</v>
      </c>
      <c r="AE197" s="24">
        <f t="shared" ref="AE197" si="1704">AD156-AE156</f>
        <v>-3673.425563329125</v>
      </c>
      <c r="AI197" s="23">
        <f t="shared" ref="AI197" si="1705">AH156-AI156</f>
        <v>0</v>
      </c>
      <c r="AJ197" s="23">
        <f t="shared" ref="AJ197" si="1706">AI156-AJ156</f>
        <v>0</v>
      </c>
      <c r="AK197" s="23" t="e">
        <f t="shared" ref="AK197" si="1707">AJ156-AK156</f>
        <v>#DIV/0!</v>
      </c>
      <c r="AL197" s="23" t="e">
        <f t="shared" ref="AL197" si="1708">AK156-AL156</f>
        <v>#DIV/0!</v>
      </c>
      <c r="AM197" s="23" t="e">
        <f t="shared" ref="AM197" si="1709">AL156-AM156</f>
        <v>#DIV/0!</v>
      </c>
      <c r="AN197" s="23" t="e">
        <f t="shared" ref="AN197" si="1710">AM156-AN156</f>
        <v>#DIV/0!</v>
      </c>
      <c r="AO197" s="23" t="e">
        <f t="shared" ref="AO197" si="1711">AN156-AO156</f>
        <v>#DIV/0!</v>
      </c>
      <c r="AP197" s="23" t="e">
        <f t="shared" ref="AP197" si="1712">AO156-AP156</f>
        <v>#DIV/0!</v>
      </c>
      <c r="AQ197" s="23" t="e">
        <f t="shared" ref="AQ197" si="1713">AP156-AQ156</f>
        <v>#DIV/0!</v>
      </c>
      <c r="AR197" s="23" t="e">
        <f t="shared" ref="AR197" si="1714">AQ156-AR156</f>
        <v>#DIV/0!</v>
      </c>
      <c r="AS197" s="23" t="e">
        <f t="shared" ref="AS197" si="1715">AR156-AS156</f>
        <v>#DIV/0!</v>
      </c>
      <c r="AT197" s="23" t="e">
        <f t="shared" ref="AT197" si="1716">AS156-AT156</f>
        <v>#DIV/0!</v>
      </c>
      <c r="AU197" s="23" t="e">
        <f t="shared" ref="AU197" si="1717">AT156-AU156</f>
        <v>#DIV/0!</v>
      </c>
      <c r="AV197" s="23" t="e">
        <f t="shared" ref="AV197" si="1718">AU156-AV156</f>
        <v>#DIV/0!</v>
      </c>
      <c r="AW197" s="23" t="e">
        <f t="shared" ref="AW197" si="1719">AV156-AW156</f>
        <v>#DIV/0!</v>
      </c>
      <c r="AX197" s="23" t="e">
        <f t="shared" ref="AX197" si="1720">AW156-AX156</f>
        <v>#DIV/0!</v>
      </c>
      <c r="AY197" s="23" t="e">
        <f t="shared" ref="AY197" si="1721">AX156-AY156</f>
        <v>#DIV/0!</v>
      </c>
      <c r="AZ197" s="23" t="e">
        <f t="shared" ref="AZ197" si="1722">AY156-AZ156</f>
        <v>#DIV/0!</v>
      </c>
      <c r="BA197" s="23" t="e">
        <f t="shared" ref="BA197" si="1723">AZ156-BA156</f>
        <v>#DIV/0!</v>
      </c>
      <c r="BB197" s="23" t="e">
        <f t="shared" ref="BB197" si="1724">BA156-BB156</f>
        <v>#DIV/0!</v>
      </c>
      <c r="BC197" s="23" t="e">
        <f t="shared" ref="BC197" si="1725">BB156-BC156</f>
        <v>#DIV/0!</v>
      </c>
      <c r="BD197" s="23" t="e">
        <f t="shared" ref="BD197" si="1726">BC156-BD156</f>
        <v>#DIV/0!</v>
      </c>
      <c r="BE197" s="23" t="e">
        <f t="shared" ref="BE197" si="1727">BD156-BE156</f>
        <v>#DIV/0!</v>
      </c>
      <c r="BF197" s="23" t="e">
        <f t="shared" ref="BF197" si="1728">BE156-BF156</f>
        <v>#DIV/0!</v>
      </c>
      <c r="BG197" s="23" t="e">
        <f t="shared" ref="BG197" si="1729">BF156-BG156</f>
        <v>#DIV/0!</v>
      </c>
      <c r="BH197" s="23" t="e">
        <f t="shared" ref="BH197" si="1730">BG156-BH156</f>
        <v>#DIV/0!</v>
      </c>
      <c r="BI197" s="23" t="e">
        <f t="shared" ref="BI197" si="1731">BH156-BI156</f>
        <v>#DIV/0!</v>
      </c>
      <c r="BJ197" s="23" t="e">
        <f t="shared" ref="BJ197" si="1732">BI156-BJ156</f>
        <v>#DIV/0!</v>
      </c>
      <c r="BK197" s="23" t="e">
        <f t="shared" ref="BK197" si="1733">BJ156-BK156</f>
        <v>#DIV/0!</v>
      </c>
      <c r="BL197" s="23" t="e">
        <f t="shared" ref="BL197" si="1734">BK156-BL156</f>
        <v>#DIV/0!</v>
      </c>
      <c r="BM197" s="23">
        <f t="shared" ref="BM197" si="1735">BL156-BM156</f>
        <v>0</v>
      </c>
      <c r="BN197" s="23">
        <f t="shared" ref="BN197" si="1736">BM156-BN156</f>
        <v>-1107.8790000000001</v>
      </c>
      <c r="BO197" s="23">
        <f t="shared" ref="BO197" si="1737">BN156-BO156</f>
        <v>-222.60397920136143</v>
      </c>
      <c r="BP197" s="23">
        <f t="shared" ref="BP197" si="1738">BO156-BP156</f>
        <v>-709.40902079863849</v>
      </c>
      <c r="BQ197" s="23">
        <f t="shared" ref="BQ197" si="1739">BP156-BQ156</f>
        <v>15.238681305772161</v>
      </c>
      <c r="BR197" s="23">
        <f t="shared" ref="BR197" si="1740">BQ156-BR156</f>
        <v>-486.70968130577239</v>
      </c>
      <c r="BS197" s="23">
        <f t="shared" ref="BS197" si="1741">BR156-BS156</f>
        <v>-301.15279537556398</v>
      </c>
      <c r="BT197" s="23">
        <f t="shared" ref="BT197" si="1742">BS156-BT156</f>
        <v>-1314.5492046244353</v>
      </c>
      <c r="BU197" s="23">
        <f t="shared" ref="BU197" si="1743">BT156-BU156</f>
        <v>-500.79745338111934</v>
      </c>
      <c r="BV197" s="23">
        <f t="shared" ref="BV197" si="1744">BU156-BV156</f>
        <v>225.4614533811191</v>
      </c>
      <c r="BW197" s="23">
        <f t="shared" ref="BW197" si="1745">BV156-BW156</f>
        <v>-7.1144340189393915</v>
      </c>
      <c r="BX197" s="23">
        <f t="shared" ref="BX197" si="1746">BW156-BX156</f>
        <v>-160.57156598106121</v>
      </c>
      <c r="BY197" s="23">
        <f t="shared" ref="BY197" si="1747">BX156-BY156</f>
        <v>-18.368854689387263</v>
      </c>
      <c r="BZ197" s="23">
        <f t="shared" ref="BZ197" si="1748">BY156-BZ156</f>
        <v>32.379854689387685</v>
      </c>
      <c r="CA197" s="23">
        <f t="shared" ref="CA197" si="1749">BZ156-CA156</f>
        <v>89.902350540971383</v>
      </c>
      <c r="CB197" s="23">
        <f t="shared" ref="CB197" si="1750">CA156-CB156</f>
        <v>-2245.4263505409717</v>
      </c>
      <c r="CC197" s="23">
        <f t="shared" ref="CC197" si="1751">CB156-CC156</f>
        <v>-65.156878210689683</v>
      </c>
      <c r="CD197" s="23">
        <f t="shared" ref="CD197" si="1752">CC156-CD156</f>
        <v>-1020.0801217893095</v>
      </c>
      <c r="CE197" s="23">
        <f t="shared" ref="CE197" si="1753">CD156-CE156</f>
        <v>-255.46469726127907</v>
      </c>
      <c r="CF197" s="23">
        <f t="shared" ref="CF197" si="1754">CE156-CF156</f>
        <v>-3169.3093027387222</v>
      </c>
      <c r="CG197" s="23">
        <f t="shared" ref="CG197" si="1755">CF156-CG156</f>
        <v>1571.5656437618927</v>
      </c>
      <c r="CH197" s="23">
        <f t="shared" ref="CH197:CL197" si="1756">CG156-CH156</f>
        <v>456.79935623810707</v>
      </c>
      <c r="CI197" s="23">
        <f t="shared" si="1756"/>
        <v>-735.7814396489448</v>
      </c>
      <c r="CJ197" s="23">
        <f t="shared" si="1756"/>
        <v>-875.63456035105446</v>
      </c>
      <c r="CK197" s="23">
        <f t="shared" ref="CK197" si="1757">CJ156-CK156</f>
        <v>-1197.005627885148</v>
      </c>
      <c r="CL197" s="23">
        <f t="shared" si="1756"/>
        <v>-801.83137211485155</v>
      </c>
      <c r="CM197" s="24">
        <f t="shared" ref="CM197" si="1758">CL156-CM156</f>
        <v>2486.2002278383916</v>
      </c>
      <c r="CN197" s="24">
        <f t="shared" ref="CN197" si="1759">CM156-CN156</f>
        <v>-1132.7291116853739</v>
      </c>
      <c r="CO197" s="24">
        <f t="shared" ref="CO197" si="1760">CN156-CO156</f>
        <v>-2125.2712899227554</v>
      </c>
      <c r="CP197" s="24">
        <f t="shared" ref="CP197" si="1761">CO156-CP156</f>
        <v>-1591.5804016958864</v>
      </c>
      <c r="CQ197" s="24">
        <f t="shared" ref="CQ197" si="1762">CP156-CQ156</f>
        <v>3454.3419346057563</v>
      </c>
      <c r="CR197" s="24">
        <f t="shared" ref="CR197" si="1763">CQ156-CR156</f>
        <v>-1583.922458408746</v>
      </c>
      <c r="CS197" s="24">
        <f t="shared" ref="CS197" si="1764">CR156-CS156</f>
        <v>-2723.3110275497929</v>
      </c>
      <c r="CT197" s="24">
        <f t="shared" ref="CT197" si="1765">CS156-CT156</f>
        <v>-1957.3390056222015</v>
      </c>
      <c r="CU197" s="24">
        <f t="shared" ref="CU197" si="1766">CT156-CU156</f>
        <v>4326.5926455986537</v>
      </c>
      <c r="CV197" s="24">
        <f t="shared" ref="CV197" si="1767">CU156-CV156</f>
        <v>-1946.4862129963967</v>
      </c>
      <c r="CW197" s="24">
        <f t="shared" ref="CW197" si="1768">CV156-CW156</f>
        <v>-3241.591154564514</v>
      </c>
      <c r="CX197" s="24">
        <f t="shared" ref="CX197" si="1769">CW156-CX156</f>
        <v>-2283.2854249815464</v>
      </c>
      <c r="CY197" s="24">
        <f t="shared" ref="CY197" si="1770">CX156-CY156</f>
        <v>5118.7909536397747</v>
      </c>
      <c r="CZ197" s="24">
        <f t="shared" ref="CZ197" si="1771">CY156-CZ156</f>
        <v>-2308.7805523841598</v>
      </c>
      <c r="DA197" s="24">
        <f t="shared" ref="DA197" si="1772">CZ156-DA156</f>
        <v>-3810.7504249173035</v>
      </c>
      <c r="DB197" s="24">
        <f t="shared" ref="DB197" si="1773">DA156-DB156</f>
        <v>-2672.6855396674364</v>
      </c>
      <c r="DE197" s="123"/>
      <c r="DF197" s="23">
        <v>-1819.7099999999991</v>
      </c>
    </row>
    <row r="198" spans="1:110" s="22" customFormat="1" x14ac:dyDescent="0.2">
      <c r="A198" s="22" t="s">
        <v>90</v>
      </c>
      <c r="C198" s="22">
        <f t="shared" ref="C198:W198" si="1774">C196-C197</f>
        <v>0</v>
      </c>
      <c r="D198" s="22">
        <f t="shared" si="1774"/>
        <v>0</v>
      </c>
      <c r="E198" s="22">
        <f t="shared" si="1774"/>
        <v>0</v>
      </c>
      <c r="F198" s="22">
        <f t="shared" si="1774"/>
        <v>0</v>
      </c>
      <c r="G198" s="22">
        <f t="shared" si="1774"/>
        <v>0</v>
      </c>
      <c r="H198" s="22">
        <f t="shared" si="1774"/>
        <v>0</v>
      </c>
      <c r="I198" s="22">
        <f t="shared" si="1774"/>
        <v>-46.273745699999999</v>
      </c>
      <c r="J198" s="22">
        <f>J196-J197</f>
        <v>-66.259703599999995</v>
      </c>
      <c r="K198" s="22">
        <f t="shared" si="1774"/>
        <v>-65.964396199999996</v>
      </c>
      <c r="L198" s="22">
        <f t="shared" si="1774"/>
        <v>98.132365700000008</v>
      </c>
      <c r="M198" s="22">
        <f t="shared" si="1774"/>
        <v>39.305030599999995</v>
      </c>
      <c r="N198" s="22">
        <f t="shared" si="1774"/>
        <v>208.3862464</v>
      </c>
      <c r="O198" s="22">
        <f t="shared" si="1774"/>
        <v>-308.09565889999999</v>
      </c>
      <c r="P198" s="22">
        <f t="shared" si="1774"/>
        <v>-1.9014583000000087</v>
      </c>
      <c r="Q198" s="22">
        <f t="shared" si="1774"/>
        <v>-22.542357999999993</v>
      </c>
      <c r="R198" s="22">
        <f t="shared" si="1774"/>
        <v>-205.63391360000003</v>
      </c>
      <c r="S198" s="22">
        <f t="shared" si="1774"/>
        <v>-180.26842750000003</v>
      </c>
      <c r="T198" s="22">
        <f t="shared" si="1774"/>
        <v>283.2850191</v>
      </c>
      <c r="U198" s="22">
        <f t="shared" si="1774"/>
        <v>760.50700000000006</v>
      </c>
      <c r="V198" s="22">
        <f t="shared" si="1774"/>
        <v>-797.14400000000023</v>
      </c>
      <c r="W198" s="22">
        <f t="shared" si="1774"/>
        <v>2519.79</v>
      </c>
      <c r="X198" s="22">
        <f t="shared" ref="X198:Y198" si="1775">X196-X197</f>
        <v>688.55500000000006</v>
      </c>
      <c r="Y198" s="22">
        <f t="shared" si="1775"/>
        <v>-1227.0680000000002</v>
      </c>
      <c r="Z198" s="22">
        <f t="shared" ref="Z198:AA198" si="1776">Z196-Z197</f>
        <v>-2240.601999999999</v>
      </c>
      <c r="AA198" s="22">
        <f t="shared" ref="AA198" si="1777">AA196-AA197</f>
        <v>2534.922</v>
      </c>
      <c r="AB198" s="21">
        <f t="shared" ref="AB198:AD198" si="1778">AB196-AB197</f>
        <v>5352.9321239883693</v>
      </c>
      <c r="AC198" s="21">
        <f t="shared" si="1778"/>
        <v>1352.4035053420275</v>
      </c>
      <c r="AD198" s="21">
        <f t="shared" si="1778"/>
        <v>1513.3983080732778</v>
      </c>
      <c r="AE198" s="21">
        <f t="shared" ref="AE198" si="1779">AE196-AE197</f>
        <v>1767.8099742132854</v>
      </c>
      <c r="AI198" s="22">
        <f t="shared" ref="AI198" si="1780">AI196-AI197</f>
        <v>0</v>
      </c>
      <c r="AJ198" s="22">
        <f t="shared" ref="AJ198:AL198" si="1781">AJ196-AJ197</f>
        <v>0</v>
      </c>
      <c r="AK198" s="22" t="e">
        <f t="shared" si="1781"/>
        <v>#DIV/0!</v>
      </c>
      <c r="AL198" s="22" t="e">
        <f t="shared" si="1781"/>
        <v>#DIV/0!</v>
      </c>
      <c r="AM198" s="22" t="e">
        <f t="shared" ref="AM198" si="1782">AM196-AM197</f>
        <v>#DIV/0!</v>
      </c>
      <c r="AN198" s="22" t="e">
        <f t="shared" ref="AN198:CD198" si="1783">AN196-AN197</f>
        <v>#DIV/0!</v>
      </c>
      <c r="AO198" s="22" t="e">
        <f t="shared" si="1783"/>
        <v>#DIV/0!</v>
      </c>
      <c r="AP198" s="22" t="e">
        <f t="shared" si="1783"/>
        <v>#DIV/0!</v>
      </c>
      <c r="AQ198" s="22" t="e">
        <f t="shared" si="1783"/>
        <v>#DIV/0!</v>
      </c>
      <c r="AR198" s="22" t="e">
        <f t="shared" si="1783"/>
        <v>#DIV/0!</v>
      </c>
      <c r="AS198" s="22" t="e">
        <f t="shared" si="1783"/>
        <v>#DIV/0!</v>
      </c>
      <c r="AT198" s="22" t="e">
        <f t="shared" si="1783"/>
        <v>#DIV/0!</v>
      </c>
      <c r="AU198" s="22" t="e">
        <f t="shared" si="1783"/>
        <v>#DIV/0!</v>
      </c>
      <c r="AV198" s="22" t="e">
        <f t="shared" si="1783"/>
        <v>#DIV/0!</v>
      </c>
      <c r="AW198" s="22" t="e">
        <f t="shared" si="1783"/>
        <v>#DIV/0!</v>
      </c>
      <c r="AX198" s="22" t="e">
        <f t="shared" si="1783"/>
        <v>#DIV/0!</v>
      </c>
      <c r="AY198" s="22" t="e">
        <f t="shared" si="1783"/>
        <v>#DIV/0!</v>
      </c>
      <c r="AZ198" s="22" t="e">
        <f t="shared" si="1783"/>
        <v>#DIV/0!</v>
      </c>
      <c r="BA198" s="22" t="e">
        <f t="shared" si="1783"/>
        <v>#DIV/0!</v>
      </c>
      <c r="BB198" s="22" t="e">
        <f t="shared" si="1783"/>
        <v>#DIV/0!</v>
      </c>
      <c r="BC198" s="22" t="e">
        <f t="shared" si="1783"/>
        <v>#DIV/0!</v>
      </c>
      <c r="BD198" s="22" t="e">
        <f t="shared" si="1783"/>
        <v>#DIV/0!</v>
      </c>
      <c r="BE198" s="22" t="e">
        <f t="shared" si="1783"/>
        <v>#DIV/0!</v>
      </c>
      <c r="BF198" s="22" t="e">
        <f t="shared" si="1783"/>
        <v>#DIV/0!</v>
      </c>
      <c r="BG198" s="22" t="e">
        <f t="shared" si="1783"/>
        <v>#DIV/0!</v>
      </c>
      <c r="BH198" s="22" t="e">
        <f t="shared" si="1783"/>
        <v>#DIV/0!</v>
      </c>
      <c r="BI198" s="22" t="e">
        <f t="shared" si="1783"/>
        <v>#DIV/0!</v>
      </c>
      <c r="BJ198" s="22" t="e">
        <f t="shared" si="1783"/>
        <v>#DIV/0!</v>
      </c>
      <c r="BK198" s="22" t="e">
        <f t="shared" si="1783"/>
        <v>#DIV/0!</v>
      </c>
      <c r="BL198" s="22" t="e">
        <f t="shared" si="1783"/>
        <v>#DIV/0!</v>
      </c>
      <c r="BM198" s="22">
        <f t="shared" si="1783"/>
        <v>0</v>
      </c>
      <c r="BN198" s="22">
        <f t="shared" si="1783"/>
        <v>477.36000000000013</v>
      </c>
      <c r="BO198" s="22">
        <f t="shared" si="1783"/>
        <v>213.35690072787463</v>
      </c>
      <c r="BP198" s="22">
        <f t="shared" si="1783"/>
        <v>443.85309927212529</v>
      </c>
      <c r="BQ198" s="22">
        <f t="shared" si="1783"/>
        <v>-14.784670668538638</v>
      </c>
      <c r="BR198" s="22">
        <f t="shared" si="1783"/>
        <v>-1429.7713293314609</v>
      </c>
      <c r="BS198" s="22">
        <f t="shared" si="1783"/>
        <v>271.03062343739293</v>
      </c>
      <c r="BT198" s="22">
        <f t="shared" si="1783"/>
        <v>2281.6893765626064</v>
      </c>
      <c r="BU198" s="22">
        <f t="shared" si="1783"/>
        <v>490.10898189213685</v>
      </c>
      <c r="BV198" s="22">
        <f t="shared" si="1783"/>
        <v>-494.67398189213696</v>
      </c>
      <c r="BW198" s="22">
        <f t="shared" si="1783"/>
        <v>6.1254622456522156</v>
      </c>
      <c r="BX198" s="22">
        <f t="shared" si="1783"/>
        <v>-1499.9254622456517</v>
      </c>
      <c r="BY198" s="22">
        <f t="shared" si="1783"/>
        <v>16.479455252918342</v>
      </c>
      <c r="BZ198" s="22">
        <f t="shared" si="1783"/>
        <v>2166.4035447470815</v>
      </c>
      <c r="CA198" s="22">
        <f t="shared" si="1783"/>
        <v>-81.640048367642748</v>
      </c>
      <c r="CB198" s="22">
        <f t="shared" si="1783"/>
        <v>1099.5880483676433</v>
      </c>
      <c r="CC198" s="22">
        <f t="shared" si="1783"/>
        <v>62.004384144171127</v>
      </c>
      <c r="CD198" s="22">
        <f t="shared" si="1783"/>
        <v>800.02761585582812</v>
      </c>
      <c r="CE198" s="22">
        <f t="shared" ref="CE198:CF198" si="1784">CE196-CE197</f>
        <v>238.17997951337793</v>
      </c>
      <c r="CF198" s="22">
        <f t="shared" si="1784"/>
        <v>-605.59297951337703</v>
      </c>
      <c r="CG198" s="22">
        <f t="shared" ref="CG198:CH198" si="1785">CG196-CG197</f>
        <v>-1476.8655996609259</v>
      </c>
      <c r="CH198" s="22">
        <f t="shared" si="1785"/>
        <v>-3526.7464003390746</v>
      </c>
      <c r="CI198" s="22">
        <f t="shared" ref="CI198:CJ198" si="1786">CI196-CI197</f>
        <v>-47.169747486061169</v>
      </c>
      <c r="CJ198" s="22">
        <f t="shared" si="1786"/>
        <v>4819.1257474860613</v>
      </c>
      <c r="CK198" s="22">
        <f t="shared" ref="CK198:DB198" si="1787">CK196-CK197</f>
        <v>463.43492126867386</v>
      </c>
      <c r="CL198" s="22">
        <f t="shared" si="1787"/>
        <v>1515.1030787313257</v>
      </c>
      <c r="CM198" s="21">
        <f t="shared" si="1787"/>
        <v>-1196.4662097796418</v>
      </c>
      <c r="CN198" s="21">
        <f t="shared" si="1787"/>
        <v>545.11784360328602</v>
      </c>
      <c r="CO198" s="21">
        <f t="shared" si="1787"/>
        <v>1022.7717206904936</v>
      </c>
      <c r="CP198" s="21">
        <f t="shared" si="1787"/>
        <v>765.93676947423228</v>
      </c>
      <c r="CQ198" s="21">
        <f t="shared" si="1787"/>
        <v>-1662.3775331941133</v>
      </c>
      <c r="CR198" s="21">
        <f t="shared" si="1787"/>
        <v>762.25143863205813</v>
      </c>
      <c r="CS198" s="21">
        <f t="shared" si="1787"/>
        <v>1310.574098859508</v>
      </c>
      <c r="CT198" s="21">
        <f t="shared" si="1787"/>
        <v>941.9555010445747</v>
      </c>
      <c r="CU198" s="21">
        <f t="shared" si="1787"/>
        <v>-2082.1419956351092</v>
      </c>
      <c r="CV198" s="21">
        <f t="shared" si="1787"/>
        <v>936.73267163883156</v>
      </c>
      <c r="CW198" s="21">
        <f t="shared" si="1787"/>
        <v>1559.9927306454765</v>
      </c>
      <c r="CX198" s="21">
        <f t="shared" si="1787"/>
        <v>1098.8149014240789</v>
      </c>
      <c r="CY198" s="21">
        <f t="shared" si="1787"/>
        <v>-2463.3818074582687</v>
      </c>
      <c r="CZ198" s="21">
        <f t="shared" si="1787"/>
        <v>1111.0842504932734</v>
      </c>
      <c r="DA198" s="21">
        <f t="shared" si="1787"/>
        <v>1833.8965889650535</v>
      </c>
      <c r="DB198" s="21">
        <f t="shared" si="1787"/>
        <v>1286.2109422132271</v>
      </c>
      <c r="DE198" s="126"/>
      <c r="DF198" s="22">
        <v>2534.922</v>
      </c>
    </row>
    <row r="199" spans="1:110" s="22" customFormat="1" x14ac:dyDescent="0.2">
      <c r="A199" s="22" t="s">
        <v>91</v>
      </c>
      <c r="C199" s="22">
        <f t="shared" ref="C199:W199" si="1788">C195+C198</f>
        <v>0</v>
      </c>
      <c r="D199" s="22">
        <f>D195+D198</f>
        <v>0</v>
      </c>
      <c r="E199" s="22">
        <f t="shared" si="1788"/>
        <v>0</v>
      </c>
      <c r="F199" s="22">
        <f t="shared" si="1788"/>
        <v>0</v>
      </c>
      <c r="G199" s="22">
        <f t="shared" si="1788"/>
        <v>0</v>
      </c>
      <c r="H199" s="22">
        <f t="shared" si="1788"/>
        <v>0</v>
      </c>
      <c r="I199" s="22">
        <f t="shared" si="1788"/>
        <v>-41.897750099999996</v>
      </c>
      <c r="J199" s="22">
        <f>J195+J198</f>
        <v>-63.255825999999999</v>
      </c>
      <c r="K199" s="22">
        <f t="shared" si="1788"/>
        <v>-55.917277999999996</v>
      </c>
      <c r="L199" s="22">
        <f t="shared" si="1788"/>
        <v>106.4043657</v>
      </c>
      <c r="M199" s="22">
        <f t="shared" si="1788"/>
        <v>49.100500999999994</v>
      </c>
      <c r="N199" s="22">
        <f t="shared" si="1788"/>
        <v>282.59594720000001</v>
      </c>
      <c r="O199" s="22">
        <f t="shared" si="1788"/>
        <v>-285.57299409999996</v>
      </c>
      <c r="P199" s="22">
        <f t="shared" si="1788"/>
        <v>55.334024700000008</v>
      </c>
      <c r="Q199" s="22">
        <f t="shared" si="1788"/>
        <v>22.196961500000043</v>
      </c>
      <c r="R199" s="22">
        <f t="shared" si="1788"/>
        <v>-161.09711900000005</v>
      </c>
      <c r="S199" s="22">
        <f t="shared" si="1788"/>
        <v>-57.811404099999947</v>
      </c>
      <c r="T199" s="22">
        <f t="shared" si="1788"/>
        <v>382.8690191</v>
      </c>
      <c r="U199" s="22">
        <f t="shared" si="1788"/>
        <v>863.7700000000001</v>
      </c>
      <c r="V199" s="22">
        <f t="shared" si="1788"/>
        <v>-481.92800000000028</v>
      </c>
      <c r="W199" s="22">
        <f t="shared" si="1788"/>
        <v>3163.2359999999999</v>
      </c>
      <c r="X199" s="22">
        <f t="shared" ref="X199:Y199" si="1789">X195+X198</f>
        <v>1608.7730000000001</v>
      </c>
      <c r="Y199" s="22">
        <f t="shared" si="1789"/>
        <v>-51.559000000000196</v>
      </c>
      <c r="Z199" s="22">
        <f t="shared" ref="Z199:AA199" si="1790">Z195+Z198</f>
        <v>-965.09999999999923</v>
      </c>
      <c r="AA199" s="22">
        <f t="shared" ref="AA199" si="1791">AA195+AA198</f>
        <v>3575.0199999999995</v>
      </c>
      <c r="AB199" s="21">
        <f t="shared" ref="AB199:AD199" si="1792">AB195+AB198</f>
        <v>6755.4012868301843</v>
      </c>
      <c r="AC199" s="21">
        <f t="shared" si="1792"/>
        <v>2997.72286500775</v>
      </c>
      <c r="AD199" s="21">
        <f t="shared" si="1792"/>
        <v>3434.125139233051</v>
      </c>
      <c r="AE199" s="21">
        <f t="shared" ref="AE199" si="1793">AE195+AE198</f>
        <v>4010.2234659743999</v>
      </c>
      <c r="AI199" s="22">
        <f t="shared" ref="AI199" si="1794">AI195+AI198</f>
        <v>0</v>
      </c>
      <c r="AJ199" s="22">
        <f t="shared" ref="AJ199:AL199" si="1795">AJ195+AJ198</f>
        <v>0</v>
      </c>
      <c r="AK199" s="22" t="e">
        <f t="shared" si="1795"/>
        <v>#DIV/0!</v>
      </c>
      <c r="AL199" s="22" t="e">
        <f t="shared" si="1795"/>
        <v>#DIV/0!</v>
      </c>
      <c r="AM199" s="22" t="e">
        <f t="shared" ref="AM199" si="1796">AM195+AM198</f>
        <v>#DIV/0!</v>
      </c>
      <c r="AN199" s="22" t="e">
        <f t="shared" ref="AN199:CD199" si="1797">AN195+AN198</f>
        <v>#DIV/0!</v>
      </c>
      <c r="AO199" s="22" t="e">
        <f t="shared" si="1797"/>
        <v>#DIV/0!</v>
      </c>
      <c r="AP199" s="22" t="e">
        <f t="shared" si="1797"/>
        <v>#DIV/0!</v>
      </c>
      <c r="AQ199" s="22" t="e">
        <f t="shared" si="1797"/>
        <v>#DIV/0!</v>
      </c>
      <c r="AR199" s="22" t="e">
        <f t="shared" si="1797"/>
        <v>#DIV/0!</v>
      </c>
      <c r="AS199" s="22" t="e">
        <f t="shared" si="1797"/>
        <v>#DIV/0!</v>
      </c>
      <c r="AT199" s="22" t="e">
        <f t="shared" si="1797"/>
        <v>#DIV/0!</v>
      </c>
      <c r="AU199" s="22" t="e">
        <f t="shared" si="1797"/>
        <v>#DIV/0!</v>
      </c>
      <c r="AV199" s="22" t="e">
        <f t="shared" si="1797"/>
        <v>#DIV/0!</v>
      </c>
      <c r="AW199" s="22" t="e">
        <f t="shared" si="1797"/>
        <v>#DIV/0!</v>
      </c>
      <c r="AX199" s="22" t="e">
        <f t="shared" si="1797"/>
        <v>#DIV/0!</v>
      </c>
      <c r="AY199" s="22" t="e">
        <f t="shared" si="1797"/>
        <v>#DIV/0!</v>
      </c>
      <c r="AZ199" s="22" t="e">
        <f t="shared" si="1797"/>
        <v>#DIV/0!</v>
      </c>
      <c r="BA199" s="22" t="e">
        <f t="shared" si="1797"/>
        <v>#DIV/0!</v>
      </c>
      <c r="BB199" s="22" t="e">
        <f t="shared" si="1797"/>
        <v>#DIV/0!</v>
      </c>
      <c r="BC199" s="22" t="e">
        <f t="shared" si="1797"/>
        <v>#DIV/0!</v>
      </c>
      <c r="BD199" s="22" t="e">
        <f t="shared" si="1797"/>
        <v>#DIV/0!</v>
      </c>
      <c r="BE199" s="22" t="e">
        <f t="shared" si="1797"/>
        <v>#DIV/0!</v>
      </c>
      <c r="BF199" s="22" t="e">
        <f t="shared" si="1797"/>
        <v>#DIV/0!</v>
      </c>
      <c r="BG199" s="22" t="e">
        <f t="shared" si="1797"/>
        <v>#DIV/0!</v>
      </c>
      <c r="BH199" s="22" t="e">
        <f t="shared" si="1797"/>
        <v>#DIV/0!</v>
      </c>
      <c r="BI199" s="22" t="e">
        <f t="shared" si="1797"/>
        <v>#DIV/0!</v>
      </c>
      <c r="BJ199" s="22" t="e">
        <f t="shared" si="1797"/>
        <v>#DIV/0!</v>
      </c>
      <c r="BK199" s="22" t="e">
        <f t="shared" si="1797"/>
        <v>#DIV/0!</v>
      </c>
      <c r="BL199" s="22" t="e">
        <f t="shared" si="1797"/>
        <v>#DIV/0!</v>
      </c>
      <c r="BM199" s="22">
        <f t="shared" si="1797"/>
        <v>32.103000000000002</v>
      </c>
      <c r="BN199" s="22">
        <f t="shared" si="1797"/>
        <v>513.18500000000006</v>
      </c>
      <c r="BO199" s="22">
        <f t="shared" si="1797"/>
        <v>265.62390072787463</v>
      </c>
      <c r="BP199" s="22">
        <f t="shared" si="1797"/>
        <v>522.97809927212529</v>
      </c>
      <c r="BQ199" s="22">
        <f t="shared" si="1797"/>
        <v>63.128329331461373</v>
      </c>
      <c r="BR199" s="22">
        <f t="shared" si="1797"/>
        <v>-1323.8603293314609</v>
      </c>
      <c r="BS199" s="22">
        <f t="shared" si="1797"/>
        <v>396.45962343739291</v>
      </c>
      <c r="BT199" s="22">
        <f t="shared" si="1797"/>
        <v>2420.4143765626063</v>
      </c>
      <c r="BU199" s="22">
        <f t="shared" si="1797"/>
        <v>659.48098189213681</v>
      </c>
      <c r="BV199" s="22">
        <f t="shared" si="1797"/>
        <v>-284.75398189213701</v>
      </c>
      <c r="BW199" s="22">
        <f t="shared" si="1797"/>
        <v>194.02546224565222</v>
      </c>
      <c r="BX199" s="22">
        <f t="shared" si="1797"/>
        <v>-1279.5254622456516</v>
      </c>
      <c r="BY199" s="22">
        <f t="shared" si="1797"/>
        <v>252.47945525291831</v>
      </c>
      <c r="BZ199" s="22">
        <f t="shared" si="1797"/>
        <v>2442.2495447470815</v>
      </c>
      <c r="CA199" s="22">
        <f t="shared" si="1797"/>
        <v>148.09795163235722</v>
      </c>
      <c r="CB199" s="22">
        <f t="shared" si="1797"/>
        <v>1415.2550483676432</v>
      </c>
      <c r="CC199" s="22">
        <f t="shared" si="1797"/>
        <v>335.40538414417119</v>
      </c>
      <c r="CD199" s="22">
        <f t="shared" si="1797"/>
        <v>1156.6686158558282</v>
      </c>
      <c r="CE199" s="22">
        <f t="shared" ref="CE199:CF199" si="1798">CE195+CE198</f>
        <v>553.52897951337786</v>
      </c>
      <c r="CF199" s="22">
        <f t="shared" si="1798"/>
        <v>-156.62297951337723</v>
      </c>
      <c r="CG199" s="22">
        <f t="shared" ref="CG199:CH199" si="1799">CG195+CG198</f>
        <v>-1168.728599660926</v>
      </c>
      <c r="CH199" s="22">
        <f t="shared" si="1799"/>
        <v>-3323.7004003390748</v>
      </c>
      <c r="CI199" s="22">
        <f t="shared" ref="CI199:CJ199" si="1800">CI195+CI198</f>
        <v>97.215252513938765</v>
      </c>
      <c r="CJ199" s="22">
        <f t="shared" si="1800"/>
        <v>5061.5067474860616</v>
      </c>
      <c r="CK199" s="22">
        <f t="shared" ref="CK199:DB199" si="1801">CK195+CK198</f>
        <v>763.59792126867387</v>
      </c>
      <c r="CL199" s="22">
        <f t="shared" si="1801"/>
        <v>1868.2720787313256</v>
      </c>
      <c r="CM199" s="21">
        <f t="shared" si="1801"/>
        <v>-948.68748393176111</v>
      </c>
      <c r="CN199" s="21">
        <f t="shared" si="1801"/>
        <v>862.76208399621896</v>
      </c>
      <c r="CO199" s="21">
        <f t="shared" si="1801"/>
        <v>1417.7849783516922</v>
      </c>
      <c r="CP199" s="21">
        <f t="shared" si="1801"/>
        <v>1207.9697084140348</v>
      </c>
      <c r="CQ199" s="21">
        <f t="shared" si="1801"/>
        <v>-1357.736601586618</v>
      </c>
      <c r="CR199" s="21">
        <f t="shared" si="1801"/>
        <v>1134.5461586449051</v>
      </c>
      <c r="CS199" s="21">
        <f t="shared" si="1801"/>
        <v>1768.2306505695365</v>
      </c>
      <c r="CT199" s="21">
        <f t="shared" si="1801"/>
        <v>1452.6826573799272</v>
      </c>
      <c r="CU199" s="21">
        <f t="shared" si="1801"/>
        <v>-1724.3736876535631</v>
      </c>
      <c r="CV199" s="21">
        <f t="shared" si="1801"/>
        <v>1370.5922813778438</v>
      </c>
      <c r="CW199" s="21">
        <f t="shared" si="1801"/>
        <v>2093.1103967503914</v>
      </c>
      <c r="CX199" s="21">
        <f t="shared" si="1801"/>
        <v>1694.7961487583791</v>
      </c>
      <c r="CY199" s="21">
        <f t="shared" si="1801"/>
        <v>-2045.8714937281516</v>
      </c>
      <c r="CZ199" s="21">
        <f t="shared" si="1801"/>
        <v>1617.0780819151416</v>
      </c>
      <c r="DA199" s="21">
        <f t="shared" si="1801"/>
        <v>2456.3372246098888</v>
      </c>
      <c r="DB199" s="21">
        <f t="shared" si="1801"/>
        <v>1982.6796531775212</v>
      </c>
      <c r="DE199" s="126"/>
      <c r="DF199" s="22">
        <v>3575.0199999999995</v>
      </c>
    </row>
    <row r="200" spans="1:110" s="23" customFormat="1" x14ac:dyDescent="0.2"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02">C202+C203</f>
        <v>0</v>
      </c>
      <c r="D201" s="22">
        <f>D202+D203</f>
        <v>0</v>
      </c>
      <c r="E201" s="22">
        <f t="shared" si="1802"/>
        <v>0</v>
      </c>
      <c r="F201" s="22">
        <f t="shared" si="1802"/>
        <v>0</v>
      </c>
      <c r="G201" s="22">
        <f t="shared" si="1802"/>
        <v>0</v>
      </c>
      <c r="H201" s="22">
        <f t="shared" si="1802"/>
        <v>0</v>
      </c>
      <c r="I201" s="22">
        <f t="shared" si="1802"/>
        <v>-134.67025219999999</v>
      </c>
      <c r="J201" s="22">
        <f t="shared" si="1802"/>
        <v>64.426142799999994</v>
      </c>
      <c r="K201" s="22">
        <f t="shared" si="1802"/>
        <v>-11.8707975</v>
      </c>
      <c r="L201" s="22">
        <f t="shared" si="1802"/>
        <v>-91.773943299999999</v>
      </c>
      <c r="M201" s="22">
        <f t="shared" si="1802"/>
        <v>-14.565786099999997</v>
      </c>
      <c r="N201" s="22">
        <f t="shared" si="1802"/>
        <v>49.761296799999982</v>
      </c>
      <c r="O201" s="22">
        <f t="shared" si="1802"/>
        <v>-7.6653367999999773</v>
      </c>
      <c r="P201" s="22">
        <f t="shared" si="1802"/>
        <v>-3.3750484000000398</v>
      </c>
      <c r="Q201" s="22">
        <f t="shared" si="1802"/>
        <v>-15.994506699999974</v>
      </c>
      <c r="R201" s="22">
        <f t="shared" si="1802"/>
        <v>-11.968197299999986</v>
      </c>
      <c r="S201" s="22">
        <f t="shared" si="1802"/>
        <v>-6.9089949999999902</v>
      </c>
      <c r="T201" s="22">
        <f t="shared" si="1802"/>
        <v>-38.740769699999987</v>
      </c>
      <c r="U201" s="22">
        <f t="shared" si="1802"/>
        <v>-12.52600000000001</v>
      </c>
      <c r="V201" s="22">
        <f t="shared" si="1802"/>
        <v>-7.2210000000000321</v>
      </c>
      <c r="W201" s="22">
        <f t="shared" si="1802"/>
        <v>-67.451999999999998</v>
      </c>
      <c r="X201" s="22">
        <f t="shared" ref="X201:Y201" si="1803">X202+X203</f>
        <v>-224.07999999999998</v>
      </c>
      <c r="Y201" s="22">
        <f t="shared" si="1803"/>
        <v>-101.72100000000005</v>
      </c>
      <c r="Z201" s="22">
        <f t="shared" ref="Z201:AA201" si="1804">Z202+Z203</f>
        <v>-197.01099999999991</v>
      </c>
      <c r="AA201" s="22">
        <f t="shared" ref="AA201" si="1805">AA202+AA203</f>
        <v>-136.67400000000009</v>
      </c>
      <c r="AB201" s="21">
        <f t="shared" ref="AB201:AD201" si="1806">AB202+AB203</f>
        <v>-69.397000000000006</v>
      </c>
      <c r="AC201" s="21">
        <f t="shared" si="1806"/>
        <v>-139.99999999999994</v>
      </c>
      <c r="AD201" s="21">
        <f t="shared" si="1806"/>
        <v>-140.00000000000006</v>
      </c>
      <c r="AE201" s="21">
        <f t="shared" ref="AE201" si="1807">AE202+AE203</f>
        <v>-139.99999999999994</v>
      </c>
      <c r="AI201" s="22">
        <f t="shared" ref="AI201" si="1808">AI202+AI203</f>
        <v>0</v>
      </c>
      <c r="AJ201" s="22">
        <f t="shared" ref="AJ201:AL201" si="1809">AJ202+AJ203</f>
        <v>0</v>
      </c>
      <c r="AK201" s="22">
        <f t="shared" si="1809"/>
        <v>0</v>
      </c>
      <c r="AL201" s="22">
        <f t="shared" si="1809"/>
        <v>0</v>
      </c>
      <c r="AM201" s="22">
        <f t="shared" ref="AM201" si="1810">AM202+AM203</f>
        <v>0</v>
      </c>
      <c r="AN201" s="22">
        <f t="shared" ref="AN201:CD201" si="1811">AN202+AN203</f>
        <v>0</v>
      </c>
      <c r="AO201" s="22">
        <f t="shared" si="1811"/>
        <v>0</v>
      </c>
      <c r="AP201" s="22">
        <f t="shared" si="1811"/>
        <v>0</v>
      </c>
      <c r="AQ201" s="22">
        <f t="shared" si="1811"/>
        <v>0</v>
      </c>
      <c r="AR201" s="22">
        <f t="shared" si="1811"/>
        <v>0</v>
      </c>
      <c r="AS201" s="22">
        <f t="shared" si="1811"/>
        <v>0</v>
      </c>
      <c r="AT201" s="22">
        <f t="shared" si="1811"/>
        <v>0</v>
      </c>
      <c r="AU201" s="22">
        <f t="shared" si="1811"/>
        <v>0</v>
      </c>
      <c r="AV201" s="22">
        <f t="shared" si="1811"/>
        <v>0</v>
      </c>
      <c r="AW201" s="22">
        <f t="shared" si="1811"/>
        <v>0</v>
      </c>
      <c r="AX201" s="22">
        <f t="shared" si="1811"/>
        <v>0</v>
      </c>
      <c r="AY201" s="22">
        <f t="shared" si="1811"/>
        <v>0</v>
      </c>
      <c r="AZ201" s="22">
        <f t="shared" si="1811"/>
        <v>0</v>
      </c>
      <c r="BA201" s="22">
        <f t="shared" si="1811"/>
        <v>0</v>
      </c>
      <c r="BB201" s="22">
        <f t="shared" si="1811"/>
        <v>0</v>
      </c>
      <c r="BC201" s="22">
        <f t="shared" si="1811"/>
        <v>0</v>
      </c>
      <c r="BD201" s="22">
        <f t="shared" si="1811"/>
        <v>0</v>
      </c>
      <c r="BE201" s="22">
        <f t="shared" si="1811"/>
        <v>0</v>
      </c>
      <c r="BF201" s="22">
        <f t="shared" si="1811"/>
        <v>0</v>
      </c>
      <c r="BG201" s="22">
        <f t="shared" si="1811"/>
        <v>0</v>
      </c>
      <c r="BH201" s="22">
        <f t="shared" si="1811"/>
        <v>0</v>
      </c>
      <c r="BI201" s="22">
        <f t="shared" si="1811"/>
        <v>0</v>
      </c>
      <c r="BJ201" s="22">
        <f t="shared" si="1811"/>
        <v>0</v>
      </c>
      <c r="BK201" s="22">
        <f t="shared" si="1811"/>
        <v>0</v>
      </c>
      <c r="BL201" s="22">
        <f t="shared" si="1811"/>
        <v>-5.6369999999999996</v>
      </c>
      <c r="BM201" s="22">
        <f t="shared" si="1811"/>
        <v>-5.09</v>
      </c>
      <c r="BN201" s="22">
        <f t="shared" si="1811"/>
        <v>-115.77300000000001</v>
      </c>
      <c r="BO201" s="22">
        <f t="shared" si="1811"/>
        <v>-4.9669999999999987</v>
      </c>
      <c r="BP201" s="22">
        <f t="shared" si="1811"/>
        <v>-6.3649999999999922</v>
      </c>
      <c r="BQ201" s="22">
        <f t="shared" si="1811"/>
        <v>-4.7450000000000045</v>
      </c>
      <c r="BR201" s="22">
        <f t="shared" si="1811"/>
        <v>-0.94200000000000461</v>
      </c>
      <c r="BS201" s="22">
        <f t="shared" si="1811"/>
        <v>-4.0619999999999976</v>
      </c>
      <c r="BT201" s="22">
        <f t="shared" si="1811"/>
        <v>-20.112000000000005</v>
      </c>
      <c r="BU201" s="22">
        <f t="shared" si="1811"/>
        <v>-4.8250000000000028</v>
      </c>
      <c r="BV201" s="22">
        <f t="shared" si="1811"/>
        <v>-42.250999999999983</v>
      </c>
      <c r="BW201" s="22">
        <f t="shared" si="1811"/>
        <v>-6.4000000000000057</v>
      </c>
      <c r="BX201" s="22">
        <f t="shared" si="1811"/>
        <v>-59.240000000000009</v>
      </c>
      <c r="BY201" s="22">
        <f t="shared" si="1811"/>
        <v>-8</v>
      </c>
      <c r="BZ201" s="22">
        <f t="shared" si="1811"/>
        <v>-38.869</v>
      </c>
      <c r="CA201" s="22">
        <f t="shared" si="1811"/>
        <v>-8.9329999999999927</v>
      </c>
      <c r="CB201" s="22">
        <f t="shared" si="1811"/>
        <v>-63.039000000000016</v>
      </c>
      <c r="CC201" s="22">
        <f t="shared" si="1811"/>
        <v>-13.091000000000008</v>
      </c>
      <c r="CD201" s="22">
        <f t="shared" si="1811"/>
        <v>-124.32299999999999</v>
      </c>
      <c r="CE201" s="22">
        <f t="shared" ref="CE201:CF201" si="1812">CE202+CE203</f>
        <v>-22.62299999999999</v>
      </c>
      <c r="CF201" s="22">
        <f t="shared" si="1812"/>
        <v>-60.165000000000013</v>
      </c>
      <c r="CG201" s="22">
        <f t="shared" ref="CG201:CH201" si="1813">CG202+CG203</f>
        <v>-26.670999999999992</v>
      </c>
      <c r="CH201" s="22">
        <f t="shared" si="1813"/>
        <v>-93.105999999999909</v>
      </c>
      <c r="CI201" s="22">
        <f t="shared" ref="CI201:CJ201" si="1814">CI202+CI203</f>
        <v>0</v>
      </c>
      <c r="CJ201" s="22">
        <f t="shared" si="1814"/>
        <v>-12.54600000000001</v>
      </c>
      <c r="CK201" s="22">
        <f t="shared" ref="CK201:DB201" si="1815">CK202+CK203</f>
        <v>0</v>
      </c>
      <c r="CL201" s="22">
        <f t="shared" si="1815"/>
        <v>-53.525000000000034</v>
      </c>
      <c r="CM201" s="21">
        <f t="shared" si="1815"/>
        <v>-35.000000000000057</v>
      </c>
      <c r="CN201" s="21">
        <f t="shared" si="1815"/>
        <v>-35</v>
      </c>
      <c r="CO201" s="21">
        <f t="shared" si="1815"/>
        <v>-35</v>
      </c>
      <c r="CP201" s="21">
        <f t="shared" si="1815"/>
        <v>-35</v>
      </c>
      <c r="CQ201" s="21">
        <f t="shared" si="1815"/>
        <v>-35</v>
      </c>
      <c r="CR201" s="21">
        <f t="shared" si="1815"/>
        <v>-35.000000000000057</v>
      </c>
      <c r="CS201" s="21">
        <f t="shared" si="1815"/>
        <v>-34.999999999999943</v>
      </c>
      <c r="CT201" s="21">
        <f t="shared" si="1815"/>
        <v>-35</v>
      </c>
      <c r="CU201" s="21">
        <f t="shared" si="1815"/>
        <v>-35.000000000000057</v>
      </c>
      <c r="CV201" s="21">
        <f t="shared" si="1815"/>
        <v>-34.999999999999943</v>
      </c>
      <c r="CW201" s="21">
        <f t="shared" si="1815"/>
        <v>-35.000000000000057</v>
      </c>
      <c r="CX201" s="21">
        <f t="shared" si="1815"/>
        <v>-35.000000000000057</v>
      </c>
      <c r="CY201" s="21">
        <f t="shared" si="1815"/>
        <v>-35</v>
      </c>
      <c r="CZ201" s="21">
        <f t="shared" si="1815"/>
        <v>-35</v>
      </c>
      <c r="DA201" s="21">
        <f t="shared" si="1815"/>
        <v>-34.999999999999943</v>
      </c>
      <c r="DB201" s="21">
        <f t="shared" si="1815"/>
        <v>-35</v>
      </c>
      <c r="DE201" s="126"/>
      <c r="DF201" s="22">
        <v>-136.67400000000009</v>
      </c>
    </row>
    <row r="202" spans="1:110" s="23" customFormat="1" x14ac:dyDescent="0.2">
      <c r="A202" s="23" t="s">
        <v>93</v>
      </c>
      <c r="C202" s="23">
        <f t="shared" ref="C202:AA202" si="1816">B140-C140</f>
        <v>0</v>
      </c>
      <c r="D202" s="23">
        <f t="shared" si="1816"/>
        <v>0</v>
      </c>
      <c r="E202" s="23">
        <f>D140-E140</f>
        <v>0</v>
      </c>
      <c r="F202" s="23">
        <f t="shared" si="1816"/>
        <v>0</v>
      </c>
      <c r="G202" s="23">
        <f t="shared" si="1816"/>
        <v>0</v>
      </c>
      <c r="H202" s="23">
        <f t="shared" si="1816"/>
        <v>0</v>
      </c>
      <c r="I202" s="23">
        <f t="shared" si="1816"/>
        <v>-124.9636837</v>
      </c>
      <c r="J202" s="23">
        <f>I140-J140</f>
        <v>68.680736899999999</v>
      </c>
      <c r="K202" s="23">
        <f>J140-K140</f>
        <v>-2.25</v>
      </c>
      <c r="L202" s="23">
        <f t="shared" si="1816"/>
        <v>-36.030340299999999</v>
      </c>
      <c r="M202" s="23">
        <f t="shared" si="1816"/>
        <v>-14.537699700000005</v>
      </c>
      <c r="N202" s="23">
        <f t="shared" si="1816"/>
        <v>109.1007764</v>
      </c>
      <c r="O202" s="23">
        <f t="shared" si="1816"/>
        <v>0</v>
      </c>
      <c r="P202" s="23">
        <f t="shared" si="1816"/>
        <v>0</v>
      </c>
      <c r="Q202" s="23">
        <f t="shared" si="1816"/>
        <v>0</v>
      </c>
      <c r="R202" s="23">
        <f t="shared" si="1816"/>
        <v>0</v>
      </c>
      <c r="S202" s="23">
        <f t="shared" si="1816"/>
        <v>0</v>
      </c>
      <c r="T202" s="23">
        <f t="shared" si="1816"/>
        <v>2.1039999999999999E-4</v>
      </c>
      <c r="U202" s="23">
        <f t="shared" si="1816"/>
        <v>0</v>
      </c>
      <c r="V202" s="23">
        <f t="shared" si="1816"/>
        <v>0</v>
      </c>
      <c r="W202" s="23">
        <f t="shared" si="1816"/>
        <v>0</v>
      </c>
      <c r="X202" s="23">
        <f t="shared" si="1816"/>
        <v>-109.474</v>
      </c>
      <c r="Y202" s="23">
        <f t="shared" si="1816"/>
        <v>109.474</v>
      </c>
      <c r="Z202" s="23">
        <f t="shared" si="1816"/>
        <v>0</v>
      </c>
      <c r="AA202" s="23">
        <f t="shared" si="1816"/>
        <v>0</v>
      </c>
      <c r="AB202" s="24">
        <f t="shared" ref="AB202" si="1817">AA140-AB140</f>
        <v>-3.1040000000000001</v>
      </c>
      <c r="AC202" s="24">
        <f t="shared" ref="AC202" si="1818">AB140-AC140</f>
        <v>0</v>
      </c>
      <c r="AD202" s="24">
        <f t="shared" ref="AD202" si="1819">AC140-AD140</f>
        <v>0</v>
      </c>
      <c r="AE202" s="24">
        <f t="shared" ref="AE202" si="1820">AD140-AE140</f>
        <v>0</v>
      </c>
      <c r="AI202" s="23">
        <f t="shared" ref="AI202" si="1821">AH140-AI140</f>
        <v>0</v>
      </c>
      <c r="AJ202" s="23">
        <f t="shared" ref="AJ202" si="1822">AI140-AJ140</f>
        <v>0</v>
      </c>
      <c r="AK202" s="23">
        <f t="shared" ref="AK202" si="1823">AJ140-AK140</f>
        <v>0</v>
      </c>
      <c r="AL202" s="23">
        <f t="shared" ref="AL202" si="1824">AK140-AL140</f>
        <v>0</v>
      </c>
      <c r="AM202" s="23">
        <f t="shared" ref="AM202" si="1825">AL140-AM140</f>
        <v>0</v>
      </c>
      <c r="AN202" s="23">
        <f t="shared" ref="AN202" si="1826">AM140-AN140</f>
        <v>0</v>
      </c>
      <c r="AO202" s="23">
        <f t="shared" ref="AO202" si="1827">AN140-AO140</f>
        <v>0</v>
      </c>
      <c r="AP202" s="23">
        <f t="shared" ref="AP202" si="1828">AO140-AP140</f>
        <v>0</v>
      </c>
      <c r="AQ202" s="23">
        <f t="shared" ref="AQ202" si="1829">AP140-AQ140</f>
        <v>0</v>
      </c>
      <c r="AR202" s="23">
        <f t="shared" ref="AR202" si="1830">AQ140-AR140</f>
        <v>0</v>
      </c>
      <c r="AS202" s="23">
        <f t="shared" ref="AS202" si="1831">AR140-AS140</f>
        <v>0</v>
      </c>
      <c r="AT202" s="23">
        <f t="shared" ref="AT202" si="1832">AS140-AT140</f>
        <v>0</v>
      </c>
      <c r="AU202" s="23">
        <f t="shared" ref="AU202" si="1833">AT140-AU140</f>
        <v>0</v>
      </c>
      <c r="AV202" s="23">
        <f t="shared" ref="AV202" si="1834">AU140-AV140</f>
        <v>0</v>
      </c>
      <c r="AW202" s="23">
        <f t="shared" ref="AW202" si="1835">AV140-AW140</f>
        <v>0</v>
      </c>
      <c r="AX202" s="23">
        <f t="shared" ref="AX202" si="1836">AW140-AX140</f>
        <v>0</v>
      </c>
      <c r="AY202" s="23">
        <f t="shared" ref="AY202" si="1837">AX140-AY140</f>
        <v>0</v>
      </c>
      <c r="AZ202" s="23">
        <f t="shared" ref="AZ202" si="1838">AY140-AZ140</f>
        <v>0</v>
      </c>
      <c r="BA202" s="23">
        <f t="shared" ref="BA202" si="1839">AZ140-BA140</f>
        <v>0</v>
      </c>
      <c r="BB202" s="23">
        <f t="shared" ref="BB202" si="1840">BA140-BB140</f>
        <v>0</v>
      </c>
      <c r="BC202" s="23">
        <f t="shared" ref="BC202" si="1841">BB140-BC140</f>
        <v>0</v>
      </c>
      <c r="BD202" s="23">
        <f t="shared" ref="BD202" si="1842">BC140-BD140</f>
        <v>0</v>
      </c>
      <c r="BE202" s="23">
        <f t="shared" ref="BE202" si="1843">BD140-BE140</f>
        <v>0</v>
      </c>
      <c r="BF202" s="23">
        <f t="shared" ref="BF202" si="1844">BE140-BF140</f>
        <v>0</v>
      </c>
      <c r="BG202" s="23">
        <f t="shared" ref="BG202" si="1845">BF140-BG140</f>
        <v>0</v>
      </c>
      <c r="BH202" s="23">
        <f t="shared" ref="BH202" si="1846">BG140-BH140</f>
        <v>0</v>
      </c>
      <c r="BI202" s="23">
        <f t="shared" ref="BI202" si="1847">BH140-BI140</f>
        <v>0</v>
      </c>
      <c r="BJ202" s="23">
        <f t="shared" ref="BJ202" si="1848">BI140-BJ140</f>
        <v>0</v>
      </c>
      <c r="BK202" s="23">
        <f t="shared" ref="BK202" si="1849">BJ140-BK140</f>
        <v>0</v>
      </c>
      <c r="BL202" s="23">
        <f t="shared" ref="BL202" si="1850">BK140-BL140</f>
        <v>0</v>
      </c>
      <c r="BM202" s="23">
        <f t="shared" ref="BM202" si="1851">BL140-BM140</f>
        <v>0</v>
      </c>
      <c r="BN202" s="23">
        <f t="shared" ref="BN202" si="1852">BM140-BN140</f>
        <v>-0.128</v>
      </c>
      <c r="BO202" s="23">
        <f t="shared" ref="BO202" si="1853">BN140-BO140</f>
        <v>0</v>
      </c>
      <c r="BP202" s="23">
        <f t="shared" ref="BP202" si="1854">BO140-BP140</f>
        <v>-3.1879999999999997</v>
      </c>
      <c r="BQ202" s="23">
        <f t="shared" ref="BQ202" si="1855">BP140-BQ140</f>
        <v>0</v>
      </c>
      <c r="BR202" s="23">
        <f t="shared" ref="BR202" si="1856">BQ140-BR140</f>
        <v>-7.8000000000000291E-2</v>
      </c>
      <c r="BS202" s="23">
        <f t="shared" ref="BS202" si="1857">BR140-BS140</f>
        <v>0</v>
      </c>
      <c r="BT202" s="23">
        <f t="shared" ref="BT202" si="1858">BS140-BT140</f>
        <v>2.8999999999999915E-2</v>
      </c>
      <c r="BU202" s="23">
        <f t="shared" ref="BU202" si="1859">BT140-BU140</f>
        <v>0</v>
      </c>
      <c r="BV202" s="23">
        <f t="shared" ref="BV202" si="1860">BU140-BV140</f>
        <v>2.9000000000000359E-2</v>
      </c>
      <c r="BW202" s="23">
        <f t="shared" ref="BW202" si="1861">BV140-BW140</f>
        <v>0</v>
      </c>
      <c r="BX202" s="23">
        <f t="shared" ref="BX202" si="1862">BW140-BX140</f>
        <v>2.8999999999999915E-2</v>
      </c>
      <c r="BY202" s="23">
        <f t="shared" ref="BY202" si="1863">BX140-BY140</f>
        <v>0</v>
      </c>
      <c r="BZ202" s="23">
        <f t="shared" ref="BZ202" si="1864">BY140-BZ140</f>
        <v>2.8999999999999915E-2</v>
      </c>
      <c r="CA202" s="23">
        <f t="shared" ref="CA202" si="1865">BZ140-CA140</f>
        <v>0</v>
      </c>
      <c r="CB202" s="23">
        <f t="shared" ref="CB202" si="1866">CA140-CB140</f>
        <v>7.7999999999999847E-2</v>
      </c>
      <c r="CC202" s="23">
        <f t="shared" ref="CC202" si="1867">CB140-CC140</f>
        <v>0</v>
      </c>
      <c r="CD202" s="23">
        <f t="shared" ref="CD202" si="1868">CC140-CD140</f>
        <v>-2.0000000000000018E-2</v>
      </c>
      <c r="CE202" s="23">
        <f t="shared" ref="CE202" si="1869">CD140-CE140</f>
        <v>0</v>
      </c>
      <c r="CF202" s="23">
        <f t="shared" ref="CF202" si="1870">CE140-CF140</f>
        <v>2.9000000000000359E-2</v>
      </c>
      <c r="CG202" s="23">
        <f t="shared" ref="CG202" si="1871">CF140-CG140</f>
        <v>0</v>
      </c>
      <c r="CH202" s="23">
        <f t="shared" ref="CH202:CL202" si="1872">CG140-CH140</f>
        <v>3.1909999999999998</v>
      </c>
      <c r="CI202" s="23">
        <f t="shared" si="1872"/>
        <v>0</v>
      </c>
      <c r="CJ202" s="23">
        <f t="shared" si="1872"/>
        <v>-3.133</v>
      </c>
      <c r="CK202" s="23">
        <f t="shared" ref="CK202" si="1873">CJ140-CK140</f>
        <v>0</v>
      </c>
      <c r="CL202" s="23">
        <f t="shared" si="1872"/>
        <v>2.8999999999999915E-2</v>
      </c>
      <c r="CM202" s="24">
        <f t="shared" ref="CM202" si="1874">CL140-CM140</f>
        <v>0</v>
      </c>
      <c r="CN202" s="24">
        <f t="shared" ref="CN202" si="1875">CM140-CN140</f>
        <v>0</v>
      </c>
      <c r="CO202" s="24">
        <f t="shared" ref="CO202" si="1876">CN140-CO140</f>
        <v>0</v>
      </c>
      <c r="CP202" s="24">
        <f t="shared" ref="CP202" si="1877">CO140-CP140</f>
        <v>0</v>
      </c>
      <c r="CQ202" s="24">
        <f t="shared" ref="CQ202" si="1878">CP140-CQ140</f>
        <v>0</v>
      </c>
      <c r="CR202" s="24">
        <f t="shared" ref="CR202" si="1879">CQ140-CR140</f>
        <v>0</v>
      </c>
      <c r="CS202" s="24">
        <f t="shared" ref="CS202" si="1880">CR140-CS140</f>
        <v>0</v>
      </c>
      <c r="CT202" s="24">
        <f t="shared" ref="CT202" si="1881">CS140-CT140</f>
        <v>0</v>
      </c>
      <c r="CU202" s="24">
        <f t="shared" ref="CU202" si="1882">CT140-CU140</f>
        <v>0</v>
      </c>
      <c r="CV202" s="24">
        <f t="shared" ref="CV202" si="1883">CU140-CV140</f>
        <v>0</v>
      </c>
      <c r="CW202" s="24">
        <f t="shared" ref="CW202" si="1884">CV140-CW140</f>
        <v>0</v>
      </c>
      <c r="CX202" s="24">
        <f t="shared" ref="CX202" si="1885">CW140-CX140</f>
        <v>0</v>
      </c>
      <c r="CY202" s="24">
        <f t="shared" ref="CY202" si="1886">CX140-CY140</f>
        <v>0</v>
      </c>
      <c r="CZ202" s="24">
        <f t="shared" ref="CZ202" si="1887">CY140-CZ140</f>
        <v>0</v>
      </c>
      <c r="DA202" s="24">
        <f t="shared" ref="DA202" si="1888">CZ140-DA140</f>
        <v>0</v>
      </c>
      <c r="DB202" s="24">
        <f t="shared" ref="DB202" si="1889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90">B138-C32-C138</f>
        <v>0</v>
      </c>
      <c r="D203" s="23">
        <f t="shared" si="1890"/>
        <v>0</v>
      </c>
      <c r="E203" s="23">
        <f t="shared" si="1890"/>
        <v>0</v>
      </c>
      <c r="F203" s="23">
        <f t="shared" si="1890"/>
        <v>0</v>
      </c>
      <c r="G203" s="23">
        <f t="shared" si="1890"/>
        <v>0</v>
      </c>
      <c r="H203" s="23">
        <f t="shared" si="1890"/>
        <v>0</v>
      </c>
      <c r="I203" s="23">
        <f t="shared" si="1890"/>
        <v>-9.7065684999999995</v>
      </c>
      <c r="J203" s="23">
        <f t="shared" si="1890"/>
        <v>-4.2545941000000012</v>
      </c>
      <c r="K203" s="23">
        <f t="shared" si="1890"/>
        <v>-9.6207975000000001</v>
      </c>
      <c r="L203" s="23">
        <f t="shared" si="1890"/>
        <v>-55.743603</v>
      </c>
      <c r="M203" s="23">
        <f t="shared" si="1890"/>
        <v>-2.8086399999992295E-2</v>
      </c>
      <c r="N203" s="23">
        <f t="shared" si="1890"/>
        <v>-59.339479600000018</v>
      </c>
      <c r="O203" s="23">
        <f t="shared" si="1890"/>
        <v>-7.6653367999999773</v>
      </c>
      <c r="P203" s="23">
        <f t="shared" si="1890"/>
        <v>-3.3750484000000398</v>
      </c>
      <c r="Q203" s="23">
        <f t="shared" si="1890"/>
        <v>-15.994506699999974</v>
      </c>
      <c r="R203" s="23">
        <f t="shared" si="1890"/>
        <v>-11.968197299999986</v>
      </c>
      <c r="S203" s="23">
        <f t="shared" si="1890"/>
        <v>-6.9089949999999902</v>
      </c>
      <c r="T203" s="23">
        <f t="shared" si="1890"/>
        <v>-38.740980099999987</v>
      </c>
      <c r="U203" s="23">
        <f t="shared" si="1890"/>
        <v>-12.52600000000001</v>
      </c>
      <c r="V203" s="23">
        <f t="shared" si="1890"/>
        <v>-7.2210000000000321</v>
      </c>
      <c r="W203" s="23">
        <f t="shared" si="1890"/>
        <v>-67.451999999999998</v>
      </c>
      <c r="X203" s="23">
        <f t="shared" si="1890"/>
        <v>-114.60599999999999</v>
      </c>
      <c r="Y203" s="23">
        <f t="shared" si="1890"/>
        <v>-211.19500000000005</v>
      </c>
      <c r="Z203" s="23">
        <f t="shared" si="1890"/>
        <v>-197.01099999999991</v>
      </c>
      <c r="AA203" s="23">
        <f t="shared" si="1890"/>
        <v>-136.67400000000009</v>
      </c>
      <c r="AB203" s="24">
        <f t="shared" si="1890"/>
        <v>-66.293000000000006</v>
      </c>
      <c r="AC203" s="24">
        <f t="shared" si="1890"/>
        <v>-139.99999999999994</v>
      </c>
      <c r="AD203" s="24">
        <f t="shared" si="1890"/>
        <v>-140.00000000000006</v>
      </c>
      <c r="AE203" s="24">
        <f t="shared" si="1890"/>
        <v>-139.99999999999994</v>
      </c>
      <c r="AI203" s="23">
        <f t="shared" ref="AI203:BN203" si="1891">AH138-AI32-AI138</f>
        <v>0</v>
      </c>
      <c r="AJ203" s="23">
        <f t="shared" si="1891"/>
        <v>0</v>
      </c>
      <c r="AK203" s="23">
        <f t="shared" si="1891"/>
        <v>0</v>
      </c>
      <c r="AL203" s="23">
        <f t="shared" si="1891"/>
        <v>0</v>
      </c>
      <c r="AM203" s="23">
        <f t="shared" si="1891"/>
        <v>0</v>
      </c>
      <c r="AN203" s="23">
        <f t="shared" si="1891"/>
        <v>0</v>
      </c>
      <c r="AO203" s="23">
        <f t="shared" si="1891"/>
        <v>0</v>
      </c>
      <c r="AP203" s="23">
        <f t="shared" si="1891"/>
        <v>0</v>
      </c>
      <c r="AQ203" s="23">
        <f t="shared" si="1891"/>
        <v>0</v>
      </c>
      <c r="AR203" s="23">
        <f t="shared" si="1891"/>
        <v>0</v>
      </c>
      <c r="AS203" s="23">
        <f t="shared" si="1891"/>
        <v>0</v>
      </c>
      <c r="AT203" s="23">
        <f t="shared" si="1891"/>
        <v>0</v>
      </c>
      <c r="AU203" s="23">
        <f t="shared" si="1891"/>
        <v>0</v>
      </c>
      <c r="AV203" s="23">
        <f t="shared" si="1891"/>
        <v>0</v>
      </c>
      <c r="AW203" s="23">
        <f t="shared" si="1891"/>
        <v>0</v>
      </c>
      <c r="AX203" s="23">
        <f t="shared" si="1891"/>
        <v>0</v>
      </c>
      <c r="AY203" s="23">
        <f t="shared" si="1891"/>
        <v>0</v>
      </c>
      <c r="AZ203" s="23">
        <f t="shared" si="1891"/>
        <v>0</v>
      </c>
      <c r="BA203" s="23">
        <f t="shared" si="1891"/>
        <v>0</v>
      </c>
      <c r="BB203" s="23">
        <f t="shared" si="1891"/>
        <v>0</v>
      </c>
      <c r="BC203" s="23">
        <f t="shared" si="1891"/>
        <v>0</v>
      </c>
      <c r="BD203" s="23">
        <f t="shared" si="1891"/>
        <v>0</v>
      </c>
      <c r="BE203" s="23">
        <f t="shared" si="1891"/>
        <v>0</v>
      </c>
      <c r="BF203" s="23">
        <f t="shared" si="1891"/>
        <v>0</v>
      </c>
      <c r="BG203" s="23">
        <f t="shared" si="1891"/>
        <v>0</v>
      </c>
      <c r="BH203" s="23">
        <f t="shared" si="1891"/>
        <v>0</v>
      </c>
      <c r="BI203" s="23">
        <f t="shared" si="1891"/>
        <v>0</v>
      </c>
      <c r="BJ203" s="23">
        <f t="shared" si="1891"/>
        <v>0</v>
      </c>
      <c r="BK203" s="23">
        <f t="shared" si="1891"/>
        <v>0</v>
      </c>
      <c r="BL203" s="23">
        <f t="shared" si="1891"/>
        <v>-5.6369999999999996</v>
      </c>
      <c r="BM203" s="23">
        <f t="shared" si="1891"/>
        <v>-5.09</v>
      </c>
      <c r="BN203" s="23">
        <f t="shared" si="1891"/>
        <v>-115.64500000000001</v>
      </c>
      <c r="BO203" s="23">
        <f t="shared" ref="BO203:CT203" si="1892">BN138-BO32-BO138</f>
        <v>-4.9669999999999987</v>
      </c>
      <c r="BP203" s="23">
        <f t="shared" si="1892"/>
        <v>-3.1769999999999925</v>
      </c>
      <c r="BQ203" s="23">
        <f t="shared" si="1892"/>
        <v>-4.7450000000000045</v>
      </c>
      <c r="BR203" s="23">
        <f t="shared" si="1892"/>
        <v>-0.86400000000000432</v>
      </c>
      <c r="BS203" s="23">
        <f t="shared" si="1892"/>
        <v>-4.0619999999999976</v>
      </c>
      <c r="BT203" s="23">
        <f t="shared" si="1892"/>
        <v>-20.141000000000005</v>
      </c>
      <c r="BU203" s="23">
        <f t="shared" si="1892"/>
        <v>-4.8250000000000028</v>
      </c>
      <c r="BV203" s="23">
        <f t="shared" si="1892"/>
        <v>-42.279999999999987</v>
      </c>
      <c r="BW203" s="23">
        <f t="shared" si="1892"/>
        <v>-6.4000000000000057</v>
      </c>
      <c r="BX203" s="23">
        <f t="shared" si="1892"/>
        <v>-59.269000000000005</v>
      </c>
      <c r="BY203" s="23">
        <f t="shared" si="1892"/>
        <v>-8</v>
      </c>
      <c r="BZ203" s="23">
        <f t="shared" si="1892"/>
        <v>-38.897999999999996</v>
      </c>
      <c r="CA203" s="23">
        <f t="shared" si="1892"/>
        <v>-8.9329999999999927</v>
      </c>
      <c r="CB203" s="23">
        <f t="shared" si="1892"/>
        <v>-63.117000000000019</v>
      </c>
      <c r="CC203" s="23">
        <f t="shared" si="1892"/>
        <v>-13.091000000000008</v>
      </c>
      <c r="CD203" s="23">
        <f t="shared" si="1892"/>
        <v>-124.303</v>
      </c>
      <c r="CE203" s="23">
        <f t="shared" si="1892"/>
        <v>-22.62299999999999</v>
      </c>
      <c r="CF203" s="23">
        <f t="shared" si="1892"/>
        <v>-60.194000000000017</v>
      </c>
      <c r="CG203" s="23">
        <f t="shared" si="1892"/>
        <v>-26.670999999999992</v>
      </c>
      <c r="CH203" s="23">
        <f t="shared" si="1892"/>
        <v>-96.296999999999912</v>
      </c>
      <c r="CI203" s="23">
        <f t="shared" si="1892"/>
        <v>0</v>
      </c>
      <c r="CJ203" s="23">
        <f t="shared" si="1892"/>
        <v>-9.4130000000000109</v>
      </c>
      <c r="CK203" s="23">
        <f t="shared" si="1892"/>
        <v>0</v>
      </c>
      <c r="CL203" s="23">
        <f t="shared" si="1892"/>
        <v>-53.55400000000003</v>
      </c>
      <c r="CM203" s="24">
        <f t="shared" si="1892"/>
        <v>-35.000000000000057</v>
      </c>
      <c r="CN203" s="24">
        <f t="shared" si="1892"/>
        <v>-35</v>
      </c>
      <c r="CO203" s="24">
        <f t="shared" si="1892"/>
        <v>-35</v>
      </c>
      <c r="CP203" s="24">
        <f t="shared" si="1892"/>
        <v>-35</v>
      </c>
      <c r="CQ203" s="24">
        <f t="shared" si="1892"/>
        <v>-35</v>
      </c>
      <c r="CR203" s="24">
        <f t="shared" si="1892"/>
        <v>-35.000000000000057</v>
      </c>
      <c r="CS203" s="24">
        <f t="shared" si="1892"/>
        <v>-34.999999999999943</v>
      </c>
      <c r="CT203" s="24">
        <f t="shared" si="1892"/>
        <v>-35</v>
      </c>
      <c r="CU203" s="24">
        <f t="shared" ref="CU203:DB203" si="1893">CT138-CU32-CU138</f>
        <v>-35.000000000000057</v>
      </c>
      <c r="CV203" s="24">
        <f t="shared" si="1893"/>
        <v>-34.999999999999943</v>
      </c>
      <c r="CW203" s="24">
        <f t="shared" si="1893"/>
        <v>-35.000000000000057</v>
      </c>
      <c r="CX203" s="24">
        <f t="shared" si="1893"/>
        <v>-35.000000000000057</v>
      </c>
      <c r="CY203" s="24">
        <f t="shared" si="1893"/>
        <v>-35</v>
      </c>
      <c r="CZ203" s="24">
        <f t="shared" si="1893"/>
        <v>-35</v>
      </c>
      <c r="DA203" s="24">
        <f t="shared" si="1893"/>
        <v>-34.999999999999943</v>
      </c>
      <c r="DB203" s="24">
        <f t="shared" si="1893"/>
        <v>-35</v>
      </c>
      <c r="DE203" s="123"/>
      <c r="DF203" s="23">
        <v>-136.67400000000009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94">C206+C207</f>
        <v>0</v>
      </c>
      <c r="D205" s="22">
        <f t="shared" si="1894"/>
        <v>0</v>
      </c>
      <c r="E205" s="22">
        <f t="shared" si="1894"/>
        <v>0</v>
      </c>
      <c r="F205" s="22">
        <f t="shared" si="1894"/>
        <v>0</v>
      </c>
      <c r="G205" s="22">
        <f t="shared" si="1894"/>
        <v>0</v>
      </c>
      <c r="H205" s="22">
        <f t="shared" si="1894"/>
        <v>0</v>
      </c>
      <c r="I205" s="22">
        <f t="shared" si="1894"/>
        <v>176.83596460000001</v>
      </c>
      <c r="J205" s="22">
        <f t="shared" si="1894"/>
        <v>-4.9606500000000005E-2</v>
      </c>
      <c r="K205" s="22">
        <f t="shared" si="1894"/>
        <v>69.836430500000006</v>
      </c>
      <c r="L205" s="22">
        <f t="shared" si="1894"/>
        <v>-9.859986699999979</v>
      </c>
      <c r="M205" s="22">
        <f t="shared" si="1894"/>
        <v>-37.959344700000003</v>
      </c>
      <c r="N205" s="22">
        <f t="shared" si="1894"/>
        <v>190.48490819999998</v>
      </c>
      <c r="O205" s="22">
        <f t="shared" si="1894"/>
        <v>118.31559040000002</v>
      </c>
      <c r="P205" s="22">
        <f t="shared" si="1894"/>
        <v>-46.251149600000076</v>
      </c>
      <c r="Q205" s="22">
        <f t="shared" si="1894"/>
        <v>72.999290299999984</v>
      </c>
      <c r="R205" s="22">
        <f t="shared" si="1894"/>
        <v>402.55472909999992</v>
      </c>
      <c r="S205" s="22">
        <f t="shared" si="1894"/>
        <v>330.62527870000014</v>
      </c>
      <c r="T205" s="22">
        <f t="shared" si="1894"/>
        <v>-276.25335880000011</v>
      </c>
      <c r="U205" s="22">
        <f t="shared" si="1894"/>
        <v>-403.3010000000001</v>
      </c>
      <c r="V205" s="22">
        <f t="shared" si="1894"/>
        <v>923.31200000000024</v>
      </c>
      <c r="W205" s="22">
        <f t="shared" si="1894"/>
        <v>-85.162000000000376</v>
      </c>
      <c r="X205" s="22">
        <f t="shared" ref="X205:Y205" si="1895">X206+X207</f>
        <v>-787.21900000000016</v>
      </c>
      <c r="Y205" s="22">
        <f t="shared" si="1895"/>
        <v>1501.78</v>
      </c>
      <c r="Z205" s="22">
        <f t="shared" ref="Z205:AA205" si="1896">Z206+Z207</f>
        <v>2271.838999999999</v>
      </c>
      <c r="AA205" s="22">
        <f t="shared" ref="AA205" si="1897">AA206+AA207</f>
        <v>4093.6640000000011</v>
      </c>
      <c r="AB205" s="21">
        <f t="shared" ref="AB205:AD205" si="1898">AB206+AB207</f>
        <v>-2949.6510000000007</v>
      </c>
      <c r="AC205" s="21">
        <f t="shared" si="1898"/>
        <v>0</v>
      </c>
      <c r="AD205" s="21">
        <f t="shared" si="1898"/>
        <v>1.8189894035458565E-12</v>
      </c>
      <c r="AE205" s="21">
        <f t="shared" ref="AE205" si="1899">AE206+AE207</f>
        <v>0</v>
      </c>
      <c r="AI205" s="22">
        <f t="shared" ref="AI205" si="1900">AI206+AI207</f>
        <v>0</v>
      </c>
      <c r="AJ205" s="22">
        <f t="shared" ref="AJ205:AL205" si="1901">AJ206+AJ207</f>
        <v>0</v>
      </c>
      <c r="AK205" s="22">
        <f t="shared" si="1901"/>
        <v>0</v>
      </c>
      <c r="AL205" s="22">
        <f t="shared" si="1901"/>
        <v>0</v>
      </c>
      <c r="AM205" s="22">
        <f t="shared" ref="AM205" si="1902">AM206+AM207</f>
        <v>0</v>
      </c>
      <c r="AN205" s="22">
        <f t="shared" ref="AN205:CD205" si="1903">AN206+AN207</f>
        <v>0</v>
      </c>
      <c r="AO205" s="22">
        <f t="shared" si="1903"/>
        <v>0</v>
      </c>
      <c r="AP205" s="22">
        <f t="shared" si="1903"/>
        <v>0</v>
      </c>
      <c r="AQ205" s="22">
        <f t="shared" si="1903"/>
        <v>0</v>
      </c>
      <c r="AR205" s="22">
        <f t="shared" si="1903"/>
        <v>0</v>
      </c>
      <c r="AS205" s="22">
        <f t="shared" si="1903"/>
        <v>0</v>
      </c>
      <c r="AT205" s="22">
        <f t="shared" si="1903"/>
        <v>0</v>
      </c>
      <c r="AU205" s="22">
        <f t="shared" si="1903"/>
        <v>0</v>
      </c>
      <c r="AV205" s="22">
        <f t="shared" si="1903"/>
        <v>0</v>
      </c>
      <c r="AW205" s="22">
        <f t="shared" si="1903"/>
        <v>0</v>
      </c>
      <c r="AX205" s="22">
        <f t="shared" si="1903"/>
        <v>0</v>
      </c>
      <c r="AY205" s="22">
        <f t="shared" si="1903"/>
        <v>0</v>
      </c>
      <c r="AZ205" s="22">
        <f t="shared" si="1903"/>
        <v>0</v>
      </c>
      <c r="BA205" s="22">
        <f t="shared" si="1903"/>
        <v>0</v>
      </c>
      <c r="BB205" s="22">
        <f t="shared" si="1903"/>
        <v>0</v>
      </c>
      <c r="BC205" s="22">
        <f t="shared" si="1903"/>
        <v>0</v>
      </c>
      <c r="BD205" s="22">
        <f t="shared" si="1903"/>
        <v>0</v>
      </c>
      <c r="BE205" s="22">
        <f t="shared" si="1903"/>
        <v>0</v>
      </c>
      <c r="BF205" s="22">
        <f t="shared" si="1903"/>
        <v>0</v>
      </c>
      <c r="BG205" s="22">
        <f t="shared" si="1903"/>
        <v>0</v>
      </c>
      <c r="BH205" s="22">
        <f t="shared" si="1903"/>
        <v>0</v>
      </c>
      <c r="BI205" s="22">
        <f t="shared" si="1903"/>
        <v>0</v>
      </c>
      <c r="BJ205" s="22">
        <f t="shared" si="1903"/>
        <v>0</v>
      </c>
      <c r="BK205" s="22">
        <f t="shared" si="1903"/>
        <v>0</v>
      </c>
      <c r="BL205" s="22">
        <f t="shared" si="1903"/>
        <v>-19.182000000000016</v>
      </c>
      <c r="BM205" s="22">
        <f t="shared" si="1903"/>
        <v>0</v>
      </c>
      <c r="BN205" s="22">
        <f t="shared" si="1903"/>
        <v>1024.3989999999999</v>
      </c>
      <c r="BO205" s="22">
        <f t="shared" si="1903"/>
        <v>-1.1368683772161603E-13</v>
      </c>
      <c r="BP205" s="22">
        <f t="shared" si="1903"/>
        <v>376.03200000000004</v>
      </c>
      <c r="BQ205" s="22">
        <f t="shared" si="1903"/>
        <v>0</v>
      </c>
      <c r="BR205" s="22">
        <f t="shared" si="1903"/>
        <v>547.28000000000009</v>
      </c>
      <c r="BS205" s="22">
        <f t="shared" si="1903"/>
        <v>0</v>
      </c>
      <c r="BT205" s="22">
        <f t="shared" si="1903"/>
        <v>-96.542000000000144</v>
      </c>
      <c r="BU205" s="22">
        <f t="shared" si="1903"/>
        <v>0</v>
      </c>
      <c r="BV205" s="22">
        <f t="shared" si="1903"/>
        <v>-13.187000000000126</v>
      </c>
      <c r="BW205" s="22">
        <f t="shared" si="1903"/>
        <v>0</v>
      </c>
      <c r="BX205" s="22">
        <f t="shared" si="1903"/>
        <v>1641.9910000000002</v>
      </c>
      <c r="BY205" s="22">
        <f t="shared" si="1903"/>
        <v>-2.2737367544323206E-13</v>
      </c>
      <c r="BZ205" s="22">
        <f t="shared" si="1903"/>
        <v>-2431.7629999999999</v>
      </c>
      <c r="CA205" s="22">
        <f t="shared" si="1903"/>
        <v>0</v>
      </c>
      <c r="CB205" s="22">
        <f t="shared" si="1903"/>
        <v>665.06200000000013</v>
      </c>
      <c r="CC205" s="22">
        <f t="shared" si="1903"/>
        <v>0</v>
      </c>
      <c r="CD205" s="22">
        <f t="shared" si="1903"/>
        <v>732.63399999999956</v>
      </c>
      <c r="CE205" s="22">
        <f t="shared" ref="CE205:CF205" si="1904">CE206+CE207</f>
        <v>0</v>
      </c>
      <c r="CF205" s="22">
        <f t="shared" si="1904"/>
        <v>1008.4420000000011</v>
      </c>
      <c r="CG205" s="22">
        <f t="shared" ref="CG205:CH205" si="1905">CG206+CG207</f>
        <v>0</v>
      </c>
      <c r="CH205" s="22">
        <f t="shared" si="1905"/>
        <v>1394.6629999999986</v>
      </c>
      <c r="CI205" s="22">
        <f t="shared" ref="CI205:CJ205" si="1906">CI206+CI207</f>
        <v>0</v>
      </c>
      <c r="CJ205" s="22">
        <f t="shared" si="1906"/>
        <v>-1827.3729999999987</v>
      </c>
      <c r="CK205" s="22">
        <f t="shared" ref="CK205:DB205" si="1907">CK206+CK207</f>
        <v>0</v>
      </c>
      <c r="CL205" s="22">
        <f t="shared" si="1907"/>
        <v>2971.3860000000004</v>
      </c>
      <c r="CM205" s="21">
        <f t="shared" si="1907"/>
        <v>0</v>
      </c>
      <c r="CN205" s="21">
        <f t="shared" si="1907"/>
        <v>0</v>
      </c>
      <c r="CO205" s="21">
        <f t="shared" si="1907"/>
        <v>0</v>
      </c>
      <c r="CP205" s="21">
        <f t="shared" si="1907"/>
        <v>0</v>
      </c>
      <c r="CQ205" s="21">
        <f t="shared" si="1907"/>
        <v>0</v>
      </c>
      <c r="CR205" s="21">
        <f t="shared" si="1907"/>
        <v>0</v>
      </c>
      <c r="CS205" s="21">
        <f t="shared" si="1907"/>
        <v>-9.0949470177292824E-13</v>
      </c>
      <c r="CT205" s="21">
        <f t="shared" si="1907"/>
        <v>0</v>
      </c>
      <c r="CU205" s="21">
        <f t="shared" si="1907"/>
        <v>0</v>
      </c>
      <c r="CV205" s="21">
        <f t="shared" si="1907"/>
        <v>0</v>
      </c>
      <c r="CW205" s="21">
        <f t="shared" si="1907"/>
        <v>0</v>
      </c>
      <c r="CX205" s="21">
        <f t="shared" si="1907"/>
        <v>0</v>
      </c>
      <c r="CY205" s="21">
        <f t="shared" si="1907"/>
        <v>0</v>
      </c>
      <c r="CZ205" s="21">
        <f t="shared" si="1907"/>
        <v>0</v>
      </c>
      <c r="DA205" s="21">
        <f t="shared" si="1907"/>
        <v>0</v>
      </c>
      <c r="DB205" s="21">
        <f t="shared" si="1907"/>
        <v>0</v>
      </c>
      <c r="DE205" s="126"/>
      <c r="DF205" s="22">
        <v>4093.6640000000011</v>
      </c>
    </row>
    <row r="206" spans="1:110" s="23" customFormat="1" x14ac:dyDescent="0.2">
      <c r="A206" s="23" t="s">
        <v>49</v>
      </c>
      <c r="C206" s="23">
        <f t="shared" ref="C206:AA206" si="1908">C128-B128</f>
        <v>0</v>
      </c>
      <c r="D206" s="23">
        <f t="shared" si="1908"/>
        <v>0</v>
      </c>
      <c r="E206" s="23">
        <f>E128-D128</f>
        <v>0</v>
      </c>
      <c r="F206" s="23">
        <f t="shared" si="1908"/>
        <v>0</v>
      </c>
      <c r="G206" s="23">
        <f t="shared" si="1908"/>
        <v>0</v>
      </c>
      <c r="H206" s="23">
        <f t="shared" si="1908"/>
        <v>0</v>
      </c>
      <c r="I206" s="23">
        <f t="shared" si="1908"/>
        <v>6.5934400000000004E-2</v>
      </c>
      <c r="J206" s="23">
        <f>J128-I128</f>
        <v>-4.9606500000000005E-2</v>
      </c>
      <c r="K206" s="23">
        <f>K128-J128</f>
        <v>69.836430500000006</v>
      </c>
      <c r="L206" s="23">
        <f t="shared" si="1908"/>
        <v>-6.7236144999999965</v>
      </c>
      <c r="M206" s="23">
        <f t="shared" si="1908"/>
        <v>-32.789317600000004</v>
      </c>
      <c r="N206" s="23">
        <f t="shared" si="1908"/>
        <v>154.567936</v>
      </c>
      <c r="O206" s="23">
        <f t="shared" si="1908"/>
        <v>126.00105380000002</v>
      </c>
      <c r="P206" s="23">
        <f t="shared" si="1908"/>
        <v>-34.581408100000033</v>
      </c>
      <c r="Q206" s="23">
        <f t="shared" si="1908"/>
        <v>82.172654200000011</v>
      </c>
      <c r="R206" s="23">
        <f t="shared" si="1908"/>
        <v>413.43748369999992</v>
      </c>
      <c r="S206" s="23">
        <f t="shared" si="1908"/>
        <v>353.04569310000022</v>
      </c>
      <c r="T206" s="23">
        <f t="shared" si="1908"/>
        <v>-253.16523900000016</v>
      </c>
      <c r="U206" s="23">
        <f t="shared" si="1908"/>
        <v>-380.93900000000002</v>
      </c>
      <c r="V206" s="23">
        <f t="shared" si="1908"/>
        <v>680.59000000000015</v>
      </c>
      <c r="W206" s="23">
        <f t="shared" si="1908"/>
        <v>86.26299999999992</v>
      </c>
      <c r="X206" s="23">
        <f t="shared" si="1908"/>
        <v>-474.44600000000003</v>
      </c>
      <c r="Y206" s="23">
        <f t="shared" si="1908"/>
        <v>1750.2629999999999</v>
      </c>
      <c r="Z206" s="23">
        <f t="shared" si="1908"/>
        <v>843.42099999999982</v>
      </c>
      <c r="AA206" s="23">
        <f t="shared" si="1908"/>
        <v>4498.9349999999995</v>
      </c>
      <c r="AB206" s="24">
        <f t="shared" ref="AB206" si="1909">AB128-AA128</f>
        <v>-2949.6509999999998</v>
      </c>
      <c r="AC206" s="24">
        <f t="shared" ref="AC206" si="1910">AC128-AB128</f>
        <v>0</v>
      </c>
      <c r="AD206" s="24">
        <f t="shared" ref="AD206" si="1911">AD128-AC128</f>
        <v>0</v>
      </c>
      <c r="AE206" s="24">
        <f t="shared" ref="AE206" si="1912">AE128-AD128</f>
        <v>0</v>
      </c>
      <c r="AI206" s="23">
        <f t="shared" ref="AI206" si="1913">AI128-AH128</f>
        <v>0</v>
      </c>
      <c r="AJ206" s="23">
        <f t="shared" ref="AJ206" si="1914">AJ128-AI128</f>
        <v>0</v>
      </c>
      <c r="AK206" s="23">
        <f t="shared" ref="AK206" si="1915">AK128-AJ128</f>
        <v>0</v>
      </c>
      <c r="AL206" s="23">
        <f t="shared" ref="AL206" si="1916">AL128-AK128</f>
        <v>0</v>
      </c>
      <c r="AM206" s="23">
        <f t="shared" ref="AM206" si="1917">AM128-AL128</f>
        <v>0</v>
      </c>
      <c r="AN206" s="23">
        <f t="shared" ref="AN206" si="1918">AN128-AM128</f>
        <v>0</v>
      </c>
      <c r="AO206" s="23">
        <f t="shared" ref="AO206" si="1919">AO128-AN128</f>
        <v>0</v>
      </c>
      <c r="AP206" s="23">
        <f t="shared" ref="AP206" si="1920">AP128-AO128</f>
        <v>0</v>
      </c>
      <c r="AQ206" s="23">
        <f t="shared" ref="AQ206" si="1921">AQ128-AP128</f>
        <v>0</v>
      </c>
      <c r="AR206" s="23">
        <f t="shared" ref="AR206" si="1922">AR128-AQ128</f>
        <v>0</v>
      </c>
      <c r="AS206" s="23">
        <f t="shared" ref="AS206" si="1923">AS128-AR128</f>
        <v>0</v>
      </c>
      <c r="AT206" s="23">
        <f t="shared" ref="AT206" si="1924">AT128-AS128</f>
        <v>0</v>
      </c>
      <c r="AU206" s="23">
        <f t="shared" ref="AU206" si="1925">AU128-AT128</f>
        <v>0</v>
      </c>
      <c r="AV206" s="23">
        <f t="shared" ref="AV206" si="1926">AV128-AU128</f>
        <v>0</v>
      </c>
      <c r="AW206" s="23">
        <f t="shared" ref="AW206" si="1927">AW128-AV128</f>
        <v>0</v>
      </c>
      <c r="AX206" s="23">
        <f t="shared" ref="AX206" si="1928">AX128-AW128</f>
        <v>0</v>
      </c>
      <c r="AY206" s="23">
        <f t="shared" ref="AY206" si="1929">AY128-AX128</f>
        <v>0</v>
      </c>
      <c r="AZ206" s="23">
        <f t="shared" ref="AZ206" si="1930">AZ128-AY128</f>
        <v>0</v>
      </c>
      <c r="BA206" s="23">
        <f t="shared" ref="BA206" si="1931">BA128-AZ128</f>
        <v>0</v>
      </c>
      <c r="BB206" s="23">
        <f t="shared" ref="BB206" si="1932">BB128-BA128</f>
        <v>0</v>
      </c>
      <c r="BC206" s="23">
        <f t="shared" ref="BC206" si="1933">BC128-BB128</f>
        <v>0</v>
      </c>
      <c r="BD206" s="23">
        <f t="shared" ref="BD206" si="1934">BD128-BC128</f>
        <v>0</v>
      </c>
      <c r="BE206" s="23">
        <f t="shared" ref="BE206" si="1935">BE128-BD128</f>
        <v>0</v>
      </c>
      <c r="BF206" s="23">
        <f t="shared" ref="BF206" si="1936">BF128-BE128</f>
        <v>0</v>
      </c>
      <c r="BG206" s="23">
        <f t="shared" ref="BG206" si="1937">BG128-BF128</f>
        <v>0</v>
      </c>
      <c r="BH206" s="23">
        <f t="shared" ref="BH206" si="1938">BH128-BG128</f>
        <v>0</v>
      </c>
      <c r="BI206" s="23">
        <f t="shared" ref="BI206" si="1939">BI128-BH128</f>
        <v>0</v>
      </c>
      <c r="BJ206" s="23">
        <f t="shared" ref="BJ206" si="1940">BJ128-BI128</f>
        <v>0</v>
      </c>
      <c r="BK206" s="23">
        <f t="shared" ref="BK206" si="1941">BK128-BJ128</f>
        <v>0</v>
      </c>
      <c r="BL206" s="23">
        <f t="shared" ref="BL206" si="1942">BL128-BK128</f>
        <v>0</v>
      </c>
      <c r="BM206" s="23">
        <f t="shared" ref="BM206" si="1943">BM128-BL128</f>
        <v>0</v>
      </c>
      <c r="BN206" s="23">
        <f t="shared" ref="BN206" si="1944">BN128-BM128</f>
        <v>490.87900000000002</v>
      </c>
      <c r="BO206" s="23">
        <f t="shared" ref="BO206" si="1945">BO128-BN128</f>
        <v>0</v>
      </c>
      <c r="BP206" s="23">
        <f t="shared" ref="BP206" si="1946">BP128-BO128</f>
        <v>99.97199999999998</v>
      </c>
      <c r="BQ206" s="23">
        <f t="shared" ref="BQ206" si="1947">BQ128-BP128</f>
        <v>0</v>
      </c>
      <c r="BR206" s="23">
        <f t="shared" ref="BR206" si="1948">BR128-BQ128</f>
        <v>580.61800000000005</v>
      </c>
      <c r="BS206" s="23">
        <f t="shared" ref="BS206" si="1949">BS128-BR128</f>
        <v>0</v>
      </c>
      <c r="BT206" s="23">
        <f t="shared" ref="BT206" si="1950">BT128-BS128</f>
        <v>-15.117999999999938</v>
      </c>
      <c r="BU206" s="23">
        <f t="shared" ref="BU206" si="1951">BU128-BT128</f>
        <v>0</v>
      </c>
      <c r="BV206" s="23">
        <f t="shared" ref="BV206" si="1952">BV128-BU128</f>
        <v>76.813999999999851</v>
      </c>
      <c r="BW206" s="23">
        <f t="shared" ref="BW206" si="1953">BW128-BV128</f>
        <v>0</v>
      </c>
      <c r="BX206" s="23">
        <f t="shared" ref="BX206" si="1954">BX128-BW128</f>
        <v>1734.4540000000002</v>
      </c>
      <c r="BY206" s="23">
        <f t="shared" ref="BY206" si="1955">BY128-BX128</f>
        <v>0</v>
      </c>
      <c r="BZ206" s="23">
        <f t="shared" ref="BZ206" si="1956">BZ128-BY128</f>
        <v>-2211.4949999999999</v>
      </c>
      <c r="CA206" s="23">
        <f t="shared" ref="CA206" si="1957">CA128-BZ128</f>
        <v>0</v>
      </c>
      <c r="CB206" s="23">
        <f t="shared" ref="CB206" si="1958">CB128-CA128</f>
        <v>739.27600000000007</v>
      </c>
      <c r="CC206" s="23">
        <f t="shared" ref="CC206" si="1959">CC128-CB128</f>
        <v>0</v>
      </c>
      <c r="CD206" s="23">
        <f t="shared" ref="CD206" si="1960">CD128-CC128</f>
        <v>906.88299999999981</v>
      </c>
      <c r="CE206" s="23">
        <f t="shared" ref="CE206" si="1961">CE128-CD128</f>
        <v>0</v>
      </c>
      <c r="CF206" s="23">
        <f t="shared" ref="CF206" si="1962">CF128-CE128</f>
        <v>-514.85299999999984</v>
      </c>
      <c r="CG206" s="23">
        <f t="shared" ref="CG206" si="1963">CG128-CF128</f>
        <v>0</v>
      </c>
      <c r="CH206" s="23">
        <f t="shared" ref="CH206:CL206" si="1964">CH128-CG128</f>
        <v>1489.5399999999997</v>
      </c>
      <c r="CI206" s="23">
        <f t="shared" si="1964"/>
        <v>0</v>
      </c>
      <c r="CJ206" s="23">
        <f t="shared" si="1964"/>
        <v>-1696.1929999999998</v>
      </c>
      <c r="CK206" s="23">
        <f t="shared" ref="CK206" si="1965">CK128-CJ128</f>
        <v>0</v>
      </c>
      <c r="CL206" s="23">
        <f t="shared" si="1964"/>
        <v>3245.4769999999999</v>
      </c>
      <c r="CM206" s="24">
        <f t="shared" ref="CM206" si="1966">CM128-CL128</f>
        <v>0</v>
      </c>
      <c r="CN206" s="24">
        <f t="shared" ref="CN206" si="1967">CN128-CM128</f>
        <v>0</v>
      </c>
      <c r="CO206" s="24">
        <f t="shared" ref="CO206" si="1968">CO128-CN128</f>
        <v>0</v>
      </c>
      <c r="CP206" s="24">
        <f t="shared" ref="CP206" si="1969">CP128-CO128</f>
        <v>0</v>
      </c>
      <c r="CQ206" s="24">
        <f t="shared" ref="CQ206" si="1970">CQ128-CP128</f>
        <v>0</v>
      </c>
      <c r="CR206" s="24">
        <f t="shared" ref="CR206" si="1971">CR128-CQ128</f>
        <v>0</v>
      </c>
      <c r="CS206" s="24">
        <f t="shared" ref="CS206" si="1972">CS128-CR128</f>
        <v>0</v>
      </c>
      <c r="CT206" s="24">
        <f t="shared" ref="CT206" si="1973">CT128-CS128</f>
        <v>0</v>
      </c>
      <c r="CU206" s="24">
        <f t="shared" ref="CU206" si="1974">CU128-CT128</f>
        <v>0</v>
      </c>
      <c r="CV206" s="24">
        <f t="shared" ref="CV206" si="1975">CV128-CU128</f>
        <v>0</v>
      </c>
      <c r="CW206" s="24">
        <f t="shared" ref="CW206" si="1976">CW128-CV128</f>
        <v>0</v>
      </c>
      <c r="CX206" s="24">
        <f t="shared" ref="CX206" si="1977">CX128-CW128</f>
        <v>0</v>
      </c>
      <c r="CY206" s="24">
        <f t="shared" ref="CY206" si="1978">CY128-CX128</f>
        <v>0</v>
      </c>
      <c r="CZ206" s="24">
        <f t="shared" ref="CZ206" si="1979">CZ128-CY128</f>
        <v>0</v>
      </c>
      <c r="DA206" s="24">
        <f t="shared" ref="DA206" si="1980">DA128-CZ128</f>
        <v>0</v>
      </c>
      <c r="DB206" s="24">
        <f t="shared" ref="DB206" si="1981">DB128-DA128</f>
        <v>0</v>
      </c>
      <c r="DE206" s="123"/>
      <c r="DF206" s="23">
        <v>4498.9349999999995</v>
      </c>
    </row>
    <row r="207" spans="1:110" s="23" customFormat="1" x14ac:dyDescent="0.2">
      <c r="A207" s="23" t="s">
        <v>27</v>
      </c>
      <c r="C207" s="23">
        <f t="shared" ref="C207:AE207" si="1982">C120-C48-B120+C122-B122</f>
        <v>0</v>
      </c>
      <c r="D207" s="23">
        <f t="shared" si="1982"/>
        <v>0</v>
      </c>
      <c r="E207" s="23">
        <f t="shared" si="1982"/>
        <v>0</v>
      </c>
      <c r="F207" s="23">
        <f t="shared" si="1982"/>
        <v>0</v>
      </c>
      <c r="G207" s="23">
        <f t="shared" si="1982"/>
        <v>0</v>
      </c>
      <c r="H207" s="23">
        <f t="shared" si="1982"/>
        <v>0</v>
      </c>
      <c r="I207" s="23">
        <f t="shared" si="1982"/>
        <v>176.77003020000001</v>
      </c>
      <c r="J207" s="23">
        <f t="shared" si="1982"/>
        <v>0</v>
      </c>
      <c r="K207" s="23">
        <f t="shared" si="1982"/>
        <v>0</v>
      </c>
      <c r="L207" s="23">
        <f t="shared" si="1982"/>
        <v>-3.1363721999999825</v>
      </c>
      <c r="M207" s="23">
        <f t="shared" si="1982"/>
        <v>-5.1700270999999987</v>
      </c>
      <c r="N207" s="23">
        <f t="shared" si="1982"/>
        <v>35.916972199999975</v>
      </c>
      <c r="O207" s="23">
        <f t="shared" si="1982"/>
        <v>-7.6854634000000033</v>
      </c>
      <c r="P207" s="23">
        <f t="shared" si="1982"/>
        <v>-11.669741500000043</v>
      </c>
      <c r="Q207" s="23">
        <f t="shared" si="1982"/>
        <v>-9.1733639000000267</v>
      </c>
      <c r="R207" s="23">
        <f t="shared" si="1982"/>
        <v>-10.882754599999998</v>
      </c>
      <c r="S207" s="23">
        <f t="shared" si="1982"/>
        <v>-22.420414400000084</v>
      </c>
      <c r="T207" s="23">
        <f t="shared" si="1982"/>
        <v>-23.088119799999959</v>
      </c>
      <c r="U207" s="23">
        <f t="shared" si="1982"/>
        <v>-22.36200000000008</v>
      </c>
      <c r="V207" s="23">
        <f t="shared" si="1982"/>
        <v>242.72200000000009</v>
      </c>
      <c r="W207" s="23">
        <f t="shared" si="1982"/>
        <v>-171.4250000000003</v>
      </c>
      <c r="X207" s="23">
        <f t="shared" si="1982"/>
        <v>-312.77300000000014</v>
      </c>
      <c r="Y207" s="23">
        <f t="shared" si="1982"/>
        <v>-248.48299999999995</v>
      </c>
      <c r="Z207" s="23">
        <f t="shared" si="1982"/>
        <v>1428.417999999999</v>
      </c>
      <c r="AA207" s="23">
        <f t="shared" si="1982"/>
        <v>-405.27099999999831</v>
      </c>
      <c r="AB207" s="24">
        <f t="shared" si="1982"/>
        <v>-9.0949470177292824E-13</v>
      </c>
      <c r="AC207" s="24">
        <f t="shared" si="1982"/>
        <v>0</v>
      </c>
      <c r="AD207" s="24">
        <f t="shared" si="1982"/>
        <v>1.8189894035458565E-12</v>
      </c>
      <c r="AE207" s="24">
        <f t="shared" si="1982"/>
        <v>0</v>
      </c>
      <c r="AI207" s="23">
        <f t="shared" ref="AI207:BN207" si="1983">AI120-AI48-AH120+AI122-AH122</f>
        <v>0</v>
      </c>
      <c r="AJ207" s="23">
        <f t="shared" si="1983"/>
        <v>0</v>
      </c>
      <c r="AK207" s="23">
        <f t="shared" si="1983"/>
        <v>0</v>
      </c>
      <c r="AL207" s="23">
        <f t="shared" si="1983"/>
        <v>0</v>
      </c>
      <c r="AM207" s="23">
        <f t="shared" si="1983"/>
        <v>0</v>
      </c>
      <c r="AN207" s="23">
        <f t="shared" si="1983"/>
        <v>0</v>
      </c>
      <c r="AO207" s="23">
        <f t="shared" si="1983"/>
        <v>0</v>
      </c>
      <c r="AP207" s="23">
        <f t="shared" si="1983"/>
        <v>0</v>
      </c>
      <c r="AQ207" s="23">
        <f t="shared" si="1983"/>
        <v>0</v>
      </c>
      <c r="AR207" s="23">
        <f t="shared" si="1983"/>
        <v>0</v>
      </c>
      <c r="AS207" s="23">
        <f t="shared" si="1983"/>
        <v>0</v>
      </c>
      <c r="AT207" s="23">
        <f t="shared" si="1983"/>
        <v>0</v>
      </c>
      <c r="AU207" s="23">
        <f t="shared" si="1983"/>
        <v>0</v>
      </c>
      <c r="AV207" s="23">
        <f t="shared" si="1983"/>
        <v>0</v>
      </c>
      <c r="AW207" s="23">
        <f t="shared" si="1983"/>
        <v>0</v>
      </c>
      <c r="AX207" s="23">
        <f t="shared" si="1983"/>
        <v>0</v>
      </c>
      <c r="AY207" s="23">
        <f t="shared" si="1983"/>
        <v>0</v>
      </c>
      <c r="AZ207" s="23">
        <f t="shared" si="1983"/>
        <v>0</v>
      </c>
      <c r="BA207" s="23">
        <f t="shared" si="1983"/>
        <v>0</v>
      </c>
      <c r="BB207" s="23">
        <f t="shared" si="1983"/>
        <v>0</v>
      </c>
      <c r="BC207" s="23">
        <f t="shared" si="1983"/>
        <v>0</v>
      </c>
      <c r="BD207" s="23">
        <f t="shared" si="1983"/>
        <v>0</v>
      </c>
      <c r="BE207" s="23">
        <f t="shared" si="1983"/>
        <v>0</v>
      </c>
      <c r="BF207" s="23">
        <f t="shared" si="1983"/>
        <v>0</v>
      </c>
      <c r="BG207" s="23">
        <f t="shared" si="1983"/>
        <v>0</v>
      </c>
      <c r="BH207" s="23">
        <f t="shared" si="1983"/>
        <v>0</v>
      </c>
      <c r="BI207" s="23">
        <f t="shared" si="1983"/>
        <v>0</v>
      </c>
      <c r="BJ207" s="23">
        <f t="shared" si="1983"/>
        <v>0</v>
      </c>
      <c r="BK207" s="23">
        <f t="shared" si="1983"/>
        <v>0</v>
      </c>
      <c r="BL207" s="23">
        <f t="shared" si="1983"/>
        <v>-19.182000000000016</v>
      </c>
      <c r="BM207" s="23">
        <f t="shared" si="1983"/>
        <v>0</v>
      </c>
      <c r="BN207" s="23">
        <f t="shared" si="1983"/>
        <v>533.52</v>
      </c>
      <c r="BO207" s="23">
        <f t="shared" ref="BO207:CT207" si="1984">BO120-BO48-BN120+BO122-BN122</f>
        <v>-1.1368683772161603E-13</v>
      </c>
      <c r="BP207" s="23">
        <f t="shared" si="1984"/>
        <v>276.06000000000006</v>
      </c>
      <c r="BQ207" s="23">
        <f t="shared" si="1984"/>
        <v>0</v>
      </c>
      <c r="BR207" s="23">
        <f t="shared" si="1984"/>
        <v>-33.337999999999965</v>
      </c>
      <c r="BS207" s="23">
        <f t="shared" si="1984"/>
        <v>0</v>
      </c>
      <c r="BT207" s="23">
        <f t="shared" si="1984"/>
        <v>-81.424000000000206</v>
      </c>
      <c r="BU207" s="23">
        <f t="shared" si="1984"/>
        <v>0</v>
      </c>
      <c r="BV207" s="23">
        <f t="shared" si="1984"/>
        <v>-90.000999999999976</v>
      </c>
      <c r="BW207" s="23">
        <f t="shared" si="1984"/>
        <v>0</v>
      </c>
      <c r="BX207" s="23">
        <f t="shared" si="1984"/>
        <v>-92.462999999999965</v>
      </c>
      <c r="BY207" s="23">
        <f t="shared" si="1984"/>
        <v>-2.2737367544323206E-13</v>
      </c>
      <c r="BZ207" s="23">
        <f t="shared" si="1984"/>
        <v>-220.2679999999998</v>
      </c>
      <c r="CA207" s="23">
        <f t="shared" si="1984"/>
        <v>0</v>
      </c>
      <c r="CB207" s="23">
        <f t="shared" si="1984"/>
        <v>-74.213999999999942</v>
      </c>
      <c r="CC207" s="23">
        <f t="shared" si="1984"/>
        <v>0</v>
      </c>
      <c r="CD207" s="23">
        <f t="shared" si="1984"/>
        <v>-174.24900000000025</v>
      </c>
      <c r="CE207" s="23">
        <f t="shared" si="1984"/>
        <v>0</v>
      </c>
      <c r="CF207" s="23">
        <f t="shared" si="1984"/>
        <v>1523.295000000001</v>
      </c>
      <c r="CG207" s="23">
        <f t="shared" si="1984"/>
        <v>0</v>
      </c>
      <c r="CH207" s="23">
        <f t="shared" si="1984"/>
        <v>-94.877000000001033</v>
      </c>
      <c r="CI207" s="23">
        <f t="shared" si="1984"/>
        <v>0</v>
      </c>
      <c r="CJ207" s="23">
        <f t="shared" si="1984"/>
        <v>-131.17999999999893</v>
      </c>
      <c r="CK207" s="23">
        <f t="shared" si="1984"/>
        <v>0</v>
      </c>
      <c r="CL207" s="23">
        <f t="shared" si="1984"/>
        <v>-274.09099999999938</v>
      </c>
      <c r="CM207" s="24">
        <f t="shared" si="1984"/>
        <v>0</v>
      </c>
      <c r="CN207" s="24">
        <f t="shared" si="1984"/>
        <v>0</v>
      </c>
      <c r="CO207" s="24">
        <f t="shared" si="1984"/>
        <v>0</v>
      </c>
      <c r="CP207" s="24">
        <f t="shared" si="1984"/>
        <v>0</v>
      </c>
      <c r="CQ207" s="24">
        <f t="shared" si="1984"/>
        <v>0</v>
      </c>
      <c r="CR207" s="24">
        <f t="shared" si="1984"/>
        <v>0</v>
      </c>
      <c r="CS207" s="24">
        <f t="shared" si="1984"/>
        <v>-9.0949470177292824E-13</v>
      </c>
      <c r="CT207" s="24">
        <f t="shared" si="1984"/>
        <v>0</v>
      </c>
      <c r="CU207" s="24">
        <f t="shared" ref="CU207:DB207" si="1985">CU120-CU48-CT120+CU122-CT122</f>
        <v>0</v>
      </c>
      <c r="CV207" s="24">
        <f t="shared" si="1985"/>
        <v>0</v>
      </c>
      <c r="CW207" s="24">
        <f t="shared" si="1985"/>
        <v>0</v>
      </c>
      <c r="CX207" s="24">
        <f t="shared" si="1985"/>
        <v>0</v>
      </c>
      <c r="CY207" s="24">
        <f t="shared" si="1985"/>
        <v>0</v>
      </c>
      <c r="CZ207" s="24">
        <f t="shared" si="1985"/>
        <v>0</v>
      </c>
      <c r="DA207" s="24">
        <f t="shared" si="1985"/>
        <v>0</v>
      </c>
      <c r="DB207" s="24">
        <f t="shared" si="1985"/>
        <v>0</v>
      </c>
      <c r="DE207" s="123"/>
      <c r="DF207" s="23">
        <v>-405.27099999999831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86">B161</f>
        <v>0</v>
      </c>
      <c r="D209" s="23">
        <f t="shared" ref="D209" si="1987">C161</f>
        <v>0</v>
      </c>
      <c r="E209" s="23">
        <f>D161</f>
        <v>0</v>
      </c>
      <c r="F209" s="23">
        <f t="shared" ref="F209" si="1988">E161</f>
        <v>0</v>
      </c>
      <c r="G209" s="23">
        <f t="shared" ref="G209" si="1989">F161</f>
        <v>0</v>
      </c>
      <c r="H209" s="23">
        <f t="shared" ref="H209" si="1990">G161</f>
        <v>0</v>
      </c>
      <c r="I209" s="23">
        <f t="shared" ref="I209" si="1991">H161</f>
        <v>0</v>
      </c>
      <c r="J209" s="23">
        <f>I161</f>
        <v>0.26796229999999999</v>
      </c>
      <c r="K209" s="23">
        <f>J161</f>
        <v>1.3886726</v>
      </c>
      <c r="L209" s="23">
        <f t="shared" ref="L209" si="1992">K161</f>
        <v>3.4370276</v>
      </c>
      <c r="M209" s="23">
        <f t="shared" ref="M209" si="1993">L161</f>
        <v>8.2074633000000006</v>
      </c>
      <c r="N209" s="23">
        <f t="shared" ref="N209" si="1994">M161</f>
        <v>4.7828334999999997</v>
      </c>
      <c r="O209" s="23">
        <f t="shared" ref="O209" si="1995">N161</f>
        <v>527.62498570000002</v>
      </c>
      <c r="P209" s="23">
        <f t="shared" ref="P209" si="1996">O161</f>
        <v>352.70224519999999</v>
      </c>
      <c r="Q209" s="23">
        <f t="shared" ref="Q209" si="1997">P161</f>
        <v>358.41007189999999</v>
      </c>
      <c r="R209" s="23">
        <f t="shared" ref="R209" si="1998">Q161</f>
        <v>437.61181699999997</v>
      </c>
      <c r="S209" s="23">
        <f t="shared" ref="S209" si="1999">R161</f>
        <v>667.10122979999994</v>
      </c>
      <c r="T209" s="23">
        <f t="shared" ref="T209" si="2000">S161</f>
        <v>933.0061093999999</v>
      </c>
      <c r="U209" s="23">
        <f t="shared" ref="U209" si="2001">T161</f>
        <v>1000.881</v>
      </c>
      <c r="V209" s="23">
        <f t="shared" ref="V209" si="2002">U161</f>
        <v>1448.8240000000001</v>
      </c>
      <c r="W209" s="23">
        <f t="shared" ref="W209:AA209" si="2003">V161</f>
        <v>1882.9869999999999</v>
      </c>
      <c r="X209" s="23">
        <f t="shared" si="2003"/>
        <v>4893.6090000000004</v>
      </c>
      <c r="Y209" s="23">
        <f t="shared" si="2003"/>
        <v>5491.0829999999996</v>
      </c>
      <c r="Z209" s="23">
        <f t="shared" si="2003"/>
        <v>6839.5829999999996</v>
      </c>
      <c r="AA209" s="23">
        <f t="shared" si="2003"/>
        <v>7949.3110000000006</v>
      </c>
      <c r="AB209" s="24">
        <f t="shared" ref="AB209" si="2004">AA161</f>
        <v>15481.321</v>
      </c>
      <c r="AC209" s="24">
        <f t="shared" ref="AC209" si="2005">AB161</f>
        <v>19217.674286830188</v>
      </c>
      <c r="AD209" s="24">
        <f t="shared" ref="AD209" si="2006">AC161</f>
        <v>22075.39715183794</v>
      </c>
      <c r="AE209" s="24">
        <f t="shared" ref="AE209" si="2007">AD161</f>
        <v>25369.522291070993</v>
      </c>
      <c r="AI209" s="23">
        <f t="shared" ref="AI209" si="2008">AH161</f>
        <v>0</v>
      </c>
      <c r="AJ209" s="23">
        <f t="shared" ref="AJ209" si="2009">AI161</f>
        <v>0</v>
      </c>
      <c r="AK209" s="23">
        <f t="shared" ref="AK209" si="2010">AJ161</f>
        <v>0</v>
      </c>
      <c r="AL209" s="23" t="e">
        <f t="shared" ref="AL209" si="2011">AK161</f>
        <v>#DIV/0!</v>
      </c>
      <c r="AM209" s="23">
        <f t="shared" ref="AM209" si="2012">AL161</f>
        <v>0</v>
      </c>
      <c r="AN209" s="23" t="e">
        <f t="shared" ref="AN209" si="2013">AM161</f>
        <v>#DIV/0!</v>
      </c>
      <c r="AO209" s="23">
        <f t="shared" ref="AO209" si="2014">AN161</f>
        <v>0</v>
      </c>
      <c r="AP209" s="23" t="e">
        <f t="shared" ref="AP209" si="2015">AO161</f>
        <v>#DIV/0!</v>
      </c>
      <c r="AQ209" s="23">
        <f t="shared" ref="AQ209" si="2016">AP161</f>
        <v>0</v>
      </c>
      <c r="AR209" s="23" t="e">
        <f t="shared" ref="AR209" si="2017">AQ161</f>
        <v>#DIV/0!</v>
      </c>
      <c r="AS209" s="23">
        <f t="shared" ref="AS209" si="2018">AR161</f>
        <v>0</v>
      </c>
      <c r="AT209" s="23" t="e">
        <f t="shared" ref="AT209" si="2019">AS161</f>
        <v>#DIV/0!</v>
      </c>
      <c r="AU209" s="23">
        <f t="shared" ref="AU209" si="2020">AT161</f>
        <v>0</v>
      </c>
      <c r="AV209" s="23" t="e">
        <f t="shared" ref="AV209" si="2021">AU161</f>
        <v>#DIV/0!</v>
      </c>
      <c r="AW209" s="23">
        <f t="shared" ref="AW209" si="2022">AV161</f>
        <v>0</v>
      </c>
      <c r="AX209" s="23" t="e">
        <f t="shared" ref="AX209" si="2023">AW161</f>
        <v>#DIV/0!</v>
      </c>
      <c r="AY209" s="23">
        <f t="shared" ref="AY209" si="2024">AX161</f>
        <v>0</v>
      </c>
      <c r="AZ209" s="23" t="e">
        <f t="shared" ref="AZ209" si="2025">AY161</f>
        <v>#DIV/0!</v>
      </c>
      <c r="BA209" s="23">
        <f t="shared" ref="BA209" si="2026">AZ161</f>
        <v>0</v>
      </c>
      <c r="BB209" s="23" t="e">
        <f t="shared" ref="BB209" si="2027">BA161</f>
        <v>#DIV/0!</v>
      </c>
      <c r="BC209" s="23">
        <f t="shared" ref="BC209" si="2028">BB161</f>
        <v>0</v>
      </c>
      <c r="BD209" s="23" t="e">
        <f t="shared" ref="BD209" si="2029">BC161</f>
        <v>#DIV/0!</v>
      </c>
      <c r="BE209" s="23">
        <f t="shared" ref="BE209" si="2030">BD161</f>
        <v>0</v>
      </c>
      <c r="BF209" s="23" t="e">
        <f t="shared" ref="BF209" si="2031">BE161</f>
        <v>#DIV/0!</v>
      </c>
      <c r="BG209" s="23">
        <f t="shared" ref="BG209" si="2032">BF161</f>
        <v>0</v>
      </c>
      <c r="BH209" s="23" t="e">
        <f t="shared" ref="BH209" si="2033">BG161</f>
        <v>#DIV/0!</v>
      </c>
      <c r="BI209" s="23">
        <f t="shared" ref="BI209" si="2034">BH161</f>
        <v>0</v>
      </c>
      <c r="BJ209" s="23" t="e">
        <f t="shared" ref="BJ209" si="2035">BI161</f>
        <v>#DIV/0!</v>
      </c>
      <c r="BK209" s="23">
        <f t="shared" ref="BK209" si="2036">BJ161</f>
        <v>0</v>
      </c>
      <c r="BL209" s="23" t="e">
        <f t="shared" ref="BL209" si="2037">BK161</f>
        <v>#DIV/0!</v>
      </c>
      <c r="BM209" s="23">
        <f t="shared" ref="BM209" si="2038">BL161</f>
        <v>0</v>
      </c>
      <c r="BN209" s="23">
        <f t="shared" ref="BN209" si="2039">BM161</f>
        <v>27.013000000000002</v>
      </c>
      <c r="BO209" s="23">
        <f t="shared" ref="BO209" si="2040">BN161</f>
        <v>1448.8240000000001</v>
      </c>
      <c r="BP209" s="23">
        <f t="shared" ref="BP209" si="2041">BO161</f>
        <v>1709.4809007278745</v>
      </c>
      <c r="BQ209" s="23">
        <f t="shared" ref="BQ209" si="2042">BP161</f>
        <v>2602.1259999999997</v>
      </c>
      <c r="BR209" s="23">
        <f t="shared" ref="BR209" si="2043">BQ161</f>
        <v>2660.5093293314612</v>
      </c>
      <c r="BS209" s="23">
        <f t="shared" ref="BS209" si="2044">BR161</f>
        <v>1882.9869999999999</v>
      </c>
      <c r="BT209" s="23">
        <f t="shared" ref="BT209" si="2045">BS161</f>
        <v>2275.3846234373927</v>
      </c>
      <c r="BU209" s="23">
        <f t="shared" ref="BU209" si="2046">BT161</f>
        <v>4579.1450000000004</v>
      </c>
      <c r="BV209" s="23">
        <f t="shared" ref="BV209" si="2047">BU161</f>
        <v>5233.8009818921373</v>
      </c>
      <c r="BW209" s="23">
        <f t="shared" ref="BW209" si="2048">BV161</f>
        <v>4893.6090000000004</v>
      </c>
      <c r="BX209" s="23">
        <f t="shared" ref="BX209" si="2049">BW161</f>
        <v>5081.234462245653</v>
      </c>
      <c r="BY209" s="23">
        <f t="shared" ref="BY209" si="2050">BX161</f>
        <v>5384.46</v>
      </c>
      <c r="BZ209" s="23">
        <f t="shared" ref="BZ209" si="2051">BY161</f>
        <v>5628.9394552529184</v>
      </c>
      <c r="CA209" s="23">
        <f t="shared" ref="CA209" si="2052">BZ161</f>
        <v>5600.5569999999998</v>
      </c>
      <c r="CB209" s="23">
        <f t="shared" ref="CB209" si="2053">CA161</f>
        <v>5739.7219516323566</v>
      </c>
      <c r="CC209" s="23">
        <f t="shared" ref="CC209" si="2054">CB161</f>
        <v>7757</v>
      </c>
      <c r="CD209" s="23">
        <f t="shared" ref="CD209" si="2055">CC161</f>
        <v>8079.3143841441706</v>
      </c>
      <c r="CE209" s="23">
        <f t="shared" ref="CE209" si="2056">CD161</f>
        <v>9844.2939999999999</v>
      </c>
      <c r="CF209" s="23">
        <f t="shared" ref="CF209" si="2057">CE161</f>
        <v>10375.199979513378</v>
      </c>
      <c r="CG209" s="23">
        <f t="shared" ref="CG209" si="2058">CF161</f>
        <v>11166.854000000001</v>
      </c>
      <c r="CH209" s="23">
        <f t="shared" ref="CH209:CL209" si="2059">CG161</f>
        <v>9971.4544003390747</v>
      </c>
      <c r="CI209" s="23">
        <f t="shared" si="2059"/>
        <v>7949.3110000000006</v>
      </c>
      <c r="CJ209" s="23">
        <f t="shared" si="2059"/>
        <v>8046.5262525139397</v>
      </c>
      <c r="CK209" s="23">
        <f t="shared" ref="CK209" si="2060">CJ161</f>
        <v>11268.114000000001</v>
      </c>
      <c r="CL209" s="23">
        <f t="shared" si="2059"/>
        <v>12031.711921268676</v>
      </c>
      <c r="CM209" s="24">
        <f t="shared" ref="CM209" si="2061">CL161</f>
        <v>16817.845000000001</v>
      </c>
      <c r="CN209" s="24">
        <f t="shared" ref="CN209" si="2062">CM161</f>
        <v>15834.157516068241</v>
      </c>
      <c r="CO209" s="24">
        <f t="shared" ref="CO209" si="2063">CN161</f>
        <v>16661.919600064459</v>
      </c>
      <c r="CP209" s="24">
        <f t="shared" ref="CP209" si="2064">CO161</f>
        <v>18044.704578416153</v>
      </c>
      <c r="CQ209" s="24">
        <f t="shared" ref="CQ209" si="2065">CP161</f>
        <v>19217.674286830188</v>
      </c>
      <c r="CR209" s="24">
        <f t="shared" ref="CR209" si="2066">CQ161</f>
        <v>17824.937685243571</v>
      </c>
      <c r="CS209" s="24">
        <f t="shared" ref="CS209" si="2067">CR161</f>
        <v>18924.483843888476</v>
      </c>
      <c r="CT209" s="24">
        <f t="shared" ref="CT209" si="2068">CS161</f>
        <v>20657.714494458014</v>
      </c>
      <c r="CU209" s="24">
        <f t="shared" ref="CU209" si="2069">CT161</f>
        <v>22075.39715183794</v>
      </c>
      <c r="CV209" s="24">
        <f t="shared" ref="CV209" si="2070">CU161</f>
        <v>20316.023464184378</v>
      </c>
      <c r="CW209" s="24">
        <f t="shared" ref="CW209" si="2071">CV161</f>
        <v>21651.615745562223</v>
      </c>
      <c r="CX209" s="24">
        <f t="shared" ref="CX209" si="2072">CW161</f>
        <v>23709.726142312615</v>
      </c>
      <c r="CY209" s="24">
        <f t="shared" ref="CY209" si="2073">CX161</f>
        <v>25369.522291070993</v>
      </c>
      <c r="CZ209" s="24">
        <f t="shared" ref="CZ209" si="2074">CY161</f>
        <v>23288.650797342842</v>
      </c>
      <c r="DA209" s="24">
        <f t="shared" ref="DA209" si="2075">CZ161</f>
        <v>24870.728879257982</v>
      </c>
      <c r="DB209" s="24">
        <f t="shared" ref="DB209" si="2076">DA161</f>
        <v>27292.06610386787</v>
      </c>
      <c r="DE209" s="123"/>
      <c r="DF209" s="23">
        <v>7949.3110000000006</v>
      </c>
    </row>
    <row r="210" spans="1:110" s="23" customFormat="1" x14ac:dyDescent="0.2">
      <c r="A210" s="23" t="s">
        <v>443</v>
      </c>
      <c r="C210" s="23">
        <f t="shared" ref="C210:W210" si="2077">C209+C205+C201+C199</f>
        <v>0</v>
      </c>
      <c r="D210" s="23">
        <f t="shared" si="2077"/>
        <v>0</v>
      </c>
      <c r="E210" s="23">
        <f t="shared" si="2077"/>
        <v>0</v>
      </c>
      <c r="F210" s="23">
        <f t="shared" si="2077"/>
        <v>0</v>
      </c>
      <c r="G210" s="23">
        <f t="shared" si="2077"/>
        <v>0</v>
      </c>
      <c r="H210" s="23">
        <f t="shared" si="2077"/>
        <v>0</v>
      </c>
      <c r="I210" s="23">
        <f t="shared" si="2077"/>
        <v>0.26796230000002197</v>
      </c>
      <c r="J210" s="23">
        <f>J209+J205+J201+J199</f>
        <v>1.3886725999999925</v>
      </c>
      <c r="K210" s="23">
        <f>K209+K205+K201+K199</f>
        <v>3.4370276000000146</v>
      </c>
      <c r="L210" s="23">
        <f>L209+L205+L201+L199</f>
        <v>8.207463300000029</v>
      </c>
      <c r="M210" s="23">
        <f>M209+M205+M201+M199</f>
        <v>4.7828334999999953</v>
      </c>
      <c r="N210" s="23">
        <f t="shared" si="2077"/>
        <v>527.62498570000002</v>
      </c>
      <c r="O210" s="23">
        <f t="shared" si="2077"/>
        <v>352.70224520000011</v>
      </c>
      <c r="P210" s="23">
        <f t="shared" si="2077"/>
        <v>358.41007189999988</v>
      </c>
      <c r="Q210" s="23">
        <f t="shared" si="2077"/>
        <v>437.61181700000003</v>
      </c>
      <c r="R210" s="23">
        <f t="shared" si="2077"/>
        <v>667.10122979999983</v>
      </c>
      <c r="S210" s="23">
        <f t="shared" si="2077"/>
        <v>933.00610940000024</v>
      </c>
      <c r="T210" s="23">
        <f t="shared" si="2077"/>
        <v>1000.8809999999999</v>
      </c>
      <c r="U210" s="23">
        <f t="shared" si="2077"/>
        <v>1448.8240000000001</v>
      </c>
      <c r="V210" s="23">
        <f t="shared" si="2077"/>
        <v>1882.9870000000001</v>
      </c>
      <c r="W210" s="23">
        <f t="shared" si="2077"/>
        <v>4893.6089999999995</v>
      </c>
      <c r="X210" s="23">
        <f t="shared" ref="X210:Y210" si="2078">X209+X205+X201+X199</f>
        <v>5491.0830000000005</v>
      </c>
      <c r="Y210" s="23">
        <f t="shared" si="2078"/>
        <v>6839.5829999999987</v>
      </c>
      <c r="Z210" s="23">
        <f t="shared" ref="Z210:AA210" si="2079">Z209+Z205+Z201+Z199</f>
        <v>7949.3109999999988</v>
      </c>
      <c r="AA210" s="23">
        <f t="shared" ref="AA210" si="2080">AA209+AA205+AA201+AA199</f>
        <v>15481.321</v>
      </c>
      <c r="AB210" s="24">
        <f t="shared" ref="AB210:AD210" si="2081">AB209+AB205+AB201+AB199</f>
        <v>19217.674286830181</v>
      </c>
      <c r="AC210" s="24">
        <f t="shared" si="2081"/>
        <v>22075.397151837937</v>
      </c>
      <c r="AD210" s="24">
        <f t="shared" si="2081"/>
        <v>25369.522291070993</v>
      </c>
      <c r="AE210" s="24">
        <f t="shared" ref="AE210" si="2082">AE209+AE205+AE201+AE199</f>
        <v>29239.745757045392</v>
      </c>
      <c r="AI210" s="23">
        <f t="shared" ref="AI210" si="2083">AI209+AI205+AI201+AI199</f>
        <v>0</v>
      </c>
      <c r="AJ210" s="23">
        <f t="shared" ref="AJ210:AL210" si="2084">AJ209+AJ205+AJ201+AJ199</f>
        <v>0</v>
      </c>
      <c r="AK210" s="23" t="e">
        <f t="shared" si="2084"/>
        <v>#DIV/0!</v>
      </c>
      <c r="AL210" s="23" t="e">
        <f t="shared" si="2084"/>
        <v>#DIV/0!</v>
      </c>
      <c r="AM210" s="23" t="e">
        <f t="shared" ref="AM210" si="2085">AM209+AM205+AM201+AM199</f>
        <v>#DIV/0!</v>
      </c>
      <c r="AN210" s="23" t="e">
        <f t="shared" ref="AN210:CD210" si="2086">AN209+AN205+AN201+AN199</f>
        <v>#DIV/0!</v>
      </c>
      <c r="AO210" s="23" t="e">
        <f t="shared" si="2086"/>
        <v>#DIV/0!</v>
      </c>
      <c r="AP210" s="23" t="e">
        <f t="shared" si="2086"/>
        <v>#DIV/0!</v>
      </c>
      <c r="AQ210" s="23" t="e">
        <f t="shared" si="2086"/>
        <v>#DIV/0!</v>
      </c>
      <c r="AR210" s="23" t="e">
        <f t="shared" si="2086"/>
        <v>#DIV/0!</v>
      </c>
      <c r="AS210" s="23" t="e">
        <f t="shared" si="2086"/>
        <v>#DIV/0!</v>
      </c>
      <c r="AT210" s="23" t="e">
        <f t="shared" si="2086"/>
        <v>#DIV/0!</v>
      </c>
      <c r="AU210" s="23" t="e">
        <f t="shared" si="2086"/>
        <v>#DIV/0!</v>
      </c>
      <c r="AV210" s="23" t="e">
        <f t="shared" si="2086"/>
        <v>#DIV/0!</v>
      </c>
      <c r="AW210" s="23" t="e">
        <f t="shared" si="2086"/>
        <v>#DIV/0!</v>
      </c>
      <c r="AX210" s="23" t="e">
        <f t="shared" si="2086"/>
        <v>#DIV/0!</v>
      </c>
      <c r="AY210" s="23" t="e">
        <f t="shared" si="2086"/>
        <v>#DIV/0!</v>
      </c>
      <c r="AZ210" s="23" t="e">
        <f t="shared" si="2086"/>
        <v>#DIV/0!</v>
      </c>
      <c r="BA210" s="23" t="e">
        <f t="shared" si="2086"/>
        <v>#DIV/0!</v>
      </c>
      <c r="BB210" s="23" t="e">
        <f t="shared" si="2086"/>
        <v>#DIV/0!</v>
      </c>
      <c r="BC210" s="23" t="e">
        <f t="shared" si="2086"/>
        <v>#DIV/0!</v>
      </c>
      <c r="BD210" s="23" t="e">
        <f t="shared" si="2086"/>
        <v>#DIV/0!</v>
      </c>
      <c r="BE210" s="23" t="e">
        <f t="shared" si="2086"/>
        <v>#DIV/0!</v>
      </c>
      <c r="BF210" s="23" t="e">
        <f t="shared" si="2086"/>
        <v>#DIV/0!</v>
      </c>
      <c r="BG210" s="23" t="e">
        <f t="shared" si="2086"/>
        <v>#DIV/0!</v>
      </c>
      <c r="BH210" s="23" t="e">
        <f t="shared" si="2086"/>
        <v>#DIV/0!</v>
      </c>
      <c r="BI210" s="23" t="e">
        <f t="shared" si="2086"/>
        <v>#DIV/0!</v>
      </c>
      <c r="BJ210" s="23" t="e">
        <f t="shared" si="2086"/>
        <v>#DIV/0!</v>
      </c>
      <c r="BK210" s="23" t="e">
        <f t="shared" si="2086"/>
        <v>#DIV/0!</v>
      </c>
      <c r="BL210" s="23" t="e">
        <f t="shared" si="2086"/>
        <v>#DIV/0!</v>
      </c>
      <c r="BM210" s="23">
        <f t="shared" si="2086"/>
        <v>27.013000000000002</v>
      </c>
      <c r="BN210" s="23">
        <f t="shared" si="2086"/>
        <v>1448.8239999999998</v>
      </c>
      <c r="BO210" s="23">
        <f t="shared" si="2086"/>
        <v>1709.4809007278745</v>
      </c>
      <c r="BP210" s="23">
        <f t="shared" si="2086"/>
        <v>2602.1260000000002</v>
      </c>
      <c r="BQ210" s="23">
        <f t="shared" si="2086"/>
        <v>2660.5093293314612</v>
      </c>
      <c r="BR210" s="23">
        <f t="shared" si="2086"/>
        <v>1882.9870000000005</v>
      </c>
      <c r="BS210" s="23">
        <f t="shared" si="2086"/>
        <v>2275.3846234373927</v>
      </c>
      <c r="BT210" s="23">
        <f t="shared" si="2086"/>
        <v>4579.1449999999986</v>
      </c>
      <c r="BU210" s="23">
        <f t="shared" si="2086"/>
        <v>5233.8009818921373</v>
      </c>
      <c r="BV210" s="23">
        <f t="shared" si="2086"/>
        <v>4893.6090000000004</v>
      </c>
      <c r="BW210" s="23">
        <f t="shared" si="2086"/>
        <v>5081.234462245653</v>
      </c>
      <c r="BX210" s="23">
        <f t="shared" si="2086"/>
        <v>5384.4600000000019</v>
      </c>
      <c r="BY210" s="23">
        <f t="shared" si="2086"/>
        <v>5628.9394552529184</v>
      </c>
      <c r="BZ210" s="23">
        <f t="shared" si="2086"/>
        <v>5600.5569999999998</v>
      </c>
      <c r="CA210" s="23">
        <f t="shared" si="2086"/>
        <v>5739.7219516323566</v>
      </c>
      <c r="CB210" s="23">
        <f t="shared" si="2086"/>
        <v>7757</v>
      </c>
      <c r="CC210" s="23">
        <f t="shared" si="2086"/>
        <v>8079.3143841441706</v>
      </c>
      <c r="CD210" s="23">
        <f t="shared" si="2086"/>
        <v>9844.2939999999981</v>
      </c>
      <c r="CE210" s="23">
        <f t="shared" ref="CE210:CF210" si="2087">CE209+CE205+CE201+CE199</f>
        <v>10375.199979513378</v>
      </c>
      <c r="CF210" s="23">
        <f t="shared" si="2087"/>
        <v>11166.854000000001</v>
      </c>
      <c r="CG210" s="23">
        <f t="shared" ref="CG210:CH210" si="2088">CG209+CG205+CG201+CG199</f>
        <v>9971.4544003390747</v>
      </c>
      <c r="CH210" s="23">
        <f t="shared" si="2088"/>
        <v>7949.3109999999988</v>
      </c>
      <c r="CI210" s="23">
        <f t="shared" ref="CI210:CJ210" si="2089">CI209+CI205+CI201+CI199</f>
        <v>8046.5262525139397</v>
      </c>
      <c r="CJ210" s="23">
        <f t="shared" si="2089"/>
        <v>11268.114000000001</v>
      </c>
      <c r="CK210" s="23">
        <f t="shared" ref="CK210:DB210" si="2090">CK209+CK205+CK201+CK199</f>
        <v>12031.711921268676</v>
      </c>
      <c r="CL210" s="23">
        <f t="shared" si="2090"/>
        <v>16817.845000000001</v>
      </c>
      <c r="CM210" s="24">
        <f t="shared" si="2090"/>
        <v>15834.157516068241</v>
      </c>
      <c r="CN210" s="24">
        <f t="shared" si="2090"/>
        <v>16661.919600064459</v>
      </c>
      <c r="CO210" s="24">
        <f t="shared" si="2090"/>
        <v>18044.704578416153</v>
      </c>
      <c r="CP210" s="24">
        <f t="shared" si="2090"/>
        <v>19217.674286830188</v>
      </c>
      <c r="CQ210" s="24">
        <f t="shared" si="2090"/>
        <v>17824.937685243571</v>
      </c>
      <c r="CR210" s="24">
        <f t="shared" si="2090"/>
        <v>18924.483843888476</v>
      </c>
      <c r="CS210" s="24">
        <f t="shared" si="2090"/>
        <v>20657.714494458014</v>
      </c>
      <c r="CT210" s="24">
        <f t="shared" si="2090"/>
        <v>22075.39715183794</v>
      </c>
      <c r="CU210" s="24">
        <f t="shared" si="2090"/>
        <v>20316.023464184378</v>
      </c>
      <c r="CV210" s="24">
        <f t="shared" si="2090"/>
        <v>21651.615745562223</v>
      </c>
      <c r="CW210" s="24">
        <f t="shared" si="2090"/>
        <v>23709.726142312615</v>
      </c>
      <c r="CX210" s="24">
        <f t="shared" si="2090"/>
        <v>25369.522291070993</v>
      </c>
      <c r="CY210" s="24">
        <f t="shared" si="2090"/>
        <v>23288.650797342842</v>
      </c>
      <c r="CZ210" s="24">
        <f t="shared" si="2090"/>
        <v>24870.728879257982</v>
      </c>
      <c r="DA210" s="24">
        <f t="shared" si="2090"/>
        <v>27292.06610386787</v>
      </c>
      <c r="DB210" s="24">
        <f t="shared" si="2090"/>
        <v>29239.745757045392</v>
      </c>
      <c r="DE210" s="123"/>
      <c r="DF210" s="23">
        <v>15481.321</v>
      </c>
    </row>
    <row r="211" spans="1:110" s="28" customFormat="1" x14ac:dyDescent="0.2">
      <c r="A211" s="28" t="s">
        <v>444</v>
      </c>
      <c r="C211" s="28">
        <f t="shared" ref="C211:W211" si="2091">C210-C161</f>
        <v>0</v>
      </c>
      <c r="D211" s="28">
        <f t="shared" si="2091"/>
        <v>0</v>
      </c>
      <c r="E211" s="28">
        <f t="shared" si="2091"/>
        <v>0</v>
      </c>
      <c r="F211" s="28">
        <f t="shared" si="2091"/>
        <v>0</v>
      </c>
      <c r="G211" s="28">
        <f t="shared" si="2091"/>
        <v>0</v>
      </c>
      <c r="H211" s="28">
        <f t="shared" si="2091"/>
        <v>0</v>
      </c>
      <c r="I211" s="28">
        <f t="shared" si="2091"/>
        <v>2.19824158875781E-14</v>
      </c>
      <c r="J211" s="28">
        <f>J210-J161</f>
        <v>-7.5495165674510645E-15</v>
      </c>
      <c r="K211" s="28">
        <f t="shared" si="2091"/>
        <v>1.4654943925052066E-14</v>
      </c>
      <c r="L211" s="28">
        <f t="shared" si="2091"/>
        <v>2.8421709430404007E-14</v>
      </c>
      <c r="M211" s="28">
        <f t="shared" si="2091"/>
        <v>0</v>
      </c>
      <c r="N211" s="28">
        <f t="shared" si="2091"/>
        <v>0</v>
      </c>
      <c r="O211" s="28">
        <f t="shared" si="2091"/>
        <v>0</v>
      </c>
      <c r="P211" s="28">
        <f t="shared" si="2091"/>
        <v>0</v>
      </c>
      <c r="Q211" s="28">
        <f t="shared" si="2091"/>
        <v>0</v>
      </c>
      <c r="R211" s="28">
        <f t="shared" si="2091"/>
        <v>0</v>
      </c>
      <c r="S211" s="28">
        <f t="shared" si="2091"/>
        <v>0</v>
      </c>
      <c r="T211" s="28">
        <f t="shared" si="2091"/>
        <v>0</v>
      </c>
      <c r="U211" s="28">
        <f t="shared" si="2091"/>
        <v>0</v>
      </c>
      <c r="V211" s="28">
        <f t="shared" si="2091"/>
        <v>0</v>
      </c>
      <c r="W211" s="28">
        <f t="shared" si="2091"/>
        <v>0</v>
      </c>
      <c r="X211" s="28">
        <f t="shared" ref="X211:Y211" si="2092">X210-X161</f>
        <v>0</v>
      </c>
      <c r="Y211" s="28">
        <f t="shared" si="2092"/>
        <v>0</v>
      </c>
      <c r="Z211" s="28">
        <f t="shared" ref="Z211:AA211" si="2093">Z210-Z161</f>
        <v>0</v>
      </c>
      <c r="AA211" s="28">
        <f t="shared" ref="AA211" si="2094">AA210-AA161</f>
        <v>0</v>
      </c>
      <c r="AB211" s="30">
        <f t="shared" ref="AB211:AD211" si="2095">AB210-AB161</f>
        <v>0</v>
      </c>
      <c r="AC211" s="30">
        <f t="shared" si="2095"/>
        <v>0</v>
      </c>
      <c r="AD211" s="30">
        <f t="shared" si="2095"/>
        <v>0</v>
      </c>
      <c r="AE211" s="30">
        <f t="shared" ref="AE211" si="2096">AE210-AE161</f>
        <v>0</v>
      </c>
      <c r="AI211" s="28">
        <f t="shared" ref="AI211" si="2097">AI210-AI161</f>
        <v>0</v>
      </c>
      <c r="AJ211" s="28">
        <f t="shared" ref="AJ211:AL211" si="2098">AJ210-AJ161</f>
        <v>0</v>
      </c>
      <c r="AK211" s="28" t="e">
        <f t="shared" si="2098"/>
        <v>#DIV/0!</v>
      </c>
      <c r="AL211" s="28" t="e">
        <f t="shared" si="2098"/>
        <v>#DIV/0!</v>
      </c>
      <c r="AM211" s="28" t="e">
        <f t="shared" ref="AM211" si="2099">AM210-AM161</f>
        <v>#DIV/0!</v>
      </c>
      <c r="AN211" s="28" t="e">
        <f t="shared" ref="AN211:CD211" si="2100">AN210-AN161</f>
        <v>#DIV/0!</v>
      </c>
      <c r="AO211" s="28" t="e">
        <f t="shared" si="2100"/>
        <v>#DIV/0!</v>
      </c>
      <c r="AP211" s="28" t="e">
        <f t="shared" si="2100"/>
        <v>#DIV/0!</v>
      </c>
      <c r="AQ211" s="28" t="e">
        <f t="shared" si="2100"/>
        <v>#DIV/0!</v>
      </c>
      <c r="AR211" s="28" t="e">
        <f t="shared" si="2100"/>
        <v>#DIV/0!</v>
      </c>
      <c r="AS211" s="28" t="e">
        <f t="shared" si="2100"/>
        <v>#DIV/0!</v>
      </c>
      <c r="AT211" s="28" t="e">
        <f t="shared" si="2100"/>
        <v>#DIV/0!</v>
      </c>
      <c r="AU211" s="28" t="e">
        <f t="shared" si="2100"/>
        <v>#DIV/0!</v>
      </c>
      <c r="AV211" s="28" t="e">
        <f t="shared" si="2100"/>
        <v>#DIV/0!</v>
      </c>
      <c r="AW211" s="28" t="e">
        <f t="shared" si="2100"/>
        <v>#DIV/0!</v>
      </c>
      <c r="AX211" s="28" t="e">
        <f t="shared" si="2100"/>
        <v>#DIV/0!</v>
      </c>
      <c r="AY211" s="28" t="e">
        <f t="shared" si="2100"/>
        <v>#DIV/0!</v>
      </c>
      <c r="AZ211" s="28" t="e">
        <f t="shared" si="2100"/>
        <v>#DIV/0!</v>
      </c>
      <c r="BA211" s="28" t="e">
        <f t="shared" si="2100"/>
        <v>#DIV/0!</v>
      </c>
      <c r="BB211" s="28" t="e">
        <f t="shared" si="2100"/>
        <v>#DIV/0!</v>
      </c>
      <c r="BC211" s="28" t="e">
        <f t="shared" si="2100"/>
        <v>#DIV/0!</v>
      </c>
      <c r="BD211" s="28" t="e">
        <f t="shared" si="2100"/>
        <v>#DIV/0!</v>
      </c>
      <c r="BE211" s="28" t="e">
        <f t="shared" si="2100"/>
        <v>#DIV/0!</v>
      </c>
      <c r="BF211" s="28" t="e">
        <f t="shared" si="2100"/>
        <v>#DIV/0!</v>
      </c>
      <c r="BG211" s="28" t="e">
        <f t="shared" si="2100"/>
        <v>#DIV/0!</v>
      </c>
      <c r="BH211" s="28" t="e">
        <f t="shared" si="2100"/>
        <v>#DIV/0!</v>
      </c>
      <c r="BI211" s="28" t="e">
        <f t="shared" si="2100"/>
        <v>#DIV/0!</v>
      </c>
      <c r="BJ211" s="28" t="e">
        <f t="shared" si="2100"/>
        <v>#DIV/0!</v>
      </c>
      <c r="BK211" s="28" t="e">
        <f t="shared" si="2100"/>
        <v>#DIV/0!</v>
      </c>
      <c r="BL211" s="28" t="e">
        <f t="shared" si="2100"/>
        <v>#DIV/0!</v>
      </c>
      <c r="BM211" s="28">
        <f t="shared" si="2100"/>
        <v>0</v>
      </c>
      <c r="BN211" s="28">
        <f t="shared" si="2100"/>
        <v>0</v>
      </c>
      <c r="BO211" s="28">
        <f t="shared" si="2100"/>
        <v>0</v>
      </c>
      <c r="BP211" s="28">
        <f t="shared" si="2100"/>
        <v>0</v>
      </c>
      <c r="BQ211" s="28">
        <f t="shared" si="2100"/>
        <v>0</v>
      </c>
      <c r="BR211" s="28">
        <f t="shared" si="2100"/>
        <v>0</v>
      </c>
      <c r="BS211" s="28">
        <f t="shared" si="2100"/>
        <v>0</v>
      </c>
      <c r="BT211" s="28">
        <f t="shared" si="2100"/>
        <v>0</v>
      </c>
      <c r="BU211" s="28">
        <f t="shared" si="2100"/>
        <v>0</v>
      </c>
      <c r="BV211" s="28">
        <f t="shared" si="2100"/>
        <v>0</v>
      </c>
      <c r="BW211" s="28">
        <f t="shared" si="2100"/>
        <v>0</v>
      </c>
      <c r="BX211" s="28">
        <f t="shared" si="2100"/>
        <v>0</v>
      </c>
      <c r="BY211" s="28">
        <f t="shared" si="2100"/>
        <v>0</v>
      </c>
      <c r="BZ211" s="28">
        <f t="shared" si="2100"/>
        <v>0</v>
      </c>
      <c r="CA211" s="28">
        <f t="shared" si="2100"/>
        <v>0</v>
      </c>
      <c r="CB211" s="28">
        <f t="shared" si="2100"/>
        <v>0</v>
      </c>
      <c r="CC211" s="28">
        <f t="shared" si="2100"/>
        <v>0</v>
      </c>
      <c r="CD211" s="28">
        <f t="shared" si="2100"/>
        <v>0</v>
      </c>
      <c r="CE211" s="28">
        <f t="shared" ref="CE211:CF211" si="2101">CE210-CE161</f>
        <v>0</v>
      </c>
      <c r="CF211" s="28">
        <f t="shared" si="2101"/>
        <v>0</v>
      </c>
      <c r="CG211" s="28">
        <f t="shared" ref="CG211:CH211" si="2102">CG210-CG161</f>
        <v>0</v>
      </c>
      <c r="CH211" s="28">
        <f t="shared" si="2102"/>
        <v>0</v>
      </c>
      <c r="CI211" s="28">
        <f t="shared" ref="CI211:CJ211" si="2103">CI210-CI161</f>
        <v>0</v>
      </c>
      <c r="CJ211" s="28">
        <f t="shared" si="2103"/>
        <v>0</v>
      </c>
      <c r="CK211" s="28">
        <f t="shared" ref="CK211:DB211" si="2104">CK210-CK161</f>
        <v>0</v>
      </c>
      <c r="CL211" s="28">
        <f t="shared" si="2104"/>
        <v>0</v>
      </c>
      <c r="CM211" s="30">
        <f t="shared" si="2104"/>
        <v>0</v>
      </c>
      <c r="CN211" s="30">
        <f t="shared" si="2104"/>
        <v>0</v>
      </c>
      <c r="CO211" s="30">
        <f t="shared" si="2104"/>
        <v>0</v>
      </c>
      <c r="CP211" s="30">
        <f t="shared" si="2104"/>
        <v>0</v>
      </c>
      <c r="CQ211" s="30">
        <f t="shared" si="2104"/>
        <v>0</v>
      </c>
      <c r="CR211" s="30">
        <f t="shared" si="2104"/>
        <v>0</v>
      </c>
      <c r="CS211" s="30">
        <f t="shared" si="2104"/>
        <v>0</v>
      </c>
      <c r="CT211" s="30">
        <f t="shared" si="2104"/>
        <v>0</v>
      </c>
      <c r="CU211" s="30">
        <f t="shared" si="2104"/>
        <v>0</v>
      </c>
      <c r="CV211" s="30">
        <f t="shared" si="2104"/>
        <v>0</v>
      </c>
      <c r="CW211" s="30">
        <f t="shared" si="2104"/>
        <v>0</v>
      </c>
      <c r="CX211" s="30">
        <f t="shared" si="2104"/>
        <v>0</v>
      </c>
      <c r="CY211" s="30">
        <f t="shared" si="2104"/>
        <v>0</v>
      </c>
      <c r="CZ211" s="30">
        <f t="shared" si="2104"/>
        <v>0</v>
      </c>
      <c r="DA211" s="30">
        <f t="shared" si="2104"/>
        <v>0</v>
      </c>
      <c r="DB211" s="30">
        <f t="shared" si="2104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05">C199+C201</f>
        <v>0</v>
      </c>
      <c r="D213" s="22">
        <f t="shared" si="2105"/>
        <v>0</v>
      </c>
      <c r="E213" s="22">
        <f t="shared" si="2105"/>
        <v>0</v>
      </c>
      <c r="F213" s="22">
        <f t="shared" si="2105"/>
        <v>0</v>
      </c>
      <c r="G213" s="22">
        <f t="shared" si="2105"/>
        <v>0</v>
      </c>
      <c r="H213" s="22">
        <f t="shared" si="2105"/>
        <v>0</v>
      </c>
      <c r="I213" s="22">
        <f t="shared" si="2105"/>
        <v>-176.56800229999999</v>
      </c>
      <c r="J213" s="22">
        <f>J199+J201</f>
        <v>1.1703167999999948</v>
      </c>
      <c r="K213" s="22">
        <f t="shared" si="2105"/>
        <v>-67.788075499999991</v>
      </c>
      <c r="L213" s="22">
        <f t="shared" si="2105"/>
        <v>14.6304224</v>
      </c>
      <c r="M213" s="22">
        <f t="shared" si="2105"/>
        <v>34.534714899999997</v>
      </c>
      <c r="N213" s="22">
        <f t="shared" si="2105"/>
        <v>332.35724399999998</v>
      </c>
      <c r="O213" s="22">
        <f t="shared" si="2105"/>
        <v>-293.23833089999994</v>
      </c>
      <c r="P213" s="22">
        <f t="shared" si="2105"/>
        <v>51.958976299999968</v>
      </c>
      <c r="Q213" s="22">
        <f t="shared" si="2105"/>
        <v>6.2024548000000692</v>
      </c>
      <c r="R213" s="22">
        <f t="shared" si="2105"/>
        <v>-173.06531630000003</v>
      </c>
      <c r="S213" s="22">
        <f t="shared" si="2105"/>
        <v>-64.720399099999938</v>
      </c>
      <c r="T213" s="22">
        <f t="shared" si="2105"/>
        <v>344.12824940000002</v>
      </c>
      <c r="U213" s="22">
        <f t="shared" si="2105"/>
        <v>851.24400000000014</v>
      </c>
      <c r="V213" s="22">
        <f t="shared" si="2105"/>
        <v>-489.14900000000034</v>
      </c>
      <c r="W213" s="22">
        <f t="shared" si="2105"/>
        <v>3095.7839999999997</v>
      </c>
      <c r="X213" s="22">
        <f t="shared" ref="X213:Y213" si="2106">X199+X201</f>
        <v>1384.6930000000002</v>
      </c>
      <c r="Y213" s="22">
        <f t="shared" si="2106"/>
        <v>-153.28000000000026</v>
      </c>
      <c r="Z213" s="22">
        <f t="shared" ref="Z213:AA213" si="2107">Z199+Z201</f>
        <v>-1162.1109999999992</v>
      </c>
      <c r="AA213" s="22">
        <f t="shared" ref="AA213" si="2108">AA199+AA201</f>
        <v>3438.3459999999995</v>
      </c>
      <c r="AB213" s="21">
        <f t="shared" ref="AB213:AD213" si="2109">AB199+AB201</f>
        <v>6686.0042868301844</v>
      </c>
      <c r="AC213" s="21">
        <f t="shared" si="2109"/>
        <v>2857.72286500775</v>
      </c>
      <c r="AD213" s="21">
        <f t="shared" si="2109"/>
        <v>3294.125139233051</v>
      </c>
      <c r="AE213" s="21">
        <f t="shared" ref="AE213" si="2110">AE199+AE201</f>
        <v>3870.2234659743999</v>
      </c>
      <c r="AI213" s="22">
        <f t="shared" ref="AI213" si="2111">AI199+AI201</f>
        <v>0</v>
      </c>
      <c r="AJ213" s="22">
        <f t="shared" ref="AJ213:AL213" si="2112">AJ199+AJ201</f>
        <v>0</v>
      </c>
      <c r="AK213" s="22" t="e">
        <f t="shared" si="2112"/>
        <v>#DIV/0!</v>
      </c>
      <c r="AL213" s="22" t="e">
        <f t="shared" si="2112"/>
        <v>#DIV/0!</v>
      </c>
      <c r="AM213" s="22" t="e">
        <f t="shared" ref="AM213" si="2113">AM199+AM201</f>
        <v>#DIV/0!</v>
      </c>
      <c r="AN213" s="22" t="e">
        <f t="shared" ref="AN213:CD213" si="2114">AN199+AN201</f>
        <v>#DIV/0!</v>
      </c>
      <c r="AO213" s="22" t="e">
        <f t="shared" si="2114"/>
        <v>#DIV/0!</v>
      </c>
      <c r="AP213" s="22" t="e">
        <f t="shared" si="2114"/>
        <v>#DIV/0!</v>
      </c>
      <c r="AQ213" s="22" t="e">
        <f t="shared" si="2114"/>
        <v>#DIV/0!</v>
      </c>
      <c r="AR213" s="22" t="e">
        <f t="shared" si="2114"/>
        <v>#DIV/0!</v>
      </c>
      <c r="AS213" s="22" t="e">
        <f t="shared" si="2114"/>
        <v>#DIV/0!</v>
      </c>
      <c r="AT213" s="22" t="e">
        <f t="shared" si="2114"/>
        <v>#DIV/0!</v>
      </c>
      <c r="AU213" s="22" t="e">
        <f t="shared" si="2114"/>
        <v>#DIV/0!</v>
      </c>
      <c r="AV213" s="22" t="e">
        <f t="shared" si="2114"/>
        <v>#DIV/0!</v>
      </c>
      <c r="AW213" s="22" t="e">
        <f t="shared" si="2114"/>
        <v>#DIV/0!</v>
      </c>
      <c r="AX213" s="22" t="e">
        <f t="shared" si="2114"/>
        <v>#DIV/0!</v>
      </c>
      <c r="AY213" s="22" t="e">
        <f t="shared" si="2114"/>
        <v>#DIV/0!</v>
      </c>
      <c r="AZ213" s="22" t="e">
        <f t="shared" si="2114"/>
        <v>#DIV/0!</v>
      </c>
      <c r="BA213" s="22" t="e">
        <f t="shared" si="2114"/>
        <v>#DIV/0!</v>
      </c>
      <c r="BB213" s="22" t="e">
        <f t="shared" si="2114"/>
        <v>#DIV/0!</v>
      </c>
      <c r="BC213" s="22" t="e">
        <f t="shared" si="2114"/>
        <v>#DIV/0!</v>
      </c>
      <c r="BD213" s="22" t="e">
        <f t="shared" si="2114"/>
        <v>#DIV/0!</v>
      </c>
      <c r="BE213" s="22" t="e">
        <f t="shared" si="2114"/>
        <v>#DIV/0!</v>
      </c>
      <c r="BF213" s="22" t="e">
        <f t="shared" si="2114"/>
        <v>#DIV/0!</v>
      </c>
      <c r="BG213" s="22" t="e">
        <f t="shared" si="2114"/>
        <v>#DIV/0!</v>
      </c>
      <c r="BH213" s="22" t="e">
        <f t="shared" si="2114"/>
        <v>#DIV/0!</v>
      </c>
      <c r="BI213" s="22" t="e">
        <f t="shared" si="2114"/>
        <v>#DIV/0!</v>
      </c>
      <c r="BJ213" s="22" t="e">
        <f t="shared" si="2114"/>
        <v>#DIV/0!</v>
      </c>
      <c r="BK213" s="22" t="e">
        <f t="shared" si="2114"/>
        <v>#DIV/0!</v>
      </c>
      <c r="BL213" s="22" t="e">
        <f t="shared" si="2114"/>
        <v>#DIV/0!</v>
      </c>
      <c r="BM213" s="22">
        <f t="shared" si="2114"/>
        <v>27.013000000000002</v>
      </c>
      <c r="BN213" s="22">
        <f t="shared" si="2114"/>
        <v>397.41200000000003</v>
      </c>
      <c r="BO213" s="22">
        <f t="shared" si="2114"/>
        <v>260.65690072787464</v>
      </c>
      <c r="BP213" s="22">
        <f t="shared" si="2114"/>
        <v>516.61309927212528</v>
      </c>
      <c r="BQ213" s="22">
        <f t="shared" si="2114"/>
        <v>58.383329331461368</v>
      </c>
      <c r="BR213" s="22">
        <f t="shared" si="2114"/>
        <v>-1324.8023293314609</v>
      </c>
      <c r="BS213" s="22">
        <f t="shared" si="2114"/>
        <v>392.39762343739289</v>
      </c>
      <c r="BT213" s="22">
        <f t="shared" si="2114"/>
        <v>2400.3023765626062</v>
      </c>
      <c r="BU213" s="22">
        <f t="shared" si="2114"/>
        <v>654.65598189213677</v>
      </c>
      <c r="BV213" s="22">
        <f t="shared" si="2114"/>
        <v>-327.00498189213698</v>
      </c>
      <c r="BW213" s="22">
        <f t="shared" si="2114"/>
        <v>187.62546224565222</v>
      </c>
      <c r="BX213" s="22">
        <f t="shared" si="2114"/>
        <v>-1338.7654622456516</v>
      </c>
      <c r="BY213" s="22">
        <f t="shared" si="2114"/>
        <v>244.47945525291831</v>
      </c>
      <c r="BZ213" s="22">
        <f t="shared" si="2114"/>
        <v>2403.3805447470813</v>
      </c>
      <c r="CA213" s="22">
        <f t="shared" si="2114"/>
        <v>139.16495163235723</v>
      </c>
      <c r="CB213" s="22">
        <f t="shared" si="2114"/>
        <v>1352.2160483676432</v>
      </c>
      <c r="CC213" s="22">
        <f t="shared" si="2114"/>
        <v>322.31438414417119</v>
      </c>
      <c r="CD213" s="22">
        <f t="shared" si="2114"/>
        <v>1032.3456158558281</v>
      </c>
      <c r="CE213" s="22">
        <f t="shared" ref="CE213:CF213" si="2115">CE199+CE201</f>
        <v>530.90597951337782</v>
      </c>
      <c r="CF213" s="22">
        <f t="shared" si="2115"/>
        <v>-216.78797951337725</v>
      </c>
      <c r="CG213" s="22">
        <f t="shared" ref="CG213:CH213" si="2116">CG199+CG201</f>
        <v>-1195.399599660926</v>
      </c>
      <c r="CH213" s="22">
        <f t="shared" si="2116"/>
        <v>-3416.8064003390746</v>
      </c>
      <c r="CI213" s="22">
        <f t="shared" ref="CI213:CJ213" si="2117">CI199+CI201</f>
        <v>97.215252513938765</v>
      </c>
      <c r="CJ213" s="22">
        <f t="shared" si="2117"/>
        <v>5048.9607474860613</v>
      </c>
      <c r="CK213" s="22">
        <f t="shared" ref="CK213:DB213" si="2118">CK199+CK201</f>
        <v>763.59792126867387</v>
      </c>
      <c r="CL213" s="22">
        <f t="shared" si="2118"/>
        <v>1814.7470787313255</v>
      </c>
      <c r="CM213" s="21">
        <f t="shared" si="2118"/>
        <v>-983.68748393176111</v>
      </c>
      <c r="CN213" s="21">
        <f t="shared" si="2118"/>
        <v>827.76208399621896</v>
      </c>
      <c r="CO213" s="21">
        <f t="shared" si="2118"/>
        <v>1382.7849783516922</v>
      </c>
      <c r="CP213" s="21">
        <f t="shared" si="2118"/>
        <v>1172.9697084140348</v>
      </c>
      <c r="CQ213" s="21">
        <f t="shared" si="2118"/>
        <v>-1392.736601586618</v>
      </c>
      <c r="CR213" s="21">
        <f t="shared" si="2118"/>
        <v>1099.5461586449051</v>
      </c>
      <c r="CS213" s="21">
        <f t="shared" si="2118"/>
        <v>1733.2306505695365</v>
      </c>
      <c r="CT213" s="21">
        <f t="shared" si="2118"/>
        <v>1417.6826573799272</v>
      </c>
      <c r="CU213" s="21">
        <f t="shared" si="2118"/>
        <v>-1759.3736876535631</v>
      </c>
      <c r="CV213" s="21">
        <f t="shared" si="2118"/>
        <v>1335.5922813778438</v>
      </c>
      <c r="CW213" s="21">
        <f t="shared" si="2118"/>
        <v>2058.1103967503914</v>
      </c>
      <c r="CX213" s="21">
        <f t="shared" si="2118"/>
        <v>1659.7961487583791</v>
      </c>
      <c r="CY213" s="21">
        <f t="shared" si="2118"/>
        <v>-2080.8714937281516</v>
      </c>
      <c r="CZ213" s="21">
        <f t="shared" si="2118"/>
        <v>1582.0780819151416</v>
      </c>
      <c r="DA213" s="21">
        <f t="shared" si="2118"/>
        <v>2421.3372246098888</v>
      </c>
      <c r="DB213" s="21">
        <f t="shared" si="2118"/>
        <v>1947.6796531775212</v>
      </c>
      <c r="DE213" s="126"/>
      <c r="DF213" s="22">
        <v>3438.3459999999995</v>
      </c>
    </row>
    <row r="214" spans="1:110" x14ac:dyDescent="0.2">
      <c r="A214" s="152" t="s">
        <v>496</v>
      </c>
      <c r="AA214" s="2"/>
    </row>
    <row r="215" spans="1:110" x14ac:dyDescent="0.2">
      <c r="AA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19">SUM(AI10:AL10)</f>
        <v>0</v>
      </c>
      <c r="AM225" s="66">
        <f t="shared" si="2119"/>
        <v>0</v>
      </c>
      <c r="AN225" s="66">
        <f t="shared" si="2119"/>
        <v>0</v>
      </c>
      <c r="AO225" s="66">
        <f t="shared" si="2119"/>
        <v>0</v>
      </c>
      <c r="AP225" s="66">
        <f t="shared" si="2119"/>
        <v>0</v>
      </c>
      <c r="AQ225" s="66">
        <f t="shared" si="2119"/>
        <v>0</v>
      </c>
      <c r="AR225" s="66">
        <f t="shared" si="2119"/>
        <v>0</v>
      </c>
      <c r="AS225" s="66">
        <f t="shared" si="2119"/>
        <v>0</v>
      </c>
      <c r="AT225" s="66">
        <f t="shared" si="2119"/>
        <v>0</v>
      </c>
      <c r="AU225" s="66">
        <f t="shared" si="2119"/>
        <v>0</v>
      </c>
      <c r="AV225" s="66">
        <f t="shared" si="2119"/>
        <v>0</v>
      </c>
      <c r="AW225" s="66">
        <f t="shared" si="2119"/>
        <v>0</v>
      </c>
      <c r="AX225" s="66">
        <f t="shared" si="2119"/>
        <v>0</v>
      </c>
      <c r="AY225" s="66">
        <f t="shared" si="2119"/>
        <v>0</v>
      </c>
      <c r="AZ225" s="66">
        <f t="shared" si="2119"/>
        <v>0</v>
      </c>
      <c r="BA225" s="66">
        <f t="shared" si="2119"/>
        <v>0</v>
      </c>
      <c r="BB225" s="66">
        <f t="shared" si="2119"/>
        <v>0</v>
      </c>
      <c r="BC225" s="66">
        <f t="shared" si="2119"/>
        <v>0</v>
      </c>
      <c r="BD225" s="66">
        <f t="shared" si="2119"/>
        <v>0</v>
      </c>
      <c r="BE225" s="66">
        <f t="shared" si="2119"/>
        <v>0</v>
      </c>
      <c r="BF225" s="66">
        <f t="shared" si="2119"/>
        <v>0</v>
      </c>
      <c r="BG225" s="66">
        <f t="shared" si="2119"/>
        <v>0</v>
      </c>
      <c r="BH225" s="66">
        <f t="shared" si="2119"/>
        <v>0</v>
      </c>
      <c r="BI225" s="66">
        <f t="shared" si="2119"/>
        <v>0</v>
      </c>
      <c r="BJ225" s="66">
        <f t="shared" si="2119"/>
        <v>0</v>
      </c>
      <c r="BK225" s="66">
        <f t="shared" si="2119"/>
        <v>0</v>
      </c>
      <c r="BL225" s="66">
        <f t="shared" si="2119"/>
        <v>171.81800000000001</v>
      </c>
      <c r="BM225" s="66">
        <f t="shared" si="2119"/>
        <v>350.56299999999999</v>
      </c>
      <c r="BN225" s="66">
        <f t="shared" si="2119"/>
        <v>543.31600000000003</v>
      </c>
      <c r="BO225" s="66">
        <f t="shared" si="2119"/>
        <v>781.74</v>
      </c>
      <c r="BP225" s="66">
        <f t="shared" si="2119"/>
        <v>919.77700000000004</v>
      </c>
      <c r="BQ225" s="66">
        <f t="shared" si="2119"/>
        <v>1047.825</v>
      </c>
      <c r="BR225" s="66">
        <f t="shared" ref="BR225:CW225" si="2120">SUM(BO10:BR10)</f>
        <v>1263.684</v>
      </c>
      <c r="BS225" s="66">
        <f t="shared" si="2120"/>
        <v>1487.9279999999999</v>
      </c>
      <c r="BT225" s="66">
        <f t="shared" si="2120"/>
        <v>1705.413</v>
      </c>
      <c r="BU225" s="66">
        <f t="shared" si="2120"/>
        <v>1995.9389999999999</v>
      </c>
      <c r="BV225" s="66">
        <f t="shared" si="2120"/>
        <v>2268.136</v>
      </c>
      <c r="BW225" s="66">
        <f t="shared" si="2120"/>
        <v>2487.4679999999998</v>
      </c>
      <c r="BX225" s="66">
        <f t="shared" si="2120"/>
        <v>2705.4279999999999</v>
      </c>
      <c r="BY225" s="66">
        <f t="shared" si="2120"/>
        <v>2856.7089999999998</v>
      </c>
      <c r="BZ225" s="66">
        <f t="shared" si="2120"/>
        <v>3001.6379999999999</v>
      </c>
      <c r="CA225" s="66">
        <f t="shared" si="2120"/>
        <v>3127.143</v>
      </c>
      <c r="CB225" s="66">
        <f t="shared" si="2120"/>
        <v>3429.71</v>
      </c>
      <c r="CC225" s="66">
        <f t="shared" si="2120"/>
        <v>3740.1559999999999</v>
      </c>
      <c r="CD225" s="66">
        <f t="shared" si="2120"/>
        <v>4271.6939999999995</v>
      </c>
      <c r="CE225" s="66">
        <f t="shared" si="2120"/>
        <v>4869.643</v>
      </c>
      <c r="CF225" s="66">
        <f t="shared" si="2120"/>
        <v>5336.482</v>
      </c>
      <c r="CG225" s="66">
        <f t="shared" si="2120"/>
        <v>5539.6419999999998</v>
      </c>
      <c r="CH225" s="66">
        <f t="shared" si="2120"/>
        <v>5238.3789999999999</v>
      </c>
      <c r="CI225" s="66">
        <f t="shared" si="2120"/>
        <v>4973.4560000000001</v>
      </c>
      <c r="CJ225" s="66">
        <f t="shared" si="2120"/>
        <v>4660.5079999999998</v>
      </c>
      <c r="CK225" s="66">
        <f t="shared" si="2120"/>
        <v>4733.1979999999994</v>
      </c>
      <c r="CL225" s="66">
        <f t="shared" si="2120"/>
        <v>5136.607</v>
      </c>
      <c r="CM225" s="50">
        <f t="shared" si="2120"/>
        <v>5172.1055219818927</v>
      </c>
      <c r="CN225" s="50">
        <f t="shared" si="2120"/>
        <v>5275.4925135423819</v>
      </c>
      <c r="CO225" s="50">
        <f t="shared" si="2120"/>
        <v>5487.9930705914639</v>
      </c>
      <c r="CP225" s="50">
        <f t="shared" si="2120"/>
        <v>5757.3858050468807</v>
      </c>
      <c r="CQ225" s="50">
        <f t="shared" si="2120"/>
        <v>5916.4237602365793</v>
      </c>
      <c r="CR225" s="50">
        <f t="shared" si="2120"/>
        <v>6126.8915235171544</v>
      </c>
      <c r="CS225" s="50">
        <f t="shared" si="2120"/>
        <v>6405.5275547038</v>
      </c>
      <c r="CT225" s="50">
        <f t="shared" si="2120"/>
        <v>6725.8550136212061</v>
      </c>
      <c r="CU225" s="50">
        <f t="shared" si="2120"/>
        <v>6946.7579420146776</v>
      </c>
      <c r="CV225" s="50">
        <f t="shared" si="2120"/>
        <v>7208.9881294525549</v>
      </c>
      <c r="CW225" s="50">
        <f t="shared" si="2120"/>
        <v>7530.2950911009884</v>
      </c>
      <c r="CX225" s="50">
        <f t="shared" ref="CX225:DB225" si="2121">SUM(CU10:CX10)</f>
        <v>7888.7554414624819</v>
      </c>
      <c r="CY225" s="50">
        <f t="shared" si="2121"/>
        <v>8156.9161292771978</v>
      </c>
      <c r="CZ225" s="50">
        <f t="shared" si="2121"/>
        <v>8466.3733665256259</v>
      </c>
      <c r="DA225" s="50">
        <f t="shared" si="2121"/>
        <v>8840.7068974072863</v>
      </c>
      <c r="DB225" s="50">
        <f t="shared" si="2121"/>
        <v>9259.4266616283712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22">SUM(AI28:AL28)</f>
        <v>0</v>
      </c>
      <c r="AM226" s="66">
        <f t="shared" si="2122"/>
        <v>0</v>
      </c>
      <c r="AN226" s="66">
        <f t="shared" si="2122"/>
        <v>0</v>
      </c>
      <c r="AO226" s="66">
        <f t="shared" si="2122"/>
        <v>0</v>
      </c>
      <c r="AP226" s="66">
        <f t="shared" si="2122"/>
        <v>0</v>
      </c>
      <c r="AQ226" s="66">
        <f t="shared" si="2122"/>
        <v>0</v>
      </c>
      <c r="AR226" s="66">
        <f t="shared" si="2122"/>
        <v>0</v>
      </c>
      <c r="AS226" s="66">
        <f t="shared" si="2122"/>
        <v>0</v>
      </c>
      <c r="AT226" s="66">
        <f t="shared" si="2122"/>
        <v>0</v>
      </c>
      <c r="AU226" s="66">
        <f t="shared" si="2122"/>
        <v>0</v>
      </c>
      <c r="AV226" s="66">
        <f t="shared" si="2122"/>
        <v>0</v>
      </c>
      <c r="AW226" s="66">
        <f t="shared" si="2122"/>
        <v>0</v>
      </c>
      <c r="AX226" s="66">
        <f t="shared" si="2122"/>
        <v>0</v>
      </c>
      <c r="AY226" s="66">
        <f t="shared" si="2122"/>
        <v>0</v>
      </c>
      <c r="AZ226" s="66">
        <f t="shared" si="2122"/>
        <v>0</v>
      </c>
      <c r="BA226" s="66">
        <f t="shared" si="2122"/>
        <v>0</v>
      </c>
      <c r="BB226" s="66">
        <f t="shared" si="2122"/>
        <v>0</v>
      </c>
      <c r="BC226" s="66">
        <f t="shared" si="2122"/>
        <v>0</v>
      </c>
      <c r="BD226" s="66">
        <f t="shared" si="2122"/>
        <v>0</v>
      </c>
      <c r="BE226" s="66">
        <f t="shared" si="2122"/>
        <v>0</v>
      </c>
      <c r="BF226" s="66">
        <f t="shared" si="2122"/>
        <v>0</v>
      </c>
      <c r="BG226" s="66">
        <f t="shared" si="2122"/>
        <v>0</v>
      </c>
      <c r="BH226" s="66">
        <f t="shared" si="2122"/>
        <v>0</v>
      </c>
      <c r="BI226" s="66">
        <f t="shared" si="2122"/>
        <v>0</v>
      </c>
      <c r="BJ226" s="66">
        <f t="shared" si="2122"/>
        <v>0</v>
      </c>
      <c r="BK226" s="66">
        <f t="shared" si="2122"/>
        <v>0</v>
      </c>
      <c r="BL226" s="66">
        <f t="shared" si="2122"/>
        <v>37.319000000000017</v>
      </c>
      <c r="BM226" s="66">
        <f t="shared" si="2122"/>
        <v>83.152000000000015</v>
      </c>
      <c r="BN226" s="66">
        <f t="shared" si="2122"/>
        <v>135.81399999999999</v>
      </c>
      <c r="BO226" s="66">
        <f t="shared" si="2122"/>
        <v>205.41800000000001</v>
      </c>
      <c r="BP226" s="66">
        <f t="shared" si="2122"/>
        <v>278.66800000000001</v>
      </c>
      <c r="BQ226" s="66">
        <f t="shared" si="2122"/>
        <v>338.952</v>
      </c>
      <c r="BR226" s="66">
        <f t="shared" ref="BR226:CW226" si="2123">SUM(BO28:BR28)</f>
        <v>433.16300000000012</v>
      </c>
      <c r="BS226" s="66">
        <f t="shared" si="2123"/>
        <v>534.45800000000008</v>
      </c>
      <c r="BT226" s="66">
        <f t="shared" si="2123"/>
        <v>616.94800000000009</v>
      </c>
      <c r="BU226" s="66">
        <f t="shared" si="2123"/>
        <v>746.78200000000015</v>
      </c>
      <c r="BV226" s="66">
        <f t="shared" si="2123"/>
        <v>896.29000000000008</v>
      </c>
      <c r="BW226" s="66">
        <f t="shared" si="2123"/>
        <v>991.79100000000005</v>
      </c>
      <c r="BX226" s="66">
        <f t="shared" si="2123"/>
        <v>1115.1319999999998</v>
      </c>
      <c r="BY226" s="66">
        <f t="shared" si="2123"/>
        <v>1203.4809999999998</v>
      </c>
      <c r="BZ226" s="66">
        <f t="shared" si="2123"/>
        <v>1292.828</v>
      </c>
      <c r="CA226" s="66">
        <f t="shared" si="2123"/>
        <v>1346.819</v>
      </c>
      <c r="CB226" s="66">
        <f t="shared" si="2123"/>
        <v>1473.759</v>
      </c>
      <c r="CC226" s="66">
        <f t="shared" si="2123"/>
        <v>1547.3980000000001</v>
      </c>
      <c r="CD226" s="66">
        <f t="shared" si="2123"/>
        <v>1691.5220000000002</v>
      </c>
      <c r="CE226" s="66">
        <f t="shared" si="2123"/>
        <v>1841.5329999999999</v>
      </c>
      <c r="CF226" s="66">
        <f t="shared" si="2123"/>
        <v>2070.029</v>
      </c>
      <c r="CG226" s="66">
        <f t="shared" si="2123"/>
        <v>2168.0149999999994</v>
      </c>
      <c r="CH226" s="66">
        <f t="shared" si="2123"/>
        <v>1980.8839999999996</v>
      </c>
      <c r="CI226" s="66">
        <f t="shared" si="2123"/>
        <v>1785.1539999999995</v>
      </c>
      <c r="CJ226" s="66">
        <f t="shared" si="2123"/>
        <v>1528.7219999999998</v>
      </c>
      <c r="CK226" s="66">
        <f t="shared" si="2123"/>
        <v>1562.1339999999998</v>
      </c>
      <c r="CL226" s="66">
        <f t="shared" si="2123"/>
        <v>1818.008</v>
      </c>
      <c r="CM226" s="50">
        <f t="shared" si="2123"/>
        <v>1952.9437717668579</v>
      </c>
      <c r="CN226" s="50">
        <f t="shared" si="2123"/>
        <v>2027.1837578700524</v>
      </c>
      <c r="CO226" s="50">
        <f t="shared" si="2123"/>
        <v>2089.7872885294546</v>
      </c>
      <c r="CP226" s="50">
        <f t="shared" si="2123"/>
        <v>2146.4823209697188</v>
      </c>
      <c r="CQ226" s="50">
        <f t="shared" si="2123"/>
        <v>2232.5321422975553</v>
      </c>
      <c r="CR226" s="50">
        <f t="shared" si="2123"/>
        <v>2314.2758579867068</v>
      </c>
      <c r="CS226" s="50">
        <f t="shared" si="2123"/>
        <v>2411.5901125231849</v>
      </c>
      <c r="CT226" s="50">
        <f t="shared" si="2123"/>
        <v>2527.167798968524</v>
      </c>
      <c r="CU226" s="50">
        <f t="shared" si="2123"/>
        <v>2615.7429328749836</v>
      </c>
      <c r="CV226" s="50">
        <f t="shared" si="2123"/>
        <v>2713.7708332502439</v>
      </c>
      <c r="CW226" s="50">
        <f t="shared" si="2123"/>
        <v>2832.8075383786654</v>
      </c>
      <c r="CX226" s="50">
        <f t="shared" ref="CX226:DB226" si="2124">SUM(CU28:CX28)</f>
        <v>2967.5693160902588</v>
      </c>
      <c r="CY226" s="50">
        <f t="shared" si="2124"/>
        <v>3069.4743354928046</v>
      </c>
      <c r="CZ226" s="50">
        <f t="shared" si="2124"/>
        <v>3185.5342302988001</v>
      </c>
      <c r="DA226" s="50">
        <f t="shared" si="2124"/>
        <v>3326.0386708108317</v>
      </c>
      <c r="DB226" s="50">
        <f t="shared" si="2124"/>
        <v>3483.7191596862358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25">SUM(AI41:AL41)</f>
        <v>0</v>
      </c>
      <c r="AM227" s="66">
        <f t="shared" si="2125"/>
        <v>0</v>
      </c>
      <c r="AN227" s="66">
        <f t="shared" si="2125"/>
        <v>0</v>
      </c>
      <c r="AO227" s="66">
        <f t="shared" si="2125"/>
        <v>0</v>
      </c>
      <c r="AP227" s="66">
        <f t="shared" si="2125"/>
        <v>0</v>
      </c>
      <c r="AQ227" s="66">
        <f t="shared" si="2125"/>
        <v>0</v>
      </c>
      <c r="AR227" s="66">
        <f t="shared" si="2125"/>
        <v>0</v>
      </c>
      <c r="AS227" s="66">
        <f t="shared" si="2125"/>
        <v>0</v>
      </c>
      <c r="AT227" s="66">
        <f t="shared" si="2125"/>
        <v>0</v>
      </c>
      <c r="AU227" s="66">
        <f t="shared" si="2125"/>
        <v>0</v>
      </c>
      <c r="AV227" s="66">
        <f t="shared" si="2125"/>
        <v>0</v>
      </c>
      <c r="AW227" s="66">
        <f t="shared" si="2125"/>
        <v>0</v>
      </c>
      <c r="AX227" s="66">
        <f t="shared" si="2125"/>
        <v>0</v>
      </c>
      <c r="AY227" s="66">
        <f t="shared" si="2125"/>
        <v>0</v>
      </c>
      <c r="AZ227" s="66">
        <f t="shared" si="2125"/>
        <v>0</v>
      </c>
      <c r="BA227" s="66">
        <f t="shared" si="2125"/>
        <v>0</v>
      </c>
      <c r="BB227" s="66">
        <f t="shared" si="2125"/>
        <v>0</v>
      </c>
      <c r="BC227" s="66">
        <f t="shared" si="2125"/>
        <v>0</v>
      </c>
      <c r="BD227" s="66">
        <f t="shared" si="2125"/>
        <v>0</v>
      </c>
      <c r="BE227" s="66">
        <f t="shared" si="2125"/>
        <v>0</v>
      </c>
      <c r="BF227" s="66">
        <f t="shared" si="2125"/>
        <v>0</v>
      </c>
      <c r="BG227" s="66">
        <f t="shared" si="2125"/>
        <v>0</v>
      </c>
      <c r="BH227" s="66">
        <f t="shared" si="2125"/>
        <v>0</v>
      </c>
      <c r="BI227" s="66">
        <f t="shared" si="2125"/>
        <v>0</v>
      </c>
      <c r="BJ227" s="66">
        <f t="shared" si="2125"/>
        <v>0</v>
      </c>
      <c r="BK227" s="66">
        <f t="shared" si="2125"/>
        <v>0</v>
      </c>
      <c r="BL227" s="66">
        <f t="shared" si="2125"/>
        <v>20.280000000000015</v>
      </c>
      <c r="BM227" s="66">
        <f t="shared" si="2125"/>
        <v>48.211000000000013</v>
      </c>
      <c r="BN227" s="66">
        <f t="shared" si="2125"/>
        <v>80.778999999999996</v>
      </c>
      <c r="BO227" s="66">
        <f t="shared" si="2125"/>
        <v>129.03800000000001</v>
      </c>
      <c r="BP227" s="66">
        <f t="shared" si="2125"/>
        <v>183.35300000000001</v>
      </c>
      <c r="BQ227" s="66">
        <f t="shared" si="2125"/>
        <v>228.65600000000003</v>
      </c>
      <c r="BR227" s="66">
        <f t="shared" ref="BR227:CW227" si="2126">SUM(BO41:BR41)</f>
        <v>298.05800000000011</v>
      </c>
      <c r="BS227" s="66">
        <f t="shared" si="2126"/>
        <v>371.23</v>
      </c>
      <c r="BT227" s="66">
        <f t="shared" si="2126"/>
        <v>430.89400000000012</v>
      </c>
      <c r="BU227" s="66">
        <f t="shared" si="2126"/>
        <v>522.2700000000001</v>
      </c>
      <c r="BV227" s="66">
        <f t="shared" si="2126"/>
        <v>625.05600000000004</v>
      </c>
      <c r="BW227" s="66">
        <f t="shared" si="2126"/>
        <v>685.22500000000002</v>
      </c>
      <c r="BX227" s="66">
        <f t="shared" si="2126"/>
        <v>764.56600000000003</v>
      </c>
      <c r="BY227" s="66">
        <f t="shared" si="2126"/>
        <v>827.95600000000002</v>
      </c>
      <c r="BZ227" s="66">
        <f t="shared" si="2126"/>
        <v>890.16800000000012</v>
      </c>
      <c r="CA227" s="66">
        <f t="shared" si="2126"/>
        <v>929.39300000000003</v>
      </c>
      <c r="CB227" s="66">
        <f t="shared" si="2126"/>
        <v>1020.258</v>
      </c>
      <c r="CC227" s="66">
        <f t="shared" si="2126"/>
        <v>1052.5840000000001</v>
      </c>
      <c r="CD227" s="66">
        <f t="shared" si="2126"/>
        <v>1125.558</v>
      </c>
      <c r="CE227" s="66">
        <f t="shared" si="2126"/>
        <v>1197.4590000000001</v>
      </c>
      <c r="CF227" s="66">
        <f t="shared" si="2126"/>
        <v>1316.3620000000001</v>
      </c>
      <c r="CG227" s="66">
        <f t="shared" si="2126"/>
        <v>1337.502</v>
      </c>
      <c r="CH227" s="66">
        <f t="shared" si="2126"/>
        <v>1172.0809999999997</v>
      </c>
      <c r="CI227" s="66">
        <f t="shared" si="2126"/>
        <v>993.82299999999975</v>
      </c>
      <c r="CJ227" s="66">
        <f t="shared" si="2126"/>
        <v>782.18499999999983</v>
      </c>
      <c r="CK227" s="66">
        <f t="shared" si="2126"/>
        <v>769.48999999999978</v>
      </c>
      <c r="CL227" s="66">
        <f t="shared" si="2126"/>
        <v>915.22899999999981</v>
      </c>
      <c r="CM227" s="50">
        <f t="shared" si="2126"/>
        <v>1013.9962710115857</v>
      </c>
      <c r="CN227" s="50">
        <f t="shared" si="2126"/>
        <v>1085.3330198714768</v>
      </c>
      <c r="CO227" s="50">
        <f t="shared" si="2126"/>
        <v>1176.9664214506179</v>
      </c>
      <c r="CP227" s="50">
        <f t="shared" si="2126"/>
        <v>1264.1016021225169</v>
      </c>
      <c r="CQ227" s="50">
        <f t="shared" si="2126"/>
        <v>1320.8428713130186</v>
      </c>
      <c r="CR227" s="50">
        <f t="shared" si="2126"/>
        <v>1375.3819088333075</v>
      </c>
      <c r="CS227" s="50">
        <f t="shared" si="2126"/>
        <v>1437.9225098616566</v>
      </c>
      <c r="CT227" s="50">
        <f t="shared" si="2126"/>
        <v>1506.5220964445155</v>
      </c>
      <c r="CU227" s="50">
        <f t="shared" si="2126"/>
        <v>1559.5622712671013</v>
      </c>
      <c r="CV227" s="50">
        <f t="shared" si="2126"/>
        <v>1621.0468054477349</v>
      </c>
      <c r="CW227" s="50">
        <f t="shared" si="2126"/>
        <v>1696.433872837847</v>
      </c>
      <c r="CX227" s="50">
        <f t="shared" ref="CX227:DB227" si="2127">SUM(CU41:CX41)</f>
        <v>1781.6197301028335</v>
      </c>
      <c r="CY227" s="50">
        <f t="shared" si="2127"/>
        <v>1841.2988590008897</v>
      </c>
      <c r="CZ227" s="50">
        <f t="shared" si="2127"/>
        <v>1913.375140159299</v>
      </c>
      <c r="DA227" s="50">
        <f t="shared" si="2127"/>
        <v>2002.6447179605161</v>
      </c>
      <c r="DB227" s="50">
        <f t="shared" si="2127"/>
        <v>2103.0829815221828</v>
      </c>
      <c r="DE227" s="138"/>
    </row>
    <row r="228" spans="1:110" s="93" customFormat="1" x14ac:dyDescent="0.2">
      <c r="AB228" s="30"/>
      <c r="AC228" s="30"/>
      <c r="AD228" s="30"/>
      <c r="AE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28">B8-B237</f>
        <v>0</v>
      </c>
      <c r="C231" s="64">
        <f t="shared" si="2128"/>
        <v>0</v>
      </c>
      <c r="D231" s="64">
        <f t="shared" si="2128"/>
        <v>0</v>
      </c>
      <c r="E231" s="64">
        <f t="shared" si="2128"/>
        <v>0</v>
      </c>
      <c r="F231" s="64">
        <f t="shared" si="2128"/>
        <v>0</v>
      </c>
      <c r="G231" s="64">
        <f t="shared" si="2128"/>
        <v>0</v>
      </c>
      <c r="H231" s="64">
        <f t="shared" si="2128"/>
        <v>0</v>
      </c>
      <c r="I231" s="64">
        <f t="shared" si="2128"/>
        <v>9.0669000000000004</v>
      </c>
      <c r="J231" s="64">
        <f t="shared" si="2128"/>
        <v>10.6424</v>
      </c>
      <c r="K231" s="64">
        <f t="shared" si="2128"/>
        <v>25.4221</v>
      </c>
      <c r="L231" s="64">
        <f t="shared" si="2128"/>
        <v>24.959099999999999</v>
      </c>
      <c r="M231" s="64">
        <f t="shared" si="2128"/>
        <v>27.248899999999999</v>
      </c>
      <c r="N231" s="64">
        <f t="shared" si="2128"/>
        <v>0</v>
      </c>
      <c r="O231" s="64">
        <f t="shared" si="2128"/>
        <v>328.31615859999999</v>
      </c>
      <c r="P231" s="64">
        <f t="shared" si="2128"/>
        <v>447.28469960000001</v>
      </c>
      <c r="Q231" s="64">
        <f t="shared" si="2128"/>
        <v>447.73601020000001</v>
      </c>
      <c r="R231" s="64">
        <f t="shared" si="2128"/>
        <v>430.8894621</v>
      </c>
      <c r="S231" s="64">
        <f t="shared" si="2128"/>
        <v>764.84797300000002</v>
      </c>
      <c r="T231" s="64">
        <f t="shared" si="2128"/>
        <v>762.62</v>
      </c>
      <c r="U231" s="64">
        <f t="shared" si="2128"/>
        <v>724.62400000000002</v>
      </c>
      <c r="V231" s="64">
        <f t="shared" si="2128"/>
        <v>1263.684</v>
      </c>
      <c r="W231" s="64">
        <f t="shared" si="2128"/>
        <v>2291.114</v>
      </c>
      <c r="X231" s="64">
        <f t="shared" si="2128"/>
        <v>3001.585</v>
      </c>
      <c r="Y231" s="64">
        <f t="shared" si="2128"/>
        <v>4271.6840000000002</v>
      </c>
      <c r="Z231" s="64">
        <f t="shared" si="2128"/>
        <v>5238.3789999999999</v>
      </c>
      <c r="AA231" s="64">
        <f t="shared" ref="AA231" si="2129">AA8-AA237</f>
        <v>5136.607</v>
      </c>
      <c r="AB231" s="30"/>
      <c r="AC231" s="30"/>
      <c r="AD231" s="30"/>
      <c r="AE231" s="30"/>
      <c r="AI231" s="64">
        <f t="shared" ref="AI231:BN231" si="2130">AI8-AI237</f>
        <v>0</v>
      </c>
      <c r="AJ231" s="64">
        <f t="shared" si="2130"/>
        <v>0</v>
      </c>
      <c r="AK231" s="64">
        <f t="shared" si="2130"/>
        <v>0</v>
      </c>
      <c r="AL231" s="64">
        <f t="shared" si="2130"/>
        <v>0</v>
      </c>
      <c r="AM231" s="64">
        <f t="shared" si="2130"/>
        <v>0</v>
      </c>
      <c r="AN231" s="64">
        <f t="shared" si="2130"/>
        <v>0</v>
      </c>
      <c r="AO231" s="64">
        <f t="shared" si="2130"/>
        <v>0</v>
      </c>
      <c r="AP231" s="64">
        <f t="shared" si="2130"/>
        <v>0</v>
      </c>
      <c r="AQ231" s="64">
        <f t="shared" si="2130"/>
        <v>0</v>
      </c>
      <c r="AR231" s="64">
        <f t="shared" si="2130"/>
        <v>0</v>
      </c>
      <c r="AS231" s="64">
        <f t="shared" si="2130"/>
        <v>0</v>
      </c>
      <c r="AT231" s="64">
        <f t="shared" si="2130"/>
        <v>0</v>
      </c>
      <c r="AU231" s="64">
        <f t="shared" si="2130"/>
        <v>0</v>
      </c>
      <c r="AV231" s="64">
        <f t="shared" si="2130"/>
        <v>0</v>
      </c>
      <c r="AW231" s="64">
        <f t="shared" si="2130"/>
        <v>0</v>
      </c>
      <c r="AX231" s="64">
        <f t="shared" si="2130"/>
        <v>0</v>
      </c>
      <c r="AY231" s="64">
        <f t="shared" si="2130"/>
        <v>0</v>
      </c>
      <c r="AZ231" s="64">
        <f t="shared" si="2130"/>
        <v>0</v>
      </c>
      <c r="BA231" s="64">
        <f t="shared" si="2130"/>
        <v>0</v>
      </c>
      <c r="BB231" s="64">
        <f t="shared" si="2130"/>
        <v>0</v>
      </c>
      <c r="BC231" s="64">
        <f t="shared" si="2130"/>
        <v>0</v>
      </c>
      <c r="BD231" s="64">
        <f t="shared" si="2130"/>
        <v>0</v>
      </c>
      <c r="BE231" s="64">
        <f t="shared" si="2130"/>
        <v>0</v>
      </c>
      <c r="BF231" s="64">
        <f t="shared" si="2130"/>
        <v>0</v>
      </c>
      <c r="BG231" s="64">
        <f t="shared" si="2130"/>
        <v>0</v>
      </c>
      <c r="BH231" s="64">
        <f t="shared" si="2130"/>
        <v>0</v>
      </c>
      <c r="BI231" s="64">
        <f t="shared" si="2130"/>
        <v>0</v>
      </c>
      <c r="BJ231" s="64">
        <f t="shared" si="2130"/>
        <v>0</v>
      </c>
      <c r="BK231" s="64">
        <f t="shared" si="2130"/>
        <v>0</v>
      </c>
      <c r="BL231" s="64">
        <f t="shared" si="2130"/>
        <v>171.81800000000001</v>
      </c>
      <c r="BM231" s="64">
        <f t="shared" si="2130"/>
        <v>178.745</v>
      </c>
      <c r="BN231" s="64">
        <f t="shared" si="2130"/>
        <v>192.75299999999999</v>
      </c>
      <c r="BO231" s="64">
        <f t="shared" ref="BO231:CT231" si="2131">BO8-BO237</f>
        <v>238.42400000000001</v>
      </c>
      <c r="BP231" s="64">
        <f t="shared" si="2131"/>
        <v>309.85500000000002</v>
      </c>
      <c r="BQ231" s="64">
        <f t="shared" si="2131"/>
        <v>306.79300000000001</v>
      </c>
      <c r="BR231" s="64">
        <f t="shared" si="2131"/>
        <v>408.61200000000002</v>
      </c>
      <c r="BS231" s="64">
        <f t="shared" si="2131"/>
        <v>462.66800000000001</v>
      </c>
      <c r="BT231" s="64">
        <f t="shared" si="2131"/>
        <v>527.34</v>
      </c>
      <c r="BU231" s="64">
        <f t="shared" si="2131"/>
        <v>597.31899999999996</v>
      </c>
      <c r="BV231" s="64">
        <f t="shared" si="2131"/>
        <v>680.80899999999997</v>
      </c>
      <c r="BW231" s="64">
        <f t="shared" si="2131"/>
        <v>682</v>
      </c>
      <c r="BX231" s="64">
        <f t="shared" si="2131"/>
        <v>745.3</v>
      </c>
      <c r="BY231" s="64">
        <f t="shared" si="2131"/>
        <v>748.6</v>
      </c>
      <c r="BZ231" s="64">
        <f t="shared" si="2131"/>
        <v>825.73800000000006</v>
      </c>
      <c r="CA231" s="64">
        <f t="shared" si="2131"/>
        <v>807.505</v>
      </c>
      <c r="CB231" s="64">
        <f t="shared" si="2131"/>
        <v>1047.867</v>
      </c>
      <c r="CC231" s="64">
        <f t="shared" si="2131"/>
        <v>1059.046</v>
      </c>
      <c r="CD231" s="64">
        <f t="shared" si="2131"/>
        <v>1357.2760000000001</v>
      </c>
      <c r="CE231" s="64">
        <f t="shared" si="2131"/>
        <v>1405.454</v>
      </c>
      <c r="CF231" s="64">
        <f t="shared" si="2131"/>
        <v>1514.7059999999999</v>
      </c>
      <c r="CG231" s="64">
        <f t="shared" si="2131"/>
        <v>1262.2059999999999</v>
      </c>
      <c r="CH231" s="64">
        <f t="shared" si="2131"/>
        <v>1056.0129999999999</v>
      </c>
      <c r="CI231" s="64">
        <f t="shared" si="2131"/>
        <v>1140.5309999999999</v>
      </c>
      <c r="CJ231" s="64">
        <f t="shared" si="2131"/>
        <v>1201.758</v>
      </c>
      <c r="CK231" s="64">
        <f t="shared" si="2131"/>
        <v>1334.896</v>
      </c>
      <c r="CL231" s="64">
        <f t="shared" ref="CL231" si="2132">CL8-CL237</f>
        <v>1459.422</v>
      </c>
      <c r="CM231" s="30">
        <f t="shared" si="2131"/>
        <v>1176.0295219818925</v>
      </c>
      <c r="CN231" s="30">
        <f t="shared" si="2131"/>
        <v>1305.144991560489</v>
      </c>
      <c r="CO231" s="30">
        <f t="shared" si="2131"/>
        <v>1547.396557049083</v>
      </c>
      <c r="CP231" s="30">
        <f t="shared" si="2131"/>
        <v>1728.8147344554166</v>
      </c>
      <c r="CQ231" s="30">
        <f t="shared" si="2131"/>
        <v>1335.0674771715912</v>
      </c>
      <c r="CR231" s="30">
        <f t="shared" si="2131"/>
        <v>1515.6127548410634</v>
      </c>
      <c r="CS231" s="30">
        <f t="shared" si="2131"/>
        <v>1826.0325882357295</v>
      </c>
      <c r="CT231" s="30">
        <f t="shared" si="2131"/>
        <v>2049.1421933728225</v>
      </c>
      <c r="CU231" s="30">
        <f t="shared" ref="CU231:DB231" si="2133">CU8-CU237</f>
        <v>1555.9704055650614</v>
      </c>
      <c r="CV231" s="30">
        <f t="shared" si="2133"/>
        <v>1777.8429422789413</v>
      </c>
      <c r="CW231" s="30">
        <f t="shared" si="2133"/>
        <v>2147.3395498841637</v>
      </c>
      <c r="CX231" s="30">
        <f t="shared" si="2133"/>
        <v>2407.6025437343151</v>
      </c>
      <c r="CY231" s="30">
        <f t="shared" si="2133"/>
        <v>1824.1310933797774</v>
      </c>
      <c r="CZ231" s="30">
        <f t="shared" si="2133"/>
        <v>2087.3001795273685</v>
      </c>
      <c r="DA231" s="30">
        <f t="shared" si="2133"/>
        <v>2521.6730807658241</v>
      </c>
      <c r="DB231" s="30">
        <f t="shared" si="2133"/>
        <v>2826.3223079554014</v>
      </c>
      <c r="DE231" s="139"/>
      <c r="DF231" s="64">
        <v>5136.607</v>
      </c>
    </row>
    <row r="232" spans="1:110" s="64" customFormat="1" hidden="1" outlineLevel="1" x14ac:dyDescent="0.2">
      <c r="A232" s="64" t="s">
        <v>475</v>
      </c>
      <c r="B232" s="64">
        <f t="shared" ref="B232:Z232" si="2134">B28-B238</f>
        <v>0</v>
      </c>
      <c r="C232" s="64">
        <f t="shared" si="2134"/>
        <v>0</v>
      </c>
      <c r="D232" s="64">
        <f t="shared" si="2134"/>
        <v>0</v>
      </c>
      <c r="E232" s="64">
        <f t="shared" si="2134"/>
        <v>0</v>
      </c>
      <c r="F232" s="64">
        <f t="shared" si="2134"/>
        <v>0</v>
      </c>
      <c r="G232" s="64">
        <f t="shared" si="2134"/>
        <v>0</v>
      </c>
      <c r="H232" s="64">
        <f t="shared" si="2134"/>
        <v>0</v>
      </c>
      <c r="I232" s="64">
        <f t="shared" si="2134"/>
        <v>6.3978982000000038</v>
      </c>
      <c r="J232" s="64">
        <f t="shared" si="2134"/>
        <v>4.1539738999999969</v>
      </c>
      <c r="K232" s="64">
        <f t="shared" si="2134"/>
        <v>3.1735168999999992</v>
      </c>
      <c r="L232" s="64">
        <f t="shared" si="2134"/>
        <v>-9.2416138000000032</v>
      </c>
      <c r="M232" s="64">
        <f t="shared" si="2134"/>
        <v>22.663896899999997</v>
      </c>
      <c r="N232" s="64">
        <f t="shared" si="2134"/>
        <v>0</v>
      </c>
      <c r="O232" s="64">
        <f t="shared" si="2134"/>
        <v>27.019779200000016</v>
      </c>
      <c r="P232" s="64">
        <f t="shared" si="2134"/>
        <v>108.51476710000003</v>
      </c>
      <c r="Q232" s="64">
        <f t="shared" si="2134"/>
        <v>86.135730000000024</v>
      </c>
      <c r="R232" s="64">
        <f t="shared" si="2134"/>
        <v>-6.1356488000000127</v>
      </c>
      <c r="S232" s="64">
        <f t="shared" si="2134"/>
        <v>248.28872050000007</v>
      </c>
      <c r="T232" s="64">
        <f t="shared" si="2134"/>
        <v>187.673</v>
      </c>
      <c r="U232" s="64">
        <f t="shared" si="2134"/>
        <v>159.55700000000002</v>
      </c>
      <c r="V232" s="64">
        <f t="shared" si="2134"/>
        <v>436.54499999999996</v>
      </c>
      <c r="W232" s="64">
        <f t="shared" si="2134"/>
        <v>925.33300000000008</v>
      </c>
      <c r="X232" s="64">
        <f t="shared" si="2134"/>
        <v>1292.364</v>
      </c>
      <c r="Y232" s="64">
        <f t="shared" si="2134"/>
        <v>1692.2530000000002</v>
      </c>
      <c r="Z232" s="64">
        <f t="shared" si="2134"/>
        <v>1981.9679999999998</v>
      </c>
      <c r="AA232" s="64">
        <f t="shared" ref="AA232" si="2135">AA28-AA238</f>
        <v>1818.9499999999998</v>
      </c>
      <c r="AB232" s="30"/>
      <c r="AC232" s="30"/>
      <c r="AD232" s="30"/>
      <c r="AE232" s="30"/>
      <c r="AI232" s="64">
        <f t="shared" ref="AI232:BN232" si="2136">AI28-AI238</f>
        <v>0</v>
      </c>
      <c r="AJ232" s="64">
        <f t="shared" si="2136"/>
        <v>0</v>
      </c>
      <c r="AK232" s="64">
        <f t="shared" si="2136"/>
        <v>0</v>
      </c>
      <c r="AL232" s="64">
        <f t="shared" si="2136"/>
        <v>0</v>
      </c>
      <c r="AM232" s="64">
        <f t="shared" si="2136"/>
        <v>0</v>
      </c>
      <c r="AN232" s="64">
        <f t="shared" si="2136"/>
        <v>0</v>
      </c>
      <c r="AO232" s="64">
        <f t="shared" si="2136"/>
        <v>0</v>
      </c>
      <c r="AP232" s="64">
        <f t="shared" si="2136"/>
        <v>0</v>
      </c>
      <c r="AQ232" s="64">
        <f t="shared" si="2136"/>
        <v>0</v>
      </c>
      <c r="AR232" s="64">
        <f t="shared" si="2136"/>
        <v>0</v>
      </c>
      <c r="AS232" s="64">
        <f t="shared" si="2136"/>
        <v>0</v>
      </c>
      <c r="AT232" s="64">
        <f t="shared" si="2136"/>
        <v>0</v>
      </c>
      <c r="AU232" s="64">
        <f t="shared" si="2136"/>
        <v>0</v>
      </c>
      <c r="AV232" s="64">
        <f t="shared" si="2136"/>
        <v>0</v>
      </c>
      <c r="AW232" s="64">
        <f t="shared" si="2136"/>
        <v>0</v>
      </c>
      <c r="AX232" s="64">
        <f t="shared" si="2136"/>
        <v>0</v>
      </c>
      <c r="AY232" s="64">
        <f t="shared" si="2136"/>
        <v>0</v>
      </c>
      <c r="AZ232" s="64">
        <f t="shared" si="2136"/>
        <v>0</v>
      </c>
      <c r="BA232" s="64">
        <f t="shared" si="2136"/>
        <v>0</v>
      </c>
      <c r="BB232" s="64">
        <f t="shared" si="2136"/>
        <v>0</v>
      </c>
      <c r="BC232" s="64">
        <f t="shared" si="2136"/>
        <v>0</v>
      </c>
      <c r="BD232" s="64">
        <f t="shared" si="2136"/>
        <v>0</v>
      </c>
      <c r="BE232" s="64">
        <f t="shared" si="2136"/>
        <v>0</v>
      </c>
      <c r="BF232" s="64">
        <f t="shared" si="2136"/>
        <v>0</v>
      </c>
      <c r="BG232" s="64">
        <f t="shared" si="2136"/>
        <v>0</v>
      </c>
      <c r="BH232" s="64">
        <f t="shared" si="2136"/>
        <v>0</v>
      </c>
      <c r="BI232" s="64">
        <f t="shared" si="2136"/>
        <v>0</v>
      </c>
      <c r="BJ232" s="64">
        <f t="shared" si="2136"/>
        <v>0</v>
      </c>
      <c r="BK232" s="64">
        <f t="shared" si="2136"/>
        <v>0</v>
      </c>
      <c r="BL232" s="64">
        <f t="shared" si="2136"/>
        <v>37.319000000000017</v>
      </c>
      <c r="BM232" s="64">
        <f t="shared" si="2136"/>
        <v>45.832999999999998</v>
      </c>
      <c r="BN232" s="64">
        <f t="shared" si="2136"/>
        <v>52.661999999999978</v>
      </c>
      <c r="BO232" s="64">
        <f t="shared" ref="BO232:CT232" si="2137">BO28-BO238</f>
        <v>69.604000000000013</v>
      </c>
      <c r="BP232" s="64">
        <f t="shared" si="2137"/>
        <v>110.56900000000002</v>
      </c>
      <c r="BQ232" s="64">
        <f t="shared" si="2137"/>
        <v>106.11700000000002</v>
      </c>
      <c r="BR232" s="64">
        <f t="shared" si="2137"/>
        <v>146.87300000000005</v>
      </c>
      <c r="BS232" s="64">
        <f t="shared" si="2137"/>
        <v>170.899</v>
      </c>
      <c r="BT232" s="64">
        <f t="shared" si="2137"/>
        <v>193.05900000000008</v>
      </c>
      <c r="BU232" s="64">
        <f t="shared" si="2137"/>
        <v>235.95099999999996</v>
      </c>
      <c r="BV232" s="64">
        <f t="shared" si="2137"/>
        <v>296.38099999999997</v>
      </c>
      <c r="BW232" s="64">
        <f t="shared" si="2137"/>
        <v>266.39999999999998</v>
      </c>
      <c r="BX232" s="64">
        <f t="shared" si="2137"/>
        <v>316.39999999999998</v>
      </c>
      <c r="BY232" s="64">
        <f t="shared" si="2137"/>
        <v>324.29999999999995</v>
      </c>
      <c r="BZ232" s="64">
        <f t="shared" si="2137"/>
        <v>385.72800000000007</v>
      </c>
      <c r="CA232" s="64">
        <f t="shared" si="2137"/>
        <v>320.39100000000002</v>
      </c>
      <c r="CB232" s="64">
        <f t="shared" si="2137"/>
        <v>443.33999999999992</v>
      </c>
      <c r="CC232" s="64">
        <f t="shared" si="2137"/>
        <v>397.93900000000008</v>
      </c>
      <c r="CD232" s="64">
        <f t="shared" si="2137"/>
        <v>529.85200000000009</v>
      </c>
      <c r="CE232" s="64">
        <f t="shared" si="2137"/>
        <v>470.40199999999993</v>
      </c>
      <c r="CF232" s="64">
        <f t="shared" si="2137"/>
        <v>671.83599999999979</v>
      </c>
      <c r="CG232" s="64">
        <f t="shared" si="2137"/>
        <v>495.92499999999995</v>
      </c>
      <c r="CH232" s="64">
        <f t="shared" si="2137"/>
        <v>342.72099999999989</v>
      </c>
      <c r="CI232" s="64">
        <f t="shared" si="2137"/>
        <v>274.67199999999991</v>
      </c>
      <c r="CJ232" s="64">
        <f t="shared" si="2137"/>
        <v>415.404</v>
      </c>
      <c r="CK232" s="64">
        <f t="shared" si="2137"/>
        <v>529.33699999999999</v>
      </c>
      <c r="CL232" s="64">
        <f t="shared" ref="CL232" si="2138">CL28-CL238</f>
        <v>598.59500000000003</v>
      </c>
      <c r="CM232" s="30">
        <f t="shared" si="2137"/>
        <v>409.60777176685781</v>
      </c>
      <c r="CN232" s="30">
        <f t="shared" si="2137"/>
        <v>489.64398610319449</v>
      </c>
      <c r="CO232" s="30">
        <f t="shared" si="2137"/>
        <v>591.94053065940216</v>
      </c>
      <c r="CP232" s="30">
        <f t="shared" si="2137"/>
        <v>655.29003244026444</v>
      </c>
      <c r="CQ232" s="30">
        <f t="shared" si="2137"/>
        <v>495.65759309469433</v>
      </c>
      <c r="CR232" s="30">
        <f t="shared" si="2137"/>
        <v>571.38770179234609</v>
      </c>
      <c r="CS232" s="30">
        <f t="shared" si="2137"/>
        <v>689.25478519588</v>
      </c>
      <c r="CT232" s="30">
        <f t="shared" si="2137"/>
        <v>770.86771888560338</v>
      </c>
      <c r="CU232" s="30">
        <f t="shared" ref="CU232:DB232" si="2139">CU28-CU238</f>
        <v>584.23272700115399</v>
      </c>
      <c r="CV232" s="30">
        <f t="shared" si="2139"/>
        <v>669.41560216760649</v>
      </c>
      <c r="CW232" s="30">
        <f t="shared" si="2139"/>
        <v>808.29149032430155</v>
      </c>
      <c r="CX232" s="30">
        <f t="shared" si="2139"/>
        <v>905.62949659719698</v>
      </c>
      <c r="CY232" s="30">
        <f t="shared" si="2139"/>
        <v>686.13774640369957</v>
      </c>
      <c r="CZ232" s="30">
        <f t="shared" si="2139"/>
        <v>785.47549697360205</v>
      </c>
      <c r="DA232" s="30">
        <f t="shared" si="2139"/>
        <v>948.79593083633313</v>
      </c>
      <c r="DB232" s="30">
        <f t="shared" si="2139"/>
        <v>1063.3099854726008</v>
      </c>
      <c r="DE232" s="139"/>
      <c r="DF232" s="64">
        <v>1818.9499999999998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40">+C232/C231</f>
        <v>#DIV/0!</v>
      </c>
      <c r="D233" s="86" t="e">
        <f t="shared" ref="D233" si="2141">+D232/D231</f>
        <v>#DIV/0!</v>
      </c>
      <c r="E233" s="86" t="e">
        <f t="shared" ref="E233" si="2142">+E232/E231</f>
        <v>#DIV/0!</v>
      </c>
      <c r="F233" s="86" t="e">
        <f t="shared" ref="F233" si="2143">+F232/F231</f>
        <v>#DIV/0!</v>
      </c>
      <c r="G233" s="86" t="e">
        <f t="shared" ref="G233" si="2144">+G232/G231</f>
        <v>#DIV/0!</v>
      </c>
      <c r="H233" s="86" t="e">
        <f t="shared" ref="H233" si="2145">+H232/H231</f>
        <v>#DIV/0!</v>
      </c>
      <c r="I233" s="86">
        <f t="shared" ref="I233" si="2146">+I232/I231</f>
        <v>0.70563237710794247</v>
      </c>
      <c r="J233" s="86">
        <f t="shared" ref="J233" si="2147">+J232/J231</f>
        <v>0.39032303803653279</v>
      </c>
      <c r="K233" s="86">
        <f t="shared" ref="K233" si="2148">+K232/K231</f>
        <v>0.12483299570059118</v>
      </c>
      <c r="L233" s="86">
        <f t="shared" ref="L233" si="2149">+L232/L231</f>
        <v>-0.37027031423408713</v>
      </c>
      <c r="M233" s="86">
        <f t="shared" ref="M233" si="2150">+M232/M231</f>
        <v>0.83173621320493663</v>
      </c>
      <c r="N233" s="86" t="e">
        <f t="shared" ref="N233" si="2151">+N232/N231</f>
        <v>#DIV/0!</v>
      </c>
      <c r="O233" s="86">
        <f t="shared" ref="O233" si="2152">+O232/O231</f>
        <v>8.2298048671187202E-2</v>
      </c>
      <c r="P233" s="86">
        <f t="shared" ref="P233" si="2153">+P232/P231</f>
        <v>0.24260782270675288</v>
      </c>
      <c r="Q233" s="86">
        <f t="shared" ref="Q233" si="2154">+Q232/Q231</f>
        <v>0.19238061723363259</v>
      </c>
      <c r="R233" s="86">
        <f t="shared" ref="R233" si="2155">+R232/R231</f>
        <v>-1.4239496064946846E-2</v>
      </c>
      <c r="S233" s="86">
        <f t="shared" ref="S233" si="2156">+S232/S231</f>
        <v>0.32462493105149415</v>
      </c>
      <c r="T233" s="86">
        <f t="shared" ref="T233" si="2157">+T232/T231</f>
        <v>0.2460897957042826</v>
      </c>
      <c r="U233" s="86">
        <f t="shared" ref="U233" si="2158">+U232/U231</f>
        <v>0.22019281724038953</v>
      </c>
      <c r="V233" s="86">
        <f t="shared" ref="V233" si="2159">+V232/V231</f>
        <v>0.34545424330766233</v>
      </c>
      <c r="W233" s="86">
        <f t="shared" ref="W233" si="2160">+W232/W231</f>
        <v>0.40387907367333098</v>
      </c>
      <c r="X233" s="86">
        <f t="shared" ref="X233:Y233" si="2161">+X232/X231</f>
        <v>0.43056052052498928</v>
      </c>
      <c r="Y233" s="86">
        <f t="shared" si="2161"/>
        <v>0.39615594224666434</v>
      </c>
      <c r="Z233" s="86">
        <f t="shared" ref="Z233:AA233" si="2162">+Z232/Z231</f>
        <v>0.37835521255716698</v>
      </c>
      <c r="AA233" s="86">
        <f t="shared" ref="AA233" si="2163">+AA232/AA231</f>
        <v>0.35411508024655181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64">+AI232/AI231</f>
        <v>#DIV/0!</v>
      </c>
      <c r="AJ233" s="86" t="e">
        <f t="shared" ref="AJ233" si="2165">+AJ232/AJ231</f>
        <v>#DIV/0!</v>
      </c>
      <c r="AK233" s="86" t="e">
        <f t="shared" ref="AK233" si="2166">+AK232/AK231</f>
        <v>#DIV/0!</v>
      </c>
      <c r="AL233" s="86" t="e">
        <f t="shared" ref="AL233" si="2167">+AL232/AL231</f>
        <v>#DIV/0!</v>
      </c>
      <c r="AM233" s="86" t="e">
        <f t="shared" ref="AM233" si="2168">+AM232/AM231</f>
        <v>#DIV/0!</v>
      </c>
      <c r="AN233" s="86" t="e">
        <f t="shared" ref="AN233" si="2169">+AN232/AN231</f>
        <v>#DIV/0!</v>
      </c>
      <c r="AO233" s="86" t="e">
        <f t="shared" ref="AO233" si="2170">+AO232/AO231</f>
        <v>#DIV/0!</v>
      </c>
      <c r="AP233" s="86" t="e">
        <f t="shared" ref="AP233" si="2171">+AP232/AP231</f>
        <v>#DIV/0!</v>
      </c>
      <c r="AQ233" s="86" t="e">
        <f t="shared" ref="AQ233" si="2172">+AQ232/AQ231</f>
        <v>#DIV/0!</v>
      </c>
      <c r="AR233" s="86" t="e">
        <f t="shared" ref="AR233" si="2173">+AR232/AR231</f>
        <v>#DIV/0!</v>
      </c>
      <c r="AS233" s="86" t="e">
        <f t="shared" ref="AS233" si="2174">+AS232/AS231</f>
        <v>#DIV/0!</v>
      </c>
      <c r="AT233" s="86" t="e">
        <f t="shared" ref="AT233" si="2175">+AT232/AT231</f>
        <v>#DIV/0!</v>
      </c>
      <c r="AU233" s="86" t="e">
        <f t="shared" ref="AU233" si="2176">+AU232/AU231</f>
        <v>#DIV/0!</v>
      </c>
      <c r="AV233" s="86" t="e">
        <f t="shared" ref="AV233" si="2177">+AV232/AV231</f>
        <v>#DIV/0!</v>
      </c>
      <c r="AW233" s="86" t="e">
        <f t="shared" ref="AW233" si="2178">+AW232/AW231</f>
        <v>#DIV/0!</v>
      </c>
      <c r="AX233" s="86" t="e">
        <f t="shared" ref="AX233" si="2179">+AX232/AX231</f>
        <v>#DIV/0!</v>
      </c>
      <c r="AY233" s="86" t="e">
        <f t="shared" ref="AY233" si="2180">+AY232/AY231</f>
        <v>#DIV/0!</v>
      </c>
      <c r="AZ233" s="86" t="e">
        <f t="shared" ref="AZ233" si="2181">+AZ232/AZ231</f>
        <v>#DIV/0!</v>
      </c>
      <c r="BA233" s="86" t="e">
        <f t="shared" ref="BA233" si="2182">+BA232/BA231</f>
        <v>#DIV/0!</v>
      </c>
      <c r="BB233" s="86" t="e">
        <f t="shared" ref="BB233" si="2183">+BB232/BB231</f>
        <v>#DIV/0!</v>
      </c>
      <c r="BC233" s="86" t="e">
        <f t="shared" ref="BC233" si="2184">+BC232/BC231</f>
        <v>#DIV/0!</v>
      </c>
      <c r="BD233" s="86" t="e">
        <f t="shared" ref="BD233" si="2185">+BD232/BD231</f>
        <v>#DIV/0!</v>
      </c>
      <c r="BE233" s="86" t="e">
        <f t="shared" ref="BE233" si="2186">+BE232/BE231</f>
        <v>#DIV/0!</v>
      </c>
      <c r="BF233" s="86" t="e">
        <f t="shared" ref="BF233" si="2187">+BF232/BF231</f>
        <v>#DIV/0!</v>
      </c>
      <c r="BG233" s="86" t="e">
        <f t="shared" ref="BG233" si="2188">+BG232/BG231</f>
        <v>#DIV/0!</v>
      </c>
      <c r="BH233" s="86" t="e">
        <f t="shared" ref="BH233" si="2189">+BH232/BH231</f>
        <v>#DIV/0!</v>
      </c>
      <c r="BI233" s="86" t="e">
        <f t="shared" ref="BI233" si="2190">+BI232/BI231</f>
        <v>#DIV/0!</v>
      </c>
      <c r="BJ233" s="86" t="e">
        <f t="shared" ref="BJ233" si="2191">+BJ232/BJ231</f>
        <v>#DIV/0!</v>
      </c>
      <c r="BK233" s="86" t="e">
        <f t="shared" ref="BK233" si="2192">+BK232/BK231</f>
        <v>#DIV/0!</v>
      </c>
      <c r="BL233" s="86">
        <f t="shared" ref="BL233" si="2193">+BL232/BL231</f>
        <v>0.21720075894260213</v>
      </c>
      <c r="BM233" s="86">
        <f t="shared" ref="BM233" si="2194">+BM232/BM231</f>
        <v>0.25641556407172228</v>
      </c>
      <c r="BN233" s="86">
        <f t="shared" ref="BN233" si="2195">+BN232/BN231</f>
        <v>0.27320975549018683</v>
      </c>
      <c r="BO233" s="86">
        <f t="shared" ref="BO233" si="2196">+BO232/BO231</f>
        <v>0.29193369794987084</v>
      </c>
      <c r="BP233" s="86">
        <f t="shared" ref="BP233" si="2197">+BP232/BP231</f>
        <v>0.35684110309660971</v>
      </c>
      <c r="BQ233" s="86">
        <f t="shared" ref="BQ233" si="2198">+BQ232/BQ231</f>
        <v>0.34589120351507374</v>
      </c>
      <c r="BR233" s="86">
        <f t="shared" ref="BR233" si="2199">+BR232/BR231</f>
        <v>0.35944367762082374</v>
      </c>
      <c r="BS233" s="86">
        <f t="shared" ref="BS233" si="2200">+BS232/BS231</f>
        <v>0.36937717758738448</v>
      </c>
      <c r="BT233" s="86">
        <f t="shared" ref="BT233" si="2201">+BT232/BT231</f>
        <v>0.3660996700420982</v>
      </c>
      <c r="BU233" s="86">
        <f t="shared" ref="BU233" si="2202">+BU232/BU231</f>
        <v>0.39501673310241259</v>
      </c>
      <c r="BV233" s="86">
        <f t="shared" ref="BV233" si="2203">+BV232/BV231</f>
        <v>0.43533648938248465</v>
      </c>
      <c r="BW233" s="86">
        <f t="shared" ref="BW233" si="2204">+BW232/BW231</f>
        <v>0.39061583577712605</v>
      </c>
      <c r="BX233" s="86">
        <f t="shared" ref="BX233" si="2205">+BX232/BX231</f>
        <v>0.42452703609284853</v>
      </c>
      <c r="BY233" s="86">
        <f t="shared" ref="BY233" si="2206">+BY232/BY231</f>
        <v>0.43320865615816184</v>
      </c>
      <c r="BZ233" s="86">
        <f t="shared" ref="BZ233" si="2207">+BZ232/BZ231</f>
        <v>0.46713122079884906</v>
      </c>
      <c r="CA233" s="86">
        <f t="shared" ref="CA233" si="2208">+CA232/CA231</f>
        <v>0.39676658348864713</v>
      </c>
      <c r="CB233" s="86">
        <f t="shared" ref="CB233:CC233" si="2209">+CB232/CB231</f>
        <v>0.42308804457054183</v>
      </c>
      <c r="CC233" s="86">
        <f t="shared" si="2209"/>
        <v>0.37575232803863107</v>
      </c>
      <c r="CD233" s="86">
        <f t="shared" ref="CD233" si="2210">+CD232/CD231</f>
        <v>0.39037896492680935</v>
      </c>
      <c r="CE233" s="86">
        <f t="shared" ref="CE233:CF233" si="2211">+CE232/CE231</f>
        <v>0.33469754257343176</v>
      </c>
      <c r="CF233" s="86">
        <f t="shared" si="2211"/>
        <v>0.44354217914235489</v>
      </c>
      <c r="CG233" s="86">
        <f t="shared" ref="CG233:CH233" si="2212">+CG232/CG231</f>
        <v>0.39290337710326206</v>
      </c>
      <c r="CH233" s="86">
        <f t="shared" si="2212"/>
        <v>0.3245424062014387</v>
      </c>
      <c r="CI233" s="86">
        <f t="shared" ref="CI233:CJ233" si="2213">+CI232/CI231</f>
        <v>0.24082817564800951</v>
      </c>
      <c r="CJ233" s="86">
        <f t="shared" si="2213"/>
        <v>0.34566360282186598</v>
      </c>
      <c r="CK233" s="86">
        <f t="shared" ref="CK233:DB233" si="2214">+CK232/CK231</f>
        <v>0.39653800745526241</v>
      </c>
      <c r="CL233" s="86">
        <f t="shared" si="2214"/>
        <v>0.41015895333906166</v>
      </c>
      <c r="CM233" s="47">
        <f t="shared" si="2214"/>
        <v>0.34829718481604971</v>
      </c>
      <c r="CN233" s="47">
        <f t="shared" si="2214"/>
        <v>0.37516443710805997</v>
      </c>
      <c r="CO233" s="47">
        <f t="shared" si="2214"/>
        <v>0.38253964567960841</v>
      </c>
      <c r="CP233" s="47">
        <f t="shared" si="2214"/>
        <v>0.37904005523569501</v>
      </c>
      <c r="CQ233" s="47">
        <f t="shared" si="2214"/>
        <v>0.3712603307098532</v>
      </c>
      <c r="CR233" s="47">
        <f t="shared" si="2214"/>
        <v>0.37700111718330409</v>
      </c>
      <c r="CS233" s="47">
        <f t="shared" si="2214"/>
        <v>0.37746028720211511</v>
      </c>
      <c r="CT233" s="47">
        <f t="shared" si="2214"/>
        <v>0.37619044758274184</v>
      </c>
      <c r="CU233" s="47">
        <f t="shared" si="2214"/>
        <v>0.37547804566950349</v>
      </c>
      <c r="CV233" s="47">
        <f t="shared" si="2214"/>
        <v>0.37653247440941612</v>
      </c>
      <c r="CW233" s="47">
        <f t="shared" si="2214"/>
        <v>0.37641531371594406</v>
      </c>
      <c r="CX233" s="47">
        <f t="shared" si="2214"/>
        <v>0.37615407034440129</v>
      </c>
      <c r="CY233" s="47">
        <f t="shared" si="2214"/>
        <v>0.37614497603481628</v>
      </c>
      <c r="CZ233" s="47">
        <f t="shared" si="2214"/>
        <v>0.37631170862614444</v>
      </c>
      <c r="DA233" s="47">
        <f t="shared" si="2214"/>
        <v>0.37625651718032649</v>
      </c>
      <c r="DB233" s="47">
        <f t="shared" si="2214"/>
        <v>0.37621681804642204</v>
      </c>
      <c r="DE233" s="130"/>
      <c r="DF233" s="89">
        <v>0.35411508024655181</v>
      </c>
    </row>
    <row r="234" spans="1:110" s="64" customFormat="1" hidden="1" outlineLevel="1" x14ac:dyDescent="0.2">
      <c r="A234" s="64" t="s">
        <v>477</v>
      </c>
      <c r="B234" s="64">
        <f t="shared" ref="B234:Z234" si="2215">B41-B240</f>
        <v>0</v>
      </c>
      <c r="C234" s="64">
        <f t="shared" si="2215"/>
        <v>0</v>
      </c>
      <c r="D234" s="64">
        <f t="shared" si="2215"/>
        <v>0</v>
      </c>
      <c r="E234" s="64">
        <f t="shared" si="2215"/>
        <v>0</v>
      </c>
      <c r="F234" s="64">
        <f t="shared" si="2215"/>
        <v>0</v>
      </c>
      <c r="G234" s="64">
        <f t="shared" si="2215"/>
        <v>0</v>
      </c>
      <c r="H234" s="64">
        <f t="shared" si="2215"/>
        <v>0</v>
      </c>
      <c r="I234" s="64">
        <f t="shared" si="2215"/>
        <v>3.6909066000000039</v>
      </c>
      <c r="J234" s="64">
        <f t="shared" si="2215"/>
        <v>1.9301925999999967</v>
      </c>
      <c r="K234" s="64">
        <f t="shared" si="2215"/>
        <v>9.0169268000000002</v>
      </c>
      <c r="L234" s="64">
        <f t="shared" si="2215"/>
        <v>7.3515999999999968</v>
      </c>
      <c r="M234" s="64">
        <f t="shared" si="2215"/>
        <v>8.2418439999999986</v>
      </c>
      <c r="N234" s="64">
        <f t="shared" si="2215"/>
        <v>74.209700799999993</v>
      </c>
      <c r="O234" s="64">
        <f t="shared" si="2215"/>
        <v>10.334949300000012</v>
      </c>
      <c r="P234" s="64">
        <f t="shared" si="2215"/>
        <v>46.950606700000016</v>
      </c>
      <c r="Q234" s="64">
        <f t="shared" si="2215"/>
        <v>31.724698800000034</v>
      </c>
      <c r="R234" s="64">
        <f t="shared" si="2215"/>
        <v>31.014299399999977</v>
      </c>
      <c r="S234" s="64">
        <f t="shared" si="2215"/>
        <v>107.92852950000008</v>
      </c>
      <c r="T234" s="64">
        <f t="shared" si="2215"/>
        <v>79.835000000000008</v>
      </c>
      <c r="U234" s="64">
        <f t="shared" si="2215"/>
        <v>86.789000000000016</v>
      </c>
      <c r="V234" s="64">
        <f t="shared" si="2215"/>
        <v>298.05799999999994</v>
      </c>
      <c r="W234" s="64">
        <f t="shared" si="2215"/>
        <v>625.05600000000015</v>
      </c>
      <c r="X234" s="64">
        <f t="shared" si="2215"/>
        <v>890.19200000000023</v>
      </c>
      <c r="Y234" s="64">
        <f t="shared" si="2215"/>
        <v>1125.528</v>
      </c>
      <c r="Z234" s="64">
        <f t="shared" si="2215"/>
        <v>1172.0809999999997</v>
      </c>
      <c r="AA234" s="64">
        <f t="shared" ref="AA234" si="2216">AA41-AA240</f>
        <v>915.2289999999997</v>
      </c>
      <c r="AB234" s="30"/>
      <c r="AC234" s="30"/>
      <c r="AD234" s="30"/>
      <c r="AE234" s="30"/>
      <c r="AI234" s="64">
        <f t="shared" ref="AI234:BN234" si="2217">AI41-AI240</f>
        <v>0</v>
      </c>
      <c r="AJ234" s="64">
        <f t="shared" si="2217"/>
        <v>0</v>
      </c>
      <c r="AK234" s="64">
        <f t="shared" si="2217"/>
        <v>0</v>
      </c>
      <c r="AL234" s="64">
        <f t="shared" si="2217"/>
        <v>0</v>
      </c>
      <c r="AM234" s="64">
        <f t="shared" si="2217"/>
        <v>0</v>
      </c>
      <c r="AN234" s="64">
        <f t="shared" si="2217"/>
        <v>0</v>
      </c>
      <c r="AO234" s="64">
        <f t="shared" si="2217"/>
        <v>0</v>
      </c>
      <c r="AP234" s="64">
        <f t="shared" si="2217"/>
        <v>0</v>
      </c>
      <c r="AQ234" s="64">
        <f t="shared" si="2217"/>
        <v>0</v>
      </c>
      <c r="AR234" s="64">
        <f t="shared" si="2217"/>
        <v>0</v>
      </c>
      <c r="AS234" s="64">
        <f t="shared" si="2217"/>
        <v>0</v>
      </c>
      <c r="AT234" s="64">
        <f t="shared" si="2217"/>
        <v>0</v>
      </c>
      <c r="AU234" s="64">
        <f t="shared" si="2217"/>
        <v>0</v>
      </c>
      <c r="AV234" s="64">
        <f t="shared" si="2217"/>
        <v>0</v>
      </c>
      <c r="AW234" s="64">
        <f t="shared" si="2217"/>
        <v>0</v>
      </c>
      <c r="AX234" s="64">
        <f t="shared" si="2217"/>
        <v>0</v>
      </c>
      <c r="AY234" s="64">
        <f t="shared" si="2217"/>
        <v>0</v>
      </c>
      <c r="AZ234" s="64">
        <f t="shared" si="2217"/>
        <v>0</v>
      </c>
      <c r="BA234" s="64">
        <f t="shared" si="2217"/>
        <v>0</v>
      </c>
      <c r="BB234" s="64">
        <f t="shared" si="2217"/>
        <v>0</v>
      </c>
      <c r="BC234" s="64">
        <f t="shared" si="2217"/>
        <v>0</v>
      </c>
      <c r="BD234" s="64">
        <f t="shared" si="2217"/>
        <v>0</v>
      </c>
      <c r="BE234" s="64">
        <f t="shared" si="2217"/>
        <v>0</v>
      </c>
      <c r="BF234" s="64">
        <f t="shared" si="2217"/>
        <v>0</v>
      </c>
      <c r="BG234" s="64">
        <f t="shared" si="2217"/>
        <v>0</v>
      </c>
      <c r="BH234" s="64">
        <f t="shared" si="2217"/>
        <v>0</v>
      </c>
      <c r="BI234" s="64">
        <f t="shared" si="2217"/>
        <v>0</v>
      </c>
      <c r="BJ234" s="64">
        <f t="shared" si="2217"/>
        <v>0</v>
      </c>
      <c r="BK234" s="64">
        <f t="shared" si="2217"/>
        <v>0</v>
      </c>
      <c r="BL234" s="64">
        <f t="shared" si="2217"/>
        <v>20.280000000000015</v>
      </c>
      <c r="BM234" s="64">
        <f t="shared" si="2217"/>
        <v>27.931000000000001</v>
      </c>
      <c r="BN234" s="64">
        <f t="shared" si="2217"/>
        <v>32.567999999999977</v>
      </c>
      <c r="BO234" s="64">
        <f t="shared" ref="BO234:CT234" si="2218">BO41-BO240</f>
        <v>48.259000000000015</v>
      </c>
      <c r="BP234" s="64">
        <f t="shared" si="2218"/>
        <v>74.595000000000013</v>
      </c>
      <c r="BQ234" s="64">
        <f t="shared" si="2218"/>
        <v>73.234000000000009</v>
      </c>
      <c r="BR234" s="64">
        <f t="shared" si="2218"/>
        <v>101.97000000000006</v>
      </c>
      <c r="BS234" s="64">
        <f t="shared" si="2218"/>
        <v>121.43099999999997</v>
      </c>
      <c r="BT234" s="64">
        <f t="shared" si="2218"/>
        <v>134.2590000000001</v>
      </c>
      <c r="BU234" s="64">
        <f t="shared" si="2218"/>
        <v>164.60999999999999</v>
      </c>
      <c r="BV234" s="64">
        <f t="shared" si="2218"/>
        <v>204.75599999999997</v>
      </c>
      <c r="BW234" s="64">
        <f t="shared" si="2218"/>
        <v>181.6</v>
      </c>
      <c r="BX234" s="64">
        <f t="shared" si="2218"/>
        <v>213.60000000000005</v>
      </c>
      <c r="BY234" s="64">
        <f t="shared" si="2218"/>
        <v>227.99999999999997</v>
      </c>
      <c r="BZ234" s="64">
        <f t="shared" si="2218"/>
        <v>266.96800000000007</v>
      </c>
      <c r="CA234" s="64">
        <f t="shared" si="2218"/>
        <v>220.82499999999999</v>
      </c>
      <c r="CB234" s="64">
        <f t="shared" si="2218"/>
        <v>304.46499999999992</v>
      </c>
      <c r="CC234" s="64">
        <f t="shared" si="2218"/>
        <v>260.32600000000008</v>
      </c>
      <c r="CD234" s="64">
        <f t="shared" si="2218"/>
        <v>339.94200000000012</v>
      </c>
      <c r="CE234" s="64">
        <f t="shared" si="2218"/>
        <v>292.72599999999994</v>
      </c>
      <c r="CF234" s="64">
        <f t="shared" si="2218"/>
        <v>423.36799999999982</v>
      </c>
      <c r="CG234" s="64">
        <f t="shared" si="2218"/>
        <v>281.46599999999995</v>
      </c>
      <c r="CH234" s="64">
        <f t="shared" si="2218"/>
        <v>174.5209999999999</v>
      </c>
      <c r="CI234" s="64">
        <f t="shared" si="2218"/>
        <v>114.46799999999992</v>
      </c>
      <c r="CJ234" s="64">
        <f t="shared" si="2218"/>
        <v>211.73</v>
      </c>
      <c r="CK234" s="64">
        <f t="shared" si="2218"/>
        <v>268.77099999999996</v>
      </c>
      <c r="CL234" s="64">
        <f t="shared" ref="CL234" si="2219">CL41-CL240</f>
        <v>320.26</v>
      </c>
      <c r="CM234" s="30">
        <f t="shared" si="2218"/>
        <v>213.23527101158572</v>
      </c>
      <c r="CN234" s="30">
        <f t="shared" si="2218"/>
        <v>283.06674885989122</v>
      </c>
      <c r="CO234" s="30">
        <f t="shared" si="2218"/>
        <v>360.40440157914099</v>
      </c>
      <c r="CP234" s="30">
        <f t="shared" si="2218"/>
        <v>407.39518067189886</v>
      </c>
      <c r="CQ234" s="30">
        <f t="shared" si="2218"/>
        <v>269.97654020208739</v>
      </c>
      <c r="CR234" s="30">
        <f t="shared" si="2218"/>
        <v>337.60578638018029</v>
      </c>
      <c r="CS234" s="30">
        <f t="shared" si="2218"/>
        <v>422.94500260749004</v>
      </c>
      <c r="CT234" s="30">
        <f t="shared" si="2218"/>
        <v>475.99476725475773</v>
      </c>
      <c r="CU234" s="30">
        <f t="shared" ref="CU234:DB234" si="2220">CU41-CU240</f>
        <v>323.01671502467315</v>
      </c>
      <c r="CV234" s="30">
        <f t="shared" si="2220"/>
        <v>399.09032056081401</v>
      </c>
      <c r="CW234" s="30">
        <f t="shared" si="2220"/>
        <v>498.33206999760193</v>
      </c>
      <c r="CX234" s="30">
        <f t="shared" si="2220"/>
        <v>561.18062451974424</v>
      </c>
      <c r="CY234" s="30">
        <f t="shared" si="2220"/>
        <v>382.69584392272941</v>
      </c>
      <c r="CZ234" s="30">
        <f t="shared" si="2220"/>
        <v>471.16660171922348</v>
      </c>
      <c r="DA234" s="30">
        <f t="shared" si="2220"/>
        <v>587.60164779881904</v>
      </c>
      <c r="DB234" s="30">
        <f t="shared" si="2220"/>
        <v>661.61888808141055</v>
      </c>
      <c r="DE234" s="139"/>
      <c r="DF234" s="64">
        <v>915.2289999999997</v>
      </c>
    </row>
    <row r="235" spans="1:110" s="64" customFormat="1" hidden="1" outlineLevel="1" x14ac:dyDescent="0.2">
      <c r="AB235" s="30"/>
      <c r="AC235" s="30"/>
      <c r="AD235" s="30"/>
      <c r="AE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1">+C238/C237</f>
        <v>#DIV/0!</v>
      </c>
      <c r="D239" s="86" t="e">
        <f t="shared" si="2221"/>
        <v>#DIV/0!</v>
      </c>
      <c r="E239" s="86" t="e">
        <f t="shared" si="2221"/>
        <v>#DIV/0!</v>
      </c>
      <c r="F239" s="86" t="e">
        <f t="shared" si="2221"/>
        <v>#DIV/0!</v>
      </c>
      <c r="G239" s="86" t="e">
        <f t="shared" si="2221"/>
        <v>#DIV/0!</v>
      </c>
      <c r="H239" s="86" t="e">
        <f t="shared" si="2221"/>
        <v>#DIV/0!</v>
      </c>
      <c r="I239" s="86" t="e">
        <f t="shared" si="2221"/>
        <v>#DIV/0!</v>
      </c>
      <c r="J239" s="86" t="e">
        <f t="shared" si="2221"/>
        <v>#DIV/0!</v>
      </c>
      <c r="K239" s="86" t="e">
        <f t="shared" si="2221"/>
        <v>#DIV/0!</v>
      </c>
      <c r="L239" s="86" t="e">
        <f t="shared" si="2221"/>
        <v>#DIV/0!</v>
      </c>
      <c r="M239" s="86" t="e">
        <f t="shared" si="2221"/>
        <v>#DIV/0!</v>
      </c>
      <c r="N239" s="86" t="e">
        <f t="shared" si="2221"/>
        <v>#DIV/0!</v>
      </c>
      <c r="O239" s="86" t="e">
        <f t="shared" si="2221"/>
        <v>#DIV/0!</v>
      </c>
      <c r="P239" s="86" t="e">
        <f t="shared" si="2221"/>
        <v>#DIV/0!</v>
      </c>
      <c r="Q239" s="86" t="e">
        <f t="shared" si="2221"/>
        <v>#DIV/0!</v>
      </c>
      <c r="R239" s="86" t="e">
        <f t="shared" si="2221"/>
        <v>#DIV/0!</v>
      </c>
      <c r="S239" s="86" t="e">
        <f t="shared" si="2221"/>
        <v>#DIV/0!</v>
      </c>
      <c r="T239" s="86" t="e">
        <f t="shared" si="2221"/>
        <v>#DIV/0!</v>
      </c>
      <c r="U239" s="86" t="e">
        <f t="shared" si="2221"/>
        <v>#DIV/0!</v>
      </c>
      <c r="V239" s="86" t="e">
        <f t="shared" si="2221"/>
        <v>#DIV/0!</v>
      </c>
      <c r="W239" s="86" t="e">
        <f t="shared" si="2221"/>
        <v>#DIV/0!</v>
      </c>
      <c r="X239" s="86" t="e">
        <f t="shared" si="2221"/>
        <v>#DIV/0!</v>
      </c>
      <c r="Y239" s="86" t="e">
        <f t="shared" ref="Y239:Z239" si="2222">+Y238/Y237</f>
        <v>#DIV/0!</v>
      </c>
      <c r="Z239" s="86" t="e">
        <f t="shared" si="2222"/>
        <v>#DIV/0!</v>
      </c>
      <c r="AA239" s="86" t="e">
        <f t="shared" ref="AA239" si="222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24">+AI238/AI237</f>
        <v>#DIV/0!</v>
      </c>
      <c r="AJ239" s="86" t="e">
        <f t="shared" ref="AJ239" si="2225">+AJ238/AJ237</f>
        <v>#DIV/0!</v>
      </c>
      <c r="AK239" s="86" t="e">
        <f t="shared" ref="AK239" si="2226">+AK238/AK237</f>
        <v>#DIV/0!</v>
      </c>
      <c r="AL239" s="86" t="e">
        <f t="shared" ref="AL239" si="2227">+AL238/AL237</f>
        <v>#DIV/0!</v>
      </c>
      <c r="AM239" s="86" t="e">
        <f t="shared" ref="AM239" si="2228">+AM238/AM237</f>
        <v>#DIV/0!</v>
      </c>
      <c r="AN239" s="86" t="e">
        <f t="shared" ref="AN239" si="2229">+AN238/AN237</f>
        <v>#DIV/0!</v>
      </c>
      <c r="AO239" s="86" t="e">
        <f t="shared" ref="AO239" si="2230">+AO238/AO237</f>
        <v>#DIV/0!</v>
      </c>
      <c r="AP239" s="86" t="e">
        <f t="shared" ref="AP239" si="2231">+AP238/AP237</f>
        <v>#DIV/0!</v>
      </c>
      <c r="AQ239" s="86" t="e">
        <f t="shared" ref="AQ239" si="2232">+AQ238/AQ237</f>
        <v>#DIV/0!</v>
      </c>
      <c r="AR239" s="86" t="e">
        <f t="shared" ref="AR239" si="2233">+AR238/AR237</f>
        <v>#DIV/0!</v>
      </c>
      <c r="AS239" s="86" t="e">
        <f t="shared" ref="AS239" si="2234">+AS238/AS237</f>
        <v>#DIV/0!</v>
      </c>
      <c r="AT239" s="86" t="e">
        <f t="shared" ref="AT239" si="2235">+AT238/AT237</f>
        <v>#DIV/0!</v>
      </c>
      <c r="AU239" s="86" t="e">
        <f t="shared" ref="AU239" si="2236">+AU238/AU237</f>
        <v>#DIV/0!</v>
      </c>
      <c r="AV239" s="86" t="e">
        <f t="shared" ref="AV239" si="2237">+AV238/AV237</f>
        <v>#DIV/0!</v>
      </c>
      <c r="AW239" s="86" t="e">
        <f t="shared" ref="AW239" si="2238">+AW238/AW237</f>
        <v>#DIV/0!</v>
      </c>
      <c r="AX239" s="86" t="e">
        <f t="shared" ref="AX239" si="2239">+AX238/AX237</f>
        <v>#DIV/0!</v>
      </c>
      <c r="AY239" s="86" t="e">
        <f t="shared" ref="AY239" si="2240">+AY238/AY237</f>
        <v>#DIV/0!</v>
      </c>
      <c r="AZ239" s="86" t="e">
        <f t="shared" ref="AZ239" si="2241">+AZ238/AZ237</f>
        <v>#DIV/0!</v>
      </c>
      <c r="BA239" s="86" t="e">
        <f t="shared" ref="BA239" si="2242">+BA238/BA237</f>
        <v>#DIV/0!</v>
      </c>
      <c r="BB239" s="86" t="e">
        <f t="shared" ref="BB239" si="2243">+BB238/BB237</f>
        <v>#DIV/0!</v>
      </c>
      <c r="BC239" s="86" t="e">
        <f t="shared" ref="BC239" si="2244">+BC238/BC237</f>
        <v>#DIV/0!</v>
      </c>
      <c r="BD239" s="86" t="e">
        <f t="shared" ref="BD239" si="2245">+BD238/BD237</f>
        <v>#DIV/0!</v>
      </c>
      <c r="BE239" s="86" t="e">
        <f t="shared" ref="BE239" si="2246">+BE238/BE237</f>
        <v>#DIV/0!</v>
      </c>
      <c r="BF239" s="86" t="e">
        <f t="shared" ref="BF239" si="2247">+BF238/BF237</f>
        <v>#DIV/0!</v>
      </c>
      <c r="BG239" s="86" t="e">
        <f t="shared" ref="BG239" si="2248">+BG238/BG237</f>
        <v>#DIV/0!</v>
      </c>
      <c r="BH239" s="86" t="e">
        <f t="shared" ref="BH239" si="2249">+BH238/BH237</f>
        <v>#DIV/0!</v>
      </c>
      <c r="BI239" s="86" t="e">
        <f t="shared" ref="BI239" si="2250">+BI238/BI237</f>
        <v>#DIV/0!</v>
      </c>
      <c r="BJ239" s="86" t="e">
        <f t="shared" ref="BJ239" si="2251">+BJ238/BJ237</f>
        <v>#DIV/0!</v>
      </c>
      <c r="BK239" s="86" t="e">
        <f t="shared" ref="BK239" si="2252">+BK238/BK237</f>
        <v>#DIV/0!</v>
      </c>
      <c r="BL239" s="86" t="e">
        <f t="shared" ref="BL239" si="2253">+BL238/BL237</f>
        <v>#DIV/0!</v>
      </c>
      <c r="BM239" s="86" t="e">
        <f t="shared" ref="BM239" si="2254">+BM238/BM237</f>
        <v>#DIV/0!</v>
      </c>
      <c r="BN239" s="86" t="e">
        <f t="shared" ref="BN239" si="2255">+BN238/BN237</f>
        <v>#DIV/0!</v>
      </c>
      <c r="BO239" s="86" t="e">
        <f t="shared" ref="BO239" si="2256">+BO238/BO237</f>
        <v>#DIV/0!</v>
      </c>
      <c r="BP239" s="86" t="e">
        <f t="shared" ref="BP239" si="2257">+BP238/BP237</f>
        <v>#DIV/0!</v>
      </c>
      <c r="BQ239" s="86" t="e">
        <f t="shared" ref="BQ239" si="2258">+BQ238/BQ237</f>
        <v>#DIV/0!</v>
      </c>
      <c r="BR239" s="86" t="e">
        <f t="shared" ref="BR239" si="2259">+BR238/BR237</f>
        <v>#DIV/0!</v>
      </c>
      <c r="BS239" s="86" t="e">
        <f t="shared" ref="BS239" si="2260">+BS238/BS237</f>
        <v>#DIV/0!</v>
      </c>
      <c r="BT239" s="86" t="e">
        <f t="shared" ref="BT239" si="2261">+BT238/BT237</f>
        <v>#DIV/0!</v>
      </c>
      <c r="BU239" s="86" t="e">
        <f t="shared" ref="BU239" si="2262">+BU238/BU237</f>
        <v>#DIV/0!</v>
      </c>
      <c r="BV239" s="86" t="e">
        <f t="shared" ref="BV239" si="2263">+BV238/BV237</f>
        <v>#DIV/0!</v>
      </c>
      <c r="BW239" s="86" t="e">
        <f t="shared" ref="BW239" si="2264">+BW238/BW237</f>
        <v>#DIV/0!</v>
      </c>
      <c r="BX239" s="86" t="e">
        <f t="shared" ref="BX239" si="2265">+BX238/BX237</f>
        <v>#DIV/0!</v>
      </c>
      <c r="BY239" s="86" t="e">
        <f t="shared" ref="BY239" si="2266">+BY238/BY237</f>
        <v>#DIV/0!</v>
      </c>
      <c r="BZ239" s="86" t="e">
        <f t="shared" ref="BZ239" si="2267">+BZ238/BZ237</f>
        <v>#DIV/0!</v>
      </c>
      <c r="CA239" s="86" t="e">
        <f t="shared" ref="CA239" si="2268">+CA238/CA237</f>
        <v>#DIV/0!</v>
      </c>
      <c r="CB239" s="86" t="e">
        <f t="shared" ref="CB239:CC239" si="2269">+CB238/CB237</f>
        <v>#DIV/0!</v>
      </c>
      <c r="CC239" s="86" t="e">
        <f t="shared" si="2269"/>
        <v>#DIV/0!</v>
      </c>
      <c r="CD239" s="86" t="e">
        <f t="shared" ref="CD239" si="2270">+CD238/CD237</f>
        <v>#DIV/0!</v>
      </c>
      <c r="CE239" s="86" t="e">
        <f t="shared" ref="CE239:CF239" si="2271">+CE238/CE237</f>
        <v>#DIV/0!</v>
      </c>
      <c r="CF239" s="86" t="e">
        <f t="shared" si="2271"/>
        <v>#DIV/0!</v>
      </c>
      <c r="CG239" s="86" t="e">
        <f t="shared" ref="CG239:CH239" si="2272">+CG238/CG237</f>
        <v>#DIV/0!</v>
      </c>
      <c r="CH239" s="86" t="e">
        <f t="shared" si="2272"/>
        <v>#DIV/0!</v>
      </c>
      <c r="CI239" s="86" t="e">
        <f t="shared" ref="CI239:CJ239" si="2273">+CI238/CI237</f>
        <v>#DIV/0!</v>
      </c>
      <c r="CJ239" s="86" t="e">
        <f t="shared" si="2273"/>
        <v>#DIV/0!</v>
      </c>
      <c r="CK239" s="86" t="e">
        <f t="shared" ref="CK239:DB239" si="2274">+CK238/CK237</f>
        <v>#DIV/0!</v>
      </c>
      <c r="CL239" s="86" t="e">
        <f t="shared" si="2274"/>
        <v>#DIV/0!</v>
      </c>
      <c r="CM239" s="47" t="e">
        <f t="shared" si="2274"/>
        <v>#DIV/0!</v>
      </c>
      <c r="CN239" s="47" t="e">
        <f t="shared" si="2274"/>
        <v>#DIV/0!</v>
      </c>
      <c r="CO239" s="47" t="e">
        <f t="shared" si="2274"/>
        <v>#DIV/0!</v>
      </c>
      <c r="CP239" s="47" t="e">
        <f t="shared" si="2274"/>
        <v>#DIV/0!</v>
      </c>
      <c r="CQ239" s="47" t="e">
        <f t="shared" si="2274"/>
        <v>#DIV/0!</v>
      </c>
      <c r="CR239" s="47" t="e">
        <f t="shared" si="2274"/>
        <v>#DIV/0!</v>
      </c>
      <c r="CS239" s="47" t="e">
        <f t="shared" si="2274"/>
        <v>#DIV/0!</v>
      </c>
      <c r="CT239" s="47" t="e">
        <f t="shared" si="2274"/>
        <v>#DIV/0!</v>
      </c>
      <c r="CU239" s="47" t="e">
        <f t="shared" si="2274"/>
        <v>#DIV/0!</v>
      </c>
      <c r="CV239" s="47" t="e">
        <f t="shared" si="2274"/>
        <v>#DIV/0!</v>
      </c>
      <c r="CW239" s="47" t="e">
        <f t="shared" si="2274"/>
        <v>#DIV/0!</v>
      </c>
      <c r="CX239" s="47" t="e">
        <f t="shared" si="2274"/>
        <v>#DIV/0!</v>
      </c>
      <c r="CY239" s="47" t="e">
        <f t="shared" si="2274"/>
        <v>#DIV/0!</v>
      </c>
      <c r="CZ239" s="47" t="e">
        <f t="shared" si="2274"/>
        <v>#DIV/0!</v>
      </c>
      <c r="DA239" s="47" t="e">
        <f t="shared" si="2274"/>
        <v>#DIV/0!</v>
      </c>
      <c r="DB239" s="47" t="e">
        <f t="shared" si="2274"/>
        <v>#DIV/0!</v>
      </c>
      <c r="DE239" s="130"/>
      <c r="DF239" s="89" t="e">
        <v>#DIV/0!</v>
      </c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18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75">E10/(E161+E148+E138)</f>
        <v>#DIV/0!</v>
      </c>
      <c r="F244" s="84" t="e">
        <f t="shared" si="2275"/>
        <v>#DIV/0!</v>
      </c>
      <c r="G244" s="84" t="e">
        <f t="shared" si="2275"/>
        <v>#DIV/0!</v>
      </c>
      <c r="H244" s="84" t="e">
        <f t="shared" si="2275"/>
        <v>#DIV/0!</v>
      </c>
      <c r="I244" s="84">
        <f t="shared" si="2275"/>
        <v>0.13802756219015186</v>
      </c>
      <c r="J244" s="84">
        <f t="shared" si="2275"/>
        <v>7.6798629417817899E-2</v>
      </c>
      <c r="K244" s="84">
        <f t="shared" si="2275"/>
        <v>0.11469758373909651</v>
      </c>
      <c r="L244" s="84">
        <f t="shared" si="2275"/>
        <v>0.1436017233534706</v>
      </c>
      <c r="M244" s="84">
        <f t="shared" si="2275"/>
        <v>0.20931997759071966</v>
      </c>
      <c r="N244" s="84">
        <f t="shared" si="2275"/>
        <v>0</v>
      </c>
      <c r="O244" s="84">
        <f t="shared" si="2275"/>
        <v>0.3438971464369065</v>
      </c>
      <c r="P244" s="84">
        <f t="shared" si="2275"/>
        <v>0.45916067388999082</v>
      </c>
      <c r="Q244" s="84">
        <f t="shared" si="2275"/>
        <v>0.39313686429271605</v>
      </c>
      <c r="R244" s="84">
        <f t="shared" si="2275"/>
        <v>0.22790155646202534</v>
      </c>
      <c r="S244" s="84">
        <f t="shared" si="2275"/>
        <v>0.30632215233390447</v>
      </c>
      <c r="T244" s="84">
        <f t="shared" si="2275"/>
        <v>0.32165817060342433</v>
      </c>
      <c r="U244" s="84">
        <f t="shared" si="2275"/>
        <v>0.30890008611061376</v>
      </c>
      <c r="V244" s="84">
        <f t="shared" si="2275"/>
        <v>0.24871429398059305</v>
      </c>
      <c r="W244" s="84">
        <f t="shared" si="2275"/>
        <v>0.29760919089919746</v>
      </c>
      <c r="X244" s="84">
        <f t="shared" si="2275"/>
        <v>0.37666230554723856</v>
      </c>
      <c r="Y244" s="84">
        <f t="shared" si="2275"/>
        <v>0.30553985741133804</v>
      </c>
      <c r="Z244" s="84">
        <f>Z10/(Z161+Z148+Z138)</f>
        <v>0.28727232724037965</v>
      </c>
      <c r="AA244" s="84">
        <f>AA10/(AA161+AA148+AA138)</f>
        <v>0.20494863742618122</v>
      </c>
      <c r="AB244" s="50">
        <f t="shared" ref="AB244:AE244" si="2276">AB10/(AB161+AB148+AB138)</f>
        <v>0.2091459482587556</v>
      </c>
      <c r="AC244" s="50">
        <f t="shared" si="2276"/>
        <v>0.21120773703064222</v>
      </c>
      <c r="AD244" s="50">
        <f t="shared" si="2276"/>
        <v>0.21453721086606589</v>
      </c>
      <c r="AE244" s="50">
        <f t="shared" si="2276"/>
        <v>0.21762587819805448</v>
      </c>
      <c r="AL244" s="84" t="e">
        <f>SUM(AI10:AL10)/(AL161+AL148+AL138)</f>
        <v>#DIV/0!</v>
      </c>
      <c r="AM244" s="84" t="e">
        <f t="shared" ref="AM244:CL244" si="2277">SUM(AJ10:AM10)/(AM161+AM148+AM138)</f>
        <v>#DIV/0!</v>
      </c>
      <c r="AN244" s="84" t="e">
        <f t="shared" si="2277"/>
        <v>#DIV/0!</v>
      </c>
      <c r="AO244" s="84" t="e">
        <f t="shared" si="2277"/>
        <v>#DIV/0!</v>
      </c>
      <c r="AP244" s="84" t="e">
        <f t="shared" si="2277"/>
        <v>#DIV/0!</v>
      </c>
      <c r="AQ244" s="84" t="e">
        <f t="shared" si="2277"/>
        <v>#DIV/0!</v>
      </c>
      <c r="AR244" s="84" t="e">
        <f t="shared" si="2277"/>
        <v>#DIV/0!</v>
      </c>
      <c r="AS244" s="84" t="e">
        <f t="shared" si="2277"/>
        <v>#DIV/0!</v>
      </c>
      <c r="AT244" s="84" t="e">
        <f t="shared" si="2277"/>
        <v>#DIV/0!</v>
      </c>
      <c r="AU244" s="84" t="e">
        <f t="shared" si="2277"/>
        <v>#DIV/0!</v>
      </c>
      <c r="AV244" s="84" t="e">
        <f t="shared" si="2277"/>
        <v>#DIV/0!</v>
      </c>
      <c r="AW244" s="84" t="e">
        <f t="shared" si="2277"/>
        <v>#DIV/0!</v>
      </c>
      <c r="AX244" s="84" t="e">
        <f t="shared" si="2277"/>
        <v>#DIV/0!</v>
      </c>
      <c r="AY244" s="84" t="e">
        <f t="shared" si="2277"/>
        <v>#DIV/0!</v>
      </c>
      <c r="AZ244" s="84" t="e">
        <f t="shared" si="2277"/>
        <v>#DIV/0!</v>
      </c>
      <c r="BA244" s="84" t="e">
        <f t="shared" si="2277"/>
        <v>#DIV/0!</v>
      </c>
      <c r="BB244" s="84" t="e">
        <f t="shared" si="2277"/>
        <v>#DIV/0!</v>
      </c>
      <c r="BC244" s="84" t="e">
        <f t="shared" si="2277"/>
        <v>#DIV/0!</v>
      </c>
      <c r="BD244" s="84" t="e">
        <f t="shared" si="2277"/>
        <v>#DIV/0!</v>
      </c>
      <c r="BE244" s="84" t="e">
        <f t="shared" si="2277"/>
        <v>#DIV/0!</v>
      </c>
      <c r="BF244" s="84" t="e">
        <f t="shared" si="2277"/>
        <v>#DIV/0!</v>
      </c>
      <c r="BG244" s="84" t="e">
        <f t="shared" si="2277"/>
        <v>#DIV/0!</v>
      </c>
      <c r="BH244" s="84" t="e">
        <f t="shared" si="2277"/>
        <v>#DIV/0!</v>
      </c>
      <c r="BI244" s="84" t="e">
        <f t="shared" si="2277"/>
        <v>#DIV/0!</v>
      </c>
      <c r="BJ244" s="84" t="e">
        <f t="shared" si="2277"/>
        <v>#DIV/0!</v>
      </c>
      <c r="BK244" s="84" t="e">
        <f t="shared" si="2277"/>
        <v>#DIV/0!</v>
      </c>
      <c r="BL244" s="84" t="e">
        <f t="shared" si="2277"/>
        <v>#DIV/0!</v>
      </c>
      <c r="BM244" s="84">
        <f t="shared" si="2277"/>
        <v>12.977566356939251</v>
      </c>
      <c r="BN244" s="84">
        <f t="shared" si="2277"/>
        <v>0.24863900126306537</v>
      </c>
      <c r="BO244" s="84">
        <f t="shared" si="2277"/>
        <v>0.31841940031815463</v>
      </c>
      <c r="BP244" s="84">
        <f t="shared" si="2277"/>
        <v>0.25467236348120742</v>
      </c>
      <c r="BQ244" s="84">
        <f t="shared" si="2277"/>
        <v>0.2855468206073562</v>
      </c>
      <c r="BR244" s="84">
        <f t="shared" si="2277"/>
        <v>0.26295343499108254</v>
      </c>
      <c r="BS244" s="84">
        <f t="shared" si="2277"/>
        <v>0.28459373680555111</v>
      </c>
      <c r="BT244" s="84">
        <f t="shared" si="2277"/>
        <v>0.25914468015918718</v>
      </c>
      <c r="BU244" s="84">
        <f t="shared" si="2277"/>
        <v>0.2754434727584314</v>
      </c>
      <c r="BV244" s="84">
        <f t="shared" si="2277"/>
        <v>0.31437442132517229</v>
      </c>
      <c r="BW244" s="84">
        <f t="shared" si="2277"/>
        <v>0.33599111083318145</v>
      </c>
      <c r="BX244" s="84">
        <f t="shared" si="2277"/>
        <v>0.28719816850695651</v>
      </c>
      <c r="BY244" s="84">
        <f t="shared" si="2277"/>
        <v>0.29552846304927483</v>
      </c>
      <c r="BZ244" s="84">
        <f t="shared" si="2277"/>
        <v>0.40158953375879486</v>
      </c>
      <c r="CA244" s="84">
        <f t="shared" si="2277"/>
        <v>0.41117967586472942</v>
      </c>
      <c r="CB244" s="84">
        <f t="shared" si="2277"/>
        <v>0.31689966459386287</v>
      </c>
      <c r="CC244" s="84">
        <f t="shared" si="2277"/>
        <v>0.33549515726304813</v>
      </c>
      <c r="CD244" s="84">
        <f t="shared" si="2277"/>
        <v>0.32237951843826723</v>
      </c>
      <c r="CE244" s="84">
        <f t="shared" si="2277"/>
        <v>0.35290583136200765</v>
      </c>
      <c r="CF244" s="84">
        <f t="shared" si="2277"/>
        <v>0.28997425243825886</v>
      </c>
      <c r="CG244" s="84">
        <f t="shared" si="2277"/>
        <v>0.32370586328139028</v>
      </c>
      <c r="CH244" s="84">
        <f t="shared" si="2277"/>
        <v>0.28727232724037965</v>
      </c>
      <c r="CI244" s="84">
        <f t="shared" si="2277"/>
        <v>0.2605931319663764</v>
      </c>
      <c r="CJ244" s="84">
        <f t="shared" si="2277"/>
        <v>0.25409722553893821</v>
      </c>
      <c r="CK244" s="84">
        <f t="shared" ref="CK244" si="2278">SUM(CH10:CK10)/(CK161+CK148+CK138)</f>
        <v>0.23896464677486423</v>
      </c>
      <c r="CL244" s="84">
        <f t="shared" si="2277"/>
        <v>0.21491461730786229</v>
      </c>
      <c r="CM244" s="50">
        <f t="shared" ref="CM244:DB244" si="2279">SUM(CJ10:CM10)/(CM161+CM148+CM138)</f>
        <v>0.23914266199364709</v>
      </c>
      <c r="CN244" s="50">
        <f t="shared" si="2279"/>
        <v>0.22893653072699913</v>
      </c>
      <c r="CO244" s="50">
        <f t="shared" si="2279"/>
        <v>0.21496988861180702</v>
      </c>
      <c r="CP244" s="50">
        <f t="shared" si="2279"/>
        <v>0.2091459482587556</v>
      </c>
      <c r="CQ244" s="50">
        <f t="shared" si="2279"/>
        <v>0.24303727396989147</v>
      </c>
      <c r="CR244" s="50">
        <f t="shared" si="2279"/>
        <v>0.23327036979021701</v>
      </c>
      <c r="CS244" s="50">
        <f t="shared" si="2279"/>
        <v>0.21779043709927751</v>
      </c>
      <c r="CT244" s="50">
        <f t="shared" si="2279"/>
        <v>0.21120773703064222</v>
      </c>
      <c r="CU244" s="50">
        <f t="shared" si="2279"/>
        <v>0.2495141440462578</v>
      </c>
      <c r="CV244" s="50">
        <f t="shared" si="2279"/>
        <v>0.2388134488472502</v>
      </c>
      <c r="CW244" s="50">
        <f t="shared" si="2279"/>
        <v>0.22195848451060346</v>
      </c>
      <c r="CX244" s="50">
        <f t="shared" si="2279"/>
        <v>0.21453721086606589</v>
      </c>
      <c r="CY244" s="50">
        <f t="shared" si="2279"/>
        <v>0.25462578775918498</v>
      </c>
      <c r="CZ244" s="50">
        <f t="shared" si="2279"/>
        <v>0.24318287662278712</v>
      </c>
      <c r="DA244" s="50">
        <f t="shared" si="2279"/>
        <v>0.22545248729887549</v>
      </c>
      <c r="DB244" s="50">
        <f t="shared" si="2279"/>
        <v>0.21762587819805448</v>
      </c>
      <c r="DE244" s="138"/>
      <c r="DF244" s="84">
        <v>0.20494863742618122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80">+F42</f>
        <v>#DIV/0!</v>
      </c>
      <c r="G245" s="181" t="e">
        <f t="shared" si="2280"/>
        <v>#DIV/0!</v>
      </c>
      <c r="H245" s="181" t="e">
        <f t="shared" si="2280"/>
        <v>#DIV/0!</v>
      </c>
      <c r="I245" s="181">
        <f t="shared" si="2280"/>
        <v>0.40707481057472827</v>
      </c>
      <c r="J245" s="181">
        <f t="shared" si="2280"/>
        <v>0.18136816883409726</v>
      </c>
      <c r="K245" s="181">
        <f t="shared" si="2280"/>
        <v>0.35468851117728278</v>
      </c>
      <c r="L245" s="181">
        <f t="shared" si="2280"/>
        <v>0.29454587705486163</v>
      </c>
      <c r="M245" s="181">
        <f t="shared" si="2280"/>
        <v>0.30246520043010905</v>
      </c>
      <c r="N245" s="181" t="e">
        <f t="shared" si="2280"/>
        <v>#DIV/0!</v>
      </c>
      <c r="O245" s="181">
        <f t="shared" si="2280"/>
        <v>3.1478649555569005E-2</v>
      </c>
      <c r="P245" s="181">
        <f t="shared" si="2280"/>
        <v>0.10496805891636185</v>
      </c>
      <c r="Q245" s="181">
        <f t="shared" si="2280"/>
        <v>7.0855812526289474E-2</v>
      </c>
      <c r="R245" s="181">
        <f t="shared" si="2280"/>
        <v>7.1977391252149581E-2</v>
      </c>
      <c r="S245" s="181">
        <f t="shared" si="2280"/>
        <v>0.14111108783705972</v>
      </c>
      <c r="T245" s="181">
        <f t="shared" si="2280"/>
        <v>0.1046851643020115</v>
      </c>
      <c r="U245" s="181">
        <f t="shared" si="2280"/>
        <v>0.11977108127801454</v>
      </c>
      <c r="V245" s="181">
        <f t="shared" si="2280"/>
        <v>0.23586434583329371</v>
      </c>
      <c r="W245" s="181">
        <f t="shared" si="2280"/>
        <v>0.27281750275193645</v>
      </c>
      <c r="X245" s="181">
        <f t="shared" si="2280"/>
        <v>0.29657397674895103</v>
      </c>
      <c r="Y245" s="181">
        <f t="shared" si="2280"/>
        <v>0.26348578218800828</v>
      </c>
      <c r="Z245" s="181">
        <f t="shared" si="2280"/>
        <v>0.22374879709925527</v>
      </c>
      <c r="AA245" s="181">
        <f t="shared" ref="AA245" si="2281">+AA42</f>
        <v>0.17817773483546623</v>
      </c>
      <c r="AB245" s="182">
        <f t="shared" si="2280"/>
        <v>0.21956173251659025</v>
      </c>
      <c r="AC245" s="182">
        <f t="shared" si="2280"/>
        <v>0.2239896776533995</v>
      </c>
      <c r="AD245" s="182">
        <f t="shared" si="2280"/>
        <v>0.22584294104730693</v>
      </c>
      <c r="AE245" s="182">
        <f t="shared" si="2280"/>
        <v>0.22712885563827476</v>
      </c>
      <c r="AL245" s="181" t="e">
        <f t="shared" ref="AL245:CW245" si="2282">+AL42</f>
        <v>#DIV/0!</v>
      </c>
      <c r="AM245" s="181" t="e">
        <f t="shared" si="2282"/>
        <v>#DIV/0!</v>
      </c>
      <c r="AN245" s="181" t="e">
        <f t="shared" si="2282"/>
        <v>#DIV/0!</v>
      </c>
      <c r="AO245" s="181" t="e">
        <f t="shared" si="2282"/>
        <v>#DIV/0!</v>
      </c>
      <c r="AP245" s="181" t="e">
        <f t="shared" si="2282"/>
        <v>#DIV/0!</v>
      </c>
      <c r="AQ245" s="181" t="e">
        <f t="shared" si="2282"/>
        <v>#DIV/0!</v>
      </c>
      <c r="AR245" s="181" t="e">
        <f t="shared" si="2282"/>
        <v>#DIV/0!</v>
      </c>
      <c r="AS245" s="181" t="e">
        <f t="shared" si="2282"/>
        <v>#DIV/0!</v>
      </c>
      <c r="AT245" s="181" t="e">
        <f t="shared" si="2282"/>
        <v>#DIV/0!</v>
      </c>
      <c r="AU245" s="181" t="e">
        <f t="shared" si="2282"/>
        <v>#DIV/0!</v>
      </c>
      <c r="AV245" s="181" t="e">
        <f t="shared" si="2282"/>
        <v>#DIV/0!</v>
      </c>
      <c r="AW245" s="181" t="e">
        <f t="shared" si="2282"/>
        <v>#DIV/0!</v>
      </c>
      <c r="AX245" s="181" t="e">
        <f t="shared" si="2282"/>
        <v>#DIV/0!</v>
      </c>
      <c r="AY245" s="181" t="e">
        <f t="shared" si="2282"/>
        <v>#DIV/0!</v>
      </c>
      <c r="AZ245" s="181" t="e">
        <f t="shared" si="2282"/>
        <v>#DIV/0!</v>
      </c>
      <c r="BA245" s="181" t="e">
        <f t="shared" si="2282"/>
        <v>#DIV/0!</v>
      </c>
      <c r="BB245" s="181" t="e">
        <f t="shared" si="2282"/>
        <v>#DIV/0!</v>
      </c>
      <c r="BC245" s="181" t="e">
        <f t="shared" si="2282"/>
        <v>#DIV/0!</v>
      </c>
      <c r="BD245" s="181" t="e">
        <f t="shared" si="2282"/>
        <v>#DIV/0!</v>
      </c>
      <c r="BE245" s="181" t="e">
        <f t="shared" si="2282"/>
        <v>#DIV/0!</v>
      </c>
      <c r="BF245" s="181" t="e">
        <f t="shared" si="2282"/>
        <v>#DIV/0!</v>
      </c>
      <c r="BG245" s="181" t="e">
        <f t="shared" si="2282"/>
        <v>#DIV/0!</v>
      </c>
      <c r="BH245" s="181" t="e">
        <f t="shared" si="2282"/>
        <v>#DIV/0!</v>
      </c>
      <c r="BI245" s="181" t="e">
        <f t="shared" si="2282"/>
        <v>#DIV/0!</v>
      </c>
      <c r="BJ245" s="181" t="e">
        <f t="shared" si="2282"/>
        <v>#DIV/0!</v>
      </c>
      <c r="BK245" s="181" t="e">
        <f t="shared" si="2282"/>
        <v>#DIV/0!</v>
      </c>
      <c r="BL245" s="181">
        <f t="shared" si="2282"/>
        <v>0.11803187093319684</v>
      </c>
      <c r="BM245" s="181">
        <f t="shared" si="2282"/>
        <v>0.15626171361436683</v>
      </c>
      <c r="BN245" s="181">
        <f t="shared" si="2282"/>
        <v>0.16896235078053248</v>
      </c>
      <c r="BO245" s="181">
        <f t="shared" si="2282"/>
        <v>0.20240831459920147</v>
      </c>
      <c r="BP245" s="181">
        <f t="shared" si="2282"/>
        <v>0.24074163721740818</v>
      </c>
      <c r="BQ245" s="181">
        <f t="shared" si="2282"/>
        <v>0.23870818434579671</v>
      </c>
      <c r="BR245" s="181">
        <f t="shared" si="2282"/>
        <v>0.24955214237467341</v>
      </c>
      <c r="BS245" s="181">
        <f t="shared" si="2282"/>
        <v>0.26245817735395566</v>
      </c>
      <c r="BT245" s="181">
        <f t="shared" si="2282"/>
        <v>0.25459665490954619</v>
      </c>
      <c r="BU245" s="181">
        <f t="shared" si="2282"/>
        <v>0.27558138950878841</v>
      </c>
      <c r="BV245" s="181">
        <f t="shared" si="2282"/>
        <v>0.30075395595534132</v>
      </c>
      <c r="BW245" s="181">
        <f t="shared" si="2282"/>
        <v>0.26627565982404694</v>
      </c>
      <c r="BX245" s="181">
        <f t="shared" si="2282"/>
        <v>0.28659600161008997</v>
      </c>
      <c r="BY245" s="181">
        <f t="shared" si="2282"/>
        <v>0.3045685279187817</v>
      </c>
      <c r="BZ245" s="181">
        <f t="shared" si="2282"/>
        <v>0.32330836173217176</v>
      </c>
      <c r="CA245" s="181">
        <f t="shared" si="2282"/>
        <v>0.27346579897338097</v>
      </c>
      <c r="CB245" s="181">
        <f t="shared" si="2282"/>
        <v>0.29055691227989805</v>
      </c>
      <c r="CC245" s="181">
        <f t="shared" si="2282"/>
        <v>0.24581179665472516</v>
      </c>
      <c r="CD245" s="181">
        <f t="shared" si="2282"/>
        <v>0.25045900760051759</v>
      </c>
      <c r="CE245" s="181">
        <f t="shared" si="2282"/>
        <v>0.20827860605896739</v>
      </c>
      <c r="CF245" s="181">
        <f t="shared" si="2282"/>
        <v>0.27950506566950939</v>
      </c>
      <c r="CG245" s="181">
        <f t="shared" si="2282"/>
        <v>0.22299529553812925</v>
      </c>
      <c r="CH245" s="181">
        <f t="shared" si="2282"/>
        <v>0.16526406398406071</v>
      </c>
      <c r="CI245" s="181">
        <f t="shared" si="2282"/>
        <v>0.100363777924493</v>
      </c>
      <c r="CJ245" s="181">
        <f t="shared" si="2282"/>
        <v>0.17618355775455624</v>
      </c>
      <c r="CK245" s="181">
        <f t="shared" si="2282"/>
        <v>0.20134227685152997</v>
      </c>
      <c r="CL245" s="181">
        <f t="shared" ref="CL245" si="2283">+CL42</f>
        <v>0.21944303977876173</v>
      </c>
      <c r="CM245" s="182">
        <f t="shared" si="2282"/>
        <v>0.1813179576072487</v>
      </c>
      <c r="CN245" s="182">
        <f t="shared" si="2282"/>
        <v>0.21688528913668367</v>
      </c>
      <c r="CO245" s="182">
        <f t="shared" si="2282"/>
        <v>0.23291017414853216</v>
      </c>
      <c r="CP245" s="182">
        <f t="shared" si="2282"/>
        <v>0.23564999334658607</v>
      </c>
      <c r="CQ245" s="182">
        <f t="shared" si="2282"/>
        <v>0.20221939701058894</v>
      </c>
      <c r="CR245" s="182">
        <f t="shared" si="2282"/>
        <v>0.22275200924630892</v>
      </c>
      <c r="CS245" s="182">
        <f t="shared" si="2282"/>
        <v>0.23161963555980661</v>
      </c>
      <c r="CT245" s="182">
        <f t="shared" si="2282"/>
        <v>0.23228976924792397</v>
      </c>
      <c r="CU245" s="182">
        <f t="shared" si="2282"/>
        <v>0.20759823828870794</v>
      </c>
      <c r="CV245" s="182">
        <f t="shared" si="2282"/>
        <v>0.22448007699107383</v>
      </c>
      <c r="CW245" s="182">
        <f t="shared" si="2282"/>
        <v>0.23206952529910047</v>
      </c>
      <c r="CX245" s="182">
        <f t="shared" ref="CX245:DB245" si="2284">+CX42</f>
        <v>0.2330869046388879</v>
      </c>
      <c r="CY245" s="182">
        <f t="shared" si="2284"/>
        <v>0.20979623959682897</v>
      </c>
      <c r="CZ245" s="182">
        <f t="shared" si="2284"/>
        <v>0.22573015915032915</v>
      </c>
      <c r="DA245" s="182">
        <f t="shared" si="2284"/>
        <v>0.23302054984080897</v>
      </c>
      <c r="DB245" s="182">
        <f t="shared" si="2284"/>
        <v>0.23409180411558733</v>
      </c>
      <c r="DE245" s="138"/>
      <c r="DF245" s="84">
        <v>0.17817773483546623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85">(F161+F148+F138+F140)/F120</f>
        <v>#DIV/0!</v>
      </c>
      <c r="G246" s="84" t="e">
        <f t="shared" si="2285"/>
        <v>#DIV/0!</v>
      </c>
      <c r="H246" s="84" t="e">
        <f t="shared" si="2285"/>
        <v>#DIV/0!</v>
      </c>
      <c r="I246" s="84">
        <f t="shared" si="2285"/>
        <v>1.0564764939200959</v>
      </c>
      <c r="J246" s="84">
        <f t="shared" si="2285"/>
        <v>1.0683542403680077</v>
      </c>
      <c r="K246" s="84">
        <f t="shared" si="2285"/>
        <v>1.4637709183319108</v>
      </c>
      <c r="L246" s="84">
        <f t="shared" si="2285"/>
        <v>1.3718770297302645</v>
      </c>
      <c r="M246" s="84">
        <f t="shared" si="2285"/>
        <v>1.2042531281152489</v>
      </c>
      <c r="N246" s="84">
        <f t="shared" si="2285"/>
        <v>3.2021711805211548</v>
      </c>
      <c r="O246" s="84">
        <f t="shared" si="2285"/>
        <v>3.0651081426036599</v>
      </c>
      <c r="P246" s="84">
        <f t="shared" si="2285"/>
        <v>2.8093142385212491</v>
      </c>
      <c r="Q246" s="84">
        <f t="shared" si="2285"/>
        <v>3.0838621690909318</v>
      </c>
      <c r="R246" s="84">
        <f t="shared" si="2285"/>
        <v>4.8549375099356595</v>
      </c>
      <c r="S246" s="84">
        <f t="shared" si="2285"/>
        <v>5.2572078908132021</v>
      </c>
      <c r="T246" s="84">
        <f t="shared" si="2285"/>
        <v>4.4613207635929131</v>
      </c>
      <c r="U246" s="84">
        <f t="shared" si="2285"/>
        <v>3.9664265098010043</v>
      </c>
      <c r="V246" s="84">
        <f t="shared" si="2285"/>
        <v>4.4923779638672778</v>
      </c>
      <c r="W246" s="84">
        <f t="shared" si="2285"/>
        <v>4.8589432944305555</v>
      </c>
      <c r="X246" s="84">
        <f t="shared" si="2285"/>
        <v>3.7372931931504958</v>
      </c>
      <c r="Y246" s="84">
        <f t="shared" si="2285"/>
        <v>4.6010535104454258</v>
      </c>
      <c r="Z246" s="84">
        <f t="shared" si="2285"/>
        <v>3.2438352523696072</v>
      </c>
      <c r="AA246" s="84">
        <f t="shared" ref="AA246" si="2286">(AA161+AA148+AA138+AA140)/AA120</f>
        <v>4.0967236376659484</v>
      </c>
      <c r="AB246" s="50">
        <f t="shared" si="2285"/>
        <v>3.7296023912745624</v>
      </c>
      <c r="AC246" s="50">
        <f t="shared" si="2285"/>
        <v>3.5831475252034335</v>
      </c>
      <c r="AD246" s="50">
        <f t="shared" si="2285"/>
        <v>3.4465765981394108</v>
      </c>
      <c r="AE246" s="50">
        <f t="shared" si="2285"/>
        <v>3.3313545021835522</v>
      </c>
      <c r="AL246" s="84" t="e">
        <f t="shared" ref="AL246:CW246" si="2287">(AL161+AL148+AL138+AL140)/AL120</f>
        <v>#DIV/0!</v>
      </c>
      <c r="AM246" s="84" t="e">
        <f t="shared" si="2287"/>
        <v>#DIV/0!</v>
      </c>
      <c r="AN246" s="84" t="e">
        <f t="shared" si="2287"/>
        <v>#DIV/0!</v>
      </c>
      <c r="AO246" s="84" t="e">
        <f t="shared" si="2287"/>
        <v>#DIV/0!</v>
      </c>
      <c r="AP246" s="84" t="e">
        <f t="shared" si="2287"/>
        <v>#DIV/0!</v>
      </c>
      <c r="AQ246" s="84" t="e">
        <f t="shared" si="2287"/>
        <v>#DIV/0!</v>
      </c>
      <c r="AR246" s="84" t="e">
        <f t="shared" si="2287"/>
        <v>#DIV/0!</v>
      </c>
      <c r="AS246" s="84" t="e">
        <f t="shared" si="2287"/>
        <v>#DIV/0!</v>
      </c>
      <c r="AT246" s="84" t="e">
        <f t="shared" si="2287"/>
        <v>#DIV/0!</v>
      </c>
      <c r="AU246" s="84" t="e">
        <f t="shared" si="2287"/>
        <v>#DIV/0!</v>
      </c>
      <c r="AV246" s="84" t="e">
        <f t="shared" si="2287"/>
        <v>#DIV/0!</v>
      </c>
      <c r="AW246" s="84" t="e">
        <f t="shared" si="2287"/>
        <v>#DIV/0!</v>
      </c>
      <c r="AX246" s="84" t="e">
        <f t="shared" si="2287"/>
        <v>#DIV/0!</v>
      </c>
      <c r="AY246" s="84" t="e">
        <f t="shared" si="2287"/>
        <v>#DIV/0!</v>
      </c>
      <c r="AZ246" s="84" t="e">
        <f t="shared" si="2287"/>
        <v>#DIV/0!</v>
      </c>
      <c r="BA246" s="84" t="e">
        <f t="shared" si="2287"/>
        <v>#DIV/0!</v>
      </c>
      <c r="BB246" s="84" t="e">
        <f t="shared" si="2287"/>
        <v>#DIV/0!</v>
      </c>
      <c r="BC246" s="84" t="e">
        <f t="shared" si="2287"/>
        <v>#DIV/0!</v>
      </c>
      <c r="BD246" s="84" t="e">
        <f t="shared" si="2287"/>
        <v>#DIV/0!</v>
      </c>
      <c r="BE246" s="84" t="e">
        <f t="shared" si="2287"/>
        <v>#DIV/0!</v>
      </c>
      <c r="BF246" s="84" t="e">
        <f t="shared" si="2287"/>
        <v>#DIV/0!</v>
      </c>
      <c r="BG246" s="84" t="e">
        <f t="shared" si="2287"/>
        <v>#DIV/0!</v>
      </c>
      <c r="BH246" s="84" t="e">
        <f t="shared" si="2287"/>
        <v>#DIV/0!</v>
      </c>
      <c r="BI246" s="84" t="e">
        <f t="shared" si="2287"/>
        <v>#DIV/0!</v>
      </c>
      <c r="BJ246" s="84" t="e">
        <f t="shared" si="2287"/>
        <v>#DIV/0!</v>
      </c>
      <c r="BK246" s="84" t="e">
        <f t="shared" si="2287"/>
        <v>#DIV/0!</v>
      </c>
      <c r="BL246" s="84" t="e">
        <f t="shared" si="2287"/>
        <v>#DIV/0!</v>
      </c>
      <c r="BM246" s="84">
        <f t="shared" si="2287"/>
        <v>1</v>
      </c>
      <c r="BN246" s="84">
        <f t="shared" si="2287"/>
        <v>3.6949911991329336</v>
      </c>
      <c r="BO246" s="84">
        <f t="shared" si="2287"/>
        <v>3.8439313363174761</v>
      </c>
      <c r="BP246" s="84">
        <f t="shared" si="2287"/>
        <v>3.6541892636377877</v>
      </c>
      <c r="BQ246" s="84">
        <f t="shared" si="2287"/>
        <v>3.4570545994337731</v>
      </c>
      <c r="BR246" s="84">
        <f t="shared" si="2287"/>
        <v>4.2521129587434805</v>
      </c>
      <c r="BS246" s="84">
        <f t="shared" si="2287"/>
        <v>4.1774171050713402</v>
      </c>
      <c r="BT246" s="84">
        <f t="shared" si="2287"/>
        <v>5.0449071630028124</v>
      </c>
      <c r="BU246" s="84">
        <f t="shared" si="2287"/>
        <v>4.9327879009236817</v>
      </c>
      <c r="BV246" s="84">
        <f t="shared" si="2287"/>
        <v>4.5557944857821093</v>
      </c>
      <c r="BW246" s="84">
        <f t="shared" si="2287"/>
        <v>4.1943524005459842</v>
      </c>
      <c r="BX246" s="84">
        <f t="shared" si="2287"/>
        <v>4.9940702119969442</v>
      </c>
      <c r="BY246" s="84">
        <f t="shared" si="2287"/>
        <v>4.5721716602610742</v>
      </c>
      <c r="BZ246" s="84">
        <f t="shared" si="2287"/>
        <v>3.459389477404724</v>
      </c>
      <c r="CA246" s="84">
        <f t="shared" si="2287"/>
        <v>3.1937087880642157</v>
      </c>
      <c r="CB246" s="84">
        <f t="shared" si="2287"/>
        <v>4.1437265559213055</v>
      </c>
      <c r="CC246" s="84">
        <f t="shared" si="2287"/>
        <v>3.881558029388561</v>
      </c>
      <c r="CD246" s="84">
        <f t="shared" si="2287"/>
        <v>4.3617850044905504</v>
      </c>
      <c r="CE246" s="84">
        <f t="shared" si="2287"/>
        <v>4.1430683361689224</v>
      </c>
      <c r="CF246" s="84">
        <f t="shared" si="2287"/>
        <v>3.4874033533965192</v>
      </c>
      <c r="CG246" s="84">
        <f t="shared" si="2287"/>
        <v>3.0787870609397725</v>
      </c>
      <c r="CH246" s="84">
        <f t="shared" si="2287"/>
        <v>3.2438352523696072</v>
      </c>
      <c r="CI246" s="84">
        <f t="shared" si="2287"/>
        <v>3.3273333860395184</v>
      </c>
      <c r="CJ246" s="84">
        <f t="shared" si="2287"/>
        <v>3.1573020499796565</v>
      </c>
      <c r="CK246" s="84">
        <f t="shared" si="2287"/>
        <v>3.2588696822969587</v>
      </c>
      <c r="CL246" s="84">
        <f t="shared" ref="CL246" si="2288">(CL161+CL148+CL138+CL140)/CL120</f>
        <v>3.9072585186385087</v>
      </c>
      <c r="CM246" s="50">
        <f t="shared" si="2287"/>
        <v>3.4166469542381024</v>
      </c>
      <c r="CN246" s="50">
        <f t="shared" si="2287"/>
        <v>3.4844892747929537</v>
      </c>
      <c r="CO246" s="50">
        <f t="shared" si="2287"/>
        <v>3.660834559100671</v>
      </c>
      <c r="CP246" s="50">
        <f t="shared" si="2287"/>
        <v>3.7296023912745624</v>
      </c>
      <c r="CQ246" s="50">
        <f t="shared" si="2287"/>
        <v>3.1818576930632951</v>
      </c>
      <c r="CR246" s="50">
        <f t="shared" si="2287"/>
        <v>3.2879196687267469</v>
      </c>
      <c r="CS246" s="50">
        <f t="shared" si="2287"/>
        <v>3.4966269224837276</v>
      </c>
      <c r="CT246" s="50">
        <f t="shared" si="2287"/>
        <v>3.5831475252034335</v>
      </c>
      <c r="CU246" s="50">
        <f t="shared" si="2287"/>
        <v>3.0228601161152739</v>
      </c>
      <c r="CV246" s="50">
        <f t="shared" si="2287"/>
        <v>3.141402703385586</v>
      </c>
      <c r="CW246" s="50">
        <f t="shared" si="2287"/>
        <v>3.3565176146458411</v>
      </c>
      <c r="CX246" s="50">
        <f t="shared" ref="CX246:DB246" si="2289">(CX161+CX148+CX138+CX140)/CX120</f>
        <v>3.4465765981394108</v>
      </c>
      <c r="CY246" s="50">
        <f t="shared" si="2289"/>
        <v>2.8987306781797346</v>
      </c>
      <c r="CZ246" s="50">
        <f t="shared" si="2289"/>
        <v>3.0214535100610376</v>
      </c>
      <c r="DA246" s="50">
        <f t="shared" si="2289"/>
        <v>3.2380297015938115</v>
      </c>
      <c r="DB246" s="50">
        <f t="shared" si="2289"/>
        <v>3.3313545021835522</v>
      </c>
      <c r="DE246" s="138"/>
      <c r="DF246" s="84">
        <v>4.0967236376659484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90">B161/B120</f>
        <v>#DIV/0!</v>
      </c>
      <c r="C248" s="88" t="e">
        <f t="shared" si="2290"/>
        <v>#DIV/0!</v>
      </c>
      <c r="D248" s="88" t="e">
        <f t="shared" si="2290"/>
        <v>#DIV/0!</v>
      </c>
      <c r="F248" s="88" t="e">
        <f t="shared" si="2290"/>
        <v>#DIV/0!</v>
      </c>
      <c r="G248" s="88" t="e">
        <f t="shared" si="2290"/>
        <v>#DIV/0!</v>
      </c>
      <c r="H248" s="88" t="e">
        <f t="shared" si="2290"/>
        <v>#DIV/0!</v>
      </c>
      <c r="I248" s="88">
        <f t="shared" si="2290"/>
        <v>1.4848770307392086E-3</v>
      </c>
      <c r="J248" s="88">
        <f t="shared" si="2290"/>
        <v>7.6137068977434599E-3</v>
      </c>
      <c r="K248" s="88">
        <f t="shared" si="2290"/>
        <v>1.7956546178018184E-2</v>
      </c>
      <c r="L248" s="88">
        <f t="shared" si="2290"/>
        <v>4.1955451990060649E-2</v>
      </c>
      <c r="M248" s="88">
        <f t="shared" si="2290"/>
        <v>2.4071220067006693E-2</v>
      </c>
      <c r="N248" s="88">
        <f t="shared" si="2290"/>
        <v>1.7085096657428405</v>
      </c>
      <c r="O248" s="88">
        <f t="shared" si="2290"/>
        <v>1.1323749273896893</v>
      </c>
      <c r="P248" s="88">
        <f t="shared" si="2290"/>
        <v>1.0336204050660107</v>
      </c>
      <c r="Q248" s="88">
        <f t="shared" si="2290"/>
        <v>1.1849653862395346</v>
      </c>
      <c r="R248" s="88">
        <f t="shared" si="2290"/>
        <v>1.7129976035767489</v>
      </c>
      <c r="S248" s="88">
        <f t="shared" si="2290"/>
        <v>1.9644586277887164</v>
      </c>
      <c r="T248" s="88">
        <f t="shared" si="2290"/>
        <v>1.8833554432809279</v>
      </c>
      <c r="U248" s="88">
        <f t="shared" si="2290"/>
        <v>2.4497420610430169</v>
      </c>
      <c r="V248" s="88">
        <f t="shared" si="2290"/>
        <v>1.6648912419750006</v>
      </c>
      <c r="W248" s="88">
        <f t="shared" si="2290"/>
        <v>3.0886645034609823</v>
      </c>
      <c r="X248" s="88">
        <f t="shared" si="2290"/>
        <v>2.5403357208087867</v>
      </c>
      <c r="Y248" s="88">
        <f t="shared" si="2290"/>
        <v>2.2508972050643008</v>
      </c>
      <c r="Z248" s="88">
        <f t="shared" si="2290"/>
        <v>1.414116381725685</v>
      </c>
      <c r="AA248" s="88">
        <f t="shared" ref="AA248" si="2291">AA161/AA120</f>
        <v>2.5305410073668746</v>
      </c>
      <c r="AB248" s="42">
        <f t="shared" si="2290"/>
        <v>2.6033857215412266</v>
      </c>
      <c r="AC248" s="42">
        <f t="shared" si="2290"/>
        <v>2.4836660861420885</v>
      </c>
      <c r="AD248" s="42">
        <f t="shared" si="2290"/>
        <v>2.3777035310286454</v>
      </c>
      <c r="AE248" s="42">
        <f t="shared" si="2290"/>
        <v>2.2892287962459723</v>
      </c>
      <c r="AL248" s="88" t="e">
        <f t="shared" ref="AL248:CW248" si="2292">AL161/AL120</f>
        <v>#DIV/0!</v>
      </c>
      <c r="AM248" s="88" t="e">
        <f t="shared" si="2292"/>
        <v>#DIV/0!</v>
      </c>
      <c r="AN248" s="88" t="e">
        <f t="shared" si="2292"/>
        <v>#DIV/0!</v>
      </c>
      <c r="AO248" s="88" t="e">
        <f t="shared" si="2292"/>
        <v>#DIV/0!</v>
      </c>
      <c r="AP248" s="88" t="e">
        <f t="shared" si="2292"/>
        <v>#DIV/0!</v>
      </c>
      <c r="AQ248" s="88" t="e">
        <f t="shared" si="2292"/>
        <v>#DIV/0!</v>
      </c>
      <c r="AR248" s="88" t="e">
        <f t="shared" si="2292"/>
        <v>#DIV/0!</v>
      </c>
      <c r="AS248" s="88" t="e">
        <f t="shared" si="2292"/>
        <v>#DIV/0!</v>
      </c>
      <c r="AT248" s="88" t="e">
        <f t="shared" si="2292"/>
        <v>#DIV/0!</v>
      </c>
      <c r="AU248" s="88" t="e">
        <f t="shared" si="2292"/>
        <v>#DIV/0!</v>
      </c>
      <c r="AV248" s="88" t="e">
        <f t="shared" si="2292"/>
        <v>#DIV/0!</v>
      </c>
      <c r="AW248" s="88" t="e">
        <f t="shared" si="2292"/>
        <v>#DIV/0!</v>
      </c>
      <c r="AX248" s="88" t="e">
        <f t="shared" si="2292"/>
        <v>#DIV/0!</v>
      </c>
      <c r="AY248" s="88" t="e">
        <f t="shared" si="2292"/>
        <v>#DIV/0!</v>
      </c>
      <c r="AZ248" s="88" t="e">
        <f t="shared" si="2292"/>
        <v>#DIV/0!</v>
      </c>
      <c r="BA248" s="88" t="e">
        <f t="shared" si="2292"/>
        <v>#DIV/0!</v>
      </c>
      <c r="BB248" s="88" t="e">
        <f t="shared" si="2292"/>
        <v>#DIV/0!</v>
      </c>
      <c r="BC248" s="88" t="e">
        <f t="shared" si="2292"/>
        <v>#DIV/0!</v>
      </c>
      <c r="BD248" s="88" t="e">
        <f t="shared" si="2292"/>
        <v>#DIV/0!</v>
      </c>
      <c r="BE248" s="88" t="e">
        <f t="shared" si="2292"/>
        <v>#DIV/0!</v>
      </c>
      <c r="BF248" s="88" t="e">
        <f t="shared" si="2292"/>
        <v>#DIV/0!</v>
      </c>
      <c r="BG248" s="88" t="e">
        <f t="shared" si="2292"/>
        <v>#DIV/0!</v>
      </c>
      <c r="BH248" s="88" t="e">
        <f t="shared" si="2292"/>
        <v>#DIV/0!</v>
      </c>
      <c r="BI248" s="88" t="e">
        <f t="shared" si="2292"/>
        <v>#DIV/0!</v>
      </c>
      <c r="BJ248" s="88" t="e">
        <f t="shared" si="2292"/>
        <v>#DIV/0!</v>
      </c>
      <c r="BK248" s="88" t="e">
        <f t="shared" si="2292"/>
        <v>#DIV/0!</v>
      </c>
      <c r="BL248" s="88" t="e">
        <f t="shared" si="2292"/>
        <v>#DIV/0!</v>
      </c>
      <c r="BM248" s="88">
        <f t="shared" si="2292"/>
        <v>1</v>
      </c>
      <c r="BN248" s="88">
        <f t="shared" si="2292"/>
        <v>2.4497420610430169</v>
      </c>
      <c r="BO248" s="88">
        <f t="shared" si="2292"/>
        <v>2.6764209311573239</v>
      </c>
      <c r="BP248" s="88">
        <f t="shared" si="2292"/>
        <v>2.6303895355595874</v>
      </c>
      <c r="BQ248" s="88">
        <f t="shared" si="2292"/>
        <v>2.5041902606885027</v>
      </c>
      <c r="BR248" s="88">
        <f t="shared" si="2292"/>
        <v>1.6648912419750006</v>
      </c>
      <c r="BS248" s="88">
        <f t="shared" si="2292"/>
        <v>1.8168716311211379</v>
      </c>
      <c r="BT248" s="88">
        <f t="shared" si="2292"/>
        <v>3.508555040581947</v>
      </c>
      <c r="BU248" s="88">
        <f t="shared" si="2292"/>
        <v>3.5611743625787158</v>
      </c>
      <c r="BV248" s="88">
        <f t="shared" si="2292"/>
        <v>3.0886645034609823</v>
      </c>
      <c r="BW248" s="88">
        <f t="shared" si="2292"/>
        <v>2.8774566191448518</v>
      </c>
      <c r="BX248" s="88">
        <f t="shared" si="2292"/>
        <v>2.8535799723781796</v>
      </c>
      <c r="BY248" s="88">
        <f t="shared" si="2292"/>
        <v>2.6615453182743689</v>
      </c>
      <c r="BZ248" s="88">
        <f t="shared" si="2292"/>
        <v>2.5909815975328905</v>
      </c>
      <c r="CA248" s="88">
        <f t="shared" si="2292"/>
        <v>2.4092558319753778</v>
      </c>
      <c r="CB248" s="88">
        <f t="shared" si="2292"/>
        <v>2.9690729541452958</v>
      </c>
      <c r="CC248" s="88">
        <f t="shared" si="2292"/>
        <v>2.8122406842345118</v>
      </c>
      <c r="CD248" s="88">
        <f t="shared" si="2292"/>
        <v>3.2397433952378778</v>
      </c>
      <c r="CE248" s="88">
        <f t="shared" si="2292"/>
        <v>3.1144327022378691</v>
      </c>
      <c r="CF248" s="88">
        <f t="shared" si="2292"/>
        <v>2.1157390916848682</v>
      </c>
      <c r="CG248" s="88">
        <f t="shared" si="2292"/>
        <v>1.7936018943463685</v>
      </c>
      <c r="CH248" s="88">
        <f t="shared" si="2292"/>
        <v>1.414116381725685</v>
      </c>
      <c r="CI248" s="88">
        <f t="shared" si="2292"/>
        <v>1.4028441829906662</v>
      </c>
      <c r="CJ248" s="88">
        <f t="shared" si="2292"/>
        <v>1.9393663286177218</v>
      </c>
      <c r="CK248" s="88">
        <f t="shared" si="2292"/>
        <v>1.9792684955930409</v>
      </c>
      <c r="CL248" s="88">
        <f t="shared" ref="CL248" si="2293">CL161/CL120</f>
        <v>2.7490061363652338</v>
      </c>
      <c r="CM248" s="42">
        <f t="shared" si="2292"/>
        <v>2.5010502819623746</v>
      </c>
      <c r="CN248" s="42">
        <f t="shared" si="2292"/>
        <v>2.5191716282035492</v>
      </c>
      <c r="CO248" s="42">
        <f t="shared" si="2292"/>
        <v>2.5872664379087595</v>
      </c>
      <c r="CP248" s="42">
        <f t="shared" si="2292"/>
        <v>2.6033857215412266</v>
      </c>
      <c r="CQ248" s="42">
        <f t="shared" si="2292"/>
        <v>2.329523054935525</v>
      </c>
      <c r="CR248" s="42">
        <f t="shared" si="2292"/>
        <v>2.3687177062085021</v>
      </c>
      <c r="CS248" s="42">
        <f t="shared" si="2292"/>
        <v>2.4556679321371657</v>
      </c>
      <c r="CT248" s="42">
        <f t="shared" si="2292"/>
        <v>2.4836660861420885</v>
      </c>
      <c r="CU248" s="42">
        <f t="shared" si="2292"/>
        <v>2.2055725223898452</v>
      </c>
      <c r="CV248" s="42">
        <f t="shared" si="2292"/>
        <v>2.2529613402492163</v>
      </c>
      <c r="CW248" s="42">
        <f t="shared" si="2292"/>
        <v>2.3455002924419079</v>
      </c>
      <c r="CX248" s="42">
        <f t="shared" ref="CX248:DB248" si="2294">CX161/CX120</f>
        <v>2.3777035310286454</v>
      </c>
      <c r="CY248" s="42">
        <f t="shared" si="2294"/>
        <v>2.1071065924737451</v>
      </c>
      <c r="CZ248" s="42">
        <f t="shared" si="2294"/>
        <v>2.1582476922764169</v>
      </c>
      <c r="DA248" s="42">
        <f t="shared" si="2294"/>
        <v>2.253465456782652</v>
      </c>
      <c r="DB248" s="42">
        <f t="shared" si="2294"/>
        <v>2.2892287962459723</v>
      </c>
      <c r="DE248" s="125"/>
      <c r="DF248" s="88">
        <v>2.5305410073668746</v>
      </c>
    </row>
    <row r="249" spans="1:110" s="89" customFormat="1" x14ac:dyDescent="0.2">
      <c r="A249" s="89" t="s">
        <v>103</v>
      </c>
      <c r="C249" s="89" t="e">
        <f t="shared" ref="C249:AE249" si="2295">C128/B128-1</f>
        <v>#DIV/0!</v>
      </c>
      <c r="D249" s="89" t="e">
        <f t="shared" si="2295"/>
        <v>#DIV/0!</v>
      </c>
      <c r="F249" s="89" t="e">
        <f t="shared" si="2295"/>
        <v>#DIV/0!</v>
      </c>
      <c r="G249" s="89" t="e">
        <f t="shared" si="2295"/>
        <v>#DIV/0!</v>
      </c>
      <c r="H249" s="89" t="e">
        <f t="shared" si="2295"/>
        <v>#DIV/0!</v>
      </c>
      <c r="I249" s="89" t="e">
        <f t="shared" si="2295"/>
        <v>#DIV/0!</v>
      </c>
      <c r="J249" s="89">
        <f t="shared" si="2295"/>
        <v>-0.75236143803538069</v>
      </c>
      <c r="K249" s="89">
        <f>K128/J128-1</f>
        <v>4277.1226244648733</v>
      </c>
      <c r="L249" s="89">
        <f t="shared" si="2295"/>
        <v>-9.6254101541679349E-2</v>
      </c>
      <c r="M249" s="89">
        <f t="shared" si="2295"/>
        <v>-0.5194006377140179</v>
      </c>
      <c r="N249" s="89">
        <f t="shared" si="2295"/>
        <v>5.094555732509253</v>
      </c>
      <c r="O249" s="89">
        <f t="shared" si="2295"/>
        <v>0.68142652440719109</v>
      </c>
      <c r="P249" s="89">
        <f t="shared" si="2295"/>
        <v>-0.11122684951100692</v>
      </c>
      <c r="Q249" s="89">
        <f t="shared" si="2295"/>
        <v>0.29737424454109895</v>
      </c>
      <c r="R249" s="89">
        <f t="shared" si="2295"/>
        <v>1.153242432268677</v>
      </c>
      <c r="S249" s="89">
        <f t="shared" si="2295"/>
        <v>0.45735007316995469</v>
      </c>
      <c r="T249" s="89">
        <f t="shared" si="2295"/>
        <v>-0.2250391207828476</v>
      </c>
      <c r="U249" s="89">
        <f t="shared" si="2295"/>
        <v>-0.43694784920705931</v>
      </c>
      <c r="V249" s="89">
        <f t="shared" si="2295"/>
        <v>1.3864720226369434</v>
      </c>
      <c r="W249" s="89">
        <f t="shared" si="2295"/>
        <v>7.3636604980584108E-2</v>
      </c>
      <c r="X249" s="89">
        <f t="shared" si="2295"/>
        <v>-0.37722344664841156</v>
      </c>
      <c r="Y249" s="89">
        <f t="shared" si="2295"/>
        <v>2.2345133195282441</v>
      </c>
      <c r="Z249" s="89">
        <f t="shared" si="2295"/>
        <v>0.33290100171735371</v>
      </c>
      <c r="AA249" s="89">
        <f t="shared" si="2295"/>
        <v>1.3322401442713439</v>
      </c>
      <c r="AB249" s="47">
        <f t="shared" si="2295"/>
        <v>-0.37451581754731678</v>
      </c>
      <c r="AC249" s="47">
        <f t="shared" si="2295"/>
        <v>0</v>
      </c>
      <c r="AD249" s="47">
        <f t="shared" si="2295"/>
        <v>0</v>
      </c>
      <c r="AE249" s="47">
        <f t="shared" si="2295"/>
        <v>0</v>
      </c>
      <c r="AL249" s="89" t="e">
        <f t="shared" ref="AL249:CW249" si="2296">AL128/AK128-1</f>
        <v>#DIV/0!</v>
      </c>
      <c r="AM249" s="89" t="e">
        <f t="shared" si="2296"/>
        <v>#DIV/0!</v>
      </c>
      <c r="AN249" s="89" t="e">
        <f t="shared" si="2296"/>
        <v>#DIV/0!</v>
      </c>
      <c r="AO249" s="89" t="e">
        <f t="shared" si="2296"/>
        <v>#DIV/0!</v>
      </c>
      <c r="AP249" s="89" t="e">
        <f t="shared" si="2296"/>
        <v>#DIV/0!</v>
      </c>
      <c r="AQ249" s="89" t="e">
        <f t="shared" si="2296"/>
        <v>#DIV/0!</v>
      </c>
      <c r="AR249" s="89" t="e">
        <f t="shared" si="2296"/>
        <v>#DIV/0!</v>
      </c>
      <c r="AS249" s="89" t="e">
        <f t="shared" si="2296"/>
        <v>#DIV/0!</v>
      </c>
      <c r="AT249" s="89" t="e">
        <f t="shared" si="2296"/>
        <v>#DIV/0!</v>
      </c>
      <c r="AU249" s="89" t="e">
        <f t="shared" si="2296"/>
        <v>#DIV/0!</v>
      </c>
      <c r="AV249" s="89" t="e">
        <f t="shared" si="2296"/>
        <v>#DIV/0!</v>
      </c>
      <c r="AW249" s="89" t="e">
        <f t="shared" si="2296"/>
        <v>#DIV/0!</v>
      </c>
      <c r="AX249" s="89" t="e">
        <f t="shared" si="2296"/>
        <v>#DIV/0!</v>
      </c>
      <c r="AY249" s="89" t="e">
        <f t="shared" si="2296"/>
        <v>#DIV/0!</v>
      </c>
      <c r="AZ249" s="89" t="e">
        <f t="shared" si="2296"/>
        <v>#DIV/0!</v>
      </c>
      <c r="BA249" s="89" t="e">
        <f t="shared" si="2296"/>
        <v>#DIV/0!</v>
      </c>
      <c r="BB249" s="89" t="e">
        <f t="shared" si="2296"/>
        <v>#DIV/0!</v>
      </c>
      <c r="BC249" s="89" t="e">
        <f t="shared" si="2296"/>
        <v>#DIV/0!</v>
      </c>
      <c r="BD249" s="89" t="e">
        <f t="shared" si="2296"/>
        <v>#DIV/0!</v>
      </c>
      <c r="BE249" s="89" t="e">
        <f t="shared" si="2296"/>
        <v>#DIV/0!</v>
      </c>
      <c r="BF249" s="89" t="e">
        <f t="shared" si="2296"/>
        <v>#DIV/0!</v>
      </c>
      <c r="BG249" s="89" t="e">
        <f t="shared" si="2296"/>
        <v>#DIV/0!</v>
      </c>
      <c r="BH249" s="89" t="e">
        <f t="shared" si="2296"/>
        <v>#DIV/0!</v>
      </c>
      <c r="BI249" s="89" t="e">
        <f t="shared" si="2296"/>
        <v>#DIV/0!</v>
      </c>
      <c r="BJ249" s="89" t="e">
        <f t="shared" si="2296"/>
        <v>#DIV/0!</v>
      </c>
      <c r="BK249" s="89" t="e">
        <f t="shared" si="2296"/>
        <v>#DIV/0!</v>
      </c>
      <c r="BL249" s="89" t="e">
        <f t="shared" si="2296"/>
        <v>#DIV/0!</v>
      </c>
      <c r="BM249" s="89" t="e">
        <f t="shared" si="2296"/>
        <v>#DIV/0!</v>
      </c>
      <c r="BN249" s="89" t="e">
        <f t="shared" si="2296"/>
        <v>#DIV/0!</v>
      </c>
      <c r="BO249" s="89">
        <f t="shared" si="2296"/>
        <v>0</v>
      </c>
      <c r="BP249" s="89">
        <f t="shared" si="2296"/>
        <v>0.20365915021828185</v>
      </c>
      <c r="BQ249" s="89">
        <f t="shared" si="2296"/>
        <v>0</v>
      </c>
      <c r="BR249" s="89">
        <f t="shared" si="2296"/>
        <v>0.9826809127851186</v>
      </c>
      <c r="BS249" s="89">
        <f t="shared" si="2296"/>
        <v>0</v>
      </c>
      <c r="BT249" s="89">
        <f t="shared" si="2296"/>
        <v>-1.2905164370546673E-2</v>
      </c>
      <c r="BU249" s="89">
        <f t="shared" si="2296"/>
        <v>0</v>
      </c>
      <c r="BV249" s="89">
        <f t="shared" si="2296"/>
        <v>6.6427927160524591E-2</v>
      </c>
      <c r="BW249" s="89">
        <f t="shared" si="2296"/>
        <v>0</v>
      </c>
      <c r="BX249" s="89">
        <f t="shared" si="2296"/>
        <v>1.406506023119372</v>
      </c>
      <c r="BY249" s="89">
        <f t="shared" si="2296"/>
        <v>0</v>
      </c>
      <c r="BZ249" s="89">
        <f t="shared" si="2296"/>
        <v>-0.74520853249692776</v>
      </c>
      <c r="CA249" s="89">
        <f t="shared" si="2296"/>
        <v>0</v>
      </c>
      <c r="CB249" s="89">
        <f t="shared" si="2296"/>
        <v>0.97771794044363092</v>
      </c>
      <c r="CC249" s="89">
        <f t="shared" si="2296"/>
        <v>0</v>
      </c>
      <c r="CD249" s="89">
        <f t="shared" si="2296"/>
        <v>0.6064484418884577</v>
      </c>
      <c r="CE249" s="89">
        <f t="shared" si="2296"/>
        <v>0</v>
      </c>
      <c r="CF249" s="89">
        <f t="shared" si="2296"/>
        <v>-0.21431821313309041</v>
      </c>
      <c r="CG249" s="89">
        <f t="shared" si="2296"/>
        <v>0</v>
      </c>
      <c r="CH249" s="89">
        <f t="shared" si="2296"/>
        <v>0.78918953285684745</v>
      </c>
      <c r="CI249" s="89">
        <f t="shared" si="2296"/>
        <v>0</v>
      </c>
      <c r="CJ249" s="89">
        <f t="shared" si="2296"/>
        <v>-0.50228251953674441</v>
      </c>
      <c r="CK249" s="89">
        <f t="shared" si="2296"/>
        <v>0</v>
      </c>
      <c r="CL249" s="89">
        <f t="shared" si="2296"/>
        <v>1.9309384885680849</v>
      </c>
      <c r="CM249" s="47">
        <f t="shared" si="2296"/>
        <v>0</v>
      </c>
      <c r="CN249" s="47">
        <f t="shared" si="2296"/>
        <v>0</v>
      </c>
      <c r="CO249" s="47">
        <f t="shared" si="2296"/>
        <v>0</v>
      </c>
      <c r="CP249" s="47">
        <f t="shared" si="2296"/>
        <v>0</v>
      </c>
      <c r="CQ249" s="47">
        <f t="shared" si="2296"/>
        <v>0</v>
      </c>
      <c r="CR249" s="47">
        <f t="shared" si="2296"/>
        <v>0</v>
      </c>
      <c r="CS249" s="47">
        <f t="shared" si="2296"/>
        <v>0</v>
      </c>
      <c r="CT249" s="47">
        <f t="shared" si="2296"/>
        <v>0</v>
      </c>
      <c r="CU249" s="47">
        <f t="shared" si="2296"/>
        <v>0</v>
      </c>
      <c r="CV249" s="47">
        <f t="shared" si="2296"/>
        <v>0</v>
      </c>
      <c r="CW249" s="47">
        <f t="shared" si="2296"/>
        <v>0</v>
      </c>
      <c r="CX249" s="47">
        <f t="shared" ref="CX249:DB249" si="2297">CX128/CW128-1</f>
        <v>0</v>
      </c>
      <c r="CY249" s="47">
        <f t="shared" si="2297"/>
        <v>0</v>
      </c>
      <c r="CZ249" s="47">
        <f t="shared" si="2297"/>
        <v>0</v>
      </c>
      <c r="DA249" s="47">
        <f t="shared" si="2297"/>
        <v>0</v>
      </c>
      <c r="DB249" s="47">
        <f t="shared" si="2297"/>
        <v>0</v>
      </c>
      <c r="DE249" s="130"/>
      <c r="DF249" s="89">
        <v>1.3322401442713439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98">F28/E28-1</f>
        <v>#DIV/0!</v>
      </c>
      <c r="G250" s="89" t="e">
        <f t="shared" si="2298"/>
        <v>#DIV/0!</v>
      </c>
      <c r="H250" s="89" t="e">
        <f t="shared" si="2298"/>
        <v>#DIV/0!</v>
      </c>
      <c r="I250" s="89" t="e">
        <f t="shared" si="2298"/>
        <v>#DIV/0!</v>
      </c>
      <c r="J250" s="89">
        <f t="shared" si="2298"/>
        <v>-0.35072835325826313</v>
      </c>
      <c r="K250" s="89">
        <f t="shared" si="2298"/>
        <v>-0.23602868568817881</v>
      </c>
      <c r="L250" s="89">
        <f t="shared" si="2298"/>
        <v>-3.9121048008283825</v>
      </c>
      <c r="M250" s="89">
        <f t="shared" si="2298"/>
        <v>-3.4523743785960836</v>
      </c>
      <c r="N250" s="89">
        <f t="shared" si="2298"/>
        <v>-1</v>
      </c>
      <c r="O250" s="89" t="e">
        <f t="shared" si="2298"/>
        <v>#DIV/0!</v>
      </c>
      <c r="P250" s="89">
        <f t="shared" si="2298"/>
        <v>3.016123384901678</v>
      </c>
      <c r="Q250" s="89">
        <f t="shared" si="2298"/>
        <v>-0.2062303380274223</v>
      </c>
      <c r="R250" s="89">
        <f t="shared" si="2298"/>
        <v>-1.0712323306483849</v>
      </c>
      <c r="S250" s="89">
        <f t="shared" si="2298"/>
        <v>-41.466579589757409</v>
      </c>
      <c r="T250" s="89">
        <f t="shared" si="2298"/>
        <v>-0.24413400809321117</v>
      </c>
      <c r="U250" s="89">
        <f t="shared" si="2298"/>
        <v>-0.149813771826528</v>
      </c>
      <c r="V250" s="89">
        <f t="shared" si="2298"/>
        <v>1.735981498774732</v>
      </c>
      <c r="W250" s="89">
        <f t="shared" si="2298"/>
        <v>1.1196738022426098</v>
      </c>
      <c r="X250" s="89">
        <f t="shared" si="2298"/>
        <v>0.39664747717848603</v>
      </c>
      <c r="Y250" s="89">
        <f t="shared" si="2298"/>
        <v>0.3094244346020163</v>
      </c>
      <c r="Z250" s="89">
        <f t="shared" si="2298"/>
        <v>0.17120076017002162</v>
      </c>
      <c r="AA250" s="89">
        <f t="shared" si="2298"/>
        <v>-8.2250571149483753E-2</v>
      </c>
      <c r="AB250" s="47">
        <f t="shared" si="2298"/>
        <v>0.18006669835329125</v>
      </c>
      <c r="AC250" s="47">
        <f t="shared" si="2298"/>
        <v>0.17735318585192061</v>
      </c>
      <c r="AD250" s="47">
        <f t="shared" si="2298"/>
        <v>0.17426682838452123</v>
      </c>
      <c r="AE250" s="47">
        <f t="shared" si="2298"/>
        <v>0.17393017268287392</v>
      </c>
      <c r="AL250" s="89" t="e">
        <f t="shared" ref="AL250:CW250" si="2299">AL28/AK28-1</f>
        <v>#DIV/0!</v>
      </c>
      <c r="AM250" s="89" t="e">
        <f t="shared" si="2299"/>
        <v>#DIV/0!</v>
      </c>
      <c r="AN250" s="89" t="e">
        <f t="shared" si="2299"/>
        <v>#DIV/0!</v>
      </c>
      <c r="AO250" s="89" t="e">
        <f t="shared" si="2299"/>
        <v>#DIV/0!</v>
      </c>
      <c r="AP250" s="89" t="e">
        <f t="shared" si="2299"/>
        <v>#DIV/0!</v>
      </c>
      <c r="AQ250" s="89" t="e">
        <f t="shared" si="2299"/>
        <v>#DIV/0!</v>
      </c>
      <c r="AR250" s="89" t="e">
        <f t="shared" si="2299"/>
        <v>#DIV/0!</v>
      </c>
      <c r="AS250" s="89" t="e">
        <f t="shared" si="2299"/>
        <v>#DIV/0!</v>
      </c>
      <c r="AT250" s="89" t="e">
        <f t="shared" si="2299"/>
        <v>#DIV/0!</v>
      </c>
      <c r="AU250" s="89" t="e">
        <f t="shared" si="2299"/>
        <v>#DIV/0!</v>
      </c>
      <c r="AV250" s="89" t="e">
        <f t="shared" si="2299"/>
        <v>#DIV/0!</v>
      </c>
      <c r="AW250" s="89" t="e">
        <f t="shared" si="2299"/>
        <v>#DIV/0!</v>
      </c>
      <c r="AX250" s="89" t="e">
        <f t="shared" si="2299"/>
        <v>#DIV/0!</v>
      </c>
      <c r="AY250" s="89" t="e">
        <f t="shared" si="2299"/>
        <v>#DIV/0!</v>
      </c>
      <c r="AZ250" s="89" t="e">
        <f t="shared" si="2299"/>
        <v>#DIV/0!</v>
      </c>
      <c r="BA250" s="89" t="e">
        <f t="shared" si="2299"/>
        <v>#DIV/0!</v>
      </c>
      <c r="BB250" s="89" t="e">
        <f t="shared" si="2299"/>
        <v>#DIV/0!</v>
      </c>
      <c r="BC250" s="89" t="e">
        <f t="shared" si="2299"/>
        <v>#DIV/0!</v>
      </c>
      <c r="BD250" s="89" t="e">
        <f t="shared" si="2299"/>
        <v>#DIV/0!</v>
      </c>
      <c r="BE250" s="89" t="e">
        <f t="shared" si="2299"/>
        <v>#DIV/0!</v>
      </c>
      <c r="BF250" s="89" t="e">
        <f t="shared" si="2299"/>
        <v>#DIV/0!</v>
      </c>
      <c r="BG250" s="89" t="e">
        <f t="shared" si="2299"/>
        <v>#DIV/0!</v>
      </c>
      <c r="BH250" s="89" t="e">
        <f t="shared" si="2299"/>
        <v>#DIV/0!</v>
      </c>
      <c r="BI250" s="89" t="e">
        <f t="shared" si="2299"/>
        <v>#DIV/0!</v>
      </c>
      <c r="BJ250" s="89" t="e">
        <f t="shared" si="2299"/>
        <v>#DIV/0!</v>
      </c>
      <c r="BK250" s="89" t="e">
        <f t="shared" si="2299"/>
        <v>#DIV/0!</v>
      </c>
      <c r="BL250" s="89" t="e">
        <f t="shared" si="2299"/>
        <v>#DIV/0!</v>
      </c>
      <c r="BM250" s="89">
        <f t="shared" si="2299"/>
        <v>0.22814116133872764</v>
      </c>
      <c r="BN250" s="89">
        <f t="shared" si="2299"/>
        <v>0.14899744725416131</v>
      </c>
      <c r="BO250" s="89">
        <f t="shared" si="2299"/>
        <v>0.32171205043484941</v>
      </c>
      <c r="BP250" s="89">
        <f t="shared" si="2299"/>
        <v>0.58854376185276691</v>
      </c>
      <c r="BQ250" s="89">
        <f t="shared" si="2299"/>
        <v>-4.0264450252783357E-2</v>
      </c>
      <c r="BR250" s="89">
        <f t="shared" si="2299"/>
        <v>0.38406664342188357</v>
      </c>
      <c r="BS250" s="89">
        <f t="shared" si="2299"/>
        <v>0.16358350411580025</v>
      </c>
      <c r="BT250" s="89">
        <f t="shared" si="2299"/>
        <v>0.12966723035243088</v>
      </c>
      <c r="BU250" s="89">
        <f t="shared" si="2299"/>
        <v>0.22217042458522962</v>
      </c>
      <c r="BV250" s="89">
        <f t="shared" si="2299"/>
        <v>0.25611249793389312</v>
      </c>
      <c r="BW250" s="89">
        <f t="shared" si="2299"/>
        <v>-0.1011569567549877</v>
      </c>
      <c r="BX250" s="89">
        <f t="shared" si="2299"/>
        <v>0.18768768768768762</v>
      </c>
      <c r="BY250" s="89">
        <f t="shared" si="2299"/>
        <v>2.4968394437420827E-2</v>
      </c>
      <c r="BZ250" s="89">
        <f t="shared" si="2299"/>
        <v>0.18941720629047221</v>
      </c>
      <c r="CA250" s="89">
        <f t="shared" si="2299"/>
        <v>-0.16938619960179202</v>
      </c>
      <c r="CB250" s="89">
        <f t="shared" si="2299"/>
        <v>0.38374673445883278</v>
      </c>
      <c r="CC250" s="89">
        <f t="shared" si="2299"/>
        <v>-0.10240673072585338</v>
      </c>
      <c r="CD250" s="89">
        <f t="shared" si="2299"/>
        <v>0.33149050482611653</v>
      </c>
      <c r="CE250" s="89">
        <f t="shared" si="2299"/>
        <v>-0.11220114296067607</v>
      </c>
      <c r="CF250" s="89">
        <f t="shared" si="2299"/>
        <v>0.42821671676565987</v>
      </c>
      <c r="CG250" s="89">
        <f t="shared" si="2299"/>
        <v>-0.26183622193511491</v>
      </c>
      <c r="CH250" s="89">
        <f t="shared" si="2299"/>
        <v>-0.30892574482028545</v>
      </c>
      <c r="CI250" s="89">
        <f t="shared" si="2299"/>
        <v>-0.19855509291814621</v>
      </c>
      <c r="CJ250" s="89">
        <f t="shared" si="2299"/>
        <v>0.51236383759538695</v>
      </c>
      <c r="CK250" s="89">
        <f t="shared" si="2299"/>
        <v>0.27427034886520119</v>
      </c>
      <c r="CL250" s="89">
        <f t="shared" si="2299"/>
        <v>0.13083914406134478</v>
      </c>
      <c r="CM250" s="47">
        <f t="shared" si="2299"/>
        <v>-0.31571802008560412</v>
      </c>
      <c r="CN250" s="47">
        <f t="shared" si="2299"/>
        <v>0.19539720643262593</v>
      </c>
      <c r="CO250" s="47">
        <f t="shared" si="2299"/>
        <v>0.20892025116111257</v>
      </c>
      <c r="CP250" s="47">
        <f t="shared" si="2299"/>
        <v>0.10702004424379097</v>
      </c>
      <c r="CQ250" s="47">
        <f t="shared" si="2299"/>
        <v>-0.24360577979663078</v>
      </c>
      <c r="CR250" s="47">
        <f t="shared" si="2299"/>
        <v>0.15278714530493165</v>
      </c>
      <c r="CS250" s="47">
        <f t="shared" si="2299"/>
        <v>0.20628214963991165</v>
      </c>
      <c r="CT250" s="47">
        <f t="shared" si="2299"/>
        <v>0.11840749667995376</v>
      </c>
      <c r="CU250" s="47">
        <f t="shared" si="2299"/>
        <v>-0.24211027042909028</v>
      </c>
      <c r="CV250" s="47">
        <f t="shared" si="2299"/>
        <v>0.14580298437523886</v>
      </c>
      <c r="CW250" s="47">
        <f t="shared" si="2299"/>
        <v>0.20745839760383067</v>
      </c>
      <c r="CX250" s="47">
        <f t="shared" ref="CX250:DB250" si="2300">CX28/CW28-1</f>
        <v>0.12042438580398951</v>
      </c>
      <c r="CY250" s="47">
        <f t="shared" si="2300"/>
        <v>-0.24236373817130896</v>
      </c>
      <c r="CZ250" s="47">
        <f t="shared" si="2300"/>
        <v>0.1447781456282915</v>
      </c>
      <c r="DA250" s="47">
        <f t="shared" si="2300"/>
        <v>0.20792556164004683</v>
      </c>
      <c r="DB250" s="47">
        <f t="shared" si="2300"/>
        <v>0.12069408279958282</v>
      </c>
      <c r="DE250" s="130"/>
      <c r="DF250" s="89">
        <v>-8.2250571149483753E-2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01">IF(D249&gt;D250,"RF",0)</f>
        <v>#DIV/0!</v>
      </c>
      <c r="F251" s="103" t="e">
        <f t="shared" si="2301"/>
        <v>#DIV/0!</v>
      </c>
      <c r="G251" s="103" t="e">
        <f t="shared" si="2301"/>
        <v>#DIV/0!</v>
      </c>
      <c r="H251" s="103" t="e">
        <f t="shared" si="2301"/>
        <v>#DIV/0!</v>
      </c>
      <c r="I251" s="103" t="e">
        <f t="shared" si="2301"/>
        <v>#DIV/0!</v>
      </c>
      <c r="J251" s="103">
        <f t="shared" si="2301"/>
        <v>0</v>
      </c>
      <c r="K251" s="103" t="str">
        <f t="shared" si="2301"/>
        <v>RF</v>
      </c>
      <c r="L251" s="103" t="str">
        <f t="shared" si="2301"/>
        <v>RF</v>
      </c>
      <c r="M251" s="103" t="str">
        <f t="shared" si="2301"/>
        <v>RF</v>
      </c>
      <c r="N251" s="103" t="str">
        <f t="shared" si="2301"/>
        <v>RF</v>
      </c>
      <c r="O251" s="103" t="e">
        <f t="shared" si="2301"/>
        <v>#DIV/0!</v>
      </c>
      <c r="P251" s="103">
        <f t="shared" si="2301"/>
        <v>0</v>
      </c>
      <c r="Q251" s="103" t="str">
        <f t="shared" si="2301"/>
        <v>RF</v>
      </c>
      <c r="R251" s="103" t="str">
        <f t="shared" si="2301"/>
        <v>RF</v>
      </c>
      <c r="S251" s="103" t="str">
        <f t="shared" si="2301"/>
        <v>RF</v>
      </c>
      <c r="T251" s="103" t="str">
        <f t="shared" si="2301"/>
        <v>RF</v>
      </c>
      <c r="U251" s="103">
        <f t="shared" si="2301"/>
        <v>0</v>
      </c>
      <c r="V251" s="103">
        <f>IF(V249&gt;V250,"RF",0)</f>
        <v>0</v>
      </c>
      <c r="W251" s="103">
        <f t="shared" ref="W251:AE251" si="2302">IF(W249&gt;W250,"RF",0)</f>
        <v>0</v>
      </c>
      <c r="X251" s="103">
        <f t="shared" si="2302"/>
        <v>0</v>
      </c>
      <c r="Y251" s="103" t="str">
        <f t="shared" si="2302"/>
        <v>RF</v>
      </c>
      <c r="Z251" s="103" t="str">
        <f t="shared" si="2302"/>
        <v>RF</v>
      </c>
      <c r="AA251" s="103" t="str">
        <f t="shared" ref="AA251" si="2303">IF(AA249&gt;AA250,"RF",0)</f>
        <v>RF</v>
      </c>
      <c r="AB251" s="73">
        <f t="shared" si="2302"/>
        <v>0</v>
      </c>
      <c r="AC251" s="73">
        <f t="shared" si="2302"/>
        <v>0</v>
      </c>
      <c r="AD251" s="73">
        <f t="shared" si="2302"/>
        <v>0</v>
      </c>
      <c r="AE251" s="73">
        <f t="shared" si="2302"/>
        <v>0</v>
      </c>
      <c r="AL251" s="103" t="e">
        <f t="shared" ref="AL251:CW251" si="2304">IF(AL249&gt;AL250,"RF",0)</f>
        <v>#DIV/0!</v>
      </c>
      <c r="AM251" s="103" t="e">
        <f t="shared" si="2304"/>
        <v>#DIV/0!</v>
      </c>
      <c r="AN251" s="103" t="e">
        <f t="shared" si="2304"/>
        <v>#DIV/0!</v>
      </c>
      <c r="AO251" s="103" t="e">
        <f t="shared" si="2304"/>
        <v>#DIV/0!</v>
      </c>
      <c r="AP251" s="103" t="e">
        <f t="shared" si="2304"/>
        <v>#DIV/0!</v>
      </c>
      <c r="AQ251" s="103" t="e">
        <f t="shared" si="2304"/>
        <v>#DIV/0!</v>
      </c>
      <c r="AR251" s="103" t="e">
        <f t="shared" si="2304"/>
        <v>#DIV/0!</v>
      </c>
      <c r="AS251" s="103" t="e">
        <f t="shared" si="2304"/>
        <v>#DIV/0!</v>
      </c>
      <c r="AT251" s="103" t="e">
        <f t="shared" si="2304"/>
        <v>#DIV/0!</v>
      </c>
      <c r="AU251" s="103" t="e">
        <f t="shared" si="2304"/>
        <v>#DIV/0!</v>
      </c>
      <c r="AV251" s="103" t="e">
        <f t="shared" si="2304"/>
        <v>#DIV/0!</v>
      </c>
      <c r="AW251" s="103" t="e">
        <f t="shared" si="2304"/>
        <v>#DIV/0!</v>
      </c>
      <c r="AX251" s="103" t="e">
        <f t="shared" si="2304"/>
        <v>#DIV/0!</v>
      </c>
      <c r="AY251" s="103" t="e">
        <f t="shared" si="2304"/>
        <v>#DIV/0!</v>
      </c>
      <c r="AZ251" s="103" t="e">
        <f t="shared" si="2304"/>
        <v>#DIV/0!</v>
      </c>
      <c r="BA251" s="103" t="e">
        <f t="shared" si="2304"/>
        <v>#DIV/0!</v>
      </c>
      <c r="BB251" s="103" t="e">
        <f t="shared" si="2304"/>
        <v>#DIV/0!</v>
      </c>
      <c r="BC251" s="103" t="e">
        <f t="shared" si="2304"/>
        <v>#DIV/0!</v>
      </c>
      <c r="BD251" s="103" t="e">
        <f t="shared" si="2304"/>
        <v>#DIV/0!</v>
      </c>
      <c r="BE251" s="103" t="e">
        <f t="shared" si="2304"/>
        <v>#DIV/0!</v>
      </c>
      <c r="BF251" s="103" t="e">
        <f t="shared" si="2304"/>
        <v>#DIV/0!</v>
      </c>
      <c r="BG251" s="103" t="e">
        <f t="shared" si="2304"/>
        <v>#DIV/0!</v>
      </c>
      <c r="BH251" s="103" t="e">
        <f t="shared" si="2304"/>
        <v>#DIV/0!</v>
      </c>
      <c r="BI251" s="103" t="e">
        <f t="shared" si="2304"/>
        <v>#DIV/0!</v>
      </c>
      <c r="BJ251" s="103" t="e">
        <f t="shared" si="2304"/>
        <v>#DIV/0!</v>
      </c>
      <c r="BK251" s="103" t="e">
        <f t="shared" si="2304"/>
        <v>#DIV/0!</v>
      </c>
      <c r="BL251" s="103" t="e">
        <f t="shared" si="2304"/>
        <v>#DIV/0!</v>
      </c>
      <c r="BM251" s="103" t="e">
        <f t="shared" si="2304"/>
        <v>#DIV/0!</v>
      </c>
      <c r="BN251" s="103" t="e">
        <f t="shared" si="2304"/>
        <v>#DIV/0!</v>
      </c>
      <c r="BO251" s="103">
        <f t="shared" si="2304"/>
        <v>0</v>
      </c>
      <c r="BP251" s="103">
        <f t="shared" si="2304"/>
        <v>0</v>
      </c>
      <c r="BQ251" s="103" t="str">
        <f t="shared" si="2304"/>
        <v>RF</v>
      </c>
      <c r="BR251" s="103" t="str">
        <f t="shared" si="2304"/>
        <v>RF</v>
      </c>
      <c r="BS251" s="103">
        <f t="shared" si="2304"/>
        <v>0</v>
      </c>
      <c r="BT251" s="103">
        <f t="shared" si="2304"/>
        <v>0</v>
      </c>
      <c r="BU251" s="103">
        <f t="shared" si="2304"/>
        <v>0</v>
      </c>
      <c r="BV251" s="103">
        <f t="shared" si="2304"/>
        <v>0</v>
      </c>
      <c r="BW251" s="103" t="str">
        <f t="shared" si="2304"/>
        <v>RF</v>
      </c>
      <c r="BX251" s="103" t="str">
        <f t="shared" si="2304"/>
        <v>RF</v>
      </c>
      <c r="BY251" s="103">
        <f t="shared" si="2304"/>
        <v>0</v>
      </c>
      <c r="BZ251" s="103">
        <f t="shared" si="2304"/>
        <v>0</v>
      </c>
      <c r="CA251" s="103" t="str">
        <f t="shared" si="2304"/>
        <v>RF</v>
      </c>
      <c r="CB251" s="103" t="str">
        <f t="shared" si="2304"/>
        <v>RF</v>
      </c>
      <c r="CC251" s="103" t="str">
        <f t="shared" si="2304"/>
        <v>RF</v>
      </c>
      <c r="CD251" s="103" t="str">
        <f t="shared" si="2304"/>
        <v>RF</v>
      </c>
      <c r="CE251" s="103" t="str">
        <f t="shared" si="2304"/>
        <v>RF</v>
      </c>
      <c r="CF251" s="103">
        <f t="shared" si="2304"/>
        <v>0</v>
      </c>
      <c r="CG251" s="103" t="str">
        <f t="shared" si="2304"/>
        <v>RF</v>
      </c>
      <c r="CH251" s="103" t="str">
        <f t="shared" si="2304"/>
        <v>RF</v>
      </c>
      <c r="CI251" s="103" t="str">
        <f t="shared" si="2304"/>
        <v>RF</v>
      </c>
      <c r="CJ251" s="103">
        <f t="shared" si="2304"/>
        <v>0</v>
      </c>
      <c r="CK251" s="103">
        <f t="shared" si="2304"/>
        <v>0</v>
      </c>
      <c r="CL251" s="103" t="str">
        <f t="shared" ref="CL251" si="2305">IF(CL249&gt;CL250,"RF",0)</f>
        <v>RF</v>
      </c>
      <c r="CM251" s="73" t="str">
        <f t="shared" si="2304"/>
        <v>RF</v>
      </c>
      <c r="CN251" s="73">
        <f t="shared" si="2304"/>
        <v>0</v>
      </c>
      <c r="CO251" s="73">
        <f t="shared" si="2304"/>
        <v>0</v>
      </c>
      <c r="CP251" s="73">
        <f t="shared" si="2304"/>
        <v>0</v>
      </c>
      <c r="CQ251" s="73" t="str">
        <f t="shared" si="2304"/>
        <v>RF</v>
      </c>
      <c r="CR251" s="73">
        <f t="shared" si="2304"/>
        <v>0</v>
      </c>
      <c r="CS251" s="73">
        <f t="shared" si="2304"/>
        <v>0</v>
      </c>
      <c r="CT251" s="73">
        <f t="shared" si="2304"/>
        <v>0</v>
      </c>
      <c r="CU251" s="73" t="str">
        <f t="shared" si="2304"/>
        <v>RF</v>
      </c>
      <c r="CV251" s="73">
        <f t="shared" si="2304"/>
        <v>0</v>
      </c>
      <c r="CW251" s="73">
        <f t="shared" si="2304"/>
        <v>0</v>
      </c>
      <c r="CX251" s="73">
        <f t="shared" ref="CX251:DB251" si="2306">IF(CX249&gt;CX250,"RF",0)</f>
        <v>0</v>
      </c>
      <c r="CY251" s="73" t="str">
        <f t="shared" si="2306"/>
        <v>RF</v>
      </c>
      <c r="CZ251" s="73">
        <f t="shared" si="2306"/>
        <v>0</v>
      </c>
      <c r="DA251" s="73">
        <f t="shared" si="2306"/>
        <v>0</v>
      </c>
      <c r="DB251" s="73">
        <f t="shared" si="2306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07">F36/F8</f>
        <v>#DIV/0!</v>
      </c>
      <c r="G252" s="86" t="e">
        <f t="shared" si="2307"/>
        <v>#DIV/0!</v>
      </c>
      <c r="H252" s="86" t="e">
        <f t="shared" si="2307"/>
        <v>#DIV/0!</v>
      </c>
      <c r="I252" s="86">
        <f t="shared" si="2307"/>
        <v>0</v>
      </c>
      <c r="J252" s="86">
        <f t="shared" si="2307"/>
        <v>0</v>
      </c>
      <c r="K252" s="86">
        <f t="shared" si="2307"/>
        <v>0</v>
      </c>
      <c r="L252" s="86">
        <f t="shared" si="2307"/>
        <v>0</v>
      </c>
      <c r="M252" s="86">
        <f t="shared" si="2307"/>
        <v>0.32478375273864268</v>
      </c>
      <c r="N252" s="86" t="e">
        <f t="shared" si="2307"/>
        <v>#DIV/0!</v>
      </c>
      <c r="O252" s="86">
        <f t="shared" si="2307"/>
        <v>5.6341437713203067E-2</v>
      </c>
      <c r="P252" s="86">
        <f t="shared" si="2307"/>
        <v>8.5881342765251154E-2</v>
      </c>
      <c r="Q252" s="86">
        <f t="shared" si="2307"/>
        <v>7.9650701948386637E-2</v>
      </c>
      <c r="R252" s="86">
        <f t="shared" si="2307"/>
        <v>0.125160164133891</v>
      </c>
      <c r="S252" s="86">
        <f t="shared" si="2307"/>
        <v>0.12380277733964785</v>
      </c>
      <c r="T252" s="86">
        <f t="shared" si="2307"/>
        <v>9.1442658204610422E-2</v>
      </c>
      <c r="U252" s="86">
        <f t="shared" si="2307"/>
        <v>6.8950241780564817E-2</v>
      </c>
      <c r="V252" s="86">
        <f t="shared" si="2307"/>
        <v>3.3486219656179872E-2</v>
      </c>
      <c r="W252" s="86">
        <f t="shared" si="2307"/>
        <v>3.3163343246996872E-2</v>
      </c>
      <c r="X252" s="86">
        <f t="shared" si="2307"/>
        <v>3.0298325717912369E-2</v>
      </c>
      <c r="Y252" s="86">
        <f t="shared" si="2307"/>
        <v>3.2000728518308E-2</v>
      </c>
      <c r="Z252" s="86">
        <f t="shared" si="2307"/>
        <v>5.6484458264665464E-2</v>
      </c>
      <c r="AA252" s="86">
        <f t="shared" ref="AA252" si="2308">AA36/AA8</f>
        <v>8.5210139689487624E-2</v>
      </c>
      <c r="AB252" s="87">
        <f t="shared" si="2307"/>
        <v>6.2077146175582042E-2</v>
      </c>
      <c r="AC252" s="87">
        <f t="shared" si="2307"/>
        <v>6.3471254801597238E-2</v>
      </c>
      <c r="AD252" s="87">
        <f t="shared" si="2307"/>
        <v>6.4694374488634701E-2</v>
      </c>
      <c r="AE252" s="87">
        <f t="shared" si="2307"/>
        <v>6.5702733308280151E-2</v>
      </c>
      <c r="AL252" s="86" t="e">
        <f t="shared" ref="AL252:CW252" si="2309">AL36/AL8</f>
        <v>#DIV/0!</v>
      </c>
      <c r="AM252" s="86" t="e">
        <f t="shared" si="2309"/>
        <v>#DIV/0!</v>
      </c>
      <c r="AN252" s="86" t="e">
        <f t="shared" si="2309"/>
        <v>#DIV/0!</v>
      </c>
      <c r="AO252" s="86" t="e">
        <f t="shared" si="2309"/>
        <v>#DIV/0!</v>
      </c>
      <c r="AP252" s="86" t="e">
        <f t="shared" si="2309"/>
        <v>#DIV/0!</v>
      </c>
      <c r="AQ252" s="86" t="e">
        <f t="shared" si="2309"/>
        <v>#DIV/0!</v>
      </c>
      <c r="AR252" s="86" t="e">
        <f t="shared" si="2309"/>
        <v>#DIV/0!</v>
      </c>
      <c r="AS252" s="86" t="e">
        <f t="shared" si="2309"/>
        <v>#DIV/0!</v>
      </c>
      <c r="AT252" s="86" t="e">
        <f t="shared" si="2309"/>
        <v>#DIV/0!</v>
      </c>
      <c r="AU252" s="86" t="e">
        <f t="shared" si="2309"/>
        <v>#DIV/0!</v>
      </c>
      <c r="AV252" s="86" t="e">
        <f t="shared" si="2309"/>
        <v>#DIV/0!</v>
      </c>
      <c r="AW252" s="86" t="e">
        <f t="shared" si="2309"/>
        <v>#DIV/0!</v>
      </c>
      <c r="AX252" s="86" t="e">
        <f t="shared" si="2309"/>
        <v>#DIV/0!</v>
      </c>
      <c r="AY252" s="86" t="e">
        <f t="shared" si="2309"/>
        <v>#DIV/0!</v>
      </c>
      <c r="AZ252" s="86" t="e">
        <f t="shared" si="2309"/>
        <v>#DIV/0!</v>
      </c>
      <c r="BA252" s="86" t="e">
        <f t="shared" si="2309"/>
        <v>#DIV/0!</v>
      </c>
      <c r="BB252" s="86" t="e">
        <f t="shared" si="2309"/>
        <v>#DIV/0!</v>
      </c>
      <c r="BC252" s="86" t="e">
        <f t="shared" si="2309"/>
        <v>#DIV/0!</v>
      </c>
      <c r="BD252" s="86" t="e">
        <f t="shared" si="2309"/>
        <v>#DIV/0!</v>
      </c>
      <c r="BE252" s="86" t="e">
        <f t="shared" si="2309"/>
        <v>#DIV/0!</v>
      </c>
      <c r="BF252" s="86" t="e">
        <f t="shared" si="2309"/>
        <v>#DIV/0!</v>
      </c>
      <c r="BG252" s="86" t="e">
        <f t="shared" si="2309"/>
        <v>#DIV/0!</v>
      </c>
      <c r="BH252" s="86" t="e">
        <f t="shared" si="2309"/>
        <v>#DIV/0!</v>
      </c>
      <c r="BI252" s="86" t="e">
        <f t="shared" si="2309"/>
        <v>#DIV/0!</v>
      </c>
      <c r="BJ252" s="86" t="e">
        <f t="shared" si="2309"/>
        <v>#DIV/0!</v>
      </c>
      <c r="BK252" s="86" t="e">
        <f t="shared" si="2309"/>
        <v>#DIV/0!</v>
      </c>
      <c r="BL252" s="86">
        <f t="shared" si="2309"/>
        <v>7.0085788450569786E-2</v>
      </c>
      <c r="BM252" s="86">
        <f t="shared" si="2309"/>
        <v>5.8446390108814229E-2</v>
      </c>
      <c r="BN252" s="86">
        <f t="shared" si="2309"/>
        <v>5.3804610044979849E-2</v>
      </c>
      <c r="BO252" s="86">
        <f t="shared" si="2309"/>
        <v>3.4304432439687282E-2</v>
      </c>
      <c r="BP252" s="86">
        <f t="shared" si="2309"/>
        <v>4.6266802213938779E-2</v>
      </c>
      <c r="BQ252" s="86">
        <f t="shared" si="2309"/>
        <v>1.8409807264181385E-2</v>
      </c>
      <c r="BR252" s="86">
        <f t="shared" si="2309"/>
        <v>2.6359969849147846E-2</v>
      </c>
      <c r="BS252" s="86">
        <f t="shared" si="2309"/>
        <v>3.5500618153838176E-2</v>
      </c>
      <c r="BT252" s="86">
        <f t="shared" si="2309"/>
        <v>3.4031175332802366E-2</v>
      </c>
      <c r="BU252" s="86">
        <f t="shared" si="2309"/>
        <v>3.056658167578798E-2</v>
      </c>
      <c r="BV252" s="86">
        <f t="shared" si="2309"/>
        <v>2.8668833696381808E-2</v>
      </c>
      <c r="BW252" s="86">
        <f t="shared" si="2309"/>
        <v>2.903225806451613E-2</v>
      </c>
      <c r="BX252" s="86">
        <f t="shared" si="2309"/>
        <v>3.2738494565946602E-2</v>
      </c>
      <c r="BY252" s="86">
        <f t="shared" si="2309"/>
        <v>3.4063585359337428E-2</v>
      </c>
      <c r="BZ252" s="86">
        <f t="shared" si="2309"/>
        <v>2.4871085017281507E-2</v>
      </c>
      <c r="CA252" s="86">
        <f t="shared" si="2309"/>
        <v>2.2692119553439298E-2</v>
      </c>
      <c r="CB252" s="86">
        <f t="shared" si="2309"/>
        <v>2.5184493833664008E-2</v>
      </c>
      <c r="CC252" s="86">
        <f t="shared" si="2309"/>
        <v>3.3618936287942165E-2</v>
      </c>
      <c r="CD252" s="86">
        <f t="shared" si="2309"/>
        <v>4.099166271266861E-2</v>
      </c>
      <c r="CE252" s="86">
        <f t="shared" si="2309"/>
        <v>3.9537402149056461E-2</v>
      </c>
      <c r="CF252" s="86">
        <f t="shared" si="2309"/>
        <v>4.9787219434002376E-2</v>
      </c>
      <c r="CG252" s="86">
        <f t="shared" si="2309"/>
        <v>6.6173033561875011E-2</v>
      </c>
      <c r="CH252" s="86">
        <f t="shared" si="2309"/>
        <v>7.6038836643109509E-2</v>
      </c>
      <c r="CI252" s="86">
        <f t="shared" si="2309"/>
        <v>7.2668783224655892E-2</v>
      </c>
      <c r="CJ252" s="86">
        <f t="shared" si="2309"/>
        <v>7.7548890874868312E-2</v>
      </c>
      <c r="CK252" s="86">
        <f t="shared" si="2309"/>
        <v>9.5210413395500473E-2</v>
      </c>
      <c r="CL252" s="86">
        <f t="shared" ref="CL252" si="2310">CL36/CL8</f>
        <v>9.1527330682969005E-2</v>
      </c>
      <c r="CM252" s="87">
        <f t="shared" si="2309"/>
        <v>7.5837324516903767E-2</v>
      </c>
      <c r="CN252" s="87">
        <f t="shared" si="2309"/>
        <v>6.2682136390606699E-2</v>
      </c>
      <c r="CO252" s="87">
        <f t="shared" si="2309"/>
        <v>5.6881018378594946E-2</v>
      </c>
      <c r="CP252" s="87">
        <f t="shared" si="2309"/>
        <v>5.6910886619157525E-2</v>
      </c>
      <c r="CQ252" s="87">
        <f t="shared" si="2309"/>
        <v>8.0284820043931185E-2</v>
      </c>
      <c r="CR252" s="87">
        <f t="shared" si="2309"/>
        <v>6.3829053516689063E-2</v>
      </c>
      <c r="CS252" s="87">
        <f t="shared" si="2309"/>
        <v>5.7494441504244626E-2</v>
      </c>
      <c r="CT252" s="87">
        <f t="shared" si="2309"/>
        <v>5.7578216919263167E-2</v>
      </c>
      <c r="CU252" s="87">
        <f t="shared" si="2309"/>
        <v>8.2661323877863749E-2</v>
      </c>
      <c r="CV252" s="87">
        <f t="shared" si="2309"/>
        <v>6.4923210164687911E-2</v>
      </c>
      <c r="CW252" s="87">
        <f t="shared" si="2309"/>
        <v>5.8416570913753914E-2</v>
      </c>
      <c r="CX252" s="87">
        <f t="shared" ref="CX252:DB252" si="2311">CX36/CX8</f>
        <v>5.8512997269407528E-2</v>
      </c>
      <c r="CY252" s="87">
        <f t="shared" si="2311"/>
        <v>8.4053450291749848E-2</v>
      </c>
      <c r="CZ252" s="87">
        <f t="shared" si="2311"/>
        <v>6.5978998771156636E-2</v>
      </c>
      <c r="DA252" s="87">
        <f t="shared" si="2311"/>
        <v>5.9319172947274672E-2</v>
      </c>
      <c r="DB252" s="87">
        <f t="shared" si="2311"/>
        <v>5.9350481828223244E-2</v>
      </c>
      <c r="DE252" s="141"/>
      <c r="DF252" s="86">
        <v>8.5210139689487624E-2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12">F32/F8</f>
        <v>#DIV/0!</v>
      </c>
      <c r="G253" s="86" t="e">
        <f t="shared" si="2312"/>
        <v>#DIV/0!</v>
      </c>
      <c r="H253" s="86" t="e">
        <f t="shared" si="2312"/>
        <v>#DIV/0!</v>
      </c>
      <c r="I253" s="86">
        <f t="shared" si="2312"/>
        <v>7.5559342222810438E-2</v>
      </c>
      <c r="J253" s="86">
        <f t="shared" si="2312"/>
        <v>0.10088748778471021</v>
      </c>
      <c r="K253" s="86">
        <f t="shared" si="2312"/>
        <v>4.0523457936205119E-2</v>
      </c>
      <c r="L253" s="86">
        <f t="shared" si="2312"/>
        <v>3.6876329675348873E-2</v>
      </c>
      <c r="M253" s="86">
        <f t="shared" si="2312"/>
        <v>5.7016114411957912E-2</v>
      </c>
      <c r="N253" s="86" t="e">
        <f t="shared" si="2312"/>
        <v>#DIV/0!</v>
      </c>
      <c r="O253" s="86">
        <f t="shared" si="2312"/>
        <v>3.7121887487873401E-2</v>
      </c>
      <c r="P253" s="86">
        <f t="shared" si="2312"/>
        <v>2.2994026643874944E-2</v>
      </c>
      <c r="Q253" s="86">
        <f t="shared" si="2312"/>
        <v>2.9067621105987155E-2</v>
      </c>
      <c r="R253" s="86">
        <f t="shared" si="2312"/>
        <v>3.1382747524379521E-2</v>
      </c>
      <c r="S253" s="86">
        <f t="shared" si="2312"/>
        <v>1.8995270188158032E-2</v>
      </c>
      <c r="T253" s="86">
        <f t="shared" si="2312"/>
        <v>2.623062599984265E-2</v>
      </c>
      <c r="U253" s="86">
        <f t="shared" si="2312"/>
        <v>2.8866004990174214E-2</v>
      </c>
      <c r="V253" s="86">
        <f t="shared" si="2312"/>
        <v>1.452894869286942E-2</v>
      </c>
      <c r="W253" s="86">
        <f t="shared" si="2312"/>
        <v>8.136216705061379E-3</v>
      </c>
      <c r="X253" s="86">
        <f t="shared" si="2312"/>
        <v>1.0082672987771461E-2</v>
      </c>
      <c r="Y253" s="86">
        <f t="shared" si="2312"/>
        <v>1.170053777386155E-2</v>
      </c>
      <c r="Z253" s="86">
        <f t="shared" si="2312"/>
        <v>1.9742939562028636E-2</v>
      </c>
      <c r="AA253" s="86">
        <f t="shared" ref="AA253" si="2313">AA32/AA8</f>
        <v>2.4334935493410339E-2</v>
      </c>
      <c r="AB253" s="87">
        <f t="shared" si="2312"/>
        <v>2.4049032913153998E-2</v>
      </c>
      <c r="AC253" s="87">
        <f t="shared" si="2312"/>
        <v>2.0650053106992212E-2</v>
      </c>
      <c r="AD253" s="87">
        <f t="shared" si="2312"/>
        <v>1.76452549568623E-2</v>
      </c>
      <c r="AE253" s="87">
        <f t="shared" si="2312"/>
        <v>1.5057358876949417E-2</v>
      </c>
      <c r="AL253" s="86" t="e">
        <f t="shared" ref="AL253:CW253" si="2314">AL32/AL8</f>
        <v>#DIV/0!</v>
      </c>
      <c r="AM253" s="86" t="e">
        <f t="shared" si="2314"/>
        <v>#DIV/0!</v>
      </c>
      <c r="AN253" s="86" t="e">
        <f t="shared" si="2314"/>
        <v>#DIV/0!</v>
      </c>
      <c r="AO253" s="86" t="e">
        <f t="shared" si="2314"/>
        <v>#DIV/0!</v>
      </c>
      <c r="AP253" s="86" t="e">
        <f t="shared" si="2314"/>
        <v>#DIV/0!</v>
      </c>
      <c r="AQ253" s="86" t="e">
        <f t="shared" si="2314"/>
        <v>#DIV/0!</v>
      </c>
      <c r="AR253" s="86" t="e">
        <f t="shared" si="2314"/>
        <v>#DIV/0!</v>
      </c>
      <c r="AS253" s="86" t="e">
        <f t="shared" si="2314"/>
        <v>#DIV/0!</v>
      </c>
      <c r="AT253" s="86" t="e">
        <f t="shared" si="2314"/>
        <v>#DIV/0!</v>
      </c>
      <c r="AU253" s="86" t="e">
        <f t="shared" si="2314"/>
        <v>#DIV/0!</v>
      </c>
      <c r="AV253" s="86" t="e">
        <f t="shared" si="2314"/>
        <v>#DIV/0!</v>
      </c>
      <c r="AW253" s="86" t="e">
        <f t="shared" si="2314"/>
        <v>#DIV/0!</v>
      </c>
      <c r="AX253" s="86" t="e">
        <f t="shared" si="2314"/>
        <v>#DIV/0!</v>
      </c>
      <c r="AY253" s="86" t="e">
        <f t="shared" si="2314"/>
        <v>#DIV/0!</v>
      </c>
      <c r="AZ253" s="86" t="e">
        <f t="shared" si="2314"/>
        <v>#DIV/0!</v>
      </c>
      <c r="BA253" s="86" t="e">
        <f t="shared" si="2314"/>
        <v>#DIV/0!</v>
      </c>
      <c r="BB253" s="86" t="e">
        <f t="shared" si="2314"/>
        <v>#DIV/0!</v>
      </c>
      <c r="BC253" s="86" t="e">
        <f t="shared" si="2314"/>
        <v>#DIV/0!</v>
      </c>
      <c r="BD253" s="86" t="e">
        <f t="shared" si="2314"/>
        <v>#DIV/0!</v>
      </c>
      <c r="BE253" s="86" t="e">
        <f t="shared" si="2314"/>
        <v>#DIV/0!</v>
      </c>
      <c r="BF253" s="86" t="e">
        <f t="shared" si="2314"/>
        <v>#DIV/0!</v>
      </c>
      <c r="BG253" s="86" t="e">
        <f t="shared" si="2314"/>
        <v>#DIV/0!</v>
      </c>
      <c r="BH253" s="86" t="e">
        <f t="shared" si="2314"/>
        <v>#DIV/0!</v>
      </c>
      <c r="BI253" s="86" t="e">
        <f t="shared" si="2314"/>
        <v>#DIV/0!</v>
      </c>
      <c r="BJ253" s="86" t="e">
        <f t="shared" si="2314"/>
        <v>#DIV/0!</v>
      </c>
      <c r="BK253" s="86" t="e">
        <f t="shared" si="2314"/>
        <v>#DIV/0!</v>
      </c>
      <c r="BL253" s="86">
        <f t="shared" si="2314"/>
        <v>3.280797122536637E-2</v>
      </c>
      <c r="BM253" s="86">
        <f t="shared" si="2314"/>
        <v>2.8476321015972472E-2</v>
      </c>
      <c r="BN253" s="86">
        <f t="shared" si="2314"/>
        <v>2.5623466301432404E-2</v>
      </c>
      <c r="BO253" s="86">
        <f t="shared" si="2314"/>
        <v>2.0832634298560547E-2</v>
      </c>
      <c r="BP253" s="86">
        <f t="shared" si="2314"/>
        <v>1.5003792096303108E-2</v>
      </c>
      <c r="BQ253" s="86">
        <f t="shared" si="2314"/>
        <v>1.5466454580124057E-2</v>
      </c>
      <c r="BR253" s="86">
        <f t="shared" si="2314"/>
        <v>9.7867904026313467E-3</v>
      </c>
      <c r="BS253" s="86">
        <f t="shared" si="2314"/>
        <v>8.7795136037071946E-3</v>
      </c>
      <c r="BT253" s="86">
        <f t="shared" si="2314"/>
        <v>8.5864906891189724E-3</v>
      </c>
      <c r="BU253" s="86">
        <f t="shared" si="2314"/>
        <v>8.0777607944833504E-3</v>
      </c>
      <c r="BV253" s="86">
        <f t="shared" si="2314"/>
        <v>7.676161742867677E-3</v>
      </c>
      <c r="BW253" s="86">
        <f t="shared" si="2314"/>
        <v>9.3841642228739003E-3</v>
      </c>
      <c r="BX253" s="86">
        <f t="shared" si="2314"/>
        <v>9.2580169059439162E-3</v>
      </c>
      <c r="BY253" s="86">
        <f t="shared" si="2314"/>
        <v>1.0686615014694095E-2</v>
      </c>
      <c r="BZ253" s="86">
        <f t="shared" si="2314"/>
        <v>1.0819412452860349E-2</v>
      </c>
      <c r="CA253" s="86">
        <f t="shared" si="2314"/>
        <v>1.1062470201422901E-2</v>
      </c>
      <c r="CB253" s="86">
        <f t="shared" si="2314"/>
        <v>1.0703648459203314E-2</v>
      </c>
      <c r="CC253" s="86">
        <f t="shared" si="2314"/>
        <v>1.2361125012511258E-2</v>
      </c>
      <c r="CD253" s="86">
        <f t="shared" si="2314"/>
        <v>1.2303319295412282E-2</v>
      </c>
      <c r="CE253" s="86">
        <f t="shared" si="2314"/>
        <v>1.6096578045243743E-2</v>
      </c>
      <c r="CF253" s="86">
        <f t="shared" si="2314"/>
        <v>1.6902289949336704E-2</v>
      </c>
      <c r="CG253" s="86">
        <f t="shared" si="2314"/>
        <v>2.1130465233091904E-2</v>
      </c>
      <c r="CH253" s="86">
        <f t="shared" si="2314"/>
        <v>2.701197807223964E-2</v>
      </c>
      <c r="CI253" s="86">
        <f t="shared" si="2314"/>
        <v>2.6230764442176497E-2</v>
      </c>
      <c r="CJ253" s="86">
        <f t="shared" si="2314"/>
        <v>2.5505134977258315E-2</v>
      </c>
      <c r="CK253" s="86">
        <f t="shared" si="2314"/>
        <v>2.3596594790905059E-2</v>
      </c>
      <c r="CL253" s="86">
        <f t="shared" ref="CL253" si="2315">CL32/CL8</f>
        <v>2.2565097689359215E-2</v>
      </c>
      <c r="CM253" s="87">
        <f t="shared" si="2314"/>
        <v>2.9392506046992936E-2</v>
      </c>
      <c r="CN253" s="87">
        <f t="shared" si="2314"/>
        <v>2.6510841137789471E-2</v>
      </c>
      <c r="CO253" s="87">
        <f t="shared" si="2314"/>
        <v>2.2380724530046265E-2</v>
      </c>
      <c r="CP253" s="87">
        <f t="shared" si="2314"/>
        <v>2.0048856350603755E-2</v>
      </c>
      <c r="CQ253" s="87">
        <f t="shared" si="2314"/>
        <v>2.5981751483374404E-2</v>
      </c>
      <c r="CR253" s="87">
        <f t="shared" si="2314"/>
        <v>2.2902904136820029E-2</v>
      </c>
      <c r="CS253" s="87">
        <f t="shared" si="2314"/>
        <v>1.9021867039129989E-2</v>
      </c>
      <c r="CT253" s="87">
        <f t="shared" si="2314"/>
        <v>1.6960945508319517E-2</v>
      </c>
      <c r="CU253" s="87">
        <f t="shared" si="2314"/>
        <v>2.2349135197236723E-2</v>
      </c>
      <c r="CV253" s="87">
        <f t="shared" si="2314"/>
        <v>1.9569945325766228E-2</v>
      </c>
      <c r="CW253" s="87">
        <f t="shared" si="2314"/>
        <v>1.6210103385461763E-2</v>
      </c>
      <c r="CX253" s="87">
        <f t="shared" ref="CX253:DB253" si="2316">CX32/CX8</f>
        <v>1.4464024764047135E-2</v>
      </c>
      <c r="CY253" s="87">
        <f t="shared" si="2316"/>
        <v>1.9098117418107394E-2</v>
      </c>
      <c r="CZ253" s="87">
        <f t="shared" si="2316"/>
        <v>1.669631902706778E-2</v>
      </c>
      <c r="DA253" s="87">
        <f t="shared" si="2316"/>
        <v>1.3824943491655368E-2</v>
      </c>
      <c r="DB253" s="87">
        <f t="shared" si="2316"/>
        <v>1.2338586715579185E-2</v>
      </c>
      <c r="DE253" s="141"/>
      <c r="DF253" s="86">
        <v>2.4334935493410339E-2</v>
      </c>
    </row>
    <row r="254" spans="1:110" s="85" customFormat="1" x14ac:dyDescent="0.2">
      <c r="AB254" s="58"/>
      <c r="AC254" s="58"/>
      <c r="AD254" s="58"/>
      <c r="AE254" s="58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209902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Angel One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171.81800000000001</v>
      </c>
      <c r="AG6">
        <f>_xll.EQNXTDZ($A$1,$B6,AG$1,$B$1)</f>
        <v>178.745</v>
      </c>
      <c r="AH6">
        <f>_xll.EQNXTDZ($A$1,$B6,AH$1,$B$1)</f>
        <v>192.75299999999999</v>
      </c>
      <c r="AI6">
        <f>_xll.EQNXTDZ($A$1,$B6,AI$1,$B$1)</f>
        <v>238.42400000000001</v>
      </c>
      <c r="AJ6">
        <f>_xll.EQNXTDZ($A$1,$B6,AJ$1,$B$1)</f>
        <v>309.85500000000002</v>
      </c>
      <c r="AK6">
        <f>_xll.EQNXTDZ($A$1,$B6,AK$1,$B$1)</f>
        <v>306.79300000000001</v>
      </c>
      <c r="AL6">
        <f>_xll.EQNXTDZ($A$1,$B6,AL$1,$B$1)</f>
        <v>408.61200000000002</v>
      </c>
      <c r="AM6">
        <f>_xll.EQNXTDZ($A$1,$B6,AM$1,$B$1)</f>
        <v>462.66800000000001</v>
      </c>
      <c r="AN6">
        <f>_xll.EQNXTDZ($A$1,$B6,AN$1,$B$1)</f>
        <v>527.34</v>
      </c>
      <c r="AO6">
        <f>_xll.EQNXTDZ($A$1,$B6,AO$1,$B$1)</f>
        <v>597.31899999999996</v>
      </c>
      <c r="AP6">
        <f>_xll.EQNXTDZ($A$1,$B6,AP$1,$B$1)</f>
        <v>680.80899999999997</v>
      </c>
      <c r="AQ6">
        <f>_xll.EQNXTDZ($A$1,$B6,AQ$1,$B$1)</f>
        <v>682</v>
      </c>
      <c r="AR6">
        <f>_xll.EQNXTDZ($A$1,$B6,AR$1,$B$1)</f>
        <v>745.3</v>
      </c>
      <c r="AS6">
        <f>_xll.EQNXTDZ($A$1,$B6,AS$1,$B$1)</f>
        <v>748.6</v>
      </c>
      <c r="AT6">
        <f>_xll.EQNXTDZ($A$1,$B6,AT$1,$B$1)</f>
        <v>825.73800000000006</v>
      </c>
      <c r="AU6">
        <f>_xll.EQNXTDZ($A$1,$B6,AU$1,$B$1)</f>
        <v>807.505</v>
      </c>
      <c r="AV6">
        <f>_xll.EQNXTDZ($A$1,$B6,AV$1,$B$1)</f>
        <v>1047.867</v>
      </c>
      <c r="AW6">
        <f>_xll.EQNXTDZ($A$1,$B6,AW$1,$B$1)</f>
        <v>1059.046</v>
      </c>
      <c r="AX6">
        <f>_xll.EQNXTDZ($A$1,$B6,AX$1,$B$1)</f>
        <v>1357.2760000000001</v>
      </c>
      <c r="AY6">
        <f>_xll.EQNXTDZ($A$1,$B6,AY$1,$B$1)</f>
        <v>1405.454</v>
      </c>
      <c r="AZ6">
        <f>_xll.EQNXTDZ($A$1,$B6,AZ$1,$B$1)</f>
        <v>1514.7059999999999</v>
      </c>
      <c r="BA6">
        <f>_xll.EQNXTDZ($A$1,$B6,BA$1,$B$1)</f>
        <v>1262.2059999999999</v>
      </c>
      <c r="BB6">
        <f>_xll.EQNXTDZ($A$1,$B6,BB$1,$B$1)</f>
        <v>1056.0129999999999</v>
      </c>
      <c r="BC6">
        <f>_xll.EQNXTDZ($A$1,$B6,BC$1,$B$1)</f>
        <v>1140.5309999999999</v>
      </c>
      <c r="BD6">
        <f>_xll.EQNXTDZ($A$1,$B6,BD$1,$B$1)</f>
        <v>1201.758</v>
      </c>
      <c r="BE6">
        <f>_xll.EQNXTDZ($A$1,$B6,BE$1,$B$1)</f>
        <v>1334.896</v>
      </c>
      <c r="BF6">
        <f>_xll.EQNXTDZ($A$1,$B6,BF$1,$B$1)</f>
        <v>1459.422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171.81800000000001</v>
      </c>
      <c r="AG9">
        <f>_xll.EQNXTDZ($A$1,$B9,AG$1,$B$1)</f>
        <v>178.745</v>
      </c>
      <c r="AH9">
        <f>_xll.EQNXTDZ($A$1,$B9,AH$1,$B$1)</f>
        <v>192.75299999999999</v>
      </c>
      <c r="AI9">
        <f>_xll.EQNXTDZ($A$1,$B9,AI$1,$B$1)</f>
        <v>238.42400000000001</v>
      </c>
      <c r="AJ9">
        <f>_xll.EQNXTDZ($A$1,$B9,AJ$1,$B$1)</f>
        <v>309.85500000000002</v>
      </c>
      <c r="AK9">
        <f>_xll.EQNXTDZ($A$1,$B9,AK$1,$B$1)</f>
        <v>306.79300000000001</v>
      </c>
      <c r="AL9">
        <f>_xll.EQNXTDZ($A$1,$B9,AL$1,$B$1)</f>
        <v>408.61200000000002</v>
      </c>
      <c r="AM9">
        <f>_xll.EQNXTDZ($A$1,$B9,AM$1,$B$1)</f>
        <v>462.66800000000001</v>
      </c>
      <c r="AN9">
        <f>_xll.EQNXTDZ($A$1,$B9,AN$1,$B$1)</f>
        <v>527.34</v>
      </c>
      <c r="AO9">
        <f>_xll.EQNXTDZ($A$1,$B9,AO$1,$B$1)</f>
        <v>597.31899999999996</v>
      </c>
      <c r="AP9">
        <f>_xll.EQNXTDZ($A$1,$B9,AP$1,$B$1)</f>
        <v>680.80899999999997</v>
      </c>
      <c r="AQ9">
        <f>_xll.EQNXTDZ($A$1,$B9,AQ$1,$B$1)</f>
        <v>682</v>
      </c>
      <c r="AR9">
        <f>_xll.EQNXTDZ($A$1,$B9,AR$1,$B$1)</f>
        <v>745.3</v>
      </c>
      <c r="AS9">
        <f>_xll.EQNXTDZ($A$1,$B9,AS$1,$B$1)</f>
        <v>748.6</v>
      </c>
      <c r="AT9">
        <f>_xll.EQNXTDZ($A$1,$B9,AT$1,$B$1)</f>
        <v>825.73800000000006</v>
      </c>
      <c r="AU9">
        <f>_xll.EQNXTDZ($A$1,$B9,AU$1,$B$1)</f>
        <v>807.505</v>
      </c>
      <c r="AV9">
        <f>_xll.EQNXTDZ($A$1,$B9,AV$1,$B$1)</f>
        <v>1047.867</v>
      </c>
      <c r="AW9">
        <f>_xll.EQNXTDZ($A$1,$B9,AW$1,$B$1)</f>
        <v>1059.046</v>
      </c>
      <c r="AX9">
        <f>_xll.EQNXTDZ($A$1,$B9,AX$1,$B$1)</f>
        <v>1357.2760000000001</v>
      </c>
      <c r="AY9">
        <f>_xll.EQNXTDZ($A$1,$B9,AY$1,$B$1)</f>
        <v>1405.454</v>
      </c>
      <c r="AZ9">
        <f>_xll.EQNXTDZ($A$1,$B9,AZ$1,$B$1)</f>
        <v>1514.7059999999999</v>
      </c>
      <c r="BA9">
        <f>_xll.EQNXTDZ($A$1,$B9,BA$1,$B$1)</f>
        <v>1262.2059999999999</v>
      </c>
      <c r="BB9">
        <f>_xll.EQNXTDZ($A$1,$B9,BB$1,$B$1)</f>
        <v>1056.0129999999999</v>
      </c>
      <c r="BC9">
        <f>_xll.EQNXTDZ($A$1,$B9,BC$1,$B$1)</f>
        <v>1140.5309999999999</v>
      </c>
      <c r="BD9">
        <f>_xll.EQNXTDZ($A$1,$B9,BD$1,$B$1)</f>
        <v>1201.758</v>
      </c>
      <c r="BE9">
        <f>_xll.EQNXTDZ($A$1,$B9,BE$1,$B$1)</f>
        <v>1334.896</v>
      </c>
      <c r="BF9">
        <f>_xll.EQNXTDZ($A$1,$B9,BF$1,$B$1)</f>
        <v>1459.422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33.561</v>
      </c>
      <c r="AG14">
        <f>_xll.EQNXTDZ($A$1,$B14,AG$1,$B$1)</f>
        <v>35.380000000000003</v>
      </c>
      <c r="AH14">
        <f>_xll.EQNXTDZ($A$1,$B14,AH$1,$B$1)</f>
        <v>31.943999999999999</v>
      </c>
      <c r="AI14">
        <f>_xll.EQNXTDZ($A$1,$B14,AI$1,$B$1)</f>
        <v>36.039000000000001</v>
      </c>
      <c r="AJ14">
        <f>_xll.EQNXTDZ($A$1,$B14,AJ$1,$B$1)</f>
        <v>60.277000000000001</v>
      </c>
      <c r="AK14">
        <f>_xll.EQNXTDZ($A$1,$B14,AK$1,$B$1)</f>
        <v>64.02</v>
      </c>
      <c r="AL14">
        <f>_xll.EQNXTDZ($A$1,$B14,AL$1,$B$1)</f>
        <v>100.758</v>
      </c>
      <c r="AM14">
        <f>_xll.EQNXTDZ($A$1,$B14,AM$1,$B$1)</f>
        <v>112.2</v>
      </c>
      <c r="AN14">
        <f>_xll.EQNXTDZ($A$1,$B14,AN$1,$B$1)</f>
        <v>131.77699999999999</v>
      </c>
      <c r="AO14">
        <f>_xll.EQNXTDZ($A$1,$B14,AO$1,$B$1)</f>
        <v>138.316</v>
      </c>
      <c r="AP14">
        <f>_xll.EQNXTDZ($A$1,$B14,AP$1,$B$1)</f>
        <v>152.608</v>
      </c>
      <c r="AQ14">
        <f>_xll.EQNXTDZ($A$1,$B14,AQ$1,$B$1)</f>
        <v>160.9</v>
      </c>
      <c r="AR14">
        <f>_xll.EQNXTDZ($A$1,$B14,AR$1,$B$1)</f>
        <v>156.30000000000001</v>
      </c>
      <c r="AS14">
        <f>_xll.EQNXTDZ($A$1,$B14,AS$1,$B$1)</f>
        <v>153.4</v>
      </c>
      <c r="AT14">
        <f>_xll.EQNXTDZ($A$1,$B14,AT$1,$B$1)</f>
        <v>195.977</v>
      </c>
      <c r="AU14">
        <f>_xll.EQNXTDZ($A$1,$B14,AU$1,$B$1)</f>
        <v>197.98599999999999</v>
      </c>
      <c r="AV14">
        <f>_xll.EQNXTDZ($A$1,$B14,AV$1,$B$1)</f>
        <v>262.57100000000003</v>
      </c>
      <c r="AW14">
        <f>_xll.EQNXTDZ($A$1,$B14,AW$1,$B$1)</f>
        <v>319.79599999999999</v>
      </c>
      <c r="AX14">
        <f>_xll.EQNXTDZ($A$1,$B14,AX$1,$B$1)</f>
        <v>423.80799999999999</v>
      </c>
      <c r="AY14">
        <f>_xll.EQNXTDZ($A$1,$B14,AY$1,$B$1)</f>
        <v>489.70600000000002</v>
      </c>
      <c r="AZ14">
        <f>_xll.EQNXTDZ($A$1,$B14,AZ$1,$B$1)</f>
        <v>371.33100000000002</v>
      </c>
      <c r="BA14">
        <f>_xll.EQNXTDZ($A$1,$B14,BA$1,$B$1)</f>
        <v>334.40199999999999</v>
      </c>
      <c r="BB14">
        <f>_xll.EQNXTDZ($A$1,$B14,BB$1,$B$1)</f>
        <v>379.75200000000001</v>
      </c>
      <c r="BC14">
        <f>_xll.EQNXTDZ($A$1,$B14,BC$1,$B$1)</f>
        <v>423.512</v>
      </c>
      <c r="BD14">
        <f>_xll.EQNXTDZ($A$1,$B14,BD$1,$B$1)</f>
        <v>342.67500000000001</v>
      </c>
      <c r="BE14">
        <f>_xll.EQNXTDZ($A$1,$B14,BE$1,$B$1)</f>
        <v>347.07100000000003</v>
      </c>
      <c r="BF14">
        <f>_xll.EQNXTDZ($A$1,$B14,BF$1,$B$1)</f>
        <v>414.94099999999997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42.4</v>
      </c>
      <c r="AG16">
        <f>_xll.EQNXTDZ($A$1,$B16,AG$1,$B$1)</f>
        <v>36.82</v>
      </c>
      <c r="AH16">
        <f>_xll.EQNXTDZ($A$1,$B16,AH$1,$B$1)</f>
        <v>35.914999999999999</v>
      </c>
      <c r="AI16">
        <f>_xll.EQNXTDZ($A$1,$B16,AI$1,$B$1)</f>
        <v>37.31</v>
      </c>
      <c r="AJ16">
        <f>_xll.EQNXTDZ($A$1,$B16,AJ$1,$B$1)</f>
        <v>39.719000000000001</v>
      </c>
      <c r="AK16">
        <f>_xll.EQNXTDZ($A$1,$B16,AK$1,$B$1)</f>
        <v>44.475000000000001</v>
      </c>
      <c r="AL16">
        <f>_xll.EQNXTDZ($A$1,$B16,AL$1,$B$1)</f>
        <v>50.341000000000001</v>
      </c>
      <c r="AM16">
        <f>_xll.EQNXTDZ($A$1,$B16,AM$1,$B$1)</f>
        <v>59.243000000000002</v>
      </c>
      <c r="AN16">
        <f>_xll.EQNXTDZ($A$1,$B16,AN$1,$B$1)</f>
        <v>68.819999999999993</v>
      </c>
      <c r="AO16">
        <f>_xll.EQNXTDZ($A$1,$B16,AO$1,$B$1)</f>
        <v>77.965999999999994</v>
      </c>
      <c r="AP16">
        <f>_xll.EQNXTDZ($A$1,$B16,AP$1,$B$1)</f>
        <v>74.87</v>
      </c>
      <c r="AQ16">
        <f>_xll.EQNXTDZ($A$1,$B16,AQ$1,$B$1)</f>
        <v>101.6</v>
      </c>
      <c r="AR16">
        <f>_xll.EQNXTDZ($A$1,$B16,AR$1,$B$1)</f>
        <v>109.5</v>
      </c>
      <c r="AS16">
        <f>_xll.EQNXTDZ($A$1,$B16,AS$1,$B$1)</f>
        <v>111.4</v>
      </c>
      <c r="AT16">
        <f>_xll.EQNXTDZ($A$1,$B16,AT$1,$B$1)</f>
        <v>75.456000000000003</v>
      </c>
      <c r="AU16">
        <f>_xll.EQNXTDZ($A$1,$B16,AU$1,$B$1)</f>
        <v>123.199</v>
      </c>
      <c r="AV16">
        <f>_xll.EQNXTDZ($A$1,$B16,AV$1,$B$1)</f>
        <v>132.92599999999999</v>
      </c>
      <c r="AW16">
        <f>_xll.EQNXTDZ($A$1,$B16,AW$1,$B$1)</f>
        <v>141.59200000000001</v>
      </c>
      <c r="AX16">
        <f>_xll.EQNXTDZ($A$1,$B16,AX$1,$B$1)</f>
        <v>158.745</v>
      </c>
      <c r="AY16">
        <f>_xll.EQNXTDZ($A$1,$B16,AY$1,$B$1)</f>
        <v>200.96700000000001</v>
      </c>
      <c r="AZ16">
        <f>_xll.EQNXTDZ($A$1,$B16,AZ$1,$B$1)</f>
        <v>230.24299999999999</v>
      </c>
      <c r="BA16">
        <f>_xll.EQNXTDZ($A$1,$B16,BA$1,$B$1)</f>
        <v>237.322</v>
      </c>
      <c r="BB16">
        <f>_xll.EQNXTDZ($A$1,$B16,BB$1,$B$1)</f>
        <v>186.66800000000001</v>
      </c>
      <c r="BC16">
        <f>_xll.EQNXTDZ($A$1,$B16,BC$1,$B$1)</f>
        <v>273.92200000000003</v>
      </c>
      <c r="BD16">
        <f>_xll.EQNXTDZ($A$1,$B16,BD$1,$B$1)</f>
        <v>274.46699999999998</v>
      </c>
      <c r="BE16">
        <f>_xll.EQNXTDZ($A$1,$B16,BE$1,$B$1)</f>
        <v>274.315</v>
      </c>
      <c r="BF16">
        <f>_xll.EQNXTDZ($A$1,$B16,BF$1,$B$1)</f>
        <v>244.34100000000001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54.616999999999997</v>
      </c>
      <c r="AG17">
        <f>_xll.EQNXTDZ($A$1,$B17,AG$1,$B$1)</f>
        <v>57.036000000000001</v>
      </c>
      <c r="AH17">
        <f>_xll.EQNXTDZ($A$1,$B17,AH$1,$B$1)</f>
        <v>62.719000000000001</v>
      </c>
      <c r="AI17">
        <f>_xll.EQNXTDZ($A$1,$B17,AI$1,$B$1)</f>
        <v>76.494</v>
      </c>
      <c r="AJ17">
        <f>_xll.EQNXTDZ($A$1,$B17,AJ$1,$B$1)</f>
        <v>91.924999999999997</v>
      </c>
      <c r="AK17">
        <f>_xll.EQNXTDZ($A$1,$B17,AK$1,$B$1)</f>
        <v>88.072000000000003</v>
      </c>
      <c r="AL17">
        <f>_xll.EQNXTDZ($A$1,$B17,AL$1,$B$1)</f>
        <v>106.48699999999999</v>
      </c>
      <c r="AM17">
        <f>_xll.EQNXTDZ($A$1,$B17,AM$1,$B$1)</f>
        <v>117.41200000000001</v>
      </c>
      <c r="AN17">
        <f>_xll.EQNXTDZ($A$1,$B17,AN$1,$B$1)</f>
        <v>132.274</v>
      </c>
      <c r="AO17">
        <f>_xll.EQNXTDZ($A$1,$B17,AO$1,$B$1)</f>
        <v>144.13</v>
      </c>
      <c r="AP17">
        <f>_xll.EQNXTDZ($A$1,$B17,AP$1,$B$1)</f>
        <v>156.42699999999999</v>
      </c>
      <c r="AQ17">
        <f>_xll.EQNXTDZ($A$1,$B17,AQ$1,$B$1)</f>
        <v>151.6</v>
      </c>
      <c r="AR17">
        <f>_xll.EQNXTDZ($A$1,$B17,AR$1,$B$1)</f>
        <v>162.69999999999999</v>
      </c>
      <c r="AS17">
        <f>_xll.EQNXTDZ($A$1,$B17,AS$1,$B$1)</f>
        <v>159.19999999999999</v>
      </c>
      <c r="AT17">
        <f>_xll.EQNXTDZ($A$1,$B17,AT$1,$B$1)</f>
        <v>167.154</v>
      </c>
      <c r="AU17">
        <f>_xll.EQNXTDZ($A$1,$B17,AU$1,$B$1)</f>
        <v>164.15799999999999</v>
      </c>
      <c r="AV17">
        <f>_xll.EQNXTDZ($A$1,$B17,AV$1,$B$1)</f>
        <v>207.09299999999999</v>
      </c>
      <c r="AW17">
        <f>_xll.EQNXTDZ($A$1,$B17,AW$1,$B$1)</f>
        <v>197.649</v>
      </c>
      <c r="AX17">
        <f>_xll.EQNXTDZ($A$1,$B17,AX$1,$B$1)</f>
        <v>241.78800000000001</v>
      </c>
      <c r="AY17">
        <f>_xll.EQNXTDZ($A$1,$B17,AY$1,$B$1)</f>
        <v>241.101</v>
      </c>
      <c r="AZ17">
        <f>_xll.EQNXTDZ($A$1,$B17,AZ$1,$B$1)</f>
        <v>242.18899999999999</v>
      </c>
      <c r="BA17">
        <f>_xll.EQNXTDZ($A$1,$B17,BA$1,$B$1)</f>
        <v>194.57599999999999</v>
      </c>
      <c r="BB17">
        <f>_xll.EQNXTDZ($A$1,$B17,BB$1,$B$1)</f>
        <v>146.773</v>
      </c>
      <c r="BC17">
        <f>_xll.EQNXTDZ($A$1,$B17,BC$1,$B$1)</f>
        <v>168.92099999999999</v>
      </c>
      <c r="BD17">
        <f>_xll.EQNXTDZ($A$1,$B17,BD$1,$B$1)</f>
        <v>170.02</v>
      </c>
      <c r="BE17">
        <f>_xll.EQNXTDZ($A$1,$B17,BE$1,$B$1)</f>
        <v>182.464</v>
      </c>
      <c r="BF17">
        <f>_xll.EQNXTDZ($A$1,$B17,BF$1,$B$1)</f>
        <v>198.83500000000001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3.9209999999999998</v>
      </c>
      <c r="AG21">
        <f>_xll.EQNXTDZ($A$1,$B21,AG$1,$B$1)</f>
        <v>3.6760000000000002</v>
      </c>
      <c r="AH21">
        <f>_xll.EQNXTDZ($A$1,$B21,AH$1,$B$1)</f>
        <v>9.5129999999999999</v>
      </c>
      <c r="AI21">
        <f>_xll.EQNXTDZ($A$1,$B21,AI$1,$B$1)</f>
        <v>18.977</v>
      </c>
      <c r="AJ21">
        <f>_xll.EQNXTDZ($A$1,$B21,AJ$1,$B$1)</f>
        <v>7.3650000000000002</v>
      </c>
      <c r="AK21">
        <f>_xll.EQNXTDZ($A$1,$B21,AK$1,$B$1)</f>
        <v>4.109</v>
      </c>
      <c r="AL21">
        <f>_xll.EQNXTDZ($A$1,$B21,AL$1,$B$1)</f>
        <v>4.1529999999999996</v>
      </c>
      <c r="AM21">
        <f>_xll.EQNXTDZ($A$1,$B21,AM$1,$B$1)</f>
        <v>2.9140000000000001</v>
      </c>
      <c r="AN21">
        <f>_xll.EQNXTDZ($A$1,$B21,AN$1,$B$1)</f>
        <v>1.41</v>
      </c>
      <c r="AO21">
        <f>_xll.EQNXTDZ($A$1,$B21,AO$1,$B$1)</f>
        <v>0.95599999999999996</v>
      </c>
      <c r="AP21">
        <f>_xll.EQNXTDZ($A$1,$B21,AP$1,$B$1)</f>
        <v>0.52300000000000002</v>
      </c>
      <c r="AQ21">
        <f>_xll.EQNXTDZ($A$1,$B21,AQ$1,$B$1)</f>
        <v>1.5</v>
      </c>
      <c r="AR21">
        <f>_xll.EQNXTDZ($A$1,$B21,AR$1,$B$1)</f>
        <v>0.4</v>
      </c>
      <c r="AS21">
        <f>_xll.EQNXTDZ($A$1,$B21,AS$1,$B$1)</f>
        <v>0.3</v>
      </c>
      <c r="AT21">
        <f>_xll.EQNXTDZ($A$1,$B21,AT$1,$B$1)</f>
        <v>1.423</v>
      </c>
      <c r="AU21">
        <f>_xll.EQNXTDZ($A$1,$B21,AU$1,$B$1)</f>
        <v>1.7709999999999999</v>
      </c>
      <c r="AV21">
        <f>_xll.EQNXTDZ($A$1,$B21,AV$1,$B$1)</f>
        <v>1.9370000000000001</v>
      </c>
      <c r="AW21">
        <f>_xll.EQNXTDZ($A$1,$B21,AW$1,$B$1)</f>
        <v>2.0699999999999998</v>
      </c>
      <c r="AX21">
        <f>_xll.EQNXTDZ($A$1,$B21,AX$1,$B$1)</f>
        <v>3.0830000000000002</v>
      </c>
      <c r="AY21">
        <f>_xll.EQNXTDZ($A$1,$B21,AY$1,$B$1)</f>
        <v>3.278</v>
      </c>
      <c r="AZ21">
        <f>_xll.EQNXTDZ($A$1,$B21,AZ$1,$B$1)</f>
        <v>-0.89300000000000002</v>
      </c>
      <c r="BA21">
        <f>_xll.EQNXTDZ($A$1,$B21,BA$1,$B$1)</f>
        <v>-1.9E-2</v>
      </c>
      <c r="BB21">
        <f>_xll.EQNXTDZ($A$1,$B21,BB$1,$B$1)</f>
        <v>9.9000000000000005E-2</v>
      </c>
      <c r="BC21">
        <f>_xll.EQNXTDZ($A$1,$B21,BC$1,$B$1)</f>
        <v>-0.496</v>
      </c>
      <c r="BD21">
        <f>_xll.EQNXTDZ($A$1,$B21,BD$1,$B$1)</f>
        <v>-0.80800000000000005</v>
      </c>
      <c r="BE21">
        <f>_xll.EQNXTDZ($A$1,$B21,BE$1,$B$1)</f>
        <v>1.7090000000000001</v>
      </c>
      <c r="BF21">
        <f>_xll.EQNXTDZ($A$1,$B21,BF$1,$B$1)</f>
        <v>2.71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37.319000000000003</v>
      </c>
      <c r="AG22">
        <f>_xll.EQNXTDZ($A$1,$B22,AG$1,$B$1)</f>
        <v>45.832999999999998</v>
      </c>
      <c r="AH22">
        <f>_xll.EQNXTDZ($A$1,$B22,AH$1,$B$1)</f>
        <v>52.661999999999999</v>
      </c>
      <c r="AI22">
        <f>_xll.EQNXTDZ($A$1,$B22,AI$1,$B$1)</f>
        <v>69.603999999999999</v>
      </c>
      <c r="AJ22">
        <f>_xll.EQNXTDZ($A$1,$B22,AJ$1,$B$1)</f>
        <v>110.569</v>
      </c>
      <c r="AK22">
        <f>_xll.EQNXTDZ($A$1,$B22,AK$1,$B$1)</f>
        <v>106.117</v>
      </c>
      <c r="AL22">
        <f>_xll.EQNXTDZ($A$1,$B22,AL$1,$B$1)</f>
        <v>146.87299999999999</v>
      </c>
      <c r="AM22">
        <f>_xll.EQNXTDZ($A$1,$B22,AM$1,$B$1)</f>
        <v>170.899</v>
      </c>
      <c r="AN22">
        <f>_xll.EQNXTDZ($A$1,$B22,AN$1,$B$1)</f>
        <v>193.059</v>
      </c>
      <c r="AO22">
        <f>_xll.EQNXTDZ($A$1,$B22,AO$1,$B$1)</f>
        <v>235.95099999999999</v>
      </c>
      <c r="AP22">
        <f>_xll.EQNXTDZ($A$1,$B22,AP$1,$B$1)</f>
        <v>296.38099999999997</v>
      </c>
      <c r="AQ22">
        <f>_xll.EQNXTDZ($A$1,$B22,AQ$1,$B$1)</f>
        <v>266.39999999999998</v>
      </c>
      <c r="AR22">
        <f>_xll.EQNXTDZ($A$1,$B22,AR$1,$B$1)</f>
        <v>316.39999999999998</v>
      </c>
      <c r="AS22">
        <f>_xll.EQNXTDZ($A$1,$B22,AS$1,$B$1)</f>
        <v>324.3</v>
      </c>
      <c r="AT22">
        <f>_xll.EQNXTDZ($A$1,$B22,AT$1,$B$1)</f>
        <v>385.72800000000001</v>
      </c>
      <c r="AU22">
        <f>_xll.EQNXTDZ($A$1,$B22,AU$1,$B$1)</f>
        <v>320.39100000000002</v>
      </c>
      <c r="AV22">
        <f>_xll.EQNXTDZ($A$1,$B22,AV$1,$B$1)</f>
        <v>443.34</v>
      </c>
      <c r="AW22">
        <f>_xll.EQNXTDZ($A$1,$B22,AW$1,$B$1)</f>
        <v>397.93900000000002</v>
      </c>
      <c r="AX22">
        <f>_xll.EQNXTDZ($A$1,$B22,AX$1,$B$1)</f>
        <v>529.85199999999998</v>
      </c>
      <c r="AY22">
        <f>_xll.EQNXTDZ($A$1,$B22,AY$1,$B$1)</f>
        <v>470.40199999999999</v>
      </c>
      <c r="AZ22">
        <f>_xll.EQNXTDZ($A$1,$B22,AZ$1,$B$1)</f>
        <v>671.83600000000001</v>
      </c>
      <c r="BA22">
        <f>_xll.EQNXTDZ($A$1,$B22,BA$1,$B$1)</f>
        <v>495.92500000000001</v>
      </c>
      <c r="BB22">
        <f>_xll.EQNXTDZ($A$1,$B22,BB$1,$B$1)</f>
        <v>342.721</v>
      </c>
      <c r="BC22">
        <f>_xll.EQNXTDZ($A$1,$B22,BC$1,$B$1)</f>
        <v>274.67200000000003</v>
      </c>
      <c r="BD22">
        <f>_xll.EQNXTDZ($A$1,$B22,BD$1,$B$1)</f>
        <v>415.404</v>
      </c>
      <c r="BE22">
        <f>_xll.EQNXTDZ($A$1,$B22,BE$1,$B$1)</f>
        <v>529.33699999999999</v>
      </c>
      <c r="BF22">
        <f>_xll.EQNXTDZ($A$1,$B22,BF$1,$B$1)</f>
        <v>598.59500000000003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8.7249999999999996</v>
      </c>
      <c r="AG23">
        <f>_xll.EQNXTDZ($A$1,$B23,AG$1,$B$1)</f>
        <v>6.7430000000000003</v>
      </c>
      <c r="AH23">
        <f>_xll.EQNXTDZ($A$1,$B23,AH$1,$B$1)</f>
        <v>6.8810000000000002</v>
      </c>
      <c r="AI23">
        <f>_xll.EQNXTDZ($A$1,$B23,AI$1,$B$1)</f>
        <v>8.1709999999999994</v>
      </c>
      <c r="AJ23">
        <f>_xll.EQNXTDZ($A$1,$B23,AJ$1,$B$1)</f>
        <v>8.0640000000000001</v>
      </c>
      <c r="AK23">
        <f>_xll.EQNXTDZ($A$1,$B23,AK$1,$B$1)</f>
        <v>8.8149999999999995</v>
      </c>
      <c r="AL23">
        <f>_xll.EQNXTDZ($A$1,$B23,AL$1,$B$1)</f>
        <v>10.247999999999999</v>
      </c>
      <c r="AM23">
        <f>_xll.EQNXTDZ($A$1,$B23,AM$1,$B$1)</f>
        <v>11.813000000000001</v>
      </c>
      <c r="AN23">
        <f>_xll.EQNXTDZ($A$1,$B23,AN$1,$B$1)</f>
        <v>8.7880000000000003</v>
      </c>
      <c r="AO23">
        <f>_xll.EQNXTDZ($A$1,$B23,AO$1,$B$1)</f>
        <v>7.931</v>
      </c>
      <c r="AP23">
        <f>_xll.EQNXTDZ($A$1,$B23,AP$1,$B$1)</f>
        <v>2.677</v>
      </c>
      <c r="AQ23">
        <f>_xll.EQNXTDZ($A$1,$B23,AQ$1,$B$1)</f>
        <v>2.5</v>
      </c>
      <c r="AR23">
        <f>_xll.EQNXTDZ($A$1,$B23,AR$1,$B$1)</f>
        <v>0.6</v>
      </c>
      <c r="AS23">
        <f>_xll.EQNXTDZ($A$1,$B23,AS$1,$B$1)</f>
        <v>11.1</v>
      </c>
      <c r="AT23">
        <f>_xll.EQNXTDZ($A$1,$B23,AT$1,$B$1)</f>
        <v>5.3470000000000004</v>
      </c>
      <c r="AU23">
        <f>_xll.EQNXTDZ($A$1,$B23,AU$1,$B$1)</f>
        <v>3.5680000000000001</v>
      </c>
      <c r="AV23">
        <f>_xll.EQNXTDZ($A$1,$B23,AV$1,$B$1)</f>
        <v>1.4490000000000001</v>
      </c>
      <c r="AW23">
        <f>_xll.EQNXTDZ($A$1,$B23,AW$1,$B$1)</f>
        <v>1.796</v>
      </c>
      <c r="AX23">
        <f>_xll.EQNXTDZ($A$1,$B23,AX$1,$B$1)</f>
        <v>1.2609999999999999</v>
      </c>
      <c r="AY23">
        <f>_xll.EQNXTDZ($A$1,$B23,AY$1,$B$1)</f>
        <v>4.6139999999999999</v>
      </c>
      <c r="AZ23">
        <f>_xll.EQNXTDZ($A$1,$B23,AZ$1,$B$1)</f>
        <v>1.258</v>
      </c>
      <c r="BA23">
        <f>_xll.EQNXTDZ($A$1,$B23,BA$1,$B$1)</f>
        <v>1.59</v>
      </c>
      <c r="BB23">
        <f>_xll.EQNXTDZ($A$1,$B23,BB$1,$B$1)</f>
        <v>1.8280000000000001</v>
      </c>
      <c r="BC23">
        <f>_xll.EQNXTDZ($A$1,$B23,BC$1,$B$1)</f>
        <v>2.5619999999999998</v>
      </c>
      <c r="BD23">
        <f>_xll.EQNXTDZ($A$1,$B23,BD$1,$B$1)</f>
        <v>2.44</v>
      </c>
      <c r="BE23">
        <f>_xll.EQNXTDZ($A$1,$B23,BE$1,$B$1)</f>
        <v>2.8010000000000002</v>
      </c>
      <c r="BF23">
        <f>_xll.EQNXTDZ($A$1,$B23,BF$1,$B$1)</f>
        <v>7.8239999999999998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46.043999999999997</v>
      </c>
      <c r="AG24">
        <f>_xll.EQNXTDZ($A$1,$B24,AG$1,$B$1)</f>
        <v>52.576000000000001</v>
      </c>
      <c r="AH24">
        <f>_xll.EQNXTDZ($A$1,$B24,AH$1,$B$1)</f>
        <v>59.542999999999999</v>
      </c>
      <c r="AI24">
        <f>_xll.EQNXTDZ($A$1,$B24,AI$1,$B$1)</f>
        <v>77.775000000000006</v>
      </c>
      <c r="AJ24">
        <f>_xll.EQNXTDZ($A$1,$B24,AJ$1,$B$1)</f>
        <v>118.633</v>
      </c>
      <c r="AK24">
        <f>_xll.EQNXTDZ($A$1,$B24,AK$1,$B$1)</f>
        <v>114.932</v>
      </c>
      <c r="AL24">
        <f>_xll.EQNXTDZ($A$1,$B24,AL$1,$B$1)</f>
        <v>157.12100000000001</v>
      </c>
      <c r="AM24">
        <f>_xll.EQNXTDZ($A$1,$B24,AM$1,$B$1)</f>
        <v>182.71199999999999</v>
      </c>
      <c r="AN24">
        <f>_xll.EQNXTDZ($A$1,$B24,AN$1,$B$1)</f>
        <v>201.84700000000001</v>
      </c>
      <c r="AO24">
        <f>_xll.EQNXTDZ($A$1,$B24,AO$1,$B$1)</f>
        <v>243.88200000000001</v>
      </c>
      <c r="AP24">
        <f>_xll.EQNXTDZ($A$1,$B24,AP$1,$B$1)</f>
        <v>299.05799999999999</v>
      </c>
      <c r="AQ24">
        <f>_xll.EQNXTDZ($A$1,$B24,AQ$1,$B$1)</f>
        <v>268.89999999999998</v>
      </c>
      <c r="AR24">
        <f>_xll.EQNXTDZ($A$1,$B24,AR$1,$B$1)</f>
        <v>317</v>
      </c>
      <c r="AS24">
        <f>_xll.EQNXTDZ($A$1,$B24,AS$1,$B$1)</f>
        <v>335.4</v>
      </c>
      <c r="AT24">
        <f>_xll.EQNXTDZ($A$1,$B24,AT$1,$B$1)</f>
        <v>391.07499999999999</v>
      </c>
      <c r="AU24">
        <f>_xll.EQNXTDZ($A$1,$B24,AU$1,$B$1)</f>
        <v>323.959</v>
      </c>
      <c r="AV24">
        <f>_xll.EQNXTDZ($A$1,$B24,AV$1,$B$1)</f>
        <v>444.78899999999999</v>
      </c>
      <c r="AW24">
        <f>_xll.EQNXTDZ($A$1,$B24,AW$1,$B$1)</f>
        <v>399.73500000000001</v>
      </c>
      <c r="AX24">
        <f>_xll.EQNXTDZ($A$1,$B24,AX$1,$B$1)</f>
        <v>531.11300000000006</v>
      </c>
      <c r="AY24">
        <f>_xll.EQNXTDZ($A$1,$B24,AY$1,$B$1)</f>
        <v>475.01600000000002</v>
      </c>
      <c r="AZ24">
        <f>_xll.EQNXTDZ($A$1,$B24,AZ$1,$B$1)</f>
        <v>673.09400000000005</v>
      </c>
      <c r="BA24">
        <f>_xll.EQNXTDZ($A$1,$B24,BA$1,$B$1)</f>
        <v>497.51499999999999</v>
      </c>
      <c r="BB24">
        <f>_xll.EQNXTDZ($A$1,$B24,BB$1,$B$1)</f>
        <v>344.54899999999998</v>
      </c>
      <c r="BC24">
        <f>_xll.EQNXTDZ($A$1,$B24,BC$1,$B$1)</f>
        <v>277.23399999999998</v>
      </c>
      <c r="BD24">
        <f>_xll.EQNXTDZ($A$1,$B24,BD$1,$B$1)</f>
        <v>417.84399999999999</v>
      </c>
      <c r="BE24">
        <f>_xll.EQNXTDZ($A$1,$B24,BE$1,$B$1)</f>
        <v>532.13800000000003</v>
      </c>
      <c r="BF24">
        <f>_xll.EQNXTDZ($A$1,$B24,BF$1,$B$1)</f>
        <v>606.41899999999998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12.042</v>
      </c>
      <c r="AG25">
        <f>_xll.EQNXTDZ($A$1,$B25,AG$1,$B$1)</f>
        <v>10.446999999999999</v>
      </c>
      <c r="AH25">
        <f>_xll.EQNXTDZ($A$1,$B25,AH$1,$B$1)</f>
        <v>10.371</v>
      </c>
      <c r="AI25">
        <f>_xll.EQNXTDZ($A$1,$B25,AI$1,$B$1)</f>
        <v>8.1790000000000003</v>
      </c>
      <c r="AJ25">
        <f>_xll.EQNXTDZ($A$1,$B25,AJ$1,$B$1)</f>
        <v>14.336</v>
      </c>
      <c r="AK25">
        <f>_xll.EQNXTDZ($A$1,$B25,AK$1,$B$1)</f>
        <v>5.6479999999999997</v>
      </c>
      <c r="AL25">
        <f>_xll.EQNXTDZ($A$1,$B25,AL$1,$B$1)</f>
        <v>10.771000000000001</v>
      </c>
      <c r="AM25">
        <f>_xll.EQNXTDZ($A$1,$B25,AM$1,$B$1)</f>
        <v>16.425000000000001</v>
      </c>
      <c r="AN25">
        <f>_xll.EQNXTDZ($A$1,$B25,AN$1,$B$1)</f>
        <v>17.946000000000002</v>
      </c>
      <c r="AO25">
        <f>_xll.EQNXTDZ($A$1,$B25,AO$1,$B$1)</f>
        <v>18.257999999999999</v>
      </c>
      <c r="AP25">
        <f>_xll.EQNXTDZ($A$1,$B25,AP$1,$B$1)</f>
        <v>19.518000000000001</v>
      </c>
      <c r="AQ25">
        <f>_xll.EQNXTDZ($A$1,$B25,AQ$1,$B$1)</f>
        <v>19.8</v>
      </c>
      <c r="AR25">
        <f>_xll.EQNXTDZ($A$1,$B25,AR$1,$B$1)</f>
        <v>24.4</v>
      </c>
      <c r="AS25">
        <f>_xll.EQNXTDZ($A$1,$B25,AS$1,$B$1)</f>
        <v>25.5</v>
      </c>
      <c r="AT25">
        <f>_xll.EQNXTDZ($A$1,$B25,AT$1,$B$1)</f>
        <v>20.536999999999999</v>
      </c>
      <c r="AU25">
        <f>_xll.EQNXTDZ($A$1,$B25,AU$1,$B$1)</f>
        <v>18.324000000000002</v>
      </c>
      <c r="AV25">
        <f>_xll.EQNXTDZ($A$1,$B25,AV$1,$B$1)</f>
        <v>26.39</v>
      </c>
      <c r="AW25">
        <f>_xll.EQNXTDZ($A$1,$B25,AW$1,$B$1)</f>
        <v>35.603999999999999</v>
      </c>
      <c r="AX25">
        <f>_xll.EQNXTDZ($A$1,$B25,AX$1,$B$1)</f>
        <v>55.637</v>
      </c>
      <c r="AY25">
        <f>_xll.EQNXTDZ($A$1,$B25,AY$1,$B$1)</f>
        <v>55.567999999999998</v>
      </c>
      <c r="AZ25">
        <f>_xll.EQNXTDZ($A$1,$B25,AZ$1,$B$1)</f>
        <v>75.412999999999997</v>
      </c>
      <c r="BA25">
        <f>_xll.EQNXTDZ($A$1,$B25,BA$1,$B$1)</f>
        <v>83.524000000000001</v>
      </c>
      <c r="BB25">
        <f>_xll.EQNXTDZ($A$1,$B25,BB$1,$B$1)</f>
        <v>80.298000000000002</v>
      </c>
      <c r="BC25">
        <f>_xll.EQNXTDZ($A$1,$B25,BC$1,$B$1)</f>
        <v>82.881</v>
      </c>
      <c r="BD25">
        <f>_xll.EQNXTDZ($A$1,$B25,BD$1,$B$1)</f>
        <v>93.194999999999993</v>
      </c>
      <c r="BE25">
        <f>_xll.EQNXTDZ($A$1,$B25,BE$1,$B$1)</f>
        <v>127.096</v>
      </c>
      <c r="BF25">
        <f>_xll.EQNXTDZ($A$1,$B25,BF$1,$B$1)</f>
        <v>133.577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34.002000000000002</v>
      </c>
      <c r="AG27">
        <f>_xll.EQNXTDZ($A$1,$B27,AG$1,$B$1)</f>
        <v>42.128999999999998</v>
      </c>
      <c r="AH27">
        <f>_xll.EQNXTDZ($A$1,$B27,AH$1,$B$1)</f>
        <v>49.171999999999997</v>
      </c>
      <c r="AI27">
        <f>_xll.EQNXTDZ($A$1,$B27,AI$1,$B$1)</f>
        <v>69.596000000000004</v>
      </c>
      <c r="AJ27">
        <f>_xll.EQNXTDZ($A$1,$B27,AJ$1,$B$1)</f>
        <v>104.297</v>
      </c>
      <c r="AK27">
        <f>_xll.EQNXTDZ($A$1,$B27,AK$1,$B$1)</f>
        <v>109.28400000000001</v>
      </c>
      <c r="AL27">
        <f>_xll.EQNXTDZ($A$1,$B27,AL$1,$B$1)</f>
        <v>146.35</v>
      </c>
      <c r="AM27">
        <f>_xll.EQNXTDZ($A$1,$B27,AM$1,$B$1)</f>
        <v>166.28700000000001</v>
      </c>
      <c r="AN27">
        <f>_xll.EQNXTDZ($A$1,$B27,AN$1,$B$1)</f>
        <v>183.90100000000001</v>
      </c>
      <c r="AO27">
        <f>_xll.EQNXTDZ($A$1,$B27,AO$1,$B$1)</f>
        <v>225.624</v>
      </c>
      <c r="AP27">
        <f>_xll.EQNXTDZ($A$1,$B27,AP$1,$B$1)</f>
        <v>279.54000000000002</v>
      </c>
      <c r="AQ27">
        <f>_xll.EQNXTDZ($A$1,$B27,AQ$1,$B$1)</f>
        <v>249.1</v>
      </c>
      <c r="AR27">
        <f>_xll.EQNXTDZ($A$1,$B27,AR$1,$B$1)</f>
        <v>292.60000000000002</v>
      </c>
      <c r="AS27">
        <f>_xll.EQNXTDZ($A$1,$B27,AS$1,$B$1)</f>
        <v>309.89999999999998</v>
      </c>
      <c r="AT27">
        <f>_xll.EQNXTDZ($A$1,$B27,AT$1,$B$1)</f>
        <v>370.53800000000001</v>
      </c>
      <c r="AU27">
        <f>_xll.EQNXTDZ($A$1,$B27,AU$1,$B$1)</f>
        <v>305.63499999999999</v>
      </c>
      <c r="AV27">
        <f>_xll.EQNXTDZ($A$1,$B27,AV$1,$B$1)</f>
        <v>418.399</v>
      </c>
      <c r="AW27">
        <f>_xll.EQNXTDZ($A$1,$B27,AW$1,$B$1)</f>
        <v>364.13099999999997</v>
      </c>
      <c r="AX27">
        <f>_xll.EQNXTDZ($A$1,$B27,AX$1,$B$1)</f>
        <v>475.476</v>
      </c>
      <c r="AY27">
        <f>_xll.EQNXTDZ($A$1,$B27,AY$1,$B$1)</f>
        <v>419.44799999999998</v>
      </c>
      <c r="AZ27">
        <f>_xll.EQNXTDZ($A$1,$B27,AZ$1,$B$1)</f>
        <v>597.68100000000004</v>
      </c>
      <c r="BA27">
        <f>_xll.EQNXTDZ($A$1,$B27,BA$1,$B$1)</f>
        <v>413.99099999999999</v>
      </c>
      <c r="BB27">
        <f>_xll.EQNXTDZ($A$1,$B27,BB$1,$B$1)</f>
        <v>264.25099999999998</v>
      </c>
      <c r="BC27">
        <f>_xll.EQNXTDZ($A$1,$B27,BC$1,$B$1)</f>
        <v>194.35300000000001</v>
      </c>
      <c r="BD27">
        <f>_xll.EQNXTDZ($A$1,$B27,BD$1,$B$1)</f>
        <v>324.649</v>
      </c>
      <c r="BE27">
        <f>_xll.EQNXTDZ($A$1,$B27,BE$1,$B$1)</f>
        <v>405.04199999999997</v>
      </c>
      <c r="BF27">
        <f>_xll.EQNXTDZ($A$1,$B27,BF$1,$B$1)</f>
        <v>472.84199999999998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5.6369999999999996</v>
      </c>
      <c r="AG28">
        <f>_xll.EQNXTDZ($A$1,$B28,AG$1,$B$1)</f>
        <v>5.09</v>
      </c>
      <c r="AH28">
        <f>_xll.EQNXTDZ($A$1,$B28,AH$1,$B$1)</f>
        <v>4.9390000000000001</v>
      </c>
      <c r="AI28">
        <f>_xll.EQNXTDZ($A$1,$B28,AI$1,$B$1)</f>
        <v>4.9669999999999996</v>
      </c>
      <c r="AJ28">
        <f>_xll.EQNXTDZ($A$1,$B28,AJ$1,$B$1)</f>
        <v>4.649</v>
      </c>
      <c r="AK28">
        <f>_xll.EQNXTDZ($A$1,$B28,AK$1,$B$1)</f>
        <v>4.7450000000000001</v>
      </c>
      <c r="AL28">
        <f>_xll.EQNXTDZ($A$1,$B28,AL$1,$B$1)</f>
        <v>3.9990000000000001</v>
      </c>
      <c r="AM28">
        <f>_xll.EQNXTDZ($A$1,$B28,AM$1,$B$1)</f>
        <v>4.0620000000000003</v>
      </c>
      <c r="AN28">
        <f>_xll.EQNXTDZ($A$1,$B28,AN$1,$B$1)</f>
        <v>4.5279999999999996</v>
      </c>
      <c r="AO28">
        <f>_xll.EQNXTDZ($A$1,$B28,AO$1,$B$1)</f>
        <v>4.8250000000000002</v>
      </c>
      <c r="AP28">
        <f>_xll.EQNXTDZ($A$1,$B28,AP$1,$B$1)</f>
        <v>5.226</v>
      </c>
      <c r="AQ28">
        <f>_xll.EQNXTDZ($A$1,$B28,AQ$1,$B$1)</f>
        <v>6.4</v>
      </c>
      <c r="AR28">
        <f>_xll.EQNXTDZ($A$1,$B28,AR$1,$B$1)</f>
        <v>6.9</v>
      </c>
      <c r="AS28">
        <f>_xll.EQNXTDZ($A$1,$B28,AS$1,$B$1)</f>
        <v>8</v>
      </c>
      <c r="AT28">
        <f>_xll.EQNXTDZ($A$1,$B28,AT$1,$B$1)</f>
        <v>8.9339999999999993</v>
      </c>
      <c r="AU28">
        <f>_xll.EQNXTDZ($A$1,$B28,AU$1,$B$1)</f>
        <v>8.9329999999999998</v>
      </c>
      <c r="AV28">
        <f>_xll.EQNXTDZ($A$1,$B28,AV$1,$B$1)</f>
        <v>11.215999999999999</v>
      </c>
      <c r="AW28">
        <f>_xll.EQNXTDZ($A$1,$B28,AW$1,$B$1)</f>
        <v>13.090999999999999</v>
      </c>
      <c r="AX28">
        <f>_xll.EQNXTDZ($A$1,$B28,AX$1,$B$1)</f>
        <v>16.699000000000002</v>
      </c>
      <c r="AY28">
        <f>_xll.EQNXTDZ($A$1,$B28,AY$1,$B$1)</f>
        <v>22.623000000000001</v>
      </c>
      <c r="AZ28">
        <f>_xll.EQNXTDZ($A$1,$B28,AZ$1,$B$1)</f>
        <v>25.602</v>
      </c>
      <c r="BA28">
        <f>_xll.EQNXTDZ($A$1,$B28,BA$1,$B$1)</f>
        <v>26.670999999999999</v>
      </c>
      <c r="BB28">
        <f>_xll.EQNXTDZ($A$1,$B28,BB$1,$B$1)</f>
        <v>28.524999999999999</v>
      </c>
      <c r="BC28">
        <f>_xll.EQNXTDZ($A$1,$B28,BC$1,$B$1)</f>
        <v>29.917000000000002</v>
      </c>
      <c r="BD28">
        <f>_xll.EQNXTDZ($A$1,$B28,BD$1,$B$1)</f>
        <v>30.651</v>
      </c>
      <c r="BE28">
        <f>_xll.EQNXTDZ($A$1,$B28,BE$1,$B$1)</f>
        <v>31.498999999999999</v>
      </c>
      <c r="BF28">
        <f>_xll.EQNXTDZ($A$1,$B28,BF$1,$B$1)</f>
        <v>32.932000000000002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8.0850000000000009</v>
      </c>
      <c r="AG29">
        <f>_xll.EQNXTDZ($A$1,$B29,AG$1,$B$1)</f>
        <v>9.1080000000000005</v>
      </c>
      <c r="AH29">
        <f>_xll.EQNXTDZ($A$1,$B29,AH$1,$B$1)</f>
        <v>11.664999999999999</v>
      </c>
      <c r="AI29">
        <f>_xll.EQNXTDZ($A$1,$B29,AI$1,$B$1)</f>
        <v>16.37</v>
      </c>
      <c r="AJ29">
        <f>_xll.EQNXTDZ($A$1,$B29,AJ$1,$B$1)</f>
        <v>25.053000000000001</v>
      </c>
      <c r="AK29">
        <f>_xll.EQNXTDZ($A$1,$B29,AK$1,$B$1)</f>
        <v>31.305</v>
      </c>
      <c r="AL29">
        <f>_xll.EQNXTDZ($A$1,$B29,AL$1,$B$1)</f>
        <v>40.381</v>
      </c>
      <c r="AM29">
        <f>_xll.EQNXTDZ($A$1,$B29,AM$1,$B$1)</f>
        <v>40.793999999999997</v>
      </c>
      <c r="AN29">
        <f>_xll.EQNXTDZ($A$1,$B29,AN$1,$B$1)</f>
        <v>45.113999999999997</v>
      </c>
      <c r="AO29">
        <f>_xll.EQNXTDZ($A$1,$B29,AO$1,$B$1)</f>
        <v>56.189</v>
      </c>
      <c r="AP29">
        <f>_xll.EQNXTDZ($A$1,$B29,AP$1,$B$1)</f>
        <v>69.558000000000007</v>
      </c>
      <c r="AQ29">
        <f>_xll.EQNXTDZ($A$1,$B29,AQ$1,$B$1)</f>
        <v>61.1</v>
      </c>
      <c r="AR29">
        <f>_xll.EQNXTDZ($A$1,$B29,AR$1,$B$1)</f>
        <v>72.099999999999994</v>
      </c>
      <c r="AS29">
        <f>_xll.EQNXTDZ($A$1,$B29,AS$1,$B$1)</f>
        <v>73.900000000000006</v>
      </c>
      <c r="AT29">
        <f>_xll.EQNXTDZ($A$1,$B29,AT$1,$B$1)</f>
        <v>94.635999999999996</v>
      </c>
      <c r="AU29">
        <f>_xll.EQNXTDZ($A$1,$B29,AU$1,$B$1)</f>
        <v>75.876999999999995</v>
      </c>
      <c r="AV29">
        <f>_xll.EQNXTDZ($A$1,$B29,AV$1,$B$1)</f>
        <v>102.718</v>
      </c>
      <c r="AW29">
        <f>_xll.EQNXTDZ($A$1,$B29,AW$1,$B$1)</f>
        <v>90.713999999999999</v>
      </c>
      <c r="AX29">
        <f>_xll.EQNXTDZ($A$1,$B29,AX$1,$B$1)</f>
        <v>118.83499999999999</v>
      </c>
      <c r="AY29">
        <f>_xll.EQNXTDZ($A$1,$B29,AY$1,$B$1)</f>
        <v>104.099</v>
      </c>
      <c r="AZ29">
        <f>_xll.EQNXTDZ($A$1,$B29,AZ$1,$B$1)</f>
        <v>148.71100000000001</v>
      </c>
      <c r="BA29">
        <f>_xll.EQNXTDZ($A$1,$B29,BA$1,$B$1)</f>
        <v>105.854</v>
      </c>
      <c r="BB29">
        <f>_xll.EQNXTDZ($A$1,$B29,BB$1,$B$1)</f>
        <v>61.204999999999998</v>
      </c>
      <c r="BC29">
        <f>_xll.EQNXTDZ($A$1,$B29,BC$1,$B$1)</f>
        <v>49.968000000000004</v>
      </c>
      <c r="BD29">
        <f>_xll.EQNXTDZ($A$1,$B29,BD$1,$B$1)</f>
        <v>82.268000000000001</v>
      </c>
      <c r="BE29">
        <f>_xll.EQNXTDZ($A$1,$B29,BE$1,$B$1)</f>
        <v>104.77200000000001</v>
      </c>
      <c r="BF29">
        <f>_xll.EQNXTDZ($A$1,$B29,BF$1,$B$1)</f>
        <v>119.65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20.28</v>
      </c>
      <c r="AG30">
        <f>_xll.EQNXTDZ($A$1,$B30,AG$1,$B$1)</f>
        <v>27.931000000000001</v>
      </c>
      <c r="AH30">
        <f>_xll.EQNXTDZ($A$1,$B30,AH$1,$B$1)</f>
        <v>32.567999999999998</v>
      </c>
      <c r="AI30">
        <f>_xll.EQNXTDZ($A$1,$B30,AI$1,$B$1)</f>
        <v>48.259</v>
      </c>
      <c r="AJ30">
        <f>_xll.EQNXTDZ($A$1,$B30,AJ$1,$B$1)</f>
        <v>74.594999999999999</v>
      </c>
      <c r="AK30">
        <f>_xll.EQNXTDZ($A$1,$B30,AK$1,$B$1)</f>
        <v>73.233999999999995</v>
      </c>
      <c r="AL30">
        <f>_xll.EQNXTDZ($A$1,$B30,AL$1,$B$1)</f>
        <v>101.97</v>
      </c>
      <c r="AM30">
        <f>_xll.EQNXTDZ($A$1,$B30,AM$1,$B$1)</f>
        <v>121.431</v>
      </c>
      <c r="AN30">
        <f>_xll.EQNXTDZ($A$1,$B30,AN$1,$B$1)</f>
        <v>134.25899999999999</v>
      </c>
      <c r="AO30">
        <f>_xll.EQNXTDZ($A$1,$B30,AO$1,$B$1)</f>
        <v>164.61</v>
      </c>
      <c r="AP30">
        <f>_xll.EQNXTDZ($A$1,$B30,AP$1,$B$1)</f>
        <v>204.756</v>
      </c>
      <c r="AQ30">
        <f>_xll.EQNXTDZ($A$1,$B30,AQ$1,$B$1)</f>
        <v>181.6</v>
      </c>
      <c r="AR30">
        <f>_xll.EQNXTDZ($A$1,$B30,AR$1,$B$1)</f>
        <v>213.6</v>
      </c>
      <c r="AS30">
        <f>_xll.EQNXTDZ($A$1,$B30,AS$1,$B$1)</f>
        <v>228</v>
      </c>
      <c r="AT30">
        <f>_xll.EQNXTDZ($A$1,$B30,AT$1,$B$1)</f>
        <v>266.96800000000002</v>
      </c>
      <c r="AU30">
        <f>_xll.EQNXTDZ($A$1,$B30,AU$1,$B$1)</f>
        <v>220.82499999999999</v>
      </c>
      <c r="AV30">
        <f>_xll.EQNXTDZ($A$1,$B30,AV$1,$B$1)</f>
        <v>304.46499999999997</v>
      </c>
      <c r="AW30">
        <f>_xll.EQNXTDZ($A$1,$B30,AW$1,$B$1)</f>
        <v>260.32600000000002</v>
      </c>
      <c r="AX30">
        <f>_xll.EQNXTDZ($A$1,$B30,AX$1,$B$1)</f>
        <v>339.94200000000001</v>
      </c>
      <c r="AY30">
        <f>_xll.EQNXTDZ($A$1,$B30,AY$1,$B$1)</f>
        <v>292.726</v>
      </c>
      <c r="AZ30">
        <f>_xll.EQNXTDZ($A$1,$B30,AZ$1,$B$1)</f>
        <v>423.36799999999999</v>
      </c>
      <c r="BA30">
        <f>_xll.EQNXTDZ($A$1,$B30,BA$1,$B$1)</f>
        <v>281.46600000000001</v>
      </c>
      <c r="BB30">
        <f>_xll.EQNXTDZ($A$1,$B30,BB$1,$B$1)</f>
        <v>174.52099999999999</v>
      </c>
      <c r="BC30">
        <f>_xll.EQNXTDZ($A$1,$B30,BC$1,$B$1)</f>
        <v>114.468</v>
      </c>
      <c r="BD30">
        <f>_xll.EQNXTDZ($A$1,$B30,BD$1,$B$1)</f>
        <v>211.73</v>
      </c>
      <c r="BE30">
        <f>_xll.EQNXTDZ($A$1,$B30,BE$1,$B$1)</f>
        <v>268.77100000000002</v>
      </c>
      <c r="BF30">
        <f>_xll.EQNXTDZ($A$1,$B30,BF$1,$B$1)</f>
        <v>320.26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-0.107</v>
      </c>
      <c r="BF35">
        <f>_xll.EQNXTDZ($A$1,$B35,BF$1,$B$1)</f>
        <v>-2.3E-2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19.181999999999999</v>
      </c>
      <c r="AG38">
        <f>_xll.EQNXTDZ($A$1,$B38,AG$1,$B$1)</f>
        <v>27.013000000000002</v>
      </c>
      <c r="AH38">
        <f>_xll.EQNXTDZ($A$1,$B38,AH$1,$B$1)</f>
        <v>30.885999999999999</v>
      </c>
      <c r="AI38">
        <f>_xll.EQNXTDZ($A$1,$B38,AI$1,$B$1)</f>
        <v>47.3</v>
      </c>
      <c r="AJ38">
        <f>_xll.EQNXTDZ($A$1,$B38,AJ$1,$B$1)</f>
        <v>74.475999999999999</v>
      </c>
      <c r="AK38">
        <f>_xll.EQNXTDZ($A$1,$B38,AK$1,$B$1)</f>
        <v>73.168000000000006</v>
      </c>
      <c r="AL38">
        <f>_xll.EQNXTDZ($A$1,$B38,AL$1,$B$1)</f>
        <v>101.91200000000001</v>
      </c>
      <c r="AM38">
        <f>_xll.EQNXTDZ($A$1,$B38,AM$1,$B$1)</f>
        <v>121.367</v>
      </c>
      <c r="AN38">
        <f>_xll.EQNXTDZ($A$1,$B38,AN$1,$B$1)</f>
        <v>134.197</v>
      </c>
      <c r="AO38">
        <f>_xll.EQNXTDZ($A$1,$B38,AO$1,$B$1)</f>
        <v>164.547</v>
      </c>
      <c r="AP38">
        <f>_xll.EQNXTDZ($A$1,$B38,AP$1,$B$1)</f>
        <v>204.69399999999999</v>
      </c>
      <c r="AQ38">
        <f>_xll.EQNXTDZ($A$1,$B38,AQ$1,$B$1)</f>
        <v>181.5</v>
      </c>
      <c r="AR38">
        <f>_xll.EQNXTDZ($A$1,$B38,AR$1,$B$1)</f>
        <v>213.5</v>
      </c>
      <c r="AS38">
        <f>_xll.EQNXTDZ($A$1,$B38,AS$1,$B$1)</f>
        <v>228</v>
      </c>
      <c r="AT38">
        <f>_xll.EQNXTDZ($A$1,$B38,AT$1,$B$1)</f>
        <v>266.91199999999998</v>
      </c>
      <c r="AU38">
        <f>_xll.EQNXTDZ($A$1,$B38,AU$1,$B$1)</f>
        <v>220.80500000000001</v>
      </c>
      <c r="AV38">
        <f>_xll.EQNXTDZ($A$1,$B38,AV$1,$B$1)</f>
        <v>304.45100000000002</v>
      </c>
      <c r="AW38">
        <f>_xll.EQNXTDZ($A$1,$B38,AW$1,$B$1)</f>
        <v>260.31</v>
      </c>
      <c r="AX38">
        <f>_xll.EQNXTDZ($A$1,$B38,AX$1,$B$1)</f>
        <v>339.94200000000001</v>
      </c>
      <c r="AY38">
        <f>_xll.EQNXTDZ($A$1,$B38,AY$1,$B$1)</f>
        <v>292.726</v>
      </c>
      <c r="AZ38">
        <f>_xll.EQNXTDZ($A$1,$B38,AZ$1,$B$1)</f>
        <v>423.36799999999999</v>
      </c>
      <c r="BA38">
        <f>_xll.EQNXTDZ($A$1,$B38,BA$1,$B$1)</f>
        <v>281.46600000000001</v>
      </c>
      <c r="BB38">
        <f>_xll.EQNXTDZ($A$1,$B38,BB$1,$B$1)</f>
        <v>174.52099999999999</v>
      </c>
      <c r="BC38">
        <f>_xll.EQNXTDZ($A$1,$B38,BC$1,$B$1)</f>
        <v>114.468</v>
      </c>
      <c r="BD38">
        <f>_xll.EQNXTDZ($A$1,$B38,BD$1,$B$1)</f>
        <v>211.73</v>
      </c>
      <c r="BE38">
        <f>_xll.EQNXTDZ($A$1,$B38,BE$1,$B$1)</f>
        <v>268.66399999999999</v>
      </c>
      <c r="BF38">
        <f>_xll.EQNXTDZ($A$1,$B38,BF$1,$B$1)</f>
        <v>320.23700000000002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-1.0980000000000001</v>
      </c>
      <c r="AG39">
        <f>_xll.EQNXTDZ($A$1,$B39,AG$1,$B$1)</f>
        <v>-0.91800000000000004</v>
      </c>
      <c r="AH39">
        <f>_xll.EQNXTDZ($A$1,$B39,AH$1,$B$1)</f>
        <v>-1.6819999999999999</v>
      </c>
      <c r="AI39">
        <f>_xll.EQNXTDZ($A$1,$B39,AI$1,$B$1)</f>
        <v>-0.95899999999999996</v>
      </c>
      <c r="AJ39">
        <f>_xll.EQNXTDZ($A$1,$B39,AJ$1,$B$1)</f>
        <v>-0.11899999999999999</v>
      </c>
      <c r="AK39">
        <f>_xll.EQNXTDZ($A$1,$B39,AK$1,$B$1)</f>
        <v>-6.6000000000000003E-2</v>
      </c>
      <c r="AL39">
        <f>_xll.EQNXTDZ($A$1,$B39,AL$1,$B$1)</f>
        <v>-5.8000000000000003E-2</v>
      </c>
      <c r="AM39">
        <f>_xll.EQNXTDZ($A$1,$B39,AM$1,$B$1)</f>
        <v>-6.4000000000000001E-2</v>
      </c>
      <c r="AN39">
        <f>_xll.EQNXTDZ($A$1,$B39,AN$1,$B$1)</f>
        <v>-6.2E-2</v>
      </c>
      <c r="AO39">
        <f>_xll.EQNXTDZ($A$1,$B39,AO$1,$B$1)</f>
        <v>-6.3E-2</v>
      </c>
      <c r="AP39">
        <f>_xll.EQNXTDZ($A$1,$B39,AP$1,$B$1)</f>
        <v>-6.2E-2</v>
      </c>
      <c r="AQ39">
        <f>_xll.EQNXTDZ($A$1,$B39,AQ$1,$B$1)</f>
        <v>-0.1</v>
      </c>
      <c r="AR39">
        <f>_xll.EQNXTDZ($A$1,$B39,AR$1,$B$1)</f>
        <v>-0.1</v>
      </c>
      <c r="AS39">
        <f>_xll.EQNXTDZ($A$1,$B39,AS$1,$B$1)</f>
        <v>0</v>
      </c>
      <c r="AT39">
        <f>_xll.EQNXTDZ($A$1,$B39,AT$1,$B$1)</f>
        <v>-5.6000000000000001E-2</v>
      </c>
      <c r="AU39">
        <f>_xll.EQNXTDZ($A$1,$B39,AU$1,$B$1)</f>
        <v>-0.02</v>
      </c>
      <c r="AV39">
        <f>_xll.EQNXTDZ($A$1,$B39,AV$1,$B$1)</f>
        <v>-1.4E-2</v>
      </c>
      <c r="AW39">
        <f>_xll.EQNXTDZ($A$1,$B39,AW$1,$B$1)</f>
        <v>-1.6E-2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-0.307</v>
      </c>
      <c r="AG40">
        <f>_xll.EQNXTDZ($A$1,$B40,AG$1,$B$1)</f>
        <v>-0.22600000000000001</v>
      </c>
      <c r="AH40">
        <f>_xll.EQNXTDZ($A$1,$B40,AH$1,$B$1)</f>
        <v>-0.215</v>
      </c>
      <c r="AI40">
        <f>_xll.EQNXTDZ($A$1,$B40,AI$1,$B$1)</f>
        <v>-0.44800000000000001</v>
      </c>
      <c r="AJ40">
        <f>_xll.EQNXTDZ($A$1,$B40,AJ$1,$B$1)</f>
        <v>-0.14699999999999999</v>
      </c>
      <c r="AK40">
        <f>_xll.EQNXTDZ($A$1,$B40,AK$1,$B$1)</f>
        <v>-0.376</v>
      </c>
      <c r="AL40">
        <f>_xll.EQNXTDZ($A$1,$B40,AL$1,$B$1)</f>
        <v>-0.27900000000000003</v>
      </c>
      <c r="AM40">
        <f>_xll.EQNXTDZ($A$1,$B40,AM$1,$B$1)</f>
        <v>-0.64</v>
      </c>
      <c r="AN40">
        <f>_xll.EQNXTDZ($A$1,$B40,AN$1,$B$1)</f>
        <v>-0.13800000000000001</v>
      </c>
      <c r="AO40">
        <f>_xll.EQNXTDZ($A$1,$B40,AO$1,$B$1)</f>
        <v>-0.19700000000000001</v>
      </c>
      <c r="AP40">
        <f>_xll.EQNXTDZ($A$1,$B40,AP$1,$B$1)</f>
        <v>-5.6000000000000001E-2</v>
      </c>
      <c r="AQ40">
        <f>_xll.EQNXTDZ($A$1,$B40,AQ$1,$B$1)</f>
        <v>-0.8</v>
      </c>
      <c r="AR40">
        <f>_xll.EQNXTDZ($A$1,$B40,AR$1,$B$1)</f>
        <v>-0.2</v>
      </c>
      <c r="AS40">
        <f>_xll.EQNXTDZ($A$1,$B40,AS$1,$B$1)</f>
        <v>-0.2</v>
      </c>
      <c r="AT40">
        <f>_xll.EQNXTDZ($A$1,$B40,AT$1,$B$1)</f>
        <v>-0.219</v>
      </c>
      <c r="AU40">
        <f>_xll.EQNXTDZ($A$1,$B40,AU$1,$B$1)</f>
        <v>-1.0009999999999999</v>
      </c>
      <c r="AV40">
        <f>_xll.EQNXTDZ($A$1,$B40,AV$1,$B$1)</f>
        <v>-0.2</v>
      </c>
      <c r="AW40">
        <f>_xll.EQNXTDZ($A$1,$B40,AW$1,$B$1)</f>
        <v>-0.39200000000000002</v>
      </c>
      <c r="AX40">
        <f>_xll.EQNXTDZ($A$1,$B40,AX$1,$B$1)</f>
        <v>-0.41499999999999998</v>
      </c>
      <c r="AY40">
        <f>_xll.EQNXTDZ($A$1,$B40,AY$1,$B$1)</f>
        <v>-1.1839999999999999</v>
      </c>
      <c r="AZ40">
        <f>_xll.EQNXTDZ($A$1,$B40,AZ$1,$B$1)</f>
        <v>-0.80300000000000005</v>
      </c>
      <c r="BA40">
        <f>_xll.EQNXTDZ($A$1,$B40,BA$1,$B$1)</f>
        <v>-1.0089999999999999</v>
      </c>
      <c r="BB40">
        <f>_xll.EQNXTDZ($A$1,$B40,BB$1,$B$1)</f>
        <v>-0.77400000000000002</v>
      </c>
      <c r="BC40">
        <f>_xll.EQNXTDZ($A$1,$B40,BC$1,$B$1)</f>
        <v>-0.78</v>
      </c>
      <c r="BD40">
        <f>_xll.EQNXTDZ($A$1,$B40,BD$1,$B$1)</f>
        <v>-0.307</v>
      </c>
      <c r="BE40">
        <f>_xll.EQNXTDZ($A$1,$B40,BE$1,$B$1)</f>
        <v>-1.008</v>
      </c>
      <c r="BF40">
        <f>_xll.EQNXTDZ($A$1,$B40,BF$1,$B$1)</f>
        <v>0.27300000000000002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18.875</v>
      </c>
      <c r="AG41">
        <f>_xll.EQNXTDZ($A$1,$B41,AG$1,$B$1)</f>
        <v>26.786999999999999</v>
      </c>
      <c r="AH41">
        <f>_xll.EQNXTDZ($A$1,$B41,AH$1,$B$1)</f>
        <v>30.670999999999999</v>
      </c>
      <c r="AI41">
        <f>_xll.EQNXTDZ($A$1,$B41,AI$1,$B$1)</f>
        <v>46.851999999999997</v>
      </c>
      <c r="AJ41">
        <f>_xll.EQNXTDZ($A$1,$B41,AJ$1,$B$1)</f>
        <v>74.328999999999994</v>
      </c>
      <c r="AK41">
        <f>_xll.EQNXTDZ($A$1,$B41,AK$1,$B$1)</f>
        <v>72.792000000000002</v>
      </c>
      <c r="AL41">
        <f>_xll.EQNXTDZ($A$1,$B41,AL$1,$B$1)</f>
        <v>101.633</v>
      </c>
      <c r="AM41">
        <f>_xll.EQNXTDZ($A$1,$B41,AM$1,$B$1)</f>
        <v>120.727</v>
      </c>
      <c r="AN41">
        <f>_xll.EQNXTDZ($A$1,$B41,AN$1,$B$1)</f>
        <v>134.059</v>
      </c>
      <c r="AO41">
        <f>_xll.EQNXTDZ($A$1,$B41,AO$1,$B$1)</f>
        <v>164.35</v>
      </c>
      <c r="AP41">
        <f>_xll.EQNXTDZ($A$1,$B41,AP$1,$B$1)</f>
        <v>204.63800000000001</v>
      </c>
      <c r="AQ41">
        <f>_xll.EQNXTDZ($A$1,$B41,AQ$1,$B$1)</f>
        <v>180.7</v>
      </c>
      <c r="AR41">
        <f>_xll.EQNXTDZ($A$1,$B41,AR$1,$B$1)</f>
        <v>213.3</v>
      </c>
      <c r="AS41">
        <f>_xll.EQNXTDZ($A$1,$B41,AS$1,$B$1)</f>
        <v>227.8</v>
      </c>
      <c r="AT41">
        <f>_xll.EQNXTDZ($A$1,$B41,AT$1,$B$1)</f>
        <v>266.69299999999998</v>
      </c>
      <c r="AU41">
        <f>_xll.EQNXTDZ($A$1,$B41,AU$1,$B$1)</f>
        <v>219.804</v>
      </c>
      <c r="AV41">
        <f>_xll.EQNXTDZ($A$1,$B41,AV$1,$B$1)</f>
        <v>304.25099999999998</v>
      </c>
      <c r="AW41">
        <f>_xll.EQNXTDZ($A$1,$B41,AW$1,$B$1)</f>
        <v>259.91800000000001</v>
      </c>
      <c r="AX41">
        <f>_xll.EQNXTDZ($A$1,$B41,AX$1,$B$1)</f>
        <v>339.52699999999999</v>
      </c>
      <c r="AY41">
        <f>_xll.EQNXTDZ($A$1,$B41,AY$1,$B$1)</f>
        <v>291.54199999999997</v>
      </c>
      <c r="AZ41">
        <f>_xll.EQNXTDZ($A$1,$B41,AZ$1,$B$1)</f>
        <v>422.565</v>
      </c>
      <c r="BA41">
        <f>_xll.EQNXTDZ($A$1,$B41,BA$1,$B$1)</f>
        <v>280.45699999999999</v>
      </c>
      <c r="BB41">
        <f>_xll.EQNXTDZ($A$1,$B41,BB$1,$B$1)</f>
        <v>173.74700000000001</v>
      </c>
      <c r="BC41">
        <f>_xll.EQNXTDZ($A$1,$B41,BC$1,$B$1)</f>
        <v>113.688</v>
      </c>
      <c r="BD41">
        <f>_xll.EQNXTDZ($A$1,$B41,BD$1,$B$1)</f>
        <v>211.423</v>
      </c>
      <c r="BE41">
        <f>_xll.EQNXTDZ($A$1,$B41,BE$1,$B$1)</f>
        <v>267.65600000000001</v>
      </c>
      <c r="BF41">
        <f>_xll.EQNXTDZ($A$1,$B41,BF$1,$B$1)</f>
        <v>320.51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19.181999999999999</v>
      </c>
      <c r="AG42">
        <f>_xll.EQNXTDZ($A$1,$B42,AG$1,$B$1)</f>
        <v>27.013000000000002</v>
      </c>
      <c r="AH42">
        <f>_xll.EQNXTDZ($A$1,$B42,AH$1,$B$1)</f>
        <v>30.885999999999999</v>
      </c>
      <c r="AI42">
        <f>_xll.EQNXTDZ($A$1,$B42,AI$1,$B$1)</f>
        <v>47.3</v>
      </c>
      <c r="AJ42">
        <f>_xll.EQNXTDZ($A$1,$B42,AJ$1,$B$1)</f>
        <v>74.475999999999999</v>
      </c>
      <c r="AK42">
        <f>_xll.EQNXTDZ($A$1,$B42,AK$1,$B$1)</f>
        <v>73.168000000000006</v>
      </c>
      <c r="AL42">
        <f>_xll.EQNXTDZ($A$1,$B42,AL$1,$B$1)</f>
        <v>101.91200000000001</v>
      </c>
      <c r="AM42">
        <f>_xll.EQNXTDZ($A$1,$B42,AM$1,$B$1)</f>
        <v>121.367</v>
      </c>
      <c r="AN42">
        <f>_xll.EQNXTDZ($A$1,$B42,AN$1,$B$1)</f>
        <v>134.197</v>
      </c>
      <c r="AO42">
        <f>_xll.EQNXTDZ($A$1,$B42,AO$1,$B$1)</f>
        <v>164.547</v>
      </c>
      <c r="AP42">
        <f>_xll.EQNXTDZ($A$1,$B42,AP$1,$B$1)</f>
        <v>204.69399999999999</v>
      </c>
      <c r="AQ42">
        <f>_xll.EQNXTDZ($A$1,$B42,AQ$1,$B$1)</f>
        <v>181.5</v>
      </c>
      <c r="AR42">
        <f>_xll.EQNXTDZ($A$1,$B42,AR$1,$B$1)</f>
        <v>213.5</v>
      </c>
      <c r="AS42">
        <f>_xll.EQNXTDZ($A$1,$B42,AS$1,$B$1)</f>
        <v>228</v>
      </c>
      <c r="AT42">
        <f>_xll.EQNXTDZ($A$1,$B42,AT$1,$B$1)</f>
        <v>266.91199999999998</v>
      </c>
      <c r="AU42">
        <f>_xll.EQNXTDZ($A$1,$B42,AU$1,$B$1)</f>
        <v>220.80500000000001</v>
      </c>
      <c r="AV42">
        <f>_xll.EQNXTDZ($A$1,$B42,AV$1,$B$1)</f>
        <v>304.45100000000002</v>
      </c>
      <c r="AW42">
        <f>_xll.EQNXTDZ($A$1,$B42,AW$1,$B$1)</f>
        <v>260.31</v>
      </c>
      <c r="AX42">
        <f>_xll.EQNXTDZ($A$1,$B42,AX$1,$B$1)</f>
        <v>339.94200000000001</v>
      </c>
      <c r="AY42">
        <f>_xll.EQNXTDZ($A$1,$B42,AY$1,$B$1)</f>
        <v>292.726</v>
      </c>
      <c r="AZ42">
        <f>_xll.EQNXTDZ($A$1,$B42,AZ$1,$B$1)</f>
        <v>423.36799999999999</v>
      </c>
      <c r="BA42">
        <f>_xll.EQNXTDZ($A$1,$B42,BA$1,$B$1)</f>
        <v>281.46600000000001</v>
      </c>
      <c r="BB42">
        <f>_xll.EQNXTDZ($A$1,$B42,BB$1,$B$1)</f>
        <v>174.52099999999999</v>
      </c>
      <c r="BC42">
        <f>_xll.EQNXTDZ($A$1,$B42,BC$1,$B$1)</f>
        <v>114.468</v>
      </c>
      <c r="BD42">
        <f>_xll.EQNXTDZ($A$1,$B42,BD$1,$B$1)</f>
        <v>211.73</v>
      </c>
      <c r="BE42">
        <f>_xll.EQNXTDZ($A$1,$B42,BE$1,$B$1)</f>
        <v>268.66399999999999</v>
      </c>
      <c r="BF42">
        <f>_xll.EQNXTDZ($A$1,$B42,BF$1,$B$1)</f>
        <v>320.23700000000002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71.995000000000005</v>
      </c>
      <c r="AG45">
        <f>_xll.EQNXTDZ($A$1,$B45,AG$1,$B$1)</f>
        <v>71.995000000000005</v>
      </c>
      <c r="AH45">
        <f>_xll.EQNXTDZ($A$1,$B45,AH$1,$B$1)</f>
        <v>71.995000000000005</v>
      </c>
      <c r="AI45">
        <f>_xll.EQNXTDZ($A$1,$B45,AI$1,$B$1)</f>
        <v>82.37</v>
      </c>
      <c r="AJ45">
        <f>_xll.EQNXTDZ($A$1,$B45,AJ$1,$B$1)</f>
        <v>81.799000000000007</v>
      </c>
      <c r="AK45">
        <f>_xll.EQNXTDZ($A$1,$B45,AK$1,$B$1)</f>
        <v>81.804000000000002</v>
      </c>
      <c r="AL45">
        <f>_xll.EQNXTDZ($A$1,$B45,AL$1,$B$1)</f>
        <v>81.826999999999998</v>
      </c>
      <c r="AM45">
        <f>_xll.EQNXTDZ($A$1,$B45,AM$1,$B$1)</f>
        <v>82.37</v>
      </c>
      <c r="AN45">
        <f>_xll.EQNXTDZ($A$1,$B45,AN$1,$B$1)</f>
        <v>82.61</v>
      </c>
      <c r="AO45">
        <f>_xll.EQNXTDZ($A$1,$B45,AO$1,$B$1)</f>
        <v>82.781999999999996</v>
      </c>
      <c r="AP45">
        <f>_xll.EQNXTDZ($A$1,$B45,AP$1,$B$1)</f>
        <v>82.858999999999995</v>
      </c>
      <c r="AQ45">
        <f>_xll.EQNXTDZ($A$1,$B45,AQ$1,$B$1)</f>
        <v>83.072000000000003</v>
      </c>
      <c r="AR45">
        <f>_xll.EQNXTDZ($A$1,$B45,AR$1,$B$1)</f>
        <v>83.4</v>
      </c>
      <c r="AS45">
        <f>_xll.EQNXTDZ($A$1,$B45,AS$1,$B$1)</f>
        <v>83.370999999999995</v>
      </c>
      <c r="AT45">
        <f>_xll.EQNXTDZ($A$1,$B45,AT$1,$B$1)</f>
        <v>83.42</v>
      </c>
      <c r="AU45">
        <f>_xll.EQNXTDZ($A$1,$B45,AU$1,$B$1)</f>
        <v>83.819000000000003</v>
      </c>
      <c r="AV45">
        <f>_xll.EQNXTDZ($A$1,$B45,AV$1,$B$1)</f>
        <v>83.894000000000005</v>
      </c>
      <c r="AW45">
        <f>_xll.EQNXTDZ($A$1,$B45,AW$1,$B$1)</f>
        <v>83.950999999999993</v>
      </c>
      <c r="AX45">
        <f>_xll.EQNXTDZ($A$1,$B45,AX$1,$B$1)</f>
        <v>84.007999999999996</v>
      </c>
      <c r="AY45">
        <f>_xll.EQNXTDZ($A$1,$B45,AY$1,$B$1)</f>
        <v>90.087999999999994</v>
      </c>
      <c r="AZ45">
        <f>_xll.EQNXTDZ($A$1,$B45,AZ$1,$B$1)</f>
        <v>90.150999999999996</v>
      </c>
      <c r="BA45">
        <f>_xll.EQNXTDZ($A$1,$B45,BA$1,$B$1)</f>
        <v>90.251000000000005</v>
      </c>
      <c r="BB45">
        <f>_xll.EQNXTDZ($A$1,$B45,BB$1,$B$1)</f>
        <v>90.293999999999997</v>
      </c>
      <c r="BC45">
        <f>_xll.EQNXTDZ($A$1,$B45,BC$1,$B$1)</f>
        <v>90.546000000000006</v>
      </c>
      <c r="BD45">
        <f>_xll.EQNXTDZ($A$1,$B45,BD$1,$B$1)</f>
        <v>90.716999999999999</v>
      </c>
      <c r="BE45">
        <f>_xll.EQNXTDZ($A$1,$B45,BE$1,$B$1)</f>
        <v>90.855000000000004</v>
      </c>
      <c r="BF45">
        <f>_xll.EQNXTDZ($A$1,$B45,BF$1,$B$1)</f>
        <v>91.085999999999999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33.78</v>
      </c>
      <c r="AL48" s="55">
        <f>_xll.EQNXTDZ($A$1,$B48,AL$5)</f>
        <v>29.11</v>
      </c>
      <c r="AM48" s="55">
        <f>_xll.EQNXTDZ($A$1,$B48,AM$5)</f>
        <v>85.61</v>
      </c>
      <c r="AN48" s="55">
        <f>_xll.EQNXTDZ($A$1,$B48,AN$5)</f>
        <v>132.21</v>
      </c>
      <c r="AO48" s="55">
        <f>_xll.EQNXTDZ($A$1,$B48,AO$5)</f>
        <v>118.25</v>
      </c>
      <c r="AP48" s="55">
        <f>_xll.EQNXTDZ($A$1,$B48,AP$5)</f>
        <v>153.58500000000001</v>
      </c>
      <c r="AQ48" s="55">
        <f>_xll.EQNXTDZ($A$1,$B48,AQ$5)</f>
        <v>120.64</v>
      </c>
      <c r="AR48" s="55">
        <f>_xll.EQNXTDZ($A$1,$B48,AR$5)</f>
        <v>136.77000000000001</v>
      </c>
      <c r="AS48" s="55">
        <f>_xll.EQNXTDZ($A$1,$B48,AS$5)</f>
        <v>131.15</v>
      </c>
      <c r="AT48" s="55">
        <f>_xll.EQNXTDZ($A$1,$B48,AT$5)</f>
        <v>116.33</v>
      </c>
      <c r="AU48" s="55">
        <f>_xll.EQNXTDZ($A$1,$B48,AU$5)</f>
        <v>171.86</v>
      </c>
      <c r="AV48" s="55">
        <f>_xll.EQNXTDZ($A$1,$B48,AV$5)</f>
        <v>185.1</v>
      </c>
      <c r="AW48" s="55">
        <f>_xll.EQNXTDZ($A$1,$B48,AW$5)</f>
        <v>348.94499999999999</v>
      </c>
      <c r="AX48" s="55">
        <f>_xll.EQNXTDZ($A$1,$B48,AX$5)</f>
        <v>304.39</v>
      </c>
      <c r="AY48" s="55">
        <f>_xll.EQNXTDZ($A$1,$B48,AY$5)</f>
        <v>260</v>
      </c>
      <c r="AZ48" s="55">
        <f>_xll.EQNXTDZ($A$1,$B48,AZ$5)</f>
        <v>256.17</v>
      </c>
      <c r="BA48" s="55">
        <f>_xll.EQNXTDZ($A$1,$B48,BA$5)</f>
        <v>293.24</v>
      </c>
      <c r="BB48" s="55">
        <f>_xll.EQNXTDZ($A$1,$B48,BB$5)</f>
        <v>231.26499999999999</v>
      </c>
      <c r="BC48" s="55">
        <f>_xll.EQNXTDZ($A$1,$B48,BC$5)</f>
        <v>292.315</v>
      </c>
      <c r="BD48" s="55">
        <f>_xll.EQNXTDZ($A$1,$B48,BD$5)</f>
        <v>213.215</v>
      </c>
      <c r="BE48" s="55">
        <f>_xll.EQNXTDZ($A$1,$B48,BE$5)</f>
        <v>234.41499999999999</v>
      </c>
      <c r="BF48" s="55">
        <f>_xll.EQNXTDZ($A$1,$B48,BF$5)</f>
        <v>227.55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44.56</v>
      </c>
      <c r="AK49" s="55">
        <f>_xll.EQNXTDZ($A$1,$B49,AK$5)</f>
        <v>44.56</v>
      </c>
      <c r="AL49" s="55">
        <f>_xll.EQNXTDZ($A$1,$B49,AL$5)</f>
        <v>44.55</v>
      </c>
      <c r="AM49" s="55">
        <f>_xll.EQNXTDZ($A$1,$B49,AM$5)</f>
        <v>44.26</v>
      </c>
      <c r="AN49" s="55">
        <f>_xll.EQNXTDZ($A$1,$B49,AN$5)</f>
        <v>43.77</v>
      </c>
      <c r="AO49" s="55">
        <f>_xll.EQNXTDZ($A$1,$B49,AO$5)</f>
        <v>43.68</v>
      </c>
      <c r="AP49" s="55">
        <f>_xll.EQNXTDZ($A$1,$B49,AP$5)</f>
        <v>44</v>
      </c>
      <c r="AQ49" s="55">
        <f>_xll.EQNXTDZ($A$1,$B49,AQ$5)</f>
        <v>43.83</v>
      </c>
      <c r="AR49" s="55">
        <f>_xll.EQNXTDZ($A$1,$B49,AR$5)</f>
        <v>43.71</v>
      </c>
      <c r="AS49" s="55">
        <f>_xll.EQNXTDZ($A$1,$B49,AS$5)</f>
        <v>43.68</v>
      </c>
      <c r="AT49" s="55">
        <f>_xll.EQNXTDZ($A$1,$B49,AT$5)</f>
        <v>38.479999999999997</v>
      </c>
      <c r="AU49" s="55">
        <f>_xll.EQNXTDZ($A$1,$B49,AU$5)</f>
        <v>38.299999999999997</v>
      </c>
      <c r="AV49" s="55">
        <f>_xll.EQNXTDZ($A$1,$B49,AV$5)</f>
        <v>38.26</v>
      </c>
      <c r="AW49" s="55">
        <f>_xll.EQNXTDZ($A$1,$B49,AW$5)</f>
        <v>38.24</v>
      </c>
      <c r="AX49" s="55">
        <f>_xll.EQNXTDZ($A$1,$B49,AX$5)</f>
        <v>38.21</v>
      </c>
      <c r="AY49" s="55">
        <f>_xll.EQNXTDZ($A$1,$B49,AY$5)</f>
        <v>35.630000000000003</v>
      </c>
      <c r="AZ49" s="55">
        <f>_xll.EQNXTDZ($A$1,$B49,AZ$5)</f>
        <v>35.61</v>
      </c>
      <c r="BA49" s="55">
        <f>_xll.EQNXTDZ($A$1,$B49,BA$5)</f>
        <v>35.57</v>
      </c>
      <c r="BB49" s="55">
        <f>_xll.EQNXTDZ($A$1,$B49,BB$5)</f>
        <v>35.549999999999997</v>
      </c>
      <c r="BC49" s="55">
        <f>_xll.EQNXTDZ($A$1,$B49,BC$5)</f>
        <v>28.97</v>
      </c>
      <c r="BD49" s="55">
        <f>_xll.EQNXTDZ($A$1,$B49,BD$5)</f>
        <v>28.91</v>
      </c>
      <c r="BE49" s="55">
        <f>_xll.EQNXTDZ($A$1,$B49,BE$5)</f>
        <v>28.87</v>
      </c>
      <c r="BF49" s="55">
        <f>_xll.EQNXTDZ($A$1,$B49,BF$5)</f>
        <v>28.8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71.995000000000005</v>
      </c>
      <c r="AI56" s="55">
        <f>_xll.EQNXTDZ($A$1,$B56,AI$5,$B$1)</f>
        <v>0</v>
      </c>
      <c r="AJ56" s="55">
        <f>_xll.EQNXTDZ($A$1,$B56,AJ$5,$B$1)</f>
        <v>81.799000000000007</v>
      </c>
      <c r="AK56" s="55">
        <f>_xll.EQNXTDZ($A$1,$B56,AK$5,$B$1)</f>
        <v>0</v>
      </c>
      <c r="AL56" s="55">
        <f>_xll.EQNXTDZ($A$1,$B56,AL$5,$B$1)</f>
        <v>81.826999999999998</v>
      </c>
      <c r="AM56" s="55">
        <f>_xll.EQNXTDZ($A$1,$B56,AM$5,$B$1)</f>
        <v>0</v>
      </c>
      <c r="AN56" s="55">
        <f>_xll.EQNXTDZ($A$1,$B56,AN$5,$B$1)</f>
        <v>82.61</v>
      </c>
      <c r="AO56" s="55">
        <f>_xll.EQNXTDZ($A$1,$B56,AO$5,$B$1)</f>
        <v>0</v>
      </c>
      <c r="AP56" s="55">
        <f>_xll.EQNXTDZ($A$1,$B56,AP$5,$B$1)</f>
        <v>82.858999999999995</v>
      </c>
      <c r="AQ56" s="55">
        <f>_xll.EQNXTDZ($A$1,$B56,AQ$5,$B$1)</f>
        <v>0</v>
      </c>
      <c r="AR56" s="55">
        <f>_xll.EQNXTDZ($A$1,$B56,AR$5,$B$1)</f>
        <v>83.316000000000003</v>
      </c>
      <c r="AS56" s="55">
        <f>_xll.EQNXTDZ($A$1,$B56,AS$5,$B$1)</f>
        <v>0</v>
      </c>
      <c r="AT56" s="55">
        <f>_xll.EQNXTDZ($A$1,$B56,AT$5,$B$1)</f>
        <v>83.42</v>
      </c>
      <c r="AU56" s="55">
        <f>_xll.EQNXTDZ($A$1,$B56,AU$5,$B$1)</f>
        <v>0</v>
      </c>
      <c r="AV56" s="55">
        <f>_xll.EQNXTDZ($A$1,$B56,AV$5,$B$1)</f>
        <v>83.9</v>
      </c>
      <c r="AW56" s="55">
        <f>_xll.EQNXTDZ($A$1,$B56,AW$5,$B$1)</f>
        <v>0</v>
      </c>
      <c r="AX56" s="55">
        <f>_xll.EQNXTDZ($A$1,$B56,AX$5,$B$1)</f>
        <v>84.007999999999996</v>
      </c>
      <c r="AY56" s="55">
        <f>_xll.EQNXTDZ($A$1,$B56,AY$5,$B$1)</f>
        <v>0</v>
      </c>
      <c r="AZ56" s="55">
        <f>_xll.EQNXTDZ($A$1,$B56,AZ$5,$B$1)</f>
        <v>90.150999999999996</v>
      </c>
      <c r="BA56" s="55">
        <f>_xll.EQNXTDZ($A$1,$B56,BA$5,$B$1)</f>
        <v>0</v>
      </c>
      <c r="BB56" s="55">
        <f>_xll.EQNXTDZ($A$1,$B56,BB$5,$B$1)</f>
        <v>90.293999999999997</v>
      </c>
      <c r="BC56" s="55">
        <f>_xll.EQNXTDZ($A$1,$B56,BC$5,$B$1)</f>
        <v>0</v>
      </c>
      <c r="BD56" s="55">
        <f>_xll.EQNXTDZ($A$1,$B56,BD$5,$B$1)</f>
        <v>90.716999999999999</v>
      </c>
      <c r="BE56" s="55">
        <f>_xll.EQNXTDZ($A$1,$B56,BE$5,$B$1)</f>
        <v>0</v>
      </c>
      <c r="BF56" s="55">
        <f>_xll.EQNXTDZ($A$1,$B56,BF$5,$B$1)</f>
        <v>91.085999999999999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519.42399999999998</v>
      </c>
      <c r="AI58" s="55">
        <f>_xll.EQNXTDZ($A$1,$B58,AI$5,$B$1)</f>
        <v>0</v>
      </c>
      <c r="AJ58" s="55">
        <f>_xll.EQNXTDZ($A$1,$B58,AJ$5,$B$1)</f>
        <v>907.45600000000002</v>
      </c>
      <c r="AK58" s="55">
        <f>_xll.EQNXTDZ($A$1,$B58,AK$5,$B$1)</f>
        <v>0</v>
      </c>
      <c r="AL58" s="55">
        <f>_xll.EQNXTDZ($A$1,$B58,AL$5,$B$1)</f>
        <v>1049.17</v>
      </c>
      <c r="AM58" s="55">
        <f>_xll.EQNXTDZ($A$1,$B58,AM$5,$B$1)</f>
        <v>0</v>
      </c>
      <c r="AN58" s="55">
        <f>_xll.EQNXTDZ($A$1,$B58,AN$5,$B$1)</f>
        <v>1222.527</v>
      </c>
      <c r="AO58" s="55">
        <f>_xll.EQNXTDZ($A$1,$B58,AO$5,$B$1)</f>
        <v>0</v>
      </c>
      <c r="AP58" s="55">
        <f>_xll.EQNXTDZ($A$1,$B58,AP$5,$B$1)</f>
        <v>1501.518</v>
      </c>
      <c r="AQ58" s="55">
        <f>_xll.EQNXTDZ($A$1,$B58,AQ$5,$B$1)</f>
        <v>0</v>
      </c>
      <c r="AR58" s="55">
        <f>_xll.EQNXTDZ($A$1,$B58,AR$5,$B$1)</f>
        <v>1803.598</v>
      </c>
      <c r="AS58" s="55">
        <f>_xll.EQNXTDZ($A$1,$B58,AS$5,$B$1)</f>
        <v>0</v>
      </c>
      <c r="AT58" s="55">
        <f>_xll.EQNXTDZ($A$1,$B58,AT$5,$B$1)</f>
        <v>2078.1379999999999</v>
      </c>
      <c r="AU58" s="55">
        <f>_xll.EQNXTDZ($A$1,$B58,AU$5,$B$1)</f>
        <v>0</v>
      </c>
      <c r="AV58" s="55">
        <f>_xll.EQNXTDZ($A$1,$B58,AV$5,$B$1)</f>
        <v>2528.6999999999998</v>
      </c>
      <c r="AW58" s="55">
        <f>_xll.EQNXTDZ($A$1,$B58,AW$5,$B$1)</f>
        <v>0</v>
      </c>
      <c r="AX58" s="55">
        <f>_xll.EQNXTDZ($A$1,$B58,AX$5,$B$1)</f>
        <v>2954.5949999999998</v>
      </c>
      <c r="AY58" s="55">
        <f>_xll.EQNXTDZ($A$1,$B58,AY$5,$B$1)</f>
        <v>0</v>
      </c>
      <c r="AZ58" s="55">
        <f>_xll.EQNXTDZ($A$1,$B58,AZ$5,$B$1)</f>
        <v>5187.8410000000003</v>
      </c>
      <c r="BA58" s="55">
        <f>_xll.EQNXTDZ($A$1,$B58,BA$5,$B$1)</f>
        <v>0</v>
      </c>
      <c r="BB58" s="55">
        <f>_xll.EQNXTDZ($A$1,$B58,BB$5,$B$1)</f>
        <v>5531.1040000000003</v>
      </c>
      <c r="BC58" s="55">
        <f>_xll.EQNXTDZ($A$1,$B58,BC$5,$B$1)</f>
        <v>0</v>
      </c>
      <c r="BD58" s="55">
        <f>_xll.EQNXTDZ($A$1,$B58,BD$5,$B$1)</f>
        <v>5719.4870000000001</v>
      </c>
      <c r="BE58" s="55">
        <f>_xll.EQNXTDZ($A$1,$B58,BE$5,$B$1)</f>
        <v>0</v>
      </c>
      <c r="BF58" s="55">
        <f>_xll.EQNXTDZ($A$1,$B58,BF$5,$B$1)</f>
        <v>6026.7049999999999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591.41899999999998</v>
      </c>
      <c r="AI59" s="55">
        <f>_xll.EQNXTDZ($A$1,$B59,AI$5,$B$1)</f>
        <v>0</v>
      </c>
      <c r="AJ59" s="55">
        <f>_xll.EQNXTDZ($A$1,$B59,AJ$5,$B$1)</f>
        <v>989.255</v>
      </c>
      <c r="AK59" s="55">
        <f>_xll.EQNXTDZ($A$1,$B59,AK$5,$B$1)</f>
        <v>0</v>
      </c>
      <c r="AL59" s="55">
        <f>_xll.EQNXTDZ($A$1,$B59,AL$5,$B$1)</f>
        <v>1130.9970000000001</v>
      </c>
      <c r="AM59" s="55">
        <f>_xll.EQNXTDZ($A$1,$B59,AM$5,$B$1)</f>
        <v>0</v>
      </c>
      <c r="AN59" s="55">
        <f>_xll.EQNXTDZ($A$1,$B59,AN$5,$B$1)</f>
        <v>1305.1369999999999</v>
      </c>
      <c r="AO59" s="55">
        <f>_xll.EQNXTDZ($A$1,$B59,AO$5,$B$1)</f>
        <v>0</v>
      </c>
      <c r="AP59" s="55">
        <f>_xll.EQNXTDZ($A$1,$B59,AP$5,$B$1)</f>
        <v>1584.377</v>
      </c>
      <c r="AQ59" s="55">
        <f>_xll.EQNXTDZ($A$1,$B59,AQ$5,$B$1)</f>
        <v>0</v>
      </c>
      <c r="AR59" s="55">
        <f>_xll.EQNXTDZ($A$1,$B59,AR$5,$B$1)</f>
        <v>1886.914</v>
      </c>
      <c r="AS59" s="55">
        <f>_xll.EQNXTDZ($A$1,$B59,AS$5,$B$1)</f>
        <v>0</v>
      </c>
      <c r="AT59" s="55">
        <f>_xll.EQNXTDZ($A$1,$B59,AT$5,$B$1)</f>
        <v>2161.558</v>
      </c>
      <c r="AU59" s="55">
        <f>_xll.EQNXTDZ($A$1,$B59,AU$5,$B$1)</f>
        <v>0</v>
      </c>
      <c r="AV59" s="55">
        <f>_xll.EQNXTDZ($A$1,$B59,AV$5,$B$1)</f>
        <v>2612.6</v>
      </c>
      <c r="AW59" s="55">
        <f>_xll.EQNXTDZ($A$1,$B59,AW$5,$B$1)</f>
        <v>0</v>
      </c>
      <c r="AX59" s="55">
        <f>_xll.EQNXTDZ($A$1,$B59,AX$5,$B$1)</f>
        <v>3038.6030000000001</v>
      </c>
      <c r="AY59" s="55">
        <f>_xll.EQNXTDZ($A$1,$B59,AY$5,$B$1)</f>
        <v>0</v>
      </c>
      <c r="AZ59" s="55">
        <f>_xll.EQNXTDZ($A$1,$B59,AZ$5,$B$1)</f>
        <v>5277.9920000000002</v>
      </c>
      <c r="BA59" s="55">
        <f>_xll.EQNXTDZ($A$1,$B59,BA$5,$B$1)</f>
        <v>0</v>
      </c>
      <c r="BB59" s="55">
        <f>_xll.EQNXTDZ($A$1,$B59,BB$5,$B$1)</f>
        <v>5621.3980000000001</v>
      </c>
      <c r="BC59" s="55">
        <f>_xll.EQNXTDZ($A$1,$B59,BC$5,$B$1)</f>
        <v>0</v>
      </c>
      <c r="BD59" s="55">
        <f>_xll.EQNXTDZ($A$1,$B59,BD$5,$B$1)</f>
        <v>5810.2039999999997</v>
      </c>
      <c r="BE59" s="55">
        <f>_xll.EQNXTDZ($A$1,$B59,BE$5,$B$1)</f>
        <v>0</v>
      </c>
      <c r="BF59" s="55">
        <f>_xll.EQNXTDZ($A$1,$B59,BF$5,$B$1)</f>
        <v>6117.7910000000002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17.704000000000001</v>
      </c>
      <c r="BC60" s="55">
        <f>_xll.EQNXTDZ($A$1,$B60,BC$5,$B$1)</f>
        <v>0</v>
      </c>
      <c r="BD60" s="55">
        <f>_xll.EQNXTDZ($A$1,$B60,BD$5,$B$1)</f>
        <v>23.916</v>
      </c>
      <c r="BE60" s="55">
        <f>_xll.EQNXTDZ($A$1,$B60,BE$5,$B$1)</f>
        <v>0</v>
      </c>
      <c r="BF60" s="55">
        <f>_xll.EQNXTDZ($A$1,$B60,BF$5,$B$1)</f>
        <v>31.138999999999999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31.213000000000001</v>
      </c>
      <c r="AI64" s="55">
        <f>_xll.EQNXTDZ($A$1,$B64,AI$5,$B$1)</f>
        <v>0</v>
      </c>
      <c r="AJ64" s="55">
        <f>_xll.EQNXTDZ($A$1,$B64,AJ$5,$B$1)</f>
        <v>46.872999999999998</v>
      </c>
      <c r="AK64" s="55">
        <f>_xll.EQNXTDZ($A$1,$B64,AK$5,$B$1)</f>
        <v>0</v>
      </c>
      <c r="AL64" s="55">
        <f>_xll.EQNXTDZ($A$1,$B64,AL$5,$B$1)</f>
        <v>46.128999999999998</v>
      </c>
      <c r="AM64" s="55">
        <f>_xll.EQNXTDZ($A$1,$B64,AM$5,$B$1)</f>
        <v>0</v>
      </c>
      <c r="AN64" s="55">
        <f>_xll.EQNXTDZ($A$1,$B64,AN$5,$B$1)</f>
        <v>60.15</v>
      </c>
      <c r="AO64" s="55">
        <f>_xll.EQNXTDZ($A$1,$B64,AO$5,$B$1)</f>
        <v>0</v>
      </c>
      <c r="AP64" s="55">
        <f>_xll.EQNXTDZ($A$1,$B64,AP$5,$B$1)</f>
        <v>45.529000000000003</v>
      </c>
      <c r="AQ64" s="55">
        <f>_xll.EQNXTDZ($A$1,$B64,AQ$5,$B$1)</f>
        <v>0</v>
      </c>
      <c r="AR64" s="55">
        <f>_xll.EQNXTDZ($A$1,$B64,AR$5,$B$1)</f>
        <v>63.475000000000001</v>
      </c>
      <c r="AS64" s="55">
        <f>_xll.EQNXTDZ($A$1,$B64,AS$5,$B$1)</f>
        <v>0</v>
      </c>
      <c r="AT64" s="55">
        <f>_xll.EQNXTDZ($A$1,$B64,AT$5,$B$1)</f>
        <v>49.298000000000002</v>
      </c>
      <c r="AU64" s="55">
        <f>_xll.EQNXTDZ($A$1,$B64,AU$5,$B$1)</f>
        <v>0</v>
      </c>
      <c r="AV64" s="55">
        <f>_xll.EQNXTDZ($A$1,$B64,AV$5,$B$1)</f>
        <v>69.599999999999994</v>
      </c>
      <c r="AW64" s="55">
        <f>_xll.EQNXTDZ($A$1,$B64,AW$5,$B$1)</f>
        <v>0</v>
      </c>
      <c r="AX64" s="55">
        <f>_xll.EQNXTDZ($A$1,$B64,AX$5,$B$1)</f>
        <v>37.895000000000003</v>
      </c>
      <c r="AY64" s="55">
        <f>_xll.EQNXTDZ($A$1,$B64,AY$5,$B$1)</f>
        <v>0</v>
      </c>
      <c r="AZ64" s="55">
        <f>_xll.EQNXTDZ($A$1,$B64,AZ$5,$B$1)</f>
        <v>127.261</v>
      </c>
      <c r="BA64" s="55">
        <f>_xll.EQNXTDZ($A$1,$B64,BA$5,$B$1)</f>
        <v>0</v>
      </c>
      <c r="BB64" s="55">
        <f>_xll.EQNXTDZ($A$1,$B64,BB$5,$B$1)</f>
        <v>48.395000000000003</v>
      </c>
      <c r="BC64" s="55">
        <f>_xll.EQNXTDZ($A$1,$B64,BC$5,$B$1)</f>
        <v>0</v>
      </c>
      <c r="BD64" s="55">
        <f>_xll.EQNXTDZ($A$1,$B64,BD$5,$B$1)</f>
        <v>87.147999999999996</v>
      </c>
      <c r="BE64" s="55">
        <f>_xll.EQNXTDZ($A$1,$B64,BE$5,$B$1)</f>
        <v>0</v>
      </c>
      <c r="BF64" s="55">
        <f>_xll.EQNXTDZ($A$1,$B64,BF$5,$B$1)</f>
        <v>55.994999999999997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6.7080000000000002</v>
      </c>
      <c r="AI66" s="55">
        <f>_xll.EQNXTDZ($A$1,$B66,AI$5,$B$1)</f>
        <v>0</v>
      </c>
      <c r="AJ66" s="55">
        <f>_xll.EQNXTDZ($A$1,$B66,AJ$5,$B$1)</f>
        <v>8.3659999999999997</v>
      </c>
      <c r="AK66" s="55">
        <f>_xll.EQNXTDZ($A$1,$B66,AK$5,$B$1)</f>
        <v>0</v>
      </c>
      <c r="AL66" s="55">
        <f>_xll.EQNXTDZ($A$1,$B66,AL$5,$B$1)</f>
        <v>9.0990000000000002</v>
      </c>
      <c r="AM66" s="55">
        <f>_xll.EQNXTDZ($A$1,$B66,AM$5,$B$1)</f>
        <v>0</v>
      </c>
      <c r="AN66" s="55">
        <f>_xll.EQNXTDZ($A$1,$B66,AN$5,$B$1)</f>
        <v>10.773999999999999</v>
      </c>
      <c r="AO66" s="55">
        <f>_xll.EQNXTDZ($A$1,$B66,AO$5,$B$1)</f>
        <v>0</v>
      </c>
      <c r="AP66" s="55">
        <f>_xll.EQNXTDZ($A$1,$B66,AP$5,$B$1)</f>
        <v>12.103</v>
      </c>
      <c r="AQ66" s="55">
        <f>_xll.EQNXTDZ($A$1,$B66,AQ$5,$B$1)</f>
        <v>0</v>
      </c>
      <c r="AR66" s="55">
        <f>_xll.EQNXTDZ($A$1,$B66,AR$5,$B$1)</f>
        <v>14.669</v>
      </c>
      <c r="AS66" s="55">
        <f>_xll.EQNXTDZ($A$1,$B66,AS$5,$B$1)</f>
        <v>0</v>
      </c>
      <c r="AT66" s="55">
        <f>_xll.EQNXTDZ($A$1,$B66,AT$5,$B$1)</f>
        <v>16.338999999999999</v>
      </c>
      <c r="AU66" s="55">
        <f>_xll.EQNXTDZ($A$1,$B66,AU$5,$B$1)</f>
        <v>0</v>
      </c>
      <c r="AV66" s="55">
        <f>_xll.EQNXTDZ($A$1,$B66,AV$5,$B$1)</f>
        <v>19.899999999999999</v>
      </c>
      <c r="AW66" s="55">
        <f>_xll.EQNXTDZ($A$1,$B66,AW$5,$B$1)</f>
        <v>0</v>
      </c>
      <c r="AX66" s="55">
        <f>_xll.EQNXTDZ($A$1,$B66,AX$5,$B$1)</f>
        <v>22.588000000000001</v>
      </c>
      <c r="AY66" s="55">
        <f>_xll.EQNXTDZ($A$1,$B66,AY$5,$B$1)</f>
        <v>0</v>
      </c>
      <c r="AZ66" s="55">
        <f>_xll.EQNXTDZ($A$1,$B66,AZ$5,$B$1)</f>
        <v>31.106000000000002</v>
      </c>
      <c r="BA66" s="55">
        <f>_xll.EQNXTDZ($A$1,$B66,BA$5,$B$1)</f>
        <v>0</v>
      </c>
      <c r="BB66" s="55">
        <f>_xll.EQNXTDZ($A$1,$B66,BB$5,$B$1)</f>
        <v>39.268999999999998</v>
      </c>
      <c r="BC66" s="55">
        <f>_xll.EQNXTDZ($A$1,$B66,BC$5,$B$1)</f>
        <v>0</v>
      </c>
      <c r="BD66" s="55">
        <f>_xll.EQNXTDZ($A$1,$B66,BD$5,$B$1)</f>
        <v>44.125999999999998</v>
      </c>
      <c r="BE66" s="55">
        <f>_xll.EQNXTDZ($A$1,$B66,BE$5,$B$1)</f>
        <v>0</v>
      </c>
      <c r="BF66" s="55">
        <f>_xll.EQNXTDZ($A$1,$B66,BF$5,$B$1)</f>
        <v>51.152999999999999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629.34</v>
      </c>
      <c r="AI67" s="55">
        <f>_xll.EQNXTDZ($A$1,$B67,AI$5,$B$1)</f>
        <v>0</v>
      </c>
      <c r="AJ67" s="55">
        <f>_xll.EQNXTDZ($A$1,$B67,AJ$5,$B$1)</f>
        <v>1044.4939999999999</v>
      </c>
      <c r="AK67" s="55">
        <f>_xll.EQNXTDZ($A$1,$B67,AK$5,$B$1)</f>
        <v>0</v>
      </c>
      <c r="AL67" s="55">
        <f>_xll.EQNXTDZ($A$1,$B67,AL$5,$B$1)</f>
        <v>1186.2249999999999</v>
      </c>
      <c r="AM67" s="55">
        <f>_xll.EQNXTDZ($A$1,$B67,AM$5,$B$1)</f>
        <v>0</v>
      </c>
      <c r="AN67" s="55">
        <f>_xll.EQNXTDZ($A$1,$B67,AN$5,$B$1)</f>
        <v>1376.0609999999999</v>
      </c>
      <c r="AO67" s="55">
        <f>_xll.EQNXTDZ($A$1,$B67,AO$5,$B$1)</f>
        <v>0</v>
      </c>
      <c r="AP67" s="55">
        <f>_xll.EQNXTDZ($A$1,$B67,AP$5,$B$1)</f>
        <v>1642.009</v>
      </c>
      <c r="AQ67" s="55">
        <f>_xll.EQNXTDZ($A$1,$B67,AQ$5,$B$1)</f>
        <v>0</v>
      </c>
      <c r="AR67" s="55">
        <f>_xll.EQNXTDZ($A$1,$B67,AR$5,$B$1)</f>
        <v>1965.058</v>
      </c>
      <c r="AS67" s="55">
        <f>_xll.EQNXTDZ($A$1,$B67,AS$5,$B$1)</f>
        <v>0</v>
      </c>
      <c r="AT67" s="55">
        <f>_xll.EQNXTDZ($A$1,$B67,AT$5,$B$1)</f>
        <v>2227.1950000000002</v>
      </c>
      <c r="AU67" s="55">
        <f>_xll.EQNXTDZ($A$1,$B67,AU$5,$B$1)</f>
        <v>0</v>
      </c>
      <c r="AV67" s="55">
        <f>_xll.EQNXTDZ($A$1,$B67,AV$5,$B$1)</f>
        <v>2702.1</v>
      </c>
      <c r="AW67" s="55">
        <f>_xll.EQNXTDZ($A$1,$B67,AW$5,$B$1)</f>
        <v>0</v>
      </c>
      <c r="AX67" s="55">
        <f>_xll.EQNXTDZ($A$1,$B67,AX$5,$B$1)</f>
        <v>3099.0859999999998</v>
      </c>
      <c r="AY67" s="55">
        <f>_xll.EQNXTDZ($A$1,$B67,AY$5,$B$1)</f>
        <v>0</v>
      </c>
      <c r="AZ67" s="55">
        <f>_xll.EQNXTDZ($A$1,$B67,AZ$5,$B$1)</f>
        <v>5436.3590000000004</v>
      </c>
      <c r="BA67" s="55">
        <f>_xll.EQNXTDZ($A$1,$B67,BA$5,$B$1)</f>
        <v>0</v>
      </c>
      <c r="BB67" s="55">
        <f>_xll.EQNXTDZ($A$1,$B67,BB$5,$B$1)</f>
        <v>5726.7659999999996</v>
      </c>
      <c r="BC67" s="55">
        <f>_xll.EQNXTDZ($A$1,$B67,BC$5,$B$1)</f>
        <v>0</v>
      </c>
      <c r="BD67" s="55">
        <f>_xll.EQNXTDZ($A$1,$B67,BD$5,$B$1)</f>
        <v>5965.3940000000002</v>
      </c>
      <c r="BE67" s="55">
        <f>_xll.EQNXTDZ($A$1,$B67,BE$5,$B$1)</f>
        <v>0</v>
      </c>
      <c r="BF67" s="55">
        <f>_xll.EQNXTDZ($A$1,$B67,BF$5,$B$1)</f>
        <v>6256.0780000000004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110.706</v>
      </c>
      <c r="AI68" s="55">
        <f>_xll.EQNXTDZ($A$1,$B68,AI$5,$B$1)</f>
        <v>0</v>
      </c>
      <c r="AJ68" s="55">
        <f>_xll.EQNXTDZ($A$1,$B68,AJ$5,$B$1)</f>
        <v>109.23399999999999</v>
      </c>
      <c r="AK68" s="55">
        <f>_xll.EQNXTDZ($A$1,$B68,AK$5,$B$1)</f>
        <v>0</v>
      </c>
      <c r="AL68" s="55">
        <f>_xll.EQNXTDZ($A$1,$B68,AL$5,$B$1)</f>
        <v>106.099</v>
      </c>
      <c r="AM68" s="55">
        <f>_xll.EQNXTDZ($A$1,$B68,AM$5,$B$1)</f>
        <v>0</v>
      </c>
      <c r="AN68" s="55">
        <f>_xll.EQNXTDZ($A$1,$B68,AN$5,$B$1)</f>
        <v>121.712</v>
      </c>
      <c r="AO68" s="55">
        <f>_xll.EQNXTDZ($A$1,$B68,AO$5,$B$1)</f>
        <v>0</v>
      </c>
      <c r="AP68" s="55">
        <f>_xll.EQNXTDZ($A$1,$B68,AP$5,$B$1)</f>
        <v>158.76599999999999</v>
      </c>
      <c r="AQ68" s="55">
        <f>_xll.EQNXTDZ($A$1,$B68,AQ$5,$B$1)</f>
        <v>0</v>
      </c>
      <c r="AR68" s="55">
        <f>_xll.EQNXTDZ($A$1,$B68,AR$5,$B$1)</f>
        <v>176.29300000000001</v>
      </c>
      <c r="AS68" s="55">
        <f>_xll.EQNXTDZ($A$1,$B68,AS$5,$B$1)</f>
        <v>0</v>
      </c>
      <c r="AT68" s="55">
        <f>_xll.EQNXTDZ($A$1,$B68,AT$5,$B$1)</f>
        <v>179.57599999999999</v>
      </c>
      <c r="AU68" s="55">
        <f>_xll.EQNXTDZ($A$1,$B68,AU$5,$B$1)</f>
        <v>0</v>
      </c>
      <c r="AV68" s="55">
        <f>_xll.EQNXTDZ($A$1,$B68,AV$5,$B$1)</f>
        <v>242.5</v>
      </c>
      <c r="AW68" s="55">
        <f>_xll.EQNXTDZ($A$1,$B68,AW$5,$B$1)</f>
        <v>0</v>
      </c>
      <c r="AX68" s="55">
        <f>_xll.EQNXTDZ($A$1,$B68,AX$5,$B$1)</f>
        <v>400.60399999999998</v>
      </c>
      <c r="AY68" s="55">
        <f>_xll.EQNXTDZ($A$1,$B68,AY$5,$B$1)</f>
        <v>0</v>
      </c>
      <c r="AZ68" s="55">
        <f>_xll.EQNXTDZ($A$1,$B68,AZ$5,$B$1)</f>
        <v>435.19600000000003</v>
      </c>
      <c r="BA68" s="55">
        <f>_xll.EQNXTDZ($A$1,$B68,BA$5,$B$1)</f>
        <v>0</v>
      </c>
      <c r="BB68" s="55">
        <f>_xll.EQNXTDZ($A$1,$B68,BB$5,$B$1)</f>
        <v>469.82499999999999</v>
      </c>
      <c r="BC68" s="55">
        <f>_xll.EQNXTDZ($A$1,$B68,BC$5,$B$1)</f>
        <v>0</v>
      </c>
      <c r="BD68" s="55">
        <f>_xll.EQNXTDZ($A$1,$B68,BD$5,$B$1)</f>
        <v>450.97300000000001</v>
      </c>
      <c r="BE68" s="55">
        <f>_xll.EQNXTDZ($A$1,$B68,BE$5,$B$1)</f>
        <v>0</v>
      </c>
      <c r="BF68" s="55">
        <f>_xll.EQNXTDZ($A$1,$B68,BF$5,$B$1)</f>
        <v>440.29300000000001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110.706</v>
      </c>
      <c r="AI71" s="55">
        <f>_xll.EQNXTDZ($A$1,$B71,AI$5,$B$1)</f>
        <v>0</v>
      </c>
      <c r="AJ71" s="55">
        <f>_xll.EQNXTDZ($A$1,$B71,AJ$5,$B$1)</f>
        <v>109.23399999999999</v>
      </c>
      <c r="AK71" s="55">
        <f>_xll.EQNXTDZ($A$1,$B71,AK$5,$B$1)</f>
        <v>0</v>
      </c>
      <c r="AL71" s="55">
        <f>_xll.EQNXTDZ($A$1,$B71,AL$5,$B$1)</f>
        <v>106.099</v>
      </c>
      <c r="AM71" s="55">
        <f>_xll.EQNXTDZ($A$1,$B71,AM$5,$B$1)</f>
        <v>0</v>
      </c>
      <c r="AN71" s="55">
        <f>_xll.EQNXTDZ($A$1,$B71,AN$5,$B$1)</f>
        <v>121.712</v>
      </c>
      <c r="AO71" s="55">
        <f>_xll.EQNXTDZ($A$1,$B71,AO$5,$B$1)</f>
        <v>0</v>
      </c>
      <c r="AP71" s="55">
        <f>_xll.EQNXTDZ($A$1,$B71,AP$5,$B$1)</f>
        <v>158.76599999999999</v>
      </c>
      <c r="AQ71" s="55">
        <f>_xll.EQNXTDZ($A$1,$B71,AQ$5,$B$1)</f>
        <v>0</v>
      </c>
      <c r="AR71" s="55">
        <f>_xll.EQNXTDZ($A$1,$B71,AR$5,$B$1)</f>
        <v>176.29300000000001</v>
      </c>
      <c r="AS71" s="55">
        <f>_xll.EQNXTDZ($A$1,$B71,AS$5,$B$1)</f>
        <v>0</v>
      </c>
      <c r="AT71" s="55">
        <f>_xll.EQNXTDZ($A$1,$B71,AT$5,$B$1)</f>
        <v>179.57599999999999</v>
      </c>
      <c r="AU71" s="55">
        <f>_xll.EQNXTDZ($A$1,$B71,AU$5,$B$1)</f>
        <v>0</v>
      </c>
      <c r="AV71" s="55">
        <f>_xll.EQNXTDZ($A$1,$B71,AV$5,$B$1)</f>
        <v>242.5</v>
      </c>
      <c r="AW71" s="55">
        <f>_xll.EQNXTDZ($A$1,$B71,AW$5,$B$1)</f>
        <v>0</v>
      </c>
      <c r="AX71" s="55">
        <f>_xll.EQNXTDZ($A$1,$B71,AX$5,$B$1)</f>
        <v>400.60399999999998</v>
      </c>
      <c r="AY71" s="55">
        <f>_xll.EQNXTDZ($A$1,$B71,AY$5,$B$1)</f>
        <v>0</v>
      </c>
      <c r="AZ71" s="55">
        <f>_xll.EQNXTDZ($A$1,$B71,AZ$5,$B$1)</f>
        <v>435.19600000000003</v>
      </c>
      <c r="BA71" s="55">
        <f>_xll.EQNXTDZ($A$1,$B71,BA$5,$B$1)</f>
        <v>0</v>
      </c>
      <c r="BB71" s="55">
        <f>_xll.EQNXTDZ($A$1,$B71,BB$5,$B$1)</f>
        <v>469.82499999999999</v>
      </c>
      <c r="BC71" s="55">
        <f>_xll.EQNXTDZ($A$1,$B71,BC$5,$B$1)</f>
        <v>0</v>
      </c>
      <c r="BD71" s="55">
        <f>_xll.EQNXTDZ($A$1,$B71,BD$5,$B$1)</f>
        <v>450.97300000000001</v>
      </c>
      <c r="BE71" s="55">
        <f>_xll.EQNXTDZ($A$1,$B71,BE$5,$B$1)</f>
        <v>0</v>
      </c>
      <c r="BF71" s="55">
        <f>_xll.EQNXTDZ($A$1,$B71,BF$5,$B$1)</f>
        <v>440.29300000000001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34.841999999999999</v>
      </c>
      <c r="AS74" s="55">
        <f>_xll.EQNXTDZ($A$1,$B74,AS$5,$B$1)</f>
        <v>0</v>
      </c>
      <c r="AT74" s="55">
        <f>_xll.EQNXTDZ($A$1,$B74,AT$5,$B$1)</f>
        <v>61.523000000000003</v>
      </c>
      <c r="AU74" s="55">
        <f>_xll.EQNXTDZ($A$1,$B74,AU$5,$B$1)</f>
        <v>0</v>
      </c>
      <c r="AV74" s="55">
        <f>_xll.EQNXTDZ($A$1,$B74,AV$5,$B$1)</f>
        <v>50.5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0.84</v>
      </c>
      <c r="BE74" s="55">
        <f>_xll.EQNXTDZ($A$1,$B74,BE$5,$B$1)</f>
        <v>0</v>
      </c>
      <c r="BF74" s="55">
        <f>_xll.EQNXTDZ($A$1,$B74,BF$5,$B$1)</f>
        <v>0.64300000000000002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0.128</v>
      </c>
      <c r="AI77" s="55">
        <f>_xll.EQNXTDZ($A$1,$B77,AI$5,$B$1)</f>
        <v>0</v>
      </c>
      <c r="AJ77" s="55">
        <f>_xll.EQNXTDZ($A$1,$B77,AJ$5,$B$1)</f>
        <v>3.3159999999999998</v>
      </c>
      <c r="AK77" s="55">
        <f>_xll.EQNXTDZ($A$1,$B77,AK$5,$B$1)</f>
        <v>0</v>
      </c>
      <c r="AL77" s="55">
        <f>_xll.EQNXTDZ($A$1,$B77,AL$5,$B$1)</f>
        <v>3.3940000000000001</v>
      </c>
      <c r="AM77" s="55">
        <f>_xll.EQNXTDZ($A$1,$B77,AM$5,$B$1)</f>
        <v>0</v>
      </c>
      <c r="AN77" s="55">
        <f>_xll.EQNXTDZ($A$1,$B77,AN$5,$B$1)</f>
        <v>3.3650000000000002</v>
      </c>
      <c r="AO77" s="55">
        <f>_xll.EQNXTDZ($A$1,$B77,AO$5,$B$1)</f>
        <v>0</v>
      </c>
      <c r="AP77" s="55">
        <f>_xll.EQNXTDZ($A$1,$B77,AP$5,$B$1)</f>
        <v>3.3359999999999999</v>
      </c>
      <c r="AQ77" s="55">
        <f>_xll.EQNXTDZ($A$1,$B77,AQ$5,$B$1)</f>
        <v>0</v>
      </c>
      <c r="AR77" s="55">
        <f>_xll.EQNXTDZ($A$1,$B77,AR$5,$B$1)</f>
        <v>3.3069999999999999</v>
      </c>
      <c r="AS77" s="55">
        <f>_xll.EQNXTDZ($A$1,$B77,AS$5,$B$1)</f>
        <v>0</v>
      </c>
      <c r="AT77" s="55">
        <f>_xll.EQNXTDZ($A$1,$B77,AT$5,$B$1)</f>
        <v>3.278</v>
      </c>
      <c r="AU77" s="55">
        <f>_xll.EQNXTDZ($A$1,$B77,AU$5,$B$1)</f>
        <v>0</v>
      </c>
      <c r="AV77" s="55">
        <f>_xll.EQNXTDZ($A$1,$B77,AV$5,$B$1)</f>
        <v>3.2</v>
      </c>
      <c r="AW77" s="55">
        <f>_xll.EQNXTDZ($A$1,$B77,AW$5,$B$1)</f>
        <v>0</v>
      </c>
      <c r="AX77" s="55">
        <f>_xll.EQNXTDZ($A$1,$B77,AX$5,$B$1)</f>
        <v>3.22</v>
      </c>
      <c r="AY77" s="55">
        <f>_xll.EQNXTDZ($A$1,$B77,AY$5,$B$1)</f>
        <v>0</v>
      </c>
      <c r="AZ77" s="55">
        <f>_xll.EQNXTDZ($A$1,$B77,AZ$5,$B$1)</f>
        <v>3.1909999999999998</v>
      </c>
      <c r="BA77" s="55">
        <f>_xll.EQNXTDZ($A$1,$B77,BA$5,$B$1)</f>
        <v>0</v>
      </c>
      <c r="BB77" s="55">
        <f>_xll.EQNXTDZ($A$1,$B77,BB$5,$B$1)</f>
        <v>3.1619999999999999</v>
      </c>
      <c r="BC77" s="55">
        <f>_xll.EQNXTDZ($A$1,$B77,BC$5,$B$1)</f>
        <v>0</v>
      </c>
      <c r="BD77" s="55">
        <f>_xll.EQNXTDZ($A$1,$B77,BD$5,$B$1)</f>
        <v>3.133</v>
      </c>
      <c r="BE77" s="55">
        <f>_xll.EQNXTDZ($A$1,$B77,BE$5,$B$1)</f>
        <v>0</v>
      </c>
      <c r="BF77" s="55">
        <f>_xll.EQNXTDZ($A$1,$B77,BF$5,$B$1)</f>
        <v>3.1040000000000001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35.442</v>
      </c>
      <c r="AI79" s="55">
        <f>_xll.EQNXTDZ($A$1,$B79,AI$5,$B$1)</f>
        <v>0</v>
      </c>
      <c r="AJ79" s="55">
        <f>_xll.EQNXTDZ($A$1,$B79,AJ$5,$B$1)</f>
        <v>130.28299999999999</v>
      </c>
      <c r="AK79" s="55">
        <f>_xll.EQNXTDZ($A$1,$B79,AK$5,$B$1)</f>
        <v>0</v>
      </c>
      <c r="AL79" s="55">
        <f>_xll.EQNXTDZ($A$1,$B79,AL$5,$B$1)</f>
        <v>31.526</v>
      </c>
      <c r="AM79" s="55">
        <f>_xll.EQNXTDZ($A$1,$B79,AM$5,$B$1)</f>
        <v>0</v>
      </c>
      <c r="AN79" s="55">
        <f>_xll.EQNXTDZ($A$1,$B79,AN$5,$B$1)</f>
        <v>35.634</v>
      </c>
      <c r="AO79" s="55">
        <f>_xll.EQNXTDZ($A$1,$B79,AO$5,$B$1)</f>
        <v>0</v>
      </c>
      <c r="AP79" s="55">
        <f>_xll.EQNXTDZ($A$1,$B79,AP$5,$B$1)</f>
        <v>44.845999999999997</v>
      </c>
      <c r="AQ79" s="55">
        <f>_xll.EQNXTDZ($A$1,$B79,AQ$5,$B$1)</f>
        <v>0</v>
      </c>
      <c r="AR79" s="55">
        <f>_xll.EQNXTDZ($A$1,$B79,AR$5,$B$1)</f>
        <v>60.537999999999997</v>
      </c>
      <c r="AS79" s="55">
        <f>_xll.EQNXTDZ($A$1,$B79,AS$5,$B$1)</f>
        <v>0</v>
      </c>
      <c r="AT79" s="55">
        <f>_xll.EQNXTDZ($A$1,$B79,AT$5,$B$1)</f>
        <v>67.16</v>
      </c>
      <c r="AU79" s="55">
        <f>_xll.EQNXTDZ($A$1,$B79,AU$5,$B$1)</f>
        <v>0</v>
      </c>
      <c r="AV79" s="55">
        <f>_xll.EQNXTDZ($A$1,$B79,AV$5,$B$1)</f>
        <v>78.599999999999994</v>
      </c>
      <c r="AW79" s="55">
        <f>_xll.EQNXTDZ($A$1,$B79,AW$5,$B$1)</f>
        <v>0</v>
      </c>
      <c r="AX79" s="55">
        <f>_xll.EQNXTDZ($A$1,$B79,AX$5,$B$1)</f>
        <v>183.58600000000001</v>
      </c>
      <c r="AY79" s="55">
        <f>_xll.EQNXTDZ($A$1,$B79,AY$5,$B$1)</f>
        <v>0</v>
      </c>
      <c r="AZ79" s="55">
        <f>_xll.EQNXTDZ($A$1,$B79,AZ$5,$B$1)</f>
        <v>119.048</v>
      </c>
      <c r="BA79" s="55">
        <f>_xll.EQNXTDZ($A$1,$B79,BA$5,$B$1)</f>
        <v>0</v>
      </c>
      <c r="BB79" s="55">
        <f>_xll.EQNXTDZ($A$1,$B79,BB$5,$B$1)</f>
        <v>212.762</v>
      </c>
      <c r="BC79" s="55">
        <f>_xll.EQNXTDZ($A$1,$B79,BC$5,$B$1)</f>
        <v>0</v>
      </c>
      <c r="BD79" s="55">
        <f>_xll.EQNXTDZ($A$1,$B79,BD$5,$B$1)</f>
        <v>158.97399999999999</v>
      </c>
      <c r="BE79" s="55">
        <f>_xll.EQNXTDZ($A$1,$B79,BE$5,$B$1)</f>
        <v>0</v>
      </c>
      <c r="BF79" s="55">
        <f>_xll.EQNXTDZ($A$1,$B79,BF$5,$B$1)</f>
        <v>259.56200000000001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35.265000000000001</v>
      </c>
      <c r="AI80" s="55">
        <f>_xll.EQNXTDZ($A$1,$B80,AI$5,$B$1)</f>
        <v>0</v>
      </c>
      <c r="AJ80" s="55">
        <f>_xll.EQNXTDZ($A$1,$B80,AJ$5,$B$1)</f>
        <v>2.5419999999999998</v>
      </c>
      <c r="AK80" s="55">
        <f>_xll.EQNXTDZ($A$1,$B80,AK$5,$B$1)</f>
        <v>0</v>
      </c>
      <c r="AL80" s="55">
        <f>_xll.EQNXTDZ($A$1,$B80,AL$5,$B$1)</f>
        <v>5.54</v>
      </c>
      <c r="AM80" s="55">
        <f>_xll.EQNXTDZ($A$1,$B80,AM$5,$B$1)</f>
        <v>0</v>
      </c>
      <c r="AN80" s="55">
        <f>_xll.EQNXTDZ($A$1,$B80,AN$5,$B$1)</f>
        <v>8.7919999999999998</v>
      </c>
      <c r="AO80" s="55">
        <f>_xll.EQNXTDZ($A$1,$B80,AO$5,$B$1)</f>
        <v>0</v>
      </c>
      <c r="AP80" s="55">
        <f>_xll.EQNXTDZ($A$1,$B80,AP$5,$B$1)</f>
        <v>18.652000000000001</v>
      </c>
      <c r="AQ80" s="55">
        <f>_xll.EQNXTDZ($A$1,$B80,AQ$5,$B$1)</f>
        <v>0</v>
      </c>
      <c r="AR80" s="55">
        <f>_xll.EQNXTDZ($A$1,$B80,AR$5,$B$1)</f>
        <v>97.286000000000001</v>
      </c>
      <c r="AS80" s="55">
        <f>_xll.EQNXTDZ($A$1,$B80,AS$5,$B$1)</f>
        <v>0</v>
      </c>
      <c r="AT80" s="55">
        <f>_xll.EQNXTDZ($A$1,$B80,AT$5,$B$1)</f>
        <v>109.474</v>
      </c>
      <c r="AU80" s="55">
        <f>_xll.EQNXTDZ($A$1,$B80,AU$5,$B$1)</f>
        <v>0</v>
      </c>
      <c r="AV80" s="55">
        <f>_xll.EQNXTDZ($A$1,$B80,AV$5,$B$1)</f>
        <v>117.3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354.56400000000002</v>
      </c>
      <c r="BA80" s="55">
        <f>_xll.EQNXTDZ($A$1,$B80,BA$5,$B$1)</f>
        <v>0</v>
      </c>
      <c r="BB80" s="55">
        <f>_xll.EQNXTDZ($A$1,$B80,BB$5,$B$1)</f>
        <v>201.58600000000001</v>
      </c>
      <c r="BC80" s="55">
        <f>_xll.EQNXTDZ($A$1,$B80,BC$5,$B$1)</f>
        <v>0</v>
      </c>
      <c r="BD80" s="55">
        <f>_xll.EQNXTDZ($A$1,$B80,BD$5,$B$1)</f>
        <v>304.66500000000002</v>
      </c>
      <c r="BE80" s="55">
        <f>_xll.EQNXTDZ($A$1,$B80,BE$5,$B$1)</f>
        <v>0</v>
      </c>
      <c r="BF80" s="55">
        <f>_xll.EQNXTDZ($A$1,$B80,BF$5,$B$1)</f>
        <v>257.35500000000002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39.027000000000001</v>
      </c>
      <c r="AI82" s="55">
        <f>_xll.EQNXTDZ($A$1,$B82,AI$5,$B$1)</f>
        <v>0</v>
      </c>
      <c r="AJ82" s="55">
        <f>_xll.EQNXTDZ($A$1,$B82,AJ$5,$B$1)</f>
        <v>45.942999999999998</v>
      </c>
      <c r="AK82" s="55">
        <f>_xll.EQNXTDZ($A$1,$B82,AK$5,$B$1)</f>
        <v>0</v>
      </c>
      <c r="AL82" s="55">
        <f>_xll.EQNXTDZ($A$1,$B82,AL$5,$B$1)</f>
        <v>227.69499999999999</v>
      </c>
      <c r="AM82" s="55">
        <f>_xll.EQNXTDZ($A$1,$B82,AM$5,$B$1)</f>
        <v>0</v>
      </c>
      <c r="AN82" s="55">
        <f>_xll.EQNXTDZ($A$1,$B82,AN$5,$B$1)</f>
        <v>80.545000000000002</v>
      </c>
      <c r="AO82" s="55">
        <f>_xll.EQNXTDZ($A$1,$B82,AO$5,$B$1)</f>
        <v>0</v>
      </c>
      <c r="AP82" s="55">
        <f>_xll.EQNXTDZ($A$1,$B82,AP$5,$B$1)</f>
        <v>565.32399999999996</v>
      </c>
      <c r="AQ82" s="55">
        <f>_xll.EQNXTDZ($A$1,$B82,AQ$5,$B$1)</f>
        <v>0</v>
      </c>
      <c r="AR82" s="55">
        <f>_xll.EQNXTDZ($A$1,$B82,AR$5,$B$1)</f>
        <v>426.71800000000002</v>
      </c>
      <c r="AS82" s="55">
        <f>_xll.EQNXTDZ($A$1,$B82,AS$5,$B$1)</f>
        <v>0</v>
      </c>
      <c r="AT82" s="55">
        <f>_xll.EQNXTDZ($A$1,$B82,AT$5,$B$1)</f>
        <v>374.18400000000003</v>
      </c>
      <c r="AU82" s="55">
        <f>_xll.EQNXTDZ($A$1,$B82,AU$5,$B$1)</f>
        <v>0</v>
      </c>
      <c r="AV82" s="55">
        <f>_xll.EQNXTDZ($A$1,$B82,AV$5,$B$1)</f>
        <v>295.5</v>
      </c>
      <c r="AW82" s="55">
        <f>_xll.EQNXTDZ($A$1,$B82,AW$5,$B$1)</f>
        <v>0</v>
      </c>
      <c r="AX82" s="55">
        <f>_xll.EQNXTDZ($A$1,$B82,AX$5,$B$1)</f>
        <v>486.947</v>
      </c>
      <c r="AY82" s="55">
        <f>_xll.EQNXTDZ($A$1,$B82,AY$5,$B$1)</f>
        <v>0</v>
      </c>
      <c r="AZ82" s="55">
        <f>_xll.EQNXTDZ($A$1,$B82,AZ$5,$B$1)</f>
        <v>568.09</v>
      </c>
      <c r="BA82" s="55">
        <f>_xll.EQNXTDZ($A$1,$B82,BA$5,$B$1)</f>
        <v>0</v>
      </c>
      <c r="BB82" s="55">
        <f>_xll.EQNXTDZ($A$1,$B82,BB$5,$B$1)</f>
        <v>299.59100000000001</v>
      </c>
      <c r="BC82" s="55">
        <f>_xll.EQNXTDZ($A$1,$B82,BC$5,$B$1)</f>
        <v>0</v>
      </c>
      <c r="BD82" s="55">
        <f>_xll.EQNXTDZ($A$1,$B82,BD$5,$B$1)</f>
        <v>282.99799999999999</v>
      </c>
      <c r="BE82" s="55">
        <f>_xll.EQNXTDZ($A$1,$B82,BE$5,$B$1)</f>
        <v>0</v>
      </c>
      <c r="BF82" s="55">
        <f>_xll.EQNXTDZ($A$1,$B82,BF$5,$B$1)</f>
        <v>434.452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1413.559</v>
      </c>
      <c r="AI83" s="55">
        <f>_xll.EQNXTDZ($A$1,$B83,AI$5,$B$1)</f>
        <v>0</v>
      </c>
      <c r="AJ83" s="55">
        <f>_xll.EQNXTDZ($A$1,$B83,AJ$5,$B$1)</f>
        <v>2599.5839999999998</v>
      </c>
      <c r="AK83" s="55">
        <f>_xll.EQNXTDZ($A$1,$B83,AK$5,$B$1)</f>
        <v>0</v>
      </c>
      <c r="AL83" s="55">
        <f>_xll.EQNXTDZ($A$1,$B83,AL$5,$B$1)</f>
        <v>1877.4469999999999</v>
      </c>
      <c r="AM83" s="55">
        <f>_xll.EQNXTDZ($A$1,$B83,AM$5,$B$1)</f>
        <v>0</v>
      </c>
      <c r="AN83" s="55">
        <f>_xll.EQNXTDZ($A$1,$B83,AN$5,$B$1)</f>
        <v>4570.3530000000001</v>
      </c>
      <c r="AO83" s="55">
        <f>_xll.EQNXTDZ($A$1,$B83,AO$5,$B$1)</f>
        <v>0</v>
      </c>
      <c r="AP83" s="55">
        <f>_xll.EQNXTDZ($A$1,$B83,AP$5,$B$1)</f>
        <v>4874.9570000000003</v>
      </c>
      <c r="AQ83" s="55">
        <f>_xll.EQNXTDZ($A$1,$B83,AQ$5,$B$1)</f>
        <v>0</v>
      </c>
      <c r="AR83" s="55">
        <f>_xll.EQNXTDZ($A$1,$B83,AR$5,$B$1)</f>
        <v>5287.174</v>
      </c>
      <c r="AS83" s="55">
        <f>_xll.EQNXTDZ($A$1,$B83,AS$5,$B$1)</f>
        <v>0</v>
      </c>
      <c r="AT83" s="55">
        <f>_xll.EQNXTDZ($A$1,$B83,AT$5,$B$1)</f>
        <v>5491.0829999999996</v>
      </c>
      <c r="AU83" s="55">
        <f>_xll.EQNXTDZ($A$1,$B83,AU$5,$B$1)</f>
        <v>0</v>
      </c>
      <c r="AV83" s="55">
        <f>_xll.EQNXTDZ($A$1,$B83,AV$5,$B$1)</f>
        <v>7639.7</v>
      </c>
      <c r="AW83" s="55">
        <f>_xll.EQNXTDZ($A$1,$B83,AW$5,$B$1)</f>
        <v>0</v>
      </c>
      <c r="AX83" s="55">
        <f>_xll.EQNXTDZ($A$1,$B83,AX$5,$B$1)</f>
        <v>9844.2939999999999</v>
      </c>
      <c r="AY83" s="55">
        <f>_xll.EQNXTDZ($A$1,$B83,AY$5,$B$1)</f>
        <v>0</v>
      </c>
      <c r="AZ83" s="55">
        <f>_xll.EQNXTDZ($A$1,$B83,AZ$5,$B$1)</f>
        <v>10812.29</v>
      </c>
      <c r="BA83" s="55">
        <f>_xll.EQNXTDZ($A$1,$B83,BA$5,$B$1)</f>
        <v>0</v>
      </c>
      <c r="BB83" s="55">
        <f>_xll.EQNXTDZ($A$1,$B83,BB$5,$B$1)</f>
        <v>11804.415999999999</v>
      </c>
      <c r="BC83" s="55">
        <f>_xll.EQNXTDZ($A$1,$B83,BC$5,$B$1)</f>
        <v>0</v>
      </c>
      <c r="BD83" s="55">
        <f>_xll.EQNXTDZ($A$1,$B83,BD$5,$B$1)</f>
        <v>10963.449000000001</v>
      </c>
      <c r="BE83" s="55">
        <f>_xll.EQNXTDZ($A$1,$B83,BE$5,$B$1)</f>
        <v>0</v>
      </c>
      <c r="BF83" s="55">
        <f>_xll.EQNXTDZ($A$1,$B83,BF$5,$B$1)</f>
        <v>16560.490000000002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270.58300000000003</v>
      </c>
      <c r="AI84" s="55">
        <f>_xll.EQNXTDZ($A$1,$B84,AI$5,$B$1)</f>
        <v>0</v>
      </c>
      <c r="AJ84" s="55">
        <f>_xll.EQNXTDZ($A$1,$B84,AJ$5,$B$1)</f>
        <v>96.808999999999997</v>
      </c>
      <c r="AK84" s="55">
        <f>_xll.EQNXTDZ($A$1,$B84,AK$5,$B$1)</f>
        <v>0</v>
      </c>
      <c r="AL84" s="55">
        <f>_xll.EQNXTDZ($A$1,$B84,AL$5,$B$1)</f>
        <v>1428.933</v>
      </c>
      <c r="AM84" s="55">
        <f>_xll.EQNXTDZ($A$1,$B84,AM$5,$B$1)</f>
        <v>0</v>
      </c>
      <c r="AN84" s="55">
        <f>_xll.EQNXTDZ($A$1,$B84,AN$5,$B$1)</f>
        <v>37.408999999999999</v>
      </c>
      <c r="AO84" s="55">
        <f>_xll.EQNXTDZ($A$1,$B84,AO$5,$B$1)</f>
        <v>0</v>
      </c>
      <c r="AP84" s="55">
        <f>_xll.EQNXTDZ($A$1,$B84,AP$5,$B$1)</f>
        <v>194.715</v>
      </c>
      <c r="AQ84" s="55">
        <f>_xll.EQNXTDZ($A$1,$B84,AQ$5,$B$1)</f>
        <v>0</v>
      </c>
      <c r="AR84" s="55">
        <f>_xll.EQNXTDZ($A$1,$B84,AR$5,$B$1)</f>
        <v>1938.8420000000001</v>
      </c>
      <c r="AS84" s="55">
        <f>_xll.EQNXTDZ($A$1,$B84,AS$5,$B$1)</f>
        <v>0</v>
      </c>
      <c r="AT84" s="55">
        <f>_xll.EQNXTDZ($A$1,$B84,AT$5,$B$1)</f>
        <v>186.19900000000001</v>
      </c>
      <c r="AU84" s="55">
        <f>_xll.EQNXTDZ($A$1,$B84,AU$5,$B$1)</f>
        <v>0</v>
      </c>
      <c r="AV84" s="55">
        <f>_xll.EQNXTDZ($A$1,$B84,AV$5,$B$1)</f>
        <v>721.4</v>
      </c>
      <c r="AW84" s="55">
        <f>_xll.EQNXTDZ($A$1,$B84,AW$5,$B$1)</f>
        <v>0</v>
      </c>
      <c r="AX84" s="55">
        <f>_xll.EQNXTDZ($A$1,$B84,AX$5,$B$1)</f>
        <v>850.95899999999995</v>
      </c>
      <c r="AY84" s="55">
        <f>_xll.EQNXTDZ($A$1,$B84,AY$5,$B$1)</f>
        <v>0</v>
      </c>
      <c r="AZ84" s="55">
        <f>_xll.EQNXTDZ($A$1,$B84,AZ$5,$B$1)</f>
        <v>2379.02</v>
      </c>
      <c r="BA84" s="55">
        <f>_xll.EQNXTDZ($A$1,$B84,BA$5,$B$1)</f>
        <v>0</v>
      </c>
      <c r="BB84" s="55">
        <f>_xll.EQNXTDZ($A$1,$B84,BB$5,$B$1)</f>
        <v>198.49600000000001</v>
      </c>
      <c r="BC84" s="55">
        <f>_xll.EQNXTDZ($A$1,$B84,BC$5,$B$1)</f>
        <v>0</v>
      </c>
      <c r="BD84" s="55">
        <f>_xll.EQNXTDZ($A$1,$B84,BD$5,$B$1)</f>
        <v>455.10399999999998</v>
      </c>
      <c r="BE84" s="55">
        <f>_xll.EQNXTDZ($A$1,$B84,BE$5,$B$1)</f>
        <v>0</v>
      </c>
      <c r="BF84" s="55">
        <f>_xll.EQNXTDZ($A$1,$B84,BF$5,$B$1)</f>
        <v>819.82500000000005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280.57799999999997</v>
      </c>
      <c r="AI85" s="55">
        <f>_xll.EQNXTDZ($A$1,$B85,AI$5,$B$1)</f>
        <v>0</v>
      </c>
      <c r="AJ85" s="55">
        <f>_xll.EQNXTDZ($A$1,$B85,AJ$5,$B$1)</f>
        <v>627.21400000000006</v>
      </c>
      <c r="AK85" s="55">
        <f>_xll.EQNXTDZ($A$1,$B85,AK$5,$B$1)</f>
        <v>0</v>
      </c>
      <c r="AL85" s="55">
        <f>_xll.EQNXTDZ($A$1,$B85,AL$5,$B$1)</f>
        <v>1128.4929999999999</v>
      </c>
      <c r="AM85" s="55">
        <f>_xll.EQNXTDZ($A$1,$B85,AM$5,$B$1)</f>
        <v>0</v>
      </c>
      <c r="AN85" s="55">
        <f>_xll.EQNXTDZ($A$1,$B85,AN$5,$B$1)</f>
        <v>1726.4849999999999</v>
      </c>
      <c r="AO85" s="55">
        <f>_xll.EQNXTDZ($A$1,$B85,AO$5,$B$1)</f>
        <v>0</v>
      </c>
      <c r="AP85" s="55">
        <f>_xll.EQNXTDZ($A$1,$B85,AP$5,$B$1)</f>
        <v>1357.5</v>
      </c>
      <c r="AQ85" s="55">
        <f>_xll.EQNXTDZ($A$1,$B85,AQ$5,$B$1)</f>
        <v>0</v>
      </c>
      <c r="AR85" s="55">
        <f>_xll.EQNXTDZ($A$1,$B85,AR$5,$B$1)</f>
        <v>1398.3810000000001</v>
      </c>
      <c r="AS85" s="55">
        <f>_xll.EQNXTDZ($A$1,$B85,AS$5,$B$1)</f>
        <v>0</v>
      </c>
      <c r="AT85" s="55">
        <f>_xll.EQNXTDZ($A$1,$B85,AT$5,$B$1)</f>
        <v>1005.194</v>
      </c>
      <c r="AU85" s="55">
        <f>_xll.EQNXTDZ($A$1,$B85,AU$5,$B$1)</f>
        <v>0</v>
      </c>
      <c r="AV85" s="55">
        <f>_xll.EQNXTDZ($A$1,$B85,AV$5,$B$1)</f>
        <v>1677.2</v>
      </c>
      <c r="AW85" s="55">
        <f>_xll.EQNXTDZ($A$1,$B85,AW$5,$B$1)</f>
        <v>0</v>
      </c>
      <c r="AX85" s="55">
        <f>_xll.EQNXTDZ($A$1,$B85,AX$5,$B$1)</f>
        <v>1484.123</v>
      </c>
      <c r="AY85" s="55">
        <f>_xll.EQNXTDZ($A$1,$B85,AY$5,$B$1)</f>
        <v>0</v>
      </c>
      <c r="AZ85" s="55">
        <f>_xll.EQNXTDZ($A$1,$B85,AZ$5,$B$1)</f>
        <v>3735.0880000000002</v>
      </c>
      <c r="BA85" s="55">
        <f>_xll.EQNXTDZ($A$1,$B85,BA$5,$B$1)</f>
        <v>0</v>
      </c>
      <c r="BB85" s="55">
        <f>_xll.EQNXTDZ($A$1,$B85,BB$5,$B$1)</f>
        <v>3698.7750000000001</v>
      </c>
      <c r="BC85" s="55">
        <f>_xll.EQNXTDZ($A$1,$B85,BC$5,$B$1)</f>
        <v>0</v>
      </c>
      <c r="BD85" s="55">
        <f>_xll.EQNXTDZ($A$1,$B85,BD$5,$B$1)</f>
        <v>5724.433</v>
      </c>
      <c r="BE85" s="55">
        <f>_xll.EQNXTDZ($A$1,$B85,BE$5,$B$1)</f>
        <v>0</v>
      </c>
      <c r="BF85" s="55">
        <f>_xll.EQNXTDZ($A$1,$B85,BF$5,$B$1)</f>
        <v>5128.067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2039.0119999999999</v>
      </c>
      <c r="AI86" s="55">
        <f>_xll.EQNXTDZ($A$1,$B86,AI$5,$B$1)</f>
        <v>0</v>
      </c>
      <c r="AJ86" s="55">
        <f>_xll.EQNXTDZ($A$1,$B86,AJ$5,$B$1)</f>
        <v>3372.0920000000001</v>
      </c>
      <c r="AK86" s="55">
        <f>_xll.EQNXTDZ($A$1,$B86,AK$5,$B$1)</f>
        <v>0</v>
      </c>
      <c r="AL86" s="55">
        <f>_xll.EQNXTDZ($A$1,$B86,AL$5,$B$1)</f>
        <v>4668.1080000000002</v>
      </c>
      <c r="AM86" s="55">
        <f>_xll.EQNXTDZ($A$1,$B86,AM$5,$B$1)</f>
        <v>0</v>
      </c>
      <c r="AN86" s="55">
        <f>_xll.EQNXTDZ($A$1,$B86,AN$5,$B$1)</f>
        <v>6423.5839999999998</v>
      </c>
      <c r="AO86" s="55">
        <f>_xll.EQNXTDZ($A$1,$B86,AO$5,$B$1)</f>
        <v>0</v>
      </c>
      <c r="AP86" s="55">
        <f>_xll.EQNXTDZ($A$1,$B86,AP$5,$B$1)</f>
        <v>7011.1480000000001</v>
      </c>
      <c r="AQ86" s="55">
        <f>_xll.EQNXTDZ($A$1,$B86,AQ$5,$B$1)</f>
        <v>0</v>
      </c>
      <c r="AR86" s="55">
        <f>_xll.EQNXTDZ($A$1,$B86,AR$5,$B$1)</f>
        <v>9148.4009999999998</v>
      </c>
      <c r="AS86" s="55">
        <f>_xll.EQNXTDZ($A$1,$B86,AS$5,$B$1)</f>
        <v>0</v>
      </c>
      <c r="AT86" s="55">
        <f>_xll.EQNXTDZ($A$1,$B86,AT$5,$B$1)</f>
        <v>7166.134</v>
      </c>
      <c r="AU86" s="55">
        <f>_xll.EQNXTDZ($A$1,$B86,AU$5,$B$1)</f>
        <v>0</v>
      </c>
      <c r="AV86" s="55">
        <f>_xll.EQNXTDZ($A$1,$B86,AV$5,$B$1)</f>
        <v>10451.1</v>
      </c>
      <c r="AW86" s="55">
        <f>_xll.EQNXTDZ($A$1,$B86,AW$5,$B$1)</f>
        <v>0</v>
      </c>
      <c r="AX86" s="55">
        <f>_xll.EQNXTDZ($A$1,$B86,AX$5,$B$1)</f>
        <v>12666.323</v>
      </c>
      <c r="AY86" s="55">
        <f>_xll.EQNXTDZ($A$1,$B86,AY$5,$B$1)</f>
        <v>0</v>
      </c>
      <c r="AZ86" s="55">
        <f>_xll.EQNXTDZ($A$1,$B86,AZ$5,$B$1)</f>
        <v>17849.052</v>
      </c>
      <c r="BA86" s="55">
        <f>_xll.EQNXTDZ($A$1,$B86,BA$5,$B$1)</f>
        <v>0</v>
      </c>
      <c r="BB86" s="55">
        <f>_xll.EQNXTDZ($A$1,$B86,BB$5,$B$1)</f>
        <v>16202.864</v>
      </c>
      <c r="BC86" s="55">
        <f>_xll.EQNXTDZ($A$1,$B86,BC$5,$B$1)</f>
        <v>0</v>
      </c>
      <c r="BD86" s="55">
        <f>_xll.EQNXTDZ($A$1,$B86,BD$5,$B$1)</f>
        <v>17730.649000000001</v>
      </c>
      <c r="BE86" s="55">
        <f>_xll.EQNXTDZ($A$1,$B86,BE$5,$B$1)</f>
        <v>0</v>
      </c>
      <c r="BF86" s="55">
        <f>_xll.EQNXTDZ($A$1,$B86,BF$5,$B$1)</f>
        <v>23200.188999999998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490.87900000000002</v>
      </c>
      <c r="AI88" s="55">
        <f>_xll.EQNXTDZ($A$1,$B88,AI$5,$B$1)</f>
        <v>0</v>
      </c>
      <c r="AJ88" s="55">
        <f>_xll.EQNXTDZ($A$1,$B88,AJ$5,$B$1)</f>
        <v>590.851</v>
      </c>
      <c r="AK88" s="55">
        <f>_xll.EQNXTDZ($A$1,$B88,AK$5,$B$1)</f>
        <v>0</v>
      </c>
      <c r="AL88" s="55">
        <f>_xll.EQNXTDZ($A$1,$B88,AL$5,$B$1)</f>
        <v>1171.4690000000001</v>
      </c>
      <c r="AM88" s="55">
        <f>_xll.EQNXTDZ($A$1,$B88,AM$5,$B$1)</f>
        <v>0</v>
      </c>
      <c r="AN88" s="55">
        <f>_xll.EQNXTDZ($A$1,$B88,AN$5,$B$1)</f>
        <v>1156.3510000000001</v>
      </c>
      <c r="AO88" s="55">
        <f>_xll.EQNXTDZ($A$1,$B88,AO$5,$B$1)</f>
        <v>0</v>
      </c>
      <c r="AP88" s="55">
        <f>_xll.EQNXTDZ($A$1,$B88,AP$5,$B$1)</f>
        <v>1233.165</v>
      </c>
      <c r="AQ88" s="55">
        <f>_xll.EQNXTDZ($A$1,$B88,AQ$5,$B$1)</f>
        <v>0</v>
      </c>
      <c r="AR88" s="55">
        <f>_xll.EQNXTDZ($A$1,$B88,AR$5,$B$1)</f>
        <v>2967.6190000000001</v>
      </c>
      <c r="AS88" s="55">
        <f>_xll.EQNXTDZ($A$1,$B88,AS$5,$B$1)</f>
        <v>0</v>
      </c>
      <c r="AT88" s="55">
        <f>_xll.EQNXTDZ($A$1,$B88,AT$5,$B$1)</f>
        <v>756.12400000000002</v>
      </c>
      <c r="AU88" s="55">
        <f>_xll.EQNXTDZ($A$1,$B88,AU$5,$B$1)</f>
        <v>0</v>
      </c>
      <c r="AV88" s="55">
        <f>_xll.EQNXTDZ($A$1,$B88,AV$5,$B$1)</f>
        <v>1495.4</v>
      </c>
      <c r="AW88" s="55">
        <f>_xll.EQNXTDZ($A$1,$B88,AW$5,$B$1)</f>
        <v>0</v>
      </c>
      <c r="AX88" s="55">
        <f>_xll.EQNXTDZ($A$1,$B88,AX$5,$B$1)</f>
        <v>2402.2829999999999</v>
      </c>
      <c r="AY88" s="55">
        <f>_xll.EQNXTDZ($A$1,$B88,AY$5,$B$1)</f>
        <v>0</v>
      </c>
      <c r="AZ88" s="55">
        <f>_xll.EQNXTDZ($A$1,$B88,AZ$5,$B$1)</f>
        <v>1887.43</v>
      </c>
      <c r="BA88" s="55">
        <f>_xll.EQNXTDZ($A$1,$B88,BA$5,$B$1)</f>
        <v>0</v>
      </c>
      <c r="BB88" s="55">
        <f>_xll.EQNXTDZ($A$1,$B88,BB$5,$B$1)</f>
        <v>2508.5050000000001</v>
      </c>
      <c r="BC88" s="55">
        <f>_xll.EQNXTDZ($A$1,$B88,BC$5,$B$1)</f>
        <v>0</v>
      </c>
      <c r="BD88" s="55">
        <f>_xll.EQNXTDZ($A$1,$B88,BD$5,$B$1)</f>
        <v>1680.777</v>
      </c>
      <c r="BE88" s="55">
        <f>_xll.EQNXTDZ($A$1,$B88,BE$5,$B$1)</f>
        <v>0</v>
      </c>
      <c r="BF88" s="55">
        <f>_xll.EQNXTDZ($A$1,$B88,BF$5,$B$1)</f>
        <v>4926.2539999999999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939.49300000000005</v>
      </c>
      <c r="AI89" s="55">
        <f>_xll.EQNXTDZ($A$1,$B89,AI$5,$B$1)</f>
        <v>0</v>
      </c>
      <c r="AJ89" s="55">
        <f>_xll.EQNXTDZ($A$1,$B89,AJ$5,$B$1)</f>
        <v>1542.058</v>
      </c>
      <c r="AK89" s="55">
        <f>_xll.EQNXTDZ($A$1,$B89,AK$5,$B$1)</f>
        <v>0</v>
      </c>
      <c r="AL89" s="55">
        <f>_xll.EQNXTDZ($A$1,$B89,AL$5,$B$1)</f>
        <v>2276.4290000000001</v>
      </c>
      <c r="AM89" s="55">
        <f>_xll.EQNXTDZ($A$1,$B89,AM$5,$B$1)</f>
        <v>0</v>
      </c>
      <c r="AN89" s="55">
        <f>_xll.EQNXTDZ($A$1,$B89,AN$5,$B$1)</f>
        <v>3773.8539999999998</v>
      </c>
      <c r="AO89" s="55">
        <f>_xll.EQNXTDZ($A$1,$B89,AO$5,$B$1)</f>
        <v>0</v>
      </c>
      <c r="AP89" s="55">
        <f>_xll.EQNXTDZ($A$1,$B89,AP$5,$B$1)</f>
        <v>4066.81</v>
      </c>
      <c r="AQ89" s="55">
        <f>_xll.EQNXTDZ($A$1,$B89,AQ$5,$B$1)</f>
        <v>0</v>
      </c>
      <c r="AR89" s="55">
        <f>_xll.EQNXTDZ($A$1,$B89,AR$5,$B$1)</f>
        <v>4148.5780000000004</v>
      </c>
      <c r="AS89" s="55">
        <f>_xll.EQNXTDZ($A$1,$B89,AS$5,$B$1)</f>
        <v>0</v>
      </c>
      <c r="AT89" s="55">
        <f>_xll.EQNXTDZ($A$1,$B89,AT$5,$B$1)</f>
        <v>4071.5070000000001</v>
      </c>
      <c r="AU89" s="55">
        <f>_xll.EQNXTDZ($A$1,$B89,AU$5,$B$1)</f>
        <v>0</v>
      </c>
      <c r="AV89" s="55">
        <f>_xll.EQNXTDZ($A$1,$B89,AV$5,$B$1)</f>
        <v>6107.5</v>
      </c>
      <c r="AW89" s="55">
        <f>_xll.EQNXTDZ($A$1,$B89,AW$5,$B$1)</f>
        <v>0</v>
      </c>
      <c r="AX89" s="55">
        <f>_xll.EQNXTDZ($A$1,$B89,AX$5,$B$1)</f>
        <v>7196.98</v>
      </c>
      <c r="AY89" s="55">
        <f>_xll.EQNXTDZ($A$1,$B89,AY$5,$B$1)</f>
        <v>0</v>
      </c>
      <c r="AZ89" s="55">
        <f>_xll.EQNXTDZ($A$1,$B89,AZ$5,$B$1)</f>
        <v>9427.5640000000003</v>
      </c>
      <c r="BA89" s="55">
        <f>_xll.EQNXTDZ($A$1,$B89,BA$5,$B$1)</f>
        <v>0</v>
      </c>
      <c r="BB89" s="55">
        <f>_xll.EQNXTDZ($A$1,$B89,BB$5,$B$1)</f>
        <v>7317.7150000000001</v>
      </c>
      <c r="BC89" s="55">
        <f>_xll.EQNXTDZ($A$1,$B89,BC$5,$B$1)</f>
        <v>0</v>
      </c>
      <c r="BD89" s="55">
        <f>_xll.EQNXTDZ($A$1,$B89,BD$5,$B$1)</f>
        <v>7590.866</v>
      </c>
      <c r="BE89" s="55">
        <f>_xll.EQNXTDZ($A$1,$B89,BE$5,$B$1)</f>
        <v>0</v>
      </c>
      <c r="BF89" s="55">
        <f>_xll.EQNXTDZ($A$1,$B89,BF$5,$B$1)</f>
        <v>9170.2829999999994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130.465</v>
      </c>
      <c r="AI91" s="55">
        <f>_xll.EQNXTDZ($A$1,$B91,AI$5,$B$1)</f>
        <v>0</v>
      </c>
      <c r="AJ91" s="55">
        <f>_xll.EQNXTDZ($A$1,$B91,AJ$5,$B$1)</f>
        <v>442.59500000000003</v>
      </c>
      <c r="AK91" s="55">
        <f>_xll.EQNXTDZ($A$1,$B91,AK$5,$B$1)</f>
        <v>0</v>
      </c>
      <c r="AL91" s="55">
        <f>_xll.EQNXTDZ($A$1,$B91,AL$5,$B$1)</f>
        <v>179.70599999999999</v>
      </c>
      <c r="AM91" s="55">
        <f>_xll.EQNXTDZ($A$1,$B91,AM$5,$B$1)</f>
        <v>0</v>
      </c>
      <c r="AN91" s="55">
        <f>_xll.EQNXTDZ($A$1,$B91,AN$5,$B$1)</f>
        <v>282.28699999999998</v>
      </c>
      <c r="AO91" s="55">
        <f>_xll.EQNXTDZ($A$1,$B91,AO$5,$B$1)</f>
        <v>0</v>
      </c>
      <c r="AP91" s="55">
        <f>_xll.EQNXTDZ($A$1,$B91,AP$5,$B$1)</f>
        <v>277.959</v>
      </c>
      <c r="AQ91" s="55">
        <f>_xll.EQNXTDZ($A$1,$B91,AQ$5,$B$1)</f>
        <v>0</v>
      </c>
      <c r="AR91" s="55">
        <f>_xll.EQNXTDZ($A$1,$B91,AR$5,$B$1)</f>
        <v>343.36500000000001</v>
      </c>
      <c r="AS91" s="55">
        <f>_xll.EQNXTDZ($A$1,$B91,AS$5,$B$1)</f>
        <v>0</v>
      </c>
      <c r="AT91" s="55">
        <f>_xll.EQNXTDZ($A$1,$B91,AT$5,$B$1)</f>
        <v>418.93200000000002</v>
      </c>
      <c r="AU91" s="55">
        <f>_xll.EQNXTDZ($A$1,$B91,AU$5,$B$1)</f>
        <v>0</v>
      </c>
      <c r="AV91" s="55">
        <f>_xll.EQNXTDZ($A$1,$B91,AV$5,$B$1)</f>
        <v>514.6</v>
      </c>
      <c r="AW91" s="55">
        <f>_xll.EQNXTDZ($A$1,$B91,AW$5,$B$1)</f>
        <v>0</v>
      </c>
      <c r="AX91" s="55">
        <f>_xll.EQNXTDZ($A$1,$B91,AX$5,$B$1)</f>
        <v>539.37400000000002</v>
      </c>
      <c r="AY91" s="55">
        <f>_xll.EQNXTDZ($A$1,$B91,AY$5,$B$1)</f>
        <v>0</v>
      </c>
      <c r="AZ91" s="55">
        <f>_xll.EQNXTDZ($A$1,$B91,AZ$5,$B$1)</f>
        <v>1635.68</v>
      </c>
      <c r="BA91" s="55">
        <f>_xll.EQNXTDZ($A$1,$B91,BA$5,$B$1)</f>
        <v>0</v>
      </c>
      <c r="BB91" s="55">
        <f>_xll.EQNXTDZ($A$1,$B91,BB$5,$B$1)</f>
        <v>1310.056</v>
      </c>
      <c r="BC91" s="55">
        <f>_xll.EQNXTDZ($A$1,$B91,BC$5,$B$1)</f>
        <v>0</v>
      </c>
      <c r="BD91" s="55">
        <f>_xll.EQNXTDZ($A$1,$B91,BD$5,$B$1)</f>
        <v>3082.5219999999999</v>
      </c>
      <c r="BE91" s="55">
        <f>_xll.EQNXTDZ($A$1,$B91,BE$5,$B$1)</f>
        <v>0</v>
      </c>
      <c r="BF91" s="55">
        <f>_xll.EQNXTDZ($A$1,$B91,BF$5,$B$1)</f>
        <v>3526.0680000000002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0</v>
      </c>
      <c r="BC92" s="55">
        <f>_xll.EQNXTDZ($A$1,$B92,BC$5,$B$1)</f>
        <v>0</v>
      </c>
      <c r="BD92" s="55">
        <f>_xll.EQNXTDZ($A$1,$B92,BD$5,$B$1)</f>
        <v>0</v>
      </c>
      <c r="BE92" s="55">
        <f>_xll.EQNXTDZ($A$1,$B92,BE$5,$B$1)</f>
        <v>0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1560.837</v>
      </c>
      <c r="AI93" s="55">
        <f>_xll.EQNXTDZ($A$1,$B93,AI$5,$B$1)</f>
        <v>0</v>
      </c>
      <c r="AJ93" s="55">
        <f>_xll.EQNXTDZ($A$1,$B93,AJ$5,$B$1)</f>
        <v>2575.5039999999999</v>
      </c>
      <c r="AK93" s="55">
        <f>_xll.EQNXTDZ($A$1,$B93,AK$5,$B$1)</f>
        <v>0</v>
      </c>
      <c r="AL93" s="55">
        <f>_xll.EQNXTDZ($A$1,$B93,AL$5,$B$1)</f>
        <v>3627.6039999999998</v>
      </c>
      <c r="AM93" s="55">
        <f>_xll.EQNXTDZ($A$1,$B93,AM$5,$B$1)</f>
        <v>0</v>
      </c>
      <c r="AN93" s="55">
        <f>_xll.EQNXTDZ($A$1,$B93,AN$5,$B$1)</f>
        <v>5212.4920000000002</v>
      </c>
      <c r="AO93" s="55">
        <f>_xll.EQNXTDZ($A$1,$B93,AO$5,$B$1)</f>
        <v>0</v>
      </c>
      <c r="AP93" s="55">
        <f>_xll.EQNXTDZ($A$1,$B93,AP$5,$B$1)</f>
        <v>5577.9340000000002</v>
      </c>
      <c r="AQ93" s="55">
        <f>_xll.EQNXTDZ($A$1,$B93,AQ$5,$B$1)</f>
        <v>0</v>
      </c>
      <c r="AR93" s="55">
        <f>_xll.EQNXTDZ($A$1,$B93,AR$5,$B$1)</f>
        <v>7459.5619999999999</v>
      </c>
      <c r="AS93" s="55">
        <f>_xll.EQNXTDZ($A$1,$B93,AS$5,$B$1)</f>
        <v>0</v>
      </c>
      <c r="AT93" s="55">
        <f>_xll.EQNXTDZ($A$1,$B93,AT$5,$B$1)</f>
        <v>5246.5630000000001</v>
      </c>
      <c r="AU93" s="55">
        <f>_xll.EQNXTDZ($A$1,$B93,AU$5,$B$1)</f>
        <v>0</v>
      </c>
      <c r="AV93" s="55">
        <f>_xll.EQNXTDZ($A$1,$B93,AV$5,$B$1)</f>
        <v>8117.5</v>
      </c>
      <c r="AW93" s="55">
        <f>_xll.EQNXTDZ($A$1,$B93,AW$5,$B$1)</f>
        <v>0</v>
      </c>
      <c r="AX93" s="55">
        <f>_xll.EQNXTDZ($A$1,$B93,AX$5,$B$1)</f>
        <v>10138.637000000001</v>
      </c>
      <c r="AY93" s="55">
        <f>_xll.EQNXTDZ($A$1,$B93,AY$5,$B$1)</f>
        <v>0</v>
      </c>
      <c r="AZ93" s="55">
        <f>_xll.EQNXTDZ($A$1,$B93,AZ$5,$B$1)</f>
        <v>12950.674000000001</v>
      </c>
      <c r="BA93" s="55">
        <f>_xll.EQNXTDZ($A$1,$B93,BA$5,$B$1)</f>
        <v>0</v>
      </c>
      <c r="BB93" s="55">
        <f>_xll.EQNXTDZ($A$1,$B93,BB$5,$B$1)</f>
        <v>11136.276</v>
      </c>
      <c r="BC93" s="55">
        <f>_xll.EQNXTDZ($A$1,$B93,BC$5,$B$1)</f>
        <v>0</v>
      </c>
      <c r="BD93" s="55">
        <f>_xll.EQNXTDZ($A$1,$B93,BD$5,$B$1)</f>
        <v>12354.165000000001</v>
      </c>
      <c r="BE93" s="55">
        <f>_xll.EQNXTDZ($A$1,$B93,BE$5,$B$1)</f>
        <v>0</v>
      </c>
      <c r="BF93" s="55">
        <f>_xll.EQNXTDZ($A$1,$B93,BF$5,$B$1)</f>
        <v>17622.605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478.17500000000001</v>
      </c>
      <c r="AI94" s="55">
        <f>_xll.EQNXTDZ($A$1,$B94,AI$5,$B$1)</f>
        <v>0</v>
      </c>
      <c r="AJ94" s="55">
        <f>_xll.EQNXTDZ($A$1,$B94,AJ$5,$B$1)</f>
        <v>796.58799999999997</v>
      </c>
      <c r="AK94" s="55">
        <f>_xll.EQNXTDZ($A$1,$B94,AK$5,$B$1)</f>
        <v>0</v>
      </c>
      <c r="AL94" s="55">
        <f>_xll.EQNXTDZ($A$1,$B94,AL$5,$B$1)</f>
        <v>1040.5039999999999</v>
      </c>
      <c r="AM94" s="55">
        <f>_xll.EQNXTDZ($A$1,$B94,AM$5,$B$1)</f>
        <v>0</v>
      </c>
      <c r="AN94" s="55">
        <f>_xll.EQNXTDZ($A$1,$B94,AN$5,$B$1)</f>
        <v>1211.0920000000001</v>
      </c>
      <c r="AO94" s="55">
        <f>_xll.EQNXTDZ($A$1,$B94,AO$5,$B$1)</f>
        <v>0</v>
      </c>
      <c r="AP94" s="55">
        <f>_xll.EQNXTDZ($A$1,$B94,AP$5,$B$1)</f>
        <v>1433.2139999999999</v>
      </c>
      <c r="AQ94" s="55">
        <f>_xll.EQNXTDZ($A$1,$B94,AQ$5,$B$1)</f>
        <v>0</v>
      </c>
      <c r="AR94" s="55">
        <f>_xll.EQNXTDZ($A$1,$B94,AR$5,$B$1)</f>
        <v>1688.8389999999999</v>
      </c>
      <c r="AS94" s="55">
        <f>_xll.EQNXTDZ($A$1,$B94,AS$5,$B$1)</f>
        <v>0</v>
      </c>
      <c r="AT94" s="55">
        <f>_xll.EQNXTDZ($A$1,$B94,AT$5,$B$1)</f>
        <v>1919.5709999999999</v>
      </c>
      <c r="AU94" s="55">
        <f>_xll.EQNXTDZ($A$1,$B94,AU$5,$B$1)</f>
        <v>0</v>
      </c>
      <c r="AV94" s="55">
        <f>_xll.EQNXTDZ($A$1,$B94,AV$5,$B$1)</f>
        <v>2333.6</v>
      </c>
      <c r="AW94" s="55">
        <f>_xll.EQNXTDZ($A$1,$B94,AW$5,$B$1)</f>
        <v>0</v>
      </c>
      <c r="AX94" s="55">
        <f>_xll.EQNXTDZ($A$1,$B94,AX$5,$B$1)</f>
        <v>2527.6860000000001</v>
      </c>
      <c r="AY94" s="55">
        <f>_xll.EQNXTDZ($A$1,$B94,AY$5,$B$1)</f>
        <v>0</v>
      </c>
      <c r="AZ94" s="55">
        <f>_xll.EQNXTDZ($A$1,$B94,AZ$5,$B$1)</f>
        <v>4898.3779999999997</v>
      </c>
      <c r="BA94" s="55">
        <f>_xll.EQNXTDZ($A$1,$B94,BA$5,$B$1)</f>
        <v>0</v>
      </c>
      <c r="BB94" s="55">
        <f>_xll.EQNXTDZ($A$1,$B94,BB$5,$B$1)</f>
        <v>5066.5879999999997</v>
      </c>
      <c r="BC94" s="55">
        <f>_xll.EQNXTDZ($A$1,$B94,BC$5,$B$1)</f>
        <v>0</v>
      </c>
      <c r="BD94" s="55">
        <f>_xll.EQNXTDZ($A$1,$B94,BD$5,$B$1)</f>
        <v>5376.4840000000004</v>
      </c>
      <c r="BE94" s="55">
        <f>_xll.EQNXTDZ($A$1,$B94,BE$5,$B$1)</f>
        <v>0</v>
      </c>
      <c r="BF94" s="55">
        <f>_xll.EQNXTDZ($A$1,$B94,BF$5,$B$1)</f>
        <v>5577.5839999999998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4.8890000000000002</v>
      </c>
      <c r="AI96" s="55">
        <f>_xll.EQNXTDZ($A$1,$B96,AI$5,$B$1)</f>
        <v>0</v>
      </c>
      <c r="AJ96" s="55">
        <f>_xll.EQNXTDZ($A$1,$B96,AJ$5,$B$1)</f>
        <v>5.0730000000000004</v>
      </c>
      <c r="AK96" s="55">
        <f>_xll.EQNXTDZ($A$1,$B96,AK$5,$B$1)</f>
        <v>0</v>
      </c>
      <c r="AL96" s="55">
        <f>_xll.EQNXTDZ($A$1,$B96,AL$5,$B$1)</f>
        <v>4.702</v>
      </c>
      <c r="AM96" s="55">
        <f>_xll.EQNXTDZ($A$1,$B96,AM$5,$B$1)</f>
        <v>0</v>
      </c>
      <c r="AN96" s="55">
        <f>_xll.EQNXTDZ($A$1,$B96,AN$5,$B$1)</f>
        <v>4.258</v>
      </c>
      <c r="AO96" s="55">
        <f>_xll.EQNXTDZ($A$1,$B96,AO$5,$B$1)</f>
        <v>0</v>
      </c>
      <c r="AP96" s="55">
        <f>_xll.EQNXTDZ($A$1,$B96,AP$5,$B$1)</f>
        <v>1.847</v>
      </c>
      <c r="AQ96" s="55">
        <f>_xll.EQNXTDZ($A$1,$B96,AQ$5,$B$1)</f>
        <v>0</v>
      </c>
      <c r="AR96" s="55">
        <f>_xll.EQNXTDZ($A$1,$B96,AR$5,$B$1)</f>
        <v>1.2390000000000001</v>
      </c>
      <c r="AS96" s="55">
        <f>_xll.EQNXTDZ($A$1,$B96,AS$5,$B$1)</f>
        <v>0</v>
      </c>
      <c r="AT96" s="55">
        <f>_xll.EQNXTDZ($A$1,$B96,AT$5,$B$1)</f>
        <v>-3.9129999999999998</v>
      </c>
      <c r="AU96" s="55">
        <f>_xll.EQNXTDZ($A$1,$B96,AU$5,$B$1)</f>
        <v>0</v>
      </c>
      <c r="AV96" s="55">
        <f>_xll.EQNXTDZ($A$1,$B96,AV$5,$B$1)</f>
        <v>-6.3</v>
      </c>
      <c r="AW96" s="55">
        <f>_xll.EQNXTDZ($A$1,$B96,AW$5,$B$1)</f>
        <v>0</v>
      </c>
      <c r="AX96" s="55">
        <f>_xll.EQNXTDZ($A$1,$B96,AX$5,$B$1)</f>
        <v>-16.010000000000002</v>
      </c>
      <c r="AY96" s="55">
        <f>_xll.EQNXTDZ($A$1,$B96,AY$5,$B$1)</f>
        <v>0</v>
      </c>
      <c r="AZ96" s="55">
        <f>_xll.EQNXTDZ($A$1,$B96,AZ$5,$B$1)</f>
        <v>-19.454000000000001</v>
      </c>
      <c r="BA96" s="55">
        <f>_xll.EQNXTDZ($A$1,$B96,BA$5,$B$1)</f>
        <v>0</v>
      </c>
      <c r="BB96" s="55">
        <f>_xll.EQNXTDZ($A$1,$B96,BB$5,$B$1)</f>
        <v>-25.571000000000002</v>
      </c>
      <c r="BC96" s="55">
        <f>_xll.EQNXTDZ($A$1,$B96,BC$5,$B$1)</f>
        <v>0</v>
      </c>
      <c r="BD96" s="55">
        <f>_xll.EQNXTDZ($A$1,$B96,BD$5,$B$1)</f>
        <v>-25.01</v>
      </c>
      <c r="BE96" s="55">
        <f>_xll.EQNXTDZ($A$1,$B96,BE$5,$B$1)</f>
        <v>0</v>
      </c>
      <c r="BF96" s="55">
        <f>_xll.EQNXTDZ($A$1,$B96,BF$5,$B$1)</f>
        <v>-25.108000000000001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629.34</v>
      </c>
      <c r="AI97" s="55">
        <f>_xll.EQNXTDZ($A$1,$B97,AI$5,$B$1)</f>
        <v>0</v>
      </c>
      <c r="AJ97" s="55">
        <f>_xll.EQNXTDZ($A$1,$B97,AJ$5,$B$1)</f>
        <v>1044.4939999999999</v>
      </c>
      <c r="AK97" s="55">
        <f>_xll.EQNXTDZ($A$1,$B97,AK$5,$B$1)</f>
        <v>0</v>
      </c>
      <c r="AL97" s="55">
        <f>_xll.EQNXTDZ($A$1,$B97,AL$5,$B$1)</f>
        <v>1186.2249999999999</v>
      </c>
      <c r="AM97" s="55">
        <f>_xll.EQNXTDZ($A$1,$B97,AM$5,$B$1)</f>
        <v>0</v>
      </c>
      <c r="AN97" s="55">
        <f>_xll.EQNXTDZ($A$1,$B97,AN$5,$B$1)</f>
        <v>1376.0609999999999</v>
      </c>
      <c r="AO97" s="55">
        <f>_xll.EQNXTDZ($A$1,$B97,AO$5,$B$1)</f>
        <v>0</v>
      </c>
      <c r="AP97" s="55">
        <f>_xll.EQNXTDZ($A$1,$B97,AP$5,$B$1)</f>
        <v>1642.009</v>
      </c>
      <c r="AQ97" s="55">
        <f>_xll.EQNXTDZ($A$1,$B97,AQ$5,$B$1)</f>
        <v>0</v>
      </c>
      <c r="AR97" s="55">
        <f>_xll.EQNXTDZ($A$1,$B97,AR$5,$B$1)</f>
        <v>1965.058</v>
      </c>
      <c r="AS97" s="55">
        <f>_xll.EQNXTDZ($A$1,$B97,AS$5,$B$1)</f>
        <v>0</v>
      </c>
      <c r="AT97" s="55">
        <f>_xll.EQNXTDZ($A$1,$B97,AT$5,$B$1)</f>
        <v>2227.1950000000002</v>
      </c>
      <c r="AU97" s="55">
        <f>_xll.EQNXTDZ($A$1,$B97,AU$5,$B$1)</f>
        <v>0</v>
      </c>
      <c r="AV97" s="55">
        <f>_xll.EQNXTDZ($A$1,$B97,AV$5,$B$1)</f>
        <v>2702.1</v>
      </c>
      <c r="AW97" s="55">
        <f>_xll.EQNXTDZ($A$1,$B97,AW$5,$B$1)</f>
        <v>0</v>
      </c>
      <c r="AX97" s="55">
        <f>_xll.EQNXTDZ($A$1,$B97,AX$5,$B$1)</f>
        <v>3099.0859999999998</v>
      </c>
      <c r="AY97" s="55">
        <f>_xll.EQNXTDZ($A$1,$B97,AY$5,$B$1)</f>
        <v>0</v>
      </c>
      <c r="AZ97" s="55">
        <f>_xll.EQNXTDZ($A$1,$B97,AZ$5,$B$1)</f>
        <v>5436.3590000000004</v>
      </c>
      <c r="BA97" s="55">
        <f>_xll.EQNXTDZ($A$1,$B97,BA$5,$B$1)</f>
        <v>0</v>
      </c>
      <c r="BB97" s="55">
        <f>_xll.EQNXTDZ($A$1,$B97,BB$5,$B$1)</f>
        <v>5726.7659999999996</v>
      </c>
      <c r="BC97" s="55">
        <f>_xll.EQNXTDZ($A$1,$B97,BC$5,$B$1)</f>
        <v>0</v>
      </c>
      <c r="BD97" s="55">
        <f>_xll.EQNXTDZ($A$1,$B97,BD$5,$B$1)</f>
        <v>5965.3940000000002</v>
      </c>
      <c r="BE97" s="55">
        <f>_xll.EQNXTDZ($A$1,$B97,BE$5,$B$1)</f>
        <v>0</v>
      </c>
      <c r="BF97" s="55">
        <f>_xll.EQNXTDZ($A$1,$B97,BF$5,$B$1)</f>
        <v>6256.0780000000004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209902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Angel One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9.0669000000000004</v>
      </c>
      <c r="K6" s="100">
        <f>_xll.EQNXTDZ($A$1,$B6,K$1,$B$1)</f>
        <v>10.6424</v>
      </c>
      <c r="L6" s="100">
        <f>_xll.EQNXTDZ($A$1,$B6,L$1,$B$1)</f>
        <v>25.4221</v>
      </c>
      <c r="M6" s="100">
        <f>_xll.EQNXTDZ($A$1,$B6,M$1,$B$1)</f>
        <v>24.959099999999999</v>
      </c>
      <c r="N6" s="100">
        <f>_xll.EQNXTDZ($A$1,$B6,N$1,$B$1)</f>
        <v>27.248899999999999</v>
      </c>
      <c r="O6" s="100">
        <f>_xll.EQNXTDZ($A$1,$B6,O$1,$B$1)</f>
        <v>0</v>
      </c>
      <c r="P6" s="100">
        <f>_xll.EQNXTDZ($A$1,$B6,P$1,$B$1)</f>
        <v>328.31615859999999</v>
      </c>
      <c r="Q6" s="100">
        <f>_xll.EQNXTDZ($A$1,$B6,Q$1,$B$1)</f>
        <v>447.28469960000001</v>
      </c>
      <c r="R6" s="100">
        <f>_xll.EQNXTDZ($A$1,$B6,R$1,$B$1)</f>
        <v>447.73601020000001</v>
      </c>
      <c r="S6" s="100">
        <f>_xll.EQNXTDZ($A$1,$B6,S$1,$B$1)</f>
        <v>430.8894621</v>
      </c>
      <c r="T6" s="100">
        <f>_xll.EQNXTDZ($A$1,$B6,T$1,$B$1)</f>
        <v>764.84797300000002</v>
      </c>
      <c r="U6" s="100">
        <f>_xll.EQNXTDZ($A$1,$B6,U$1,$B$1)</f>
        <v>762.62</v>
      </c>
      <c r="V6" s="100">
        <f>_xll.EQNXTDZ($A$1,$B6,V$1,$B$1)</f>
        <v>724.62400000000002</v>
      </c>
      <c r="W6" s="100">
        <f>_xll.EQNXTDZ($A$1,$B6,W$1,$B$1)</f>
        <v>1263.684</v>
      </c>
      <c r="X6" s="100">
        <f>_xll.EQNXTDZ($A$1,$B6,X$1,$B$1)</f>
        <v>2291.114</v>
      </c>
      <c r="Y6" s="100">
        <f>_xll.EQNXTDZ($A$1,$B6,Y$1,$B$1)</f>
        <v>3001.585</v>
      </c>
      <c r="Z6" s="100">
        <f>_xll.EQNXTDZ($A$1,$B6,Z$1,$B$1)</f>
        <v>4271.6840000000002</v>
      </c>
      <c r="AA6" s="100">
        <f>_xll.EQNXTDZ($A$1,$B6,AA$1,$B$1)</f>
        <v>5238.3789999999999</v>
      </c>
      <c r="AB6" s="100">
        <f>_xll.EQNXTDZ($A$1,$B6,AB$1,$B$1)</f>
        <v>5136.607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9.0669000000000004</v>
      </c>
      <c r="K10" s="100">
        <f>_xll.EQNXTDZ($A$1,$B10,K$1,$B$1)</f>
        <v>10.6424</v>
      </c>
      <c r="L10" s="100">
        <f>_xll.EQNXTDZ($A$1,$B10,L$1,$B$1)</f>
        <v>25.4221</v>
      </c>
      <c r="M10" s="100">
        <f>_xll.EQNXTDZ($A$1,$B10,M$1,$B$1)</f>
        <v>24.959099999999999</v>
      </c>
      <c r="N10" s="100">
        <f>_xll.EQNXTDZ($A$1,$B10,N$1,$B$1)</f>
        <v>27.248899999999999</v>
      </c>
      <c r="O10" s="100">
        <f>_xll.EQNXTDZ($A$1,$B10,O$1,$B$1)</f>
        <v>0</v>
      </c>
      <c r="P10" s="100">
        <f>_xll.EQNXTDZ($A$1,$B10,P$1,$B$1)</f>
        <v>328.31615859999999</v>
      </c>
      <c r="Q10" s="100">
        <f>_xll.EQNXTDZ($A$1,$B10,Q$1,$B$1)</f>
        <v>447.28469960000001</v>
      </c>
      <c r="R10" s="100">
        <f>_xll.EQNXTDZ($A$1,$B10,R$1,$B$1)</f>
        <v>447.73601020000001</v>
      </c>
      <c r="S10" s="100">
        <f>_xll.EQNXTDZ($A$1,$B10,S$1,$B$1)</f>
        <v>430.8894621</v>
      </c>
      <c r="T10" s="100">
        <f>_xll.EQNXTDZ($A$1,$B10,T$1,$B$1)</f>
        <v>764.84797300000002</v>
      </c>
      <c r="U10" s="100">
        <f>_xll.EQNXTDZ($A$1,$B10,U$1,$B$1)</f>
        <v>762.62</v>
      </c>
      <c r="V10" s="100">
        <f>_xll.EQNXTDZ($A$1,$B10,V$1,$B$1)</f>
        <v>724.62400000000002</v>
      </c>
      <c r="W10" s="100">
        <f>_xll.EQNXTDZ($A$1,$B10,W$1,$B$1)</f>
        <v>1263.684</v>
      </c>
      <c r="X10" s="100">
        <f>_xll.EQNXTDZ($A$1,$B10,X$1,$B$1)</f>
        <v>2291.114</v>
      </c>
      <c r="Y10" s="100">
        <f>_xll.EQNXTDZ($A$1,$B10,Y$1,$B$1)</f>
        <v>3001.585</v>
      </c>
      <c r="Z10" s="100">
        <f>_xll.EQNXTDZ($A$1,$B10,Z$1,$B$1)</f>
        <v>4271.6840000000002</v>
      </c>
      <c r="AA10" s="100">
        <f>_xll.EQNXTDZ($A$1,$B10,AA$1,$B$1)</f>
        <v>5238.3789999999999</v>
      </c>
      <c r="AB10" s="100">
        <f>_xll.EQNXTDZ($A$1,$B10,AB$1,$B$1)</f>
        <v>5136.607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-27.1711107</v>
      </c>
      <c r="K11" s="100">
        <f>_xll.EQNXTDZ($A$1,$B11,K$1,$B$1)</f>
        <v>-31.137548599999999</v>
      </c>
      <c r="L11" s="100">
        <f>_xll.EQNXTDZ($A$1,$B11,L$1,$B$1)</f>
        <v>13.3687608</v>
      </c>
      <c r="M11" s="100">
        <f>_xll.EQNXTDZ($A$1,$B11,M$1,$B$1)</f>
        <v>34.200713800000003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0.2038616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8.0475671999999996</v>
      </c>
      <c r="Q13" s="100">
        <f>_xll.EQNXTDZ($A$1,$B13,Q$1,$B$1)</f>
        <v>6.9052154000000003</v>
      </c>
      <c r="R13" s="100">
        <f>_xll.EQNXTDZ($A$1,$B13,R$1,$B$1)</f>
        <v>7.3698090000000001</v>
      </c>
      <c r="S13" s="100">
        <f>_xll.EQNXTDZ($A$1,$B13,S$1,$B$1)</f>
        <v>6.4418082999999999</v>
      </c>
      <c r="T13" s="100">
        <f>_xll.EQNXTDZ($A$1,$B13,T$1,$B$1)</f>
        <v>5.650798</v>
      </c>
      <c r="U13" s="100">
        <f>_xll.EQNXTDZ($A$1,$B13,U$1,$B$1)</f>
        <v>4.7409999999999997</v>
      </c>
      <c r="V13" s="100">
        <f>_xll.EQNXTDZ($A$1,$B13,V$1,$B$1)</f>
        <v>4.726</v>
      </c>
      <c r="W13" s="100">
        <f>_xll.EQNXTDZ($A$1,$B13,W$1,$B$1)</f>
        <v>1.788</v>
      </c>
      <c r="X13" s="100">
        <f>_xll.EQNXTDZ($A$1,$B13,X$1,$B$1)</f>
        <v>1.637</v>
      </c>
      <c r="Y13" s="100">
        <f>_xll.EQNXTDZ($A$1,$B13,Y$1,$B$1)</f>
        <v>1.385</v>
      </c>
      <c r="Z13" s="100">
        <f>_xll.EQNXTDZ($A$1,$B13,Z$1,$B$1)</f>
        <v>1.343</v>
      </c>
      <c r="AA13" s="100">
        <f>_xll.EQNXTDZ($A$1,$B13,AA$1,$B$1)</f>
        <v>1.923</v>
      </c>
      <c r="AB13" s="100">
        <f>_xll.EQNXTDZ($A$1,$B13,AB$1,$B$1)</f>
        <v>1.58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101.6144427</v>
      </c>
      <c r="Q14" s="100">
        <f>_xll.EQNXTDZ($A$1,$B14,Q$1,$B$1)</f>
        <v>89.921456899999995</v>
      </c>
      <c r="R14" s="100">
        <f>_xll.EQNXTDZ($A$1,$B14,R$1,$B$1)</f>
        <v>111.5763973</v>
      </c>
      <c r="S14" s="100">
        <f>_xll.EQNXTDZ($A$1,$B14,S$1,$B$1)</f>
        <v>135.1411095</v>
      </c>
      <c r="T14" s="100">
        <f>_xll.EQNXTDZ($A$1,$B14,T$1,$B$1)</f>
        <v>123.8736608</v>
      </c>
      <c r="U14" s="100">
        <f>_xll.EQNXTDZ($A$1,$B14,U$1,$B$1)</f>
        <v>161.73500000000001</v>
      </c>
      <c r="V14" s="100">
        <f>_xll.EQNXTDZ($A$1,$B14,V$1,$B$1)</f>
        <v>159.803</v>
      </c>
      <c r="W14" s="100">
        <f>_xll.EQNXTDZ($A$1,$B14,W$1,$B$1)</f>
        <v>171.845</v>
      </c>
      <c r="X14" s="100">
        <f>_xll.EQNXTDZ($A$1,$B14,X$1,$B$1)</f>
        <v>280.899</v>
      </c>
      <c r="Y14" s="100">
        <f>_xll.EQNXTDZ($A$1,$B14,Y$1,$B$1)</f>
        <v>397.90199999999999</v>
      </c>
      <c r="Z14" s="100">
        <f>_xll.EQNXTDZ($A$1,$B14,Z$1,$B$1)</f>
        <v>556.46199999999999</v>
      </c>
      <c r="AA14" s="100">
        <f>_xll.EQNXTDZ($A$1,$B14,AA$1,$B$1)</f>
        <v>855.2</v>
      </c>
      <c r="AB14" s="100">
        <f>_xll.EQNXTDZ($A$1,$B14,AB$1,$B$1)</f>
        <v>1067.0450000000001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28.6707903</v>
      </c>
      <c r="Q15" s="100">
        <f>_xll.EQNXTDZ($A$1,$B15,Q$1,$B$1)</f>
        <v>28.7363143</v>
      </c>
      <c r="R15" s="100">
        <f>_xll.EQNXTDZ($A$1,$B15,R$1,$B$1)</f>
        <v>29.951238400000001</v>
      </c>
      <c r="S15" s="100">
        <f>_xll.EQNXTDZ($A$1,$B15,S$1,$B$1)</f>
        <v>35.960922099999998</v>
      </c>
      <c r="T15" s="100">
        <f>_xll.EQNXTDZ($A$1,$B15,T$1,$B$1)</f>
        <v>34.469125300000002</v>
      </c>
      <c r="U15" s="100">
        <f>_xll.EQNXTDZ($A$1,$B15,U$1,$B$1)</f>
        <v>32.984999999999999</v>
      </c>
      <c r="V15" s="100">
        <f>_xll.EQNXTDZ($A$1,$B15,V$1,$B$1)</f>
        <v>29.143000000000001</v>
      </c>
      <c r="W15" s="100">
        <f>_xll.EQNXTDZ($A$1,$B15,W$1,$B$1)</f>
        <v>63.180999999999997</v>
      </c>
      <c r="X15" s="100">
        <f>_xll.EQNXTDZ($A$1,$B15,X$1,$B$1)</f>
        <v>128.01900000000001</v>
      </c>
      <c r="Y15" s="100">
        <f>_xll.EQNXTDZ($A$1,$B15,Y$1,$B$1)</f>
        <v>168.88200000000001</v>
      </c>
      <c r="Z15" s="100">
        <f>_xll.EQNXTDZ($A$1,$B15,Z$1,$B$1)</f>
        <v>268.69799999999998</v>
      </c>
      <c r="AA15" s="100">
        <f>_xll.EQNXTDZ($A$1,$B15,AA$1,$B$1)</f>
        <v>464.01600000000002</v>
      </c>
      <c r="AB15" s="100">
        <f>_xll.EQNXTDZ($A$1,$B15,AB$1,$B$1)</f>
        <v>524.38499999999999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29.8401125</v>
      </c>
      <c r="K17" s="100">
        <f>_xll.EQNXTDZ($A$1,$B17,K$1,$B$1)</f>
        <v>37.6259747</v>
      </c>
      <c r="L17" s="100">
        <f>_xll.EQNXTDZ($A$1,$B17,L$1,$B$1)</f>
        <v>8.8798223000000007</v>
      </c>
      <c r="M17" s="100">
        <f>_xll.EQNXTDZ($A$1,$B17,M$1,$B$1)</f>
        <v>0</v>
      </c>
      <c r="N17" s="100">
        <f>_xll.EQNXTDZ($A$1,$B17,N$1,$B$1)</f>
        <v>4.5850030999999998</v>
      </c>
      <c r="O17" s="100">
        <f>_xll.EQNXTDZ($A$1,$B17,O$1,$B$1)</f>
        <v>0</v>
      </c>
      <c r="P17" s="100">
        <f>_xll.EQNXTDZ($A$1,$B17,P$1,$B$1)</f>
        <v>36.966380700000002</v>
      </c>
      <c r="Q17" s="100">
        <f>_xll.EQNXTDZ($A$1,$B17,Q$1,$B$1)</f>
        <v>37.140002699999997</v>
      </c>
      <c r="R17" s="100">
        <f>_xll.EQNXTDZ($A$1,$B17,R$1,$B$1)</f>
        <v>38.970021199999998</v>
      </c>
      <c r="S17" s="100">
        <f>_xll.EQNXTDZ($A$1,$B17,S$1,$B$1)</f>
        <v>40.3764149</v>
      </c>
      <c r="T17" s="100">
        <f>_xll.EQNXTDZ($A$1,$B17,T$1,$B$1)</f>
        <v>46.054680099999999</v>
      </c>
      <c r="U17" s="100">
        <f>_xll.EQNXTDZ($A$1,$B17,U$1,$B$1)</f>
        <v>46.551000000000002</v>
      </c>
      <c r="V17" s="100">
        <f>_xll.EQNXTDZ($A$1,$B17,V$1,$B$1)</f>
        <v>47.423000000000002</v>
      </c>
      <c r="W17" s="100">
        <f>_xll.EQNXTDZ($A$1,$B17,W$1,$B$1)</f>
        <v>57.259</v>
      </c>
      <c r="X17" s="100">
        <f>_xll.EQNXTDZ($A$1,$B17,X$1,$B$1)</f>
        <v>89.58</v>
      </c>
      <c r="Y17" s="100">
        <f>_xll.EQNXTDZ($A$1,$B17,Y$1,$B$1)</f>
        <v>79.084999999999994</v>
      </c>
      <c r="Z17" s="100">
        <f>_xll.EQNXTDZ($A$1,$B17,Z$1,$B$1)</f>
        <v>106.03700000000001</v>
      </c>
      <c r="AA17" s="100">
        <f>_xll.EQNXTDZ($A$1,$B17,AA$1,$B$1)</f>
        <v>158.78800000000001</v>
      </c>
      <c r="AB17" s="100">
        <f>_xll.EQNXTDZ($A$1,$B17,AB$1,$B$1)</f>
        <v>117.971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112.17749430000001</v>
      </c>
      <c r="Q18" s="100">
        <f>_xll.EQNXTDZ($A$1,$B18,Q$1,$B$1)</f>
        <v>161.06263569999999</v>
      </c>
      <c r="R18" s="100">
        <f>_xll.EQNXTDZ($A$1,$B18,R$1,$B$1)</f>
        <v>159.1365874</v>
      </c>
      <c r="S18" s="100">
        <f>_xll.EQNXTDZ($A$1,$B18,S$1,$B$1)</f>
        <v>208.7166307</v>
      </c>
      <c r="T18" s="100">
        <f>_xll.EQNXTDZ($A$1,$B18,T$1,$B$1)</f>
        <v>289.92944879999999</v>
      </c>
      <c r="U18" s="100">
        <f>_xll.EQNXTDZ($A$1,$B18,U$1,$B$1)</f>
        <v>301.84399999999999</v>
      </c>
      <c r="V18" s="100">
        <f>_xll.EQNXTDZ($A$1,$B18,V$1,$B$1)</f>
        <v>278.16300000000001</v>
      </c>
      <c r="W18" s="100">
        <f>_xll.EQNXTDZ($A$1,$B18,W$1,$B$1)</f>
        <v>491.08300000000003</v>
      </c>
      <c r="X18" s="100">
        <f>_xll.EQNXTDZ($A$1,$B18,X$1,$B$1)</f>
        <v>851.27200000000005</v>
      </c>
      <c r="Y18" s="100">
        <f>_xll.EQNXTDZ($A$1,$B18,Y$1,$B$1)</f>
        <v>1018.5069999999999</v>
      </c>
      <c r="Z18" s="100">
        <f>_xll.EQNXTDZ($A$1,$B18,Z$1,$B$1)</f>
        <v>1550.173</v>
      </c>
      <c r="AA18" s="100">
        <f>_xll.EQNXTDZ($A$1,$B18,AA$1,$B$1)</f>
        <v>1715.3340000000001</v>
      </c>
      <c r="AB18" s="100">
        <f>_xll.EQNXTDZ($A$1,$B18,AB$1,$B$1)</f>
        <v>1539.395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13.8197042</v>
      </c>
      <c r="Q19" s="100">
        <f>_xll.EQNXTDZ($A$1,$B19,Q$1,$B$1)</f>
        <v>15.004307499999999</v>
      </c>
      <c r="R19" s="100">
        <f>_xll.EQNXTDZ($A$1,$B19,R$1,$B$1)</f>
        <v>14.5962269</v>
      </c>
      <c r="S19" s="100">
        <f>_xll.EQNXTDZ($A$1,$B19,S$1,$B$1)</f>
        <v>10.3882254</v>
      </c>
      <c r="T19" s="100">
        <f>_xll.EQNXTDZ($A$1,$B19,T$1,$B$1)</f>
        <v>16.377677899999998</v>
      </c>
      <c r="U19" s="100">
        <f>_xll.EQNXTDZ($A$1,$B19,U$1,$B$1)</f>
        <v>27.091000000000001</v>
      </c>
      <c r="V19" s="100">
        <f>_xll.EQNXTDZ($A$1,$B19,V$1,$B$1)</f>
        <v>45.808999999999997</v>
      </c>
      <c r="W19" s="100">
        <f>_xll.EQNXTDZ($A$1,$B19,W$1,$B$1)</f>
        <v>41.982999999999997</v>
      </c>
      <c r="X19" s="100">
        <f>_xll.EQNXTDZ($A$1,$B19,X$1,$B$1)</f>
        <v>14.374000000000001</v>
      </c>
      <c r="Y19" s="100">
        <f>_xll.EQNXTDZ($A$1,$B19,Y$1,$B$1)</f>
        <v>43.46</v>
      </c>
      <c r="Z19" s="100">
        <f>_xll.EQNXTDZ($A$1,$B19,Z$1,$B$1)</f>
        <v>96.718000000000004</v>
      </c>
      <c r="AA19" s="100">
        <f>_xll.EQNXTDZ($A$1,$B19,AA$1,$B$1)</f>
        <v>61.15</v>
      </c>
      <c r="AB19" s="100">
        <f>_xll.EQNXTDZ($A$1,$B19,AB$1,$B$1)</f>
        <v>67.281000000000006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2.6690018000000002</v>
      </c>
      <c r="K21" s="100">
        <f>_xll.EQNXTDZ($A$1,$B21,K$1,$B$1)</f>
        <v>6.4884260999999999</v>
      </c>
      <c r="L21" s="100">
        <f>_xll.EQNXTDZ($A$1,$B21,L$1,$B$1)</f>
        <v>22.248583100000001</v>
      </c>
      <c r="M21" s="100">
        <f>_xll.EQNXTDZ($A$1,$B21,M$1,$B$1)</f>
        <v>34.200713800000003</v>
      </c>
      <c r="N21" s="100">
        <f>_xll.EQNXTDZ($A$1,$B21,N$1,$B$1)</f>
        <v>4.5850030999999998</v>
      </c>
      <c r="O21" s="100">
        <f>_xll.EQNXTDZ($A$1,$B21,O$1,$B$1)</f>
        <v>0</v>
      </c>
      <c r="P21" s="100">
        <f>_xll.EQNXTDZ($A$1,$B21,P$1,$B$1)</f>
        <v>301.29637939999998</v>
      </c>
      <c r="Q21" s="100">
        <f>_xll.EQNXTDZ($A$1,$B21,Q$1,$B$1)</f>
        <v>338.76993249999998</v>
      </c>
      <c r="R21" s="100">
        <f>_xll.EQNXTDZ($A$1,$B21,R$1,$B$1)</f>
        <v>361.60028019999999</v>
      </c>
      <c r="S21" s="100">
        <f>_xll.EQNXTDZ($A$1,$B21,S$1,$B$1)</f>
        <v>437.02511090000002</v>
      </c>
      <c r="T21" s="100">
        <f>_xll.EQNXTDZ($A$1,$B21,T$1,$B$1)</f>
        <v>516.55925249999996</v>
      </c>
      <c r="U21" s="100">
        <f>_xll.EQNXTDZ($A$1,$B21,U$1,$B$1)</f>
        <v>574.947</v>
      </c>
      <c r="V21" s="100">
        <f>_xll.EQNXTDZ($A$1,$B21,V$1,$B$1)</f>
        <v>565.06700000000001</v>
      </c>
      <c r="W21" s="100">
        <f>_xll.EQNXTDZ($A$1,$B21,W$1,$B$1)</f>
        <v>827.13900000000001</v>
      </c>
      <c r="X21" s="100">
        <f>_xll.EQNXTDZ($A$1,$B21,X$1,$B$1)</f>
        <v>1365.7809999999999</v>
      </c>
      <c r="Y21" s="100">
        <f>_xll.EQNXTDZ($A$1,$B21,Y$1,$B$1)</f>
        <v>1709.221</v>
      </c>
      <c r="Z21" s="100">
        <f>_xll.EQNXTDZ($A$1,$B21,Z$1,$B$1)</f>
        <v>2579.431</v>
      </c>
      <c r="AA21" s="100">
        <f>_xll.EQNXTDZ($A$1,$B21,AA$1,$B$1)</f>
        <v>3256.4110000000001</v>
      </c>
      <c r="AB21" s="100">
        <f>_xll.EQNXTDZ($A$1,$B21,AB$1,$B$1)</f>
        <v>3317.6570000000002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6.3978982000000002</v>
      </c>
      <c r="K22" s="100">
        <f>_xll.EQNXTDZ($A$1,$B22,K$1,$B$1)</f>
        <v>4.1539739000000004</v>
      </c>
      <c r="L22" s="100">
        <f>_xll.EQNXTDZ($A$1,$B22,L$1,$B$1)</f>
        <v>3.1735169000000001</v>
      </c>
      <c r="M22" s="100">
        <f>_xll.EQNXTDZ($A$1,$B22,M$1,$B$1)</f>
        <v>-9.2416137999999997</v>
      </c>
      <c r="N22" s="100">
        <f>_xll.EQNXTDZ($A$1,$B22,N$1,$B$1)</f>
        <v>22.663896900000001</v>
      </c>
      <c r="O22" s="100">
        <f>_xll.EQNXTDZ($A$1,$B22,O$1,$B$1)</f>
        <v>0</v>
      </c>
      <c r="P22" s="100">
        <f>_xll.EQNXTDZ($A$1,$B22,P$1,$B$1)</f>
        <v>27.019779199999999</v>
      </c>
      <c r="Q22" s="100">
        <f>_xll.EQNXTDZ($A$1,$B22,Q$1,$B$1)</f>
        <v>108.5147671</v>
      </c>
      <c r="R22" s="100">
        <f>_xll.EQNXTDZ($A$1,$B22,R$1,$B$1)</f>
        <v>86.135729999999995</v>
      </c>
      <c r="S22" s="100">
        <f>_xll.EQNXTDZ($A$1,$B22,S$1,$B$1)</f>
        <v>-6.1356488000000002</v>
      </c>
      <c r="T22" s="100">
        <f>_xll.EQNXTDZ($A$1,$B22,T$1,$B$1)</f>
        <v>248.28872050000001</v>
      </c>
      <c r="U22" s="100">
        <f>_xll.EQNXTDZ($A$1,$B22,U$1,$B$1)</f>
        <v>187.673</v>
      </c>
      <c r="V22" s="100">
        <f>_xll.EQNXTDZ($A$1,$B22,V$1,$B$1)</f>
        <v>159.55699999999999</v>
      </c>
      <c r="W22" s="100">
        <f>_xll.EQNXTDZ($A$1,$B22,W$1,$B$1)</f>
        <v>436.54500000000002</v>
      </c>
      <c r="X22" s="100">
        <f>_xll.EQNXTDZ($A$1,$B22,X$1,$B$1)</f>
        <v>925.33299999999997</v>
      </c>
      <c r="Y22" s="100">
        <f>_xll.EQNXTDZ($A$1,$B22,Y$1,$B$1)</f>
        <v>1292.364</v>
      </c>
      <c r="Z22" s="100">
        <f>_xll.EQNXTDZ($A$1,$B22,Z$1,$B$1)</f>
        <v>1692.2529999999999</v>
      </c>
      <c r="AA22" s="100">
        <f>_xll.EQNXTDZ($A$1,$B22,AA$1,$B$1)</f>
        <v>1981.9680000000001</v>
      </c>
      <c r="AB22" s="100">
        <f>_xll.EQNXTDZ($A$1,$B22,AB$1,$B$1)</f>
        <v>1818.95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11.7539151</v>
      </c>
      <c r="M23" s="100">
        <f>_xll.EQNXTDZ($A$1,$B23,M$1,$B$1)</f>
        <v>20.235113800000001</v>
      </c>
      <c r="N23" s="100">
        <f>_xll.EQNXTDZ($A$1,$B23,N$1,$B$1)</f>
        <v>0</v>
      </c>
      <c r="O23" s="100">
        <f>_xll.EQNXTDZ($A$1,$B23,O$1,$B$1)</f>
        <v>74.209700799999993</v>
      </c>
      <c r="P23" s="100">
        <f>_xll.EQNXTDZ($A$1,$B23,P$1,$B$1)</f>
        <v>20.546622599999999</v>
      </c>
      <c r="Q23" s="100">
        <f>_xll.EQNXTDZ($A$1,$B23,Q$1,$B$1)</f>
        <v>14.4422426</v>
      </c>
      <c r="R23" s="100">
        <f>_xll.EQNXTDZ($A$1,$B23,R$1,$B$1)</f>
        <v>14.4901655</v>
      </c>
      <c r="S23" s="100">
        <f>_xll.EQNXTDZ($A$1,$B23,S$1,$B$1)</f>
        <v>121.4954252</v>
      </c>
      <c r="T23" s="100">
        <f>_xll.EQNXTDZ($A$1,$B23,T$1,$B$1)</f>
        <v>19.624015799999999</v>
      </c>
      <c r="U23" s="100">
        <f>_xll.EQNXTDZ($A$1,$B23,U$1,$B$1)</f>
        <v>26.492999999999999</v>
      </c>
      <c r="V23" s="100">
        <f>_xll.EQNXTDZ($A$1,$B23,V$1,$B$1)</f>
        <v>30.09</v>
      </c>
      <c r="W23" s="100">
        <f>_xll.EQNXTDZ($A$1,$B23,W$1,$B$1)</f>
        <v>35.298000000000002</v>
      </c>
      <c r="X23" s="100">
        <f>_xll.EQNXTDZ($A$1,$B23,X$1,$B$1)</f>
        <v>6</v>
      </c>
      <c r="Y23" s="100">
        <f>_xll.EQNXTDZ($A$1,$B23,Y$1,$B$1)</f>
        <v>20.661000000000001</v>
      </c>
      <c r="Z23" s="100">
        <f>_xll.EQNXTDZ($A$1,$B23,Z$1,$B$1)</f>
        <v>8.1039999999999992</v>
      </c>
      <c r="AA23" s="100">
        <f>_xll.EQNXTDZ($A$1,$B23,AA$1,$B$1)</f>
        <v>9.2899999999999991</v>
      </c>
      <c r="AB23" s="100">
        <f>_xll.EQNXTDZ($A$1,$B23,AB$1,$B$1)</f>
        <v>15.627000000000001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6.3978982000000002</v>
      </c>
      <c r="K24" s="100">
        <f>_xll.EQNXTDZ($A$1,$B24,K$1,$B$1)</f>
        <v>4.1539739000000004</v>
      </c>
      <c r="L24" s="100">
        <f>_xll.EQNXTDZ($A$1,$B24,L$1,$B$1)</f>
        <v>14.927432</v>
      </c>
      <c r="M24" s="100">
        <f>_xll.EQNXTDZ($A$1,$B24,M$1,$B$1)</f>
        <v>10.993499999999999</v>
      </c>
      <c r="N24" s="100">
        <f>_xll.EQNXTDZ($A$1,$B24,N$1,$B$1)</f>
        <v>22.663896900000001</v>
      </c>
      <c r="O24" s="100">
        <f>_xll.EQNXTDZ($A$1,$B24,O$1,$B$1)</f>
        <v>74.209700799999993</v>
      </c>
      <c r="P24" s="100">
        <f>_xll.EQNXTDZ($A$1,$B24,P$1,$B$1)</f>
        <v>47.566401800000001</v>
      </c>
      <c r="Q24" s="100">
        <f>_xll.EQNXTDZ($A$1,$B24,Q$1,$B$1)</f>
        <v>122.9570097</v>
      </c>
      <c r="R24" s="100">
        <f>_xll.EQNXTDZ($A$1,$B24,R$1,$B$1)</f>
        <v>100.6258955</v>
      </c>
      <c r="S24" s="100">
        <f>_xll.EQNXTDZ($A$1,$B24,S$1,$B$1)</f>
        <v>115.3597764</v>
      </c>
      <c r="T24" s="100">
        <f>_xll.EQNXTDZ($A$1,$B24,T$1,$B$1)</f>
        <v>267.91273630000001</v>
      </c>
      <c r="U24" s="100">
        <f>_xll.EQNXTDZ($A$1,$B24,U$1,$B$1)</f>
        <v>214.166</v>
      </c>
      <c r="V24" s="100">
        <f>_xll.EQNXTDZ($A$1,$B24,V$1,$B$1)</f>
        <v>189.64699999999999</v>
      </c>
      <c r="W24" s="100">
        <f>_xll.EQNXTDZ($A$1,$B24,W$1,$B$1)</f>
        <v>471.84300000000002</v>
      </c>
      <c r="X24" s="100">
        <f>_xll.EQNXTDZ($A$1,$B24,X$1,$B$1)</f>
        <v>931.33299999999997</v>
      </c>
      <c r="Y24" s="100">
        <f>_xll.EQNXTDZ($A$1,$B24,Y$1,$B$1)</f>
        <v>1313.0250000000001</v>
      </c>
      <c r="Z24" s="100">
        <f>_xll.EQNXTDZ($A$1,$B24,Z$1,$B$1)</f>
        <v>1700.357</v>
      </c>
      <c r="AA24" s="100">
        <f>_xll.EQNXTDZ($A$1,$B24,AA$1,$B$1)</f>
        <v>1991.258</v>
      </c>
      <c r="AB24" s="100">
        <f>_xll.EQNXTDZ($A$1,$B24,AB$1,$B$1)</f>
        <v>1834.577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8.85</v>
      </c>
      <c r="O25" s="100">
        <f>_xll.EQNXTDZ($A$1,$B25,O$1,$B$1)</f>
        <v>0</v>
      </c>
      <c r="P25" s="100">
        <f>_xll.EQNXTDZ($A$1,$B25,P$1,$B$1)</f>
        <v>18.4978044</v>
      </c>
      <c r="Q25" s="100">
        <f>_xll.EQNXTDZ($A$1,$B25,Q$1,$B$1)</f>
        <v>38.413410599999999</v>
      </c>
      <c r="R25" s="100">
        <f>_xll.EQNXTDZ($A$1,$B25,R$1,$B$1)</f>
        <v>35.662487499999997</v>
      </c>
      <c r="S25" s="100">
        <f>_xll.EQNXTDZ($A$1,$B25,S$1,$B$1)</f>
        <v>53.9301958</v>
      </c>
      <c r="T25" s="100">
        <f>_xll.EQNXTDZ($A$1,$B25,T$1,$B$1)</f>
        <v>94.690303299999997</v>
      </c>
      <c r="U25" s="100">
        <f>_xll.EQNXTDZ($A$1,$B25,U$1,$B$1)</f>
        <v>69.736000000000004</v>
      </c>
      <c r="V25" s="100">
        <f>_xll.EQNXTDZ($A$1,$B25,V$1,$B$1)</f>
        <v>49.963000000000001</v>
      </c>
      <c r="W25" s="100">
        <f>_xll.EQNXTDZ($A$1,$B25,W$1,$B$1)</f>
        <v>42.316000000000003</v>
      </c>
      <c r="X25" s="100">
        <f>_xll.EQNXTDZ($A$1,$B25,X$1,$B$1)</f>
        <v>75.980999999999995</v>
      </c>
      <c r="Y25" s="100">
        <f>_xll.EQNXTDZ($A$1,$B25,Y$1,$B$1)</f>
        <v>90.942999999999998</v>
      </c>
      <c r="Z25" s="100">
        <f>_xll.EQNXTDZ($A$1,$B25,Z$1,$B$1)</f>
        <v>136.697</v>
      </c>
      <c r="AA25" s="100">
        <f>_xll.EQNXTDZ($A$1,$B25,AA$1,$B$1)</f>
        <v>295.887</v>
      </c>
      <c r="AB25" s="100">
        <f>_xll.EQNXTDZ($A$1,$B25,AB$1,$B$1)</f>
        <v>437.69099999999997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6.3978982000000002</v>
      </c>
      <c r="K26" s="100">
        <f>_xll.EQNXTDZ($A$1,$B26,K$1,$B$1)</f>
        <v>4.1539739000000004</v>
      </c>
      <c r="L26" s="100">
        <f>_xll.EQNXTDZ($A$1,$B26,L$1,$B$1)</f>
        <v>14.927432</v>
      </c>
      <c r="M26" s="100">
        <f>_xll.EQNXTDZ($A$1,$B26,M$1,$B$1)</f>
        <v>10.993499999999999</v>
      </c>
      <c r="N26" s="100">
        <f>_xll.EQNXTDZ($A$1,$B26,N$1,$B$1)</f>
        <v>13.8138969</v>
      </c>
      <c r="O26" s="100">
        <f>_xll.EQNXTDZ($A$1,$B26,O$1,$B$1)</f>
        <v>74.209700799999993</v>
      </c>
      <c r="P26" s="100">
        <f>_xll.EQNXTDZ($A$1,$B26,P$1,$B$1)</f>
        <v>29.068597400000002</v>
      </c>
      <c r="Q26" s="100">
        <f>_xll.EQNXTDZ($A$1,$B26,Q$1,$B$1)</f>
        <v>84.543599099999994</v>
      </c>
      <c r="R26" s="100">
        <f>_xll.EQNXTDZ($A$1,$B26,R$1,$B$1)</f>
        <v>64.963408000000001</v>
      </c>
      <c r="S26" s="100">
        <f>_xll.EQNXTDZ($A$1,$B26,S$1,$B$1)</f>
        <v>61.429580600000001</v>
      </c>
      <c r="T26" s="100">
        <f>_xll.EQNXTDZ($A$1,$B26,T$1,$B$1)</f>
        <v>173.222433</v>
      </c>
      <c r="U26" s="100">
        <f>_xll.EQNXTDZ($A$1,$B26,U$1,$B$1)</f>
        <v>144.43</v>
      </c>
      <c r="V26" s="100">
        <f>_xll.EQNXTDZ($A$1,$B26,V$1,$B$1)</f>
        <v>139.684</v>
      </c>
      <c r="W26" s="100">
        <f>_xll.EQNXTDZ($A$1,$B26,W$1,$B$1)</f>
        <v>429.52699999999999</v>
      </c>
      <c r="X26" s="100">
        <f>_xll.EQNXTDZ($A$1,$B26,X$1,$B$1)</f>
        <v>855.35199999999998</v>
      </c>
      <c r="Y26" s="100">
        <f>_xll.EQNXTDZ($A$1,$B26,Y$1,$B$1)</f>
        <v>1222.0820000000001</v>
      </c>
      <c r="Z26" s="100">
        <f>_xll.EQNXTDZ($A$1,$B26,Z$1,$B$1)</f>
        <v>1563.66</v>
      </c>
      <c r="AA26" s="100">
        <f>_xll.EQNXTDZ($A$1,$B26,AA$1,$B$1)</f>
        <v>1695.3710000000001</v>
      </c>
      <c r="AB26" s="100">
        <f>_xll.EQNXTDZ($A$1,$B26,AB$1,$B$1)</f>
        <v>1396.886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0.68508899999999995</v>
      </c>
      <c r="K27" s="100">
        <f>_xll.EQNXTDZ($A$1,$B27,K$1,$B$1)</f>
        <v>1.073685</v>
      </c>
      <c r="L27" s="100">
        <f>_xll.EQNXTDZ($A$1,$B27,L$1,$B$1)</f>
        <v>1.0301914000000001</v>
      </c>
      <c r="M27" s="100">
        <f>_xll.EQNXTDZ($A$1,$B27,M$1,$B$1)</f>
        <v>0.9204</v>
      </c>
      <c r="N27" s="100">
        <f>_xll.EQNXTDZ($A$1,$B27,N$1,$B$1)</f>
        <v>1.5536264</v>
      </c>
      <c r="O27" s="100">
        <f>_xll.EQNXTDZ($A$1,$B27,O$1,$B$1)</f>
        <v>0</v>
      </c>
      <c r="P27" s="100">
        <f>_xll.EQNXTDZ($A$1,$B27,P$1,$B$1)</f>
        <v>12.187715499999999</v>
      </c>
      <c r="Q27" s="100">
        <f>_xll.EQNXTDZ($A$1,$B27,Q$1,$B$1)</f>
        <v>10.284876300000001</v>
      </c>
      <c r="R27" s="100">
        <f>_xll.EQNXTDZ($A$1,$B27,R$1,$B$1)</f>
        <v>13.0146207</v>
      </c>
      <c r="S27" s="100">
        <f>_xll.EQNXTDZ($A$1,$B27,S$1,$B$1)</f>
        <v>13.5224952</v>
      </c>
      <c r="T27" s="100">
        <f>_xll.EQNXTDZ($A$1,$B27,T$1,$B$1)</f>
        <v>14.528493900000001</v>
      </c>
      <c r="U27" s="100">
        <f>_xll.EQNXTDZ($A$1,$B27,U$1,$B$1)</f>
        <v>20.004000000000001</v>
      </c>
      <c r="V27" s="100">
        <f>_xll.EQNXTDZ($A$1,$B27,V$1,$B$1)</f>
        <v>20.917000000000002</v>
      </c>
      <c r="W27" s="100">
        <f>_xll.EQNXTDZ($A$1,$B27,W$1,$B$1)</f>
        <v>18.36</v>
      </c>
      <c r="X27" s="100">
        <f>_xll.EQNXTDZ($A$1,$B27,X$1,$B$1)</f>
        <v>18.640999999999998</v>
      </c>
      <c r="Y27" s="100">
        <f>_xll.EQNXTDZ($A$1,$B27,Y$1,$B$1)</f>
        <v>30.263999999999999</v>
      </c>
      <c r="Z27" s="100">
        <f>_xll.EQNXTDZ($A$1,$B27,Z$1,$B$1)</f>
        <v>49.981000000000002</v>
      </c>
      <c r="AA27" s="100">
        <f>_xll.EQNXTDZ($A$1,$B27,AA$1,$B$1)</f>
        <v>103.42100000000001</v>
      </c>
      <c r="AB27" s="100">
        <f>_xll.EQNXTDZ($A$1,$B27,AB$1,$B$1)</f>
        <v>124.999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-0.13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2.0219026000000002</v>
      </c>
      <c r="K30" s="100">
        <f>_xll.EQNXTDZ($A$1,$B30,K$1,$B$1)</f>
        <v>1.1500963</v>
      </c>
      <c r="L30" s="100">
        <f>_xll.EQNXTDZ($A$1,$B30,L$1,$B$1)</f>
        <v>4.8803137999999997</v>
      </c>
      <c r="M30" s="100">
        <f>_xll.EQNXTDZ($A$1,$B30,M$1,$B$1)</f>
        <v>2.7214999999999998</v>
      </c>
      <c r="N30" s="100">
        <f>_xll.EQNXTDZ($A$1,$B30,N$1,$B$1)</f>
        <v>4.0184265000000003</v>
      </c>
      <c r="O30" s="100">
        <f>_xll.EQNXTDZ($A$1,$B30,O$1,$B$1)</f>
        <v>0</v>
      </c>
      <c r="P30" s="100">
        <f>_xll.EQNXTDZ($A$1,$B30,P$1,$B$1)</f>
        <v>6.5459326000000004</v>
      </c>
      <c r="Q30" s="100">
        <f>_xll.EQNXTDZ($A$1,$B30,Q$1,$B$1)</f>
        <v>27.308116099999999</v>
      </c>
      <c r="R30" s="100">
        <f>_xll.EQNXTDZ($A$1,$B30,R$1,$B$1)</f>
        <v>20.224088500000001</v>
      </c>
      <c r="S30" s="100">
        <f>_xll.EQNXTDZ($A$1,$B30,S$1,$B$1)</f>
        <v>16.892786000000001</v>
      </c>
      <c r="T30" s="100">
        <f>_xll.EQNXTDZ($A$1,$B30,T$1,$B$1)</f>
        <v>50.765409599999998</v>
      </c>
      <c r="U30" s="100">
        <f>_xll.EQNXTDZ($A$1,$B30,U$1,$B$1)</f>
        <v>44.591000000000001</v>
      </c>
      <c r="V30" s="100">
        <f>_xll.EQNXTDZ($A$1,$B30,V$1,$B$1)</f>
        <v>31.978000000000002</v>
      </c>
      <c r="W30" s="100">
        <f>_xll.EQNXTDZ($A$1,$B30,W$1,$B$1)</f>
        <v>113.10899999999999</v>
      </c>
      <c r="X30" s="100">
        <f>_xll.EQNXTDZ($A$1,$B30,X$1,$B$1)</f>
        <v>211.655</v>
      </c>
      <c r="Y30" s="100">
        <f>_xll.EQNXTDZ($A$1,$B30,Y$1,$B$1)</f>
        <v>301.62599999999998</v>
      </c>
      <c r="Z30" s="100">
        <f>_xll.EQNXTDZ($A$1,$B30,Z$1,$B$1)</f>
        <v>388.15100000000001</v>
      </c>
      <c r="AA30" s="100">
        <f>_xll.EQNXTDZ($A$1,$B30,AA$1,$B$1)</f>
        <v>419.86900000000003</v>
      </c>
      <c r="AB30" s="100">
        <f>_xll.EQNXTDZ($A$1,$B30,AB$1,$B$1)</f>
        <v>356.65800000000002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-0.255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3.6909065999999999</v>
      </c>
      <c r="K35" s="100">
        <f>_xll.EQNXTDZ($A$1,$B35,K$1,$B$1)</f>
        <v>1.9301926</v>
      </c>
      <c r="L35" s="100">
        <f>_xll.EQNXTDZ($A$1,$B35,L$1,$B$1)</f>
        <v>9.0169268000000002</v>
      </c>
      <c r="M35" s="100">
        <f>_xll.EQNXTDZ($A$1,$B35,M$1,$B$1)</f>
        <v>7.3516000000000004</v>
      </c>
      <c r="N35" s="100">
        <f>_xll.EQNXTDZ($A$1,$B35,N$1,$B$1)</f>
        <v>8.2418440000000004</v>
      </c>
      <c r="O35" s="100">
        <f>_xll.EQNXTDZ($A$1,$B35,O$1,$B$1)</f>
        <v>74.209700799999993</v>
      </c>
      <c r="P35" s="100">
        <f>_xll.EQNXTDZ($A$1,$B35,P$1,$B$1)</f>
        <v>10.3349493</v>
      </c>
      <c r="Q35" s="100">
        <f>_xll.EQNXTDZ($A$1,$B35,Q$1,$B$1)</f>
        <v>46.950606700000002</v>
      </c>
      <c r="R35" s="100">
        <f>_xll.EQNXTDZ($A$1,$B35,R$1,$B$1)</f>
        <v>31.724698799999999</v>
      </c>
      <c r="S35" s="100">
        <f>_xll.EQNXTDZ($A$1,$B35,S$1,$B$1)</f>
        <v>31.014299399999999</v>
      </c>
      <c r="T35" s="100">
        <f>_xll.EQNXTDZ($A$1,$B35,T$1,$B$1)</f>
        <v>107.9285295</v>
      </c>
      <c r="U35" s="100">
        <f>_xll.EQNXTDZ($A$1,$B35,U$1,$B$1)</f>
        <v>79.58</v>
      </c>
      <c r="V35" s="100">
        <f>_xll.EQNXTDZ($A$1,$B35,V$1,$B$1)</f>
        <v>82.346000000000004</v>
      </c>
      <c r="W35" s="100">
        <f>_xll.EQNXTDZ($A$1,$B35,W$1,$B$1)</f>
        <v>296.85599999999999</v>
      </c>
      <c r="X35" s="100">
        <f>_xll.EQNXTDZ($A$1,$B35,X$1,$B$1)</f>
        <v>624.80499999999995</v>
      </c>
      <c r="Y35" s="100">
        <f>_xll.EQNXTDZ($A$1,$B35,Y$1,$B$1)</f>
        <v>889.95399999999995</v>
      </c>
      <c r="Z35" s="100">
        <f>_xll.EQNXTDZ($A$1,$B35,Z$1,$B$1)</f>
        <v>1125.528</v>
      </c>
      <c r="AA35" s="100">
        <f>_xll.EQNXTDZ($A$1,$B35,AA$1,$B$1)</f>
        <v>1172.0809999999999</v>
      </c>
      <c r="AB35" s="100">
        <f>_xll.EQNXTDZ($A$1,$B35,AB$1,$B$1)</f>
        <v>915.09900000000005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-4.4429999999999996</v>
      </c>
      <c r="W36" s="100">
        <f>_xll.EQNXTDZ($A$1,$B36,W$1,$B$1)</f>
        <v>-1.202</v>
      </c>
      <c r="X36" s="100">
        <f>_xll.EQNXTDZ($A$1,$B36,X$1,$B$1)</f>
        <v>-0.251</v>
      </c>
      <c r="Y36" s="100">
        <f>_xll.EQNXTDZ($A$1,$B36,Y$1,$B$1)</f>
        <v>-0.23799999999999999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13.438247</v>
      </c>
      <c r="K41" s="55">
        <f>_xll.EQNXTDZ($A$1,$B41,K$1,$B$1)</f>
        <v>13.438247</v>
      </c>
      <c r="L41" s="55">
        <f>_xll.EQNXTDZ($A$1,$B41,L$1,$B$1)</f>
        <v>13.438247</v>
      </c>
      <c r="M41" s="55">
        <f>_xll.EQNXTDZ($A$1,$B41,M$1,$B$1)</f>
        <v>13.438247</v>
      </c>
      <c r="N41" s="55">
        <f>_xll.EQNXTDZ($A$1,$B41,N$1,$B$1)</f>
        <v>14.364174999999999</v>
      </c>
      <c r="O41" s="55">
        <f>_xll.EQNXTDZ($A$1,$B41,O$1,$B$1)</f>
        <v>14.364174999999999</v>
      </c>
      <c r="P41" s="55">
        <f>_xll.EQNXTDZ($A$1,$B41,P$1,$B$1)</f>
        <v>14.364174999999999</v>
      </c>
      <c r="Q41" s="55">
        <f>_xll.EQNXTDZ($A$1,$B41,Q$1,$B$1)</f>
        <v>14.364174999999999</v>
      </c>
      <c r="R41" s="55">
        <f>_xll.EQNXTDZ($A$1,$B41,R$1,$B$1)</f>
        <v>14.364174999999999</v>
      </c>
      <c r="S41" s="55">
        <f>_xll.EQNXTDZ($A$1,$B41,S$1,$B$1)</f>
        <v>14.364174999999999</v>
      </c>
      <c r="T41" s="55">
        <f>_xll.EQNXTDZ($A$1,$B41,T$1,$B$1)</f>
        <v>71.995002999999997</v>
      </c>
      <c r="U41" s="55">
        <f>_xll.EQNXTDZ($A$1,$B41,U$1,$B$1)</f>
        <v>71.995000000000005</v>
      </c>
      <c r="V41" s="55">
        <f>_xll.EQNXTDZ($A$1,$B41,V$1,$B$1)</f>
        <v>71.995000000000005</v>
      </c>
      <c r="W41" s="55">
        <f>_xll.EQNXTDZ($A$1,$B41,W$1,$B$1)</f>
        <v>81.826999999999998</v>
      </c>
      <c r="X41" s="55">
        <f>_xll.EQNXTDZ($A$1,$B41,X$1,$B$1)</f>
        <v>82.858999999999995</v>
      </c>
      <c r="Y41" s="55">
        <f>_xll.EQNXTDZ($A$1,$B41,Y$1,$B$1)</f>
        <v>83.42</v>
      </c>
      <c r="Z41" s="55">
        <f>_xll.EQNXTDZ($A$1,$B41,Z$1,$B$1)</f>
        <v>84.007999999999996</v>
      </c>
      <c r="AA41" s="55">
        <f>_xll.EQNXTDZ($A$1,$B41,AA$1,$B$1)</f>
        <v>90.293999999999997</v>
      </c>
      <c r="AB41" s="55">
        <f>_xll.EQNXTDZ($A$1,$B41,AB$1,$B$1)</f>
        <v>91.085999999999999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2.0000045000000002</v>
      </c>
      <c r="K42" s="55">
        <f>_xll.EQNXTDZ($A$1,$B42,K$1,$B$1)</f>
        <v>2.0000045000000002</v>
      </c>
      <c r="L42" s="55">
        <f>_xll.EQNXTDZ($A$1,$B42,L$1,$B$1)</f>
        <v>2.0000045000000002</v>
      </c>
      <c r="M42" s="55">
        <f>_xll.EQNXTDZ($A$1,$B42,M$1,$B$1)</f>
        <v>2.0000045000000002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1.544</v>
      </c>
      <c r="V42" s="55">
        <f>_xll.EQNXTDZ($A$1,$B42,V$1,$B$1)</f>
        <v>3.4289999999999998</v>
      </c>
      <c r="W42" s="55">
        <f>_xll.EQNXTDZ($A$1,$B42,W$1,$B$1)</f>
        <v>3.919</v>
      </c>
      <c r="X42" s="55">
        <f>_xll.EQNXTDZ($A$1,$B42,X$1,$B$1)</f>
        <v>13.446</v>
      </c>
      <c r="Y42" s="55">
        <f>_xll.EQNXTDZ($A$1,$B42,Y$1,$B$1)</f>
        <v>57.81</v>
      </c>
      <c r="Z42" s="55">
        <f>_xll.EQNXTDZ($A$1,$B42,Z$1,$B$1)</f>
        <v>81.86</v>
      </c>
      <c r="AA42" s="55">
        <f>_xll.EQNXTDZ($A$1,$B42,AA$1,$B$1)</f>
        <v>144.21299999999999</v>
      </c>
      <c r="AB42" s="55">
        <f>_xll.EQNXTDZ($A$1,$B42,AB$1,$B$1)</f>
        <v>208.239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165.02268530000001</v>
      </c>
      <c r="K43" s="55">
        <f>_xll.EQNXTDZ($A$1,$B43,K$1,$B$1)</f>
        <v>166.9528779</v>
      </c>
      <c r="L43" s="55">
        <f>_xll.EQNXTDZ($A$1,$B43,L$1,$B$1)</f>
        <v>175.9698047</v>
      </c>
      <c r="M43" s="55">
        <f>_xll.EQNXTDZ($A$1,$B43,M$1,$B$1)</f>
        <v>180.18503250000001</v>
      </c>
      <c r="N43" s="55">
        <f>_xll.EQNXTDZ($A$1,$B43,N$1,$B$1)</f>
        <v>184.33092590000001</v>
      </c>
      <c r="O43" s="55">
        <f>_xll.EQNXTDZ($A$1,$B43,O$1,$B$1)</f>
        <v>294.45759889999999</v>
      </c>
      <c r="P43" s="55">
        <f>_xll.EQNXTDZ($A$1,$B43,P$1,$B$1)</f>
        <v>297.1070848</v>
      </c>
      <c r="Q43" s="55">
        <f>_xll.EQNXTDZ($A$1,$B43,Q$1,$B$1)</f>
        <v>332.38794999999999</v>
      </c>
      <c r="R43" s="55">
        <f>_xll.EQNXTDZ($A$1,$B43,R$1,$B$1)</f>
        <v>354.93928490000002</v>
      </c>
      <c r="S43" s="55">
        <f>_xll.EQNXTDZ($A$1,$B43,S$1,$B$1)</f>
        <v>375.07082969999999</v>
      </c>
      <c r="T43" s="55">
        <f>_xll.EQNXTDZ($A$1,$B43,T$1,$B$1)</f>
        <v>402.94811679999998</v>
      </c>
      <c r="U43" s="55">
        <f>_xll.EQNXTDZ($A$1,$B43,U$1,$B$1)</f>
        <v>457.89600000000002</v>
      </c>
      <c r="V43" s="55">
        <f>_xll.EQNXTDZ($A$1,$B43,V$1,$B$1)</f>
        <v>515.995</v>
      </c>
      <c r="W43" s="55">
        <f>_xll.EQNXTDZ($A$1,$B43,W$1,$B$1)</f>
        <v>1045.251</v>
      </c>
      <c r="X43" s="55">
        <f>_xll.EQNXTDZ($A$1,$B43,X$1,$B$1)</f>
        <v>1488.0719999999999</v>
      </c>
      <c r="Y43" s="55">
        <f>_xll.EQNXTDZ($A$1,$B43,Y$1,$B$1)</f>
        <v>2020.328</v>
      </c>
      <c r="Z43" s="55">
        <f>_xll.EQNXTDZ($A$1,$B43,Z$1,$B$1)</f>
        <v>2872.7350000000001</v>
      </c>
      <c r="AA43" s="55">
        <f>_xll.EQNXTDZ($A$1,$B43,AA$1,$B$1)</f>
        <v>5386.8909999999996</v>
      </c>
      <c r="AB43" s="55">
        <f>_xll.EQNXTDZ($A$1,$B43,AB$1,$B$1)</f>
        <v>5818.4660000000003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180.46093680000001</v>
      </c>
      <c r="K44" s="55">
        <f>_xll.EQNXTDZ($A$1,$B44,K$1,$B$1)</f>
        <v>182.39112940000001</v>
      </c>
      <c r="L44" s="55">
        <f>_xll.EQNXTDZ($A$1,$B44,L$1,$B$1)</f>
        <v>191.4080562</v>
      </c>
      <c r="M44" s="55">
        <f>_xll.EQNXTDZ($A$1,$B44,M$1,$B$1)</f>
        <v>195.62328400000001</v>
      </c>
      <c r="N44" s="55">
        <f>_xll.EQNXTDZ($A$1,$B44,N$1,$B$1)</f>
        <v>198.6951009</v>
      </c>
      <c r="O44" s="55">
        <f>_xll.EQNXTDZ($A$1,$B44,O$1,$B$1)</f>
        <v>308.82177389999998</v>
      </c>
      <c r="P44" s="55">
        <f>_xll.EQNXTDZ($A$1,$B44,P$1,$B$1)</f>
        <v>311.47125979999998</v>
      </c>
      <c r="Q44" s="55">
        <f>_xll.EQNXTDZ($A$1,$B44,Q$1,$B$1)</f>
        <v>346.75212499999998</v>
      </c>
      <c r="R44" s="55">
        <f>_xll.EQNXTDZ($A$1,$B44,R$1,$B$1)</f>
        <v>369.30345990000001</v>
      </c>
      <c r="S44" s="55">
        <f>_xll.EQNXTDZ($A$1,$B44,S$1,$B$1)</f>
        <v>389.43500469999998</v>
      </c>
      <c r="T44" s="55">
        <f>_xll.EQNXTDZ($A$1,$B44,T$1,$B$1)</f>
        <v>474.94311979999998</v>
      </c>
      <c r="U44" s="55">
        <f>_xll.EQNXTDZ($A$1,$B44,U$1,$B$1)</f>
        <v>531.43499999999995</v>
      </c>
      <c r="V44" s="55">
        <f>_xll.EQNXTDZ($A$1,$B44,V$1,$B$1)</f>
        <v>591.41899999999998</v>
      </c>
      <c r="W44" s="55">
        <f>_xll.EQNXTDZ($A$1,$B44,W$1,$B$1)</f>
        <v>1130.9970000000001</v>
      </c>
      <c r="X44" s="55">
        <f>_xll.EQNXTDZ($A$1,$B44,X$1,$B$1)</f>
        <v>1584.377</v>
      </c>
      <c r="Y44" s="55">
        <f>_xll.EQNXTDZ($A$1,$B44,Y$1,$B$1)</f>
        <v>2161.558</v>
      </c>
      <c r="Z44" s="55">
        <f>_xll.EQNXTDZ($A$1,$B44,Z$1,$B$1)</f>
        <v>3038.6030000000001</v>
      </c>
      <c r="AA44" s="55">
        <f>_xll.EQNXTDZ($A$1,$B44,AA$1,$B$1)</f>
        <v>5621.3980000000001</v>
      </c>
      <c r="AB44" s="55">
        <f>_xll.EQNXTDZ($A$1,$B44,AB$1,$B$1)</f>
        <v>6117.7910000000002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17.704000000000001</v>
      </c>
      <c r="AB45" s="55">
        <f>_xll.EQNXTDZ($A$1,$B45,AB$1,$B$1)</f>
        <v>31.138999999999999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2.59344E-2</v>
      </c>
      <c r="K47" s="55">
        <f>_xll.EQNXTDZ($A$1,$B47,K$1,$B$1)</f>
        <v>1.6327899999999999E-2</v>
      </c>
      <c r="L47" s="55">
        <f>_xll.EQNXTDZ($A$1,$B47,L$1,$B$1)</f>
        <v>69.852758399999999</v>
      </c>
      <c r="M47" s="55">
        <f>_xll.EQNXTDZ($A$1,$B47,M$1,$B$1)</f>
        <v>63.129143900000003</v>
      </c>
      <c r="N47" s="55">
        <f>_xll.EQNXTDZ($A$1,$B47,N$1,$B$1)</f>
        <v>26.176497999999999</v>
      </c>
      <c r="O47" s="55">
        <f>_xll.EQNXTDZ($A$1,$B47,O$1,$B$1)</f>
        <v>25</v>
      </c>
      <c r="P47" s="55">
        <f>_xll.EQNXTDZ($A$1,$B47,P$1,$B$1)</f>
        <v>25</v>
      </c>
      <c r="Q47" s="55">
        <f>_xll.EQNXTDZ($A$1,$B47,Q$1,$B$1)</f>
        <v>4.93</v>
      </c>
      <c r="R47" s="55">
        <f>_xll.EQNXTDZ($A$1,$B47,R$1,$B$1)</f>
        <v>5.5199094000000004</v>
      </c>
      <c r="S47" s="55">
        <f>_xll.EQNXTDZ($A$1,$B47,S$1,$B$1)</f>
        <v>4.4842643000000004</v>
      </c>
      <c r="T47" s="55">
        <f>_xll.EQNXTDZ($A$1,$B47,T$1,$B$1)</f>
        <v>6.4097302000000003</v>
      </c>
      <c r="U47" s="55">
        <f>_xll.EQNXTDZ($A$1,$B47,U$1,$B$1)</f>
        <v>7.069</v>
      </c>
      <c r="V47" s="55">
        <f>_xll.EQNXTDZ($A$1,$B47,V$1,$B$1)</f>
        <v>4.806</v>
      </c>
      <c r="W47" s="55">
        <f>_xll.EQNXTDZ($A$1,$B47,W$1,$B$1)</f>
        <v>1.212</v>
      </c>
      <c r="X47" s="55">
        <f>_xll.EQNXTDZ($A$1,$B47,X$1,$B$1)</f>
        <v>0.80900000000000005</v>
      </c>
      <c r="Y47" s="55">
        <f>_xll.EQNXTDZ($A$1,$B47,Y$1,$B$1)</f>
        <v>0.497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0.04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3.25</v>
      </c>
      <c r="S48" s="55">
        <f>_xll.EQNXTDZ($A$1,$B48,S$1,$B$1)</f>
        <v>3.25</v>
      </c>
      <c r="T48" s="55">
        <f>_xll.EQNXTDZ($A$1,$B48,T$1,$B$1)</f>
        <v>0.85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1.5509999999999999</v>
      </c>
      <c r="AA48" s="55">
        <f>_xll.EQNXTDZ($A$1,$B48,AA$1,$B$1)</f>
        <v>0.81399999999999995</v>
      </c>
      <c r="AB48" s="55">
        <f>_xll.EQNXTDZ($A$1,$B48,AB$1,$B$1)</f>
        <v>0.36599999999999999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-0.55459510000000001</v>
      </c>
      <c r="K49" s="55">
        <f>_xll.EQNXTDZ($A$1,$B49,K$1,$B$1)</f>
        <v>-0.65269659999999996</v>
      </c>
      <c r="L49" s="55">
        <f>_xll.EQNXTDZ($A$1,$B49,L$1,$B$1)</f>
        <v>-0.33728279999999999</v>
      </c>
      <c r="M49" s="55">
        <f>_xll.EQNXTDZ($A$1,$B49,M$1,$B$1)</f>
        <v>-0.2165089</v>
      </c>
      <c r="N49" s="55">
        <f>_xll.EQNXTDZ($A$1,$B49,N$1,$B$1)</f>
        <v>-5.4672400000000003E-2</v>
      </c>
      <c r="O49" s="55">
        <f>_xll.EQNXTDZ($A$1,$B49,O$1,$B$1)</f>
        <v>-0.65287099999999998</v>
      </c>
      <c r="P49" s="55">
        <f>_xll.EQNXTDZ($A$1,$B49,P$1,$B$1)</f>
        <v>-1.1244491999999999</v>
      </c>
      <c r="Q49" s="55">
        <f>_xll.EQNXTDZ($A$1,$B49,Q$1,$B$1)</f>
        <v>-5.7859500000000001E-2</v>
      </c>
      <c r="R49" s="55">
        <f>_xll.EQNXTDZ($A$1,$B49,R$1,$B$1)</f>
        <v>0.97200319999999996</v>
      </c>
      <c r="S49" s="55">
        <f>_xll.EQNXTDZ($A$1,$B49,S$1,$B$1)</f>
        <v>0.48260769999999997</v>
      </c>
      <c r="T49" s="55">
        <f>_xll.EQNXTDZ($A$1,$B49,T$1,$B$1)</f>
        <v>-2.933093</v>
      </c>
      <c r="U49" s="55">
        <f>_xll.EQNXTDZ($A$1,$B49,U$1,$B$1)</f>
        <v>-7.569</v>
      </c>
      <c r="V49" s="55">
        <f>_xll.EQNXTDZ($A$1,$B49,V$1,$B$1)</f>
        <v>-4.8890000000000002</v>
      </c>
      <c r="W49" s="55">
        <f>_xll.EQNXTDZ($A$1,$B49,W$1,$B$1)</f>
        <v>-4.702</v>
      </c>
      <c r="X49" s="55">
        <f>_xll.EQNXTDZ($A$1,$B49,X$1,$B$1)</f>
        <v>-1.847</v>
      </c>
      <c r="Y49" s="55">
        <f>_xll.EQNXTDZ($A$1,$B49,Y$1,$B$1)</f>
        <v>3.9129999999999998</v>
      </c>
      <c r="Z49" s="55">
        <f>_xll.EQNXTDZ($A$1,$B49,Z$1,$B$1)</f>
        <v>16.010000000000002</v>
      </c>
      <c r="AA49" s="55">
        <f>_xll.EQNXTDZ($A$1,$B49,AA$1,$B$1)</f>
        <v>25.571000000000002</v>
      </c>
      <c r="AB49" s="55">
        <f>_xll.EQNXTDZ($A$1,$B49,AB$1,$B$1)</f>
        <v>25.108000000000001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5.5129999999999999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3.9</v>
      </c>
      <c r="Z50" s="55">
        <f>_xll.EQNXTDZ($A$1,$B50,Z$1,$B$1)</f>
        <v>2.0609999999999999</v>
      </c>
      <c r="AA50" s="55">
        <f>_xll.EQNXTDZ($A$1,$B50,AA$1,$B$1)</f>
        <v>19.416</v>
      </c>
      <c r="AB50" s="55">
        <f>_xll.EQNXTDZ($A$1,$B50,AB$1,$B$1)</f>
        <v>51.009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0.1433199</v>
      </c>
      <c r="O52" s="55">
        <f>_xll.EQNXTDZ($A$1,$B52,O$1,$B$1)</f>
        <v>1.6298904999999999</v>
      </c>
      <c r="P52" s="55">
        <f>_xll.EQNXTDZ($A$1,$B52,P$1,$B$1)</f>
        <v>1.3917496</v>
      </c>
      <c r="Q52" s="55">
        <f>_xll.EQNXTDZ($A$1,$B52,Q$1,$B$1)</f>
        <v>1.9521374</v>
      </c>
      <c r="R52" s="55">
        <f>_xll.EQNXTDZ($A$1,$B52,R$1,$B$1)</f>
        <v>2.5144628999999998</v>
      </c>
      <c r="S52" s="55">
        <f>_xll.EQNXTDZ($A$1,$B52,S$1,$B$1)</f>
        <v>91.378437300000002</v>
      </c>
      <c r="T52" s="55">
        <f>_xll.EQNXTDZ($A$1,$B52,T$1,$B$1)</f>
        <v>130.1548597</v>
      </c>
      <c r="U52" s="55">
        <f>_xll.EQNXTDZ($A$1,$B52,U$1,$B$1)</f>
        <v>166.125</v>
      </c>
      <c r="V52" s="55">
        <f>_xll.EQNXTDZ($A$1,$B52,V$1,$B$1)</f>
        <v>152.82400000000001</v>
      </c>
      <c r="W52" s="55">
        <f>_xll.EQNXTDZ($A$1,$B52,W$1,$B$1)</f>
        <v>9.7929999999999993</v>
      </c>
      <c r="X52" s="55">
        <f>_xll.EQNXTDZ($A$1,$B52,X$1,$B$1)</f>
        <v>1.423</v>
      </c>
      <c r="Y52" s="55">
        <f>_xll.EQNXTDZ($A$1,$B52,Y$1,$B$1)</f>
        <v>0.60599999999999998</v>
      </c>
      <c r="Z52" s="55">
        <f>_xll.EQNXTDZ($A$1,$B52,Z$1,$B$1)</f>
        <v>742.04600000000005</v>
      </c>
      <c r="AA52" s="55">
        <f>_xll.EQNXTDZ($A$1,$B52,AA$1,$B$1)</f>
        <v>1375.808</v>
      </c>
      <c r="AB52" s="55">
        <f>_xll.EQNXTDZ($A$1,$B52,AB$1,$B$1)</f>
        <v>851.202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-0.4886607</v>
      </c>
      <c r="K53" s="55">
        <f>_xll.EQNXTDZ($A$1,$B53,K$1,$B$1)</f>
        <v>-0.63636870000000001</v>
      </c>
      <c r="L53" s="55">
        <f>_xll.EQNXTDZ($A$1,$B53,L$1,$B$1)</f>
        <v>69.515475600000002</v>
      </c>
      <c r="M53" s="55">
        <f>_xll.EQNXTDZ($A$1,$B53,M$1,$B$1)</f>
        <v>62.912635000000002</v>
      </c>
      <c r="N53" s="55">
        <f>_xll.EQNXTDZ($A$1,$B53,N$1,$B$1)</f>
        <v>31.778145500000001</v>
      </c>
      <c r="O53" s="55">
        <f>_xll.EQNXTDZ($A$1,$B53,O$1,$B$1)</f>
        <v>25.977019500000001</v>
      </c>
      <c r="P53" s="55">
        <f>_xll.EQNXTDZ($A$1,$B53,P$1,$B$1)</f>
        <v>25.2673004</v>
      </c>
      <c r="Q53" s="55">
        <f>_xll.EQNXTDZ($A$1,$B53,Q$1,$B$1)</f>
        <v>6.8242779000000002</v>
      </c>
      <c r="R53" s="55">
        <f>_xll.EQNXTDZ($A$1,$B53,R$1,$B$1)</f>
        <v>12.256375500000001</v>
      </c>
      <c r="S53" s="55">
        <f>_xll.EQNXTDZ($A$1,$B53,S$1,$B$1)</f>
        <v>99.595309299999997</v>
      </c>
      <c r="T53" s="55">
        <f>_xll.EQNXTDZ($A$1,$B53,T$1,$B$1)</f>
        <v>134.4814969</v>
      </c>
      <c r="U53" s="55">
        <f>_xll.EQNXTDZ($A$1,$B53,U$1,$B$1)</f>
        <v>165.625</v>
      </c>
      <c r="V53" s="55">
        <f>_xll.EQNXTDZ($A$1,$B53,V$1,$B$1)</f>
        <v>152.74100000000001</v>
      </c>
      <c r="W53" s="55">
        <f>_xll.EQNXTDZ($A$1,$B53,W$1,$B$1)</f>
        <v>6.3029999999999999</v>
      </c>
      <c r="X53" s="55">
        <f>_xll.EQNXTDZ($A$1,$B53,X$1,$B$1)</f>
        <v>0.38500000000000001</v>
      </c>
      <c r="Y53" s="55">
        <f>_xll.EQNXTDZ($A$1,$B53,Y$1,$B$1)</f>
        <v>8.9160000000000004</v>
      </c>
      <c r="Z53" s="55">
        <f>_xll.EQNXTDZ($A$1,$B53,Z$1,$B$1)</f>
        <v>761.66800000000001</v>
      </c>
      <c r="AA53" s="55">
        <f>_xll.EQNXTDZ($A$1,$B53,AA$1,$B$1)</f>
        <v>1421.6089999999999</v>
      </c>
      <c r="AB53" s="55">
        <f>_xll.EQNXTDZ($A$1,$B53,AB$1,$B$1)</f>
        <v>927.68499999999995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9.6831799999999996E-2</v>
      </c>
      <c r="K54" s="55">
        <f>_xll.EQNXTDZ($A$1,$B54,K$1,$B$1)</f>
        <v>1.5452958000000001</v>
      </c>
      <c r="L54" s="55">
        <f>_xll.EQNXTDZ($A$1,$B54,L$1,$B$1)</f>
        <v>3.7121626000000001</v>
      </c>
      <c r="M54" s="55">
        <f>_xll.EQNXTDZ($A$1,$B54,M$1,$B$1)</f>
        <v>0</v>
      </c>
      <c r="N54" s="55">
        <f>_xll.EQNXTDZ($A$1,$B54,N$1,$B$1)</f>
        <v>1.7914616999999999</v>
      </c>
      <c r="O54" s="55">
        <f>_xll.EQNXTDZ($A$1,$B54,O$1,$B$1)</f>
        <v>243.4507145</v>
      </c>
      <c r="P54" s="55">
        <f>_xll.EQNXTDZ($A$1,$B54,P$1,$B$1)</f>
        <v>303.02296790000003</v>
      </c>
      <c r="Q54" s="55">
        <f>_xll.EQNXTDZ($A$1,$B54,Q$1,$B$1)</f>
        <v>266.98989970000002</v>
      </c>
      <c r="R54" s="55">
        <f>_xll.EQNXTDZ($A$1,$B54,R$1,$B$1)</f>
        <v>323.31180790000002</v>
      </c>
      <c r="S54" s="55">
        <f>_xll.EQNXTDZ($A$1,$B54,S$1,$B$1)</f>
        <v>531.51170200000001</v>
      </c>
      <c r="T54" s="55">
        <f>_xll.EQNXTDZ($A$1,$B54,T$1,$B$1)</f>
        <v>614.64907340000002</v>
      </c>
      <c r="U54" s="55">
        <f>_xll.EQNXTDZ($A$1,$B54,U$1,$B$1)</f>
        <v>637.76</v>
      </c>
      <c r="V54" s="55">
        <f>_xll.EQNXTDZ($A$1,$B54,V$1,$B$1)</f>
        <v>939.49300000000005</v>
      </c>
      <c r="W54" s="55">
        <f>_xll.EQNXTDZ($A$1,$B54,W$1,$B$1)</f>
        <v>2276.4290000000001</v>
      </c>
      <c r="X54" s="55">
        <f>_xll.EQNXTDZ($A$1,$B54,X$1,$B$1)</f>
        <v>4066.81</v>
      </c>
      <c r="Y54" s="55">
        <f>_xll.EQNXTDZ($A$1,$B54,Y$1,$B$1)</f>
        <v>4071.5070000000001</v>
      </c>
      <c r="Z54" s="55">
        <f>_xll.EQNXTDZ($A$1,$B54,Z$1,$B$1)</f>
        <v>7196.98</v>
      </c>
      <c r="AA54" s="55">
        <f>_xll.EQNXTDZ($A$1,$B54,AA$1,$B$1)</f>
        <v>7317.7150000000001</v>
      </c>
      <c r="AB54" s="55">
        <f>_xll.EQNXTDZ($A$1,$B54,AB$1,$B$1)</f>
        <v>9170.2829999999994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7.9343725999999997</v>
      </c>
      <c r="K55" s="55">
        <f>_xll.EQNXTDZ($A$1,$B55,K$1,$B$1)</f>
        <v>7.9537848999999996</v>
      </c>
      <c r="L55" s="55">
        <f>_xll.EQNXTDZ($A$1,$B55,L$1,$B$1)</f>
        <v>7.2632975000000002</v>
      </c>
      <c r="M55" s="55">
        <f>_xll.EQNXTDZ($A$1,$B55,M$1,$B$1)</f>
        <v>7.9995323000000003</v>
      </c>
      <c r="N55" s="55">
        <f>_xll.EQNXTDZ($A$1,$B55,N$1,$B$1)</f>
        <v>4.2324301000000002</v>
      </c>
      <c r="O55" s="55">
        <f>_xll.EQNXTDZ($A$1,$B55,O$1,$B$1)</f>
        <v>249.68551830000001</v>
      </c>
      <c r="P55" s="55">
        <f>_xll.EQNXTDZ($A$1,$B55,P$1,$B$1)</f>
        <v>105.5386687</v>
      </c>
      <c r="Q55" s="55">
        <f>_xll.EQNXTDZ($A$1,$B55,Q$1,$B$1)</f>
        <v>106.83245580000001</v>
      </c>
      <c r="R55" s="55">
        <f>_xll.EQNXTDZ($A$1,$B55,R$1,$B$1)</f>
        <v>84.640706600000001</v>
      </c>
      <c r="S55" s="55">
        <f>_xll.EQNXTDZ($A$1,$B55,S$1,$B$1)</f>
        <v>106.46052210000001</v>
      </c>
      <c r="T55" s="55">
        <f>_xll.EQNXTDZ($A$1,$B55,T$1,$B$1)</f>
        <v>150.38691800000001</v>
      </c>
      <c r="U55" s="55">
        <f>_xll.EQNXTDZ($A$1,$B55,U$1,$B$1)</f>
        <v>162.01400000000001</v>
      </c>
      <c r="V55" s="55">
        <f>_xll.EQNXTDZ($A$1,$B55,V$1,$B$1)</f>
        <v>161.63300000000001</v>
      </c>
      <c r="W55" s="55">
        <f>_xll.EQNXTDZ($A$1,$B55,W$1,$B$1)</f>
        <v>213.78299999999999</v>
      </c>
      <c r="X55" s="55">
        <f>_xll.EQNXTDZ($A$1,$B55,X$1,$B$1)</f>
        <v>297.93400000000003</v>
      </c>
      <c r="Y55" s="55">
        <f>_xll.EQNXTDZ($A$1,$B55,Y$1,$B$1)</f>
        <v>429.54</v>
      </c>
      <c r="Z55" s="55">
        <f>_xll.EQNXTDZ($A$1,$B55,Z$1,$B$1)</f>
        <v>443.75</v>
      </c>
      <c r="AA55" s="55">
        <f>_xll.EQNXTDZ($A$1,$B55,AA$1,$B$1)</f>
        <v>470.56700000000001</v>
      </c>
      <c r="AB55" s="55">
        <f>_xll.EQNXTDZ($A$1,$B55,AB$1,$B$1)</f>
        <v>569.47699999999998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159.9077623</v>
      </c>
      <c r="P56" s="55">
        <f>_xll.EQNXTDZ($A$1,$B56,P$1,$B$1)</f>
        <v>208.03729530000001</v>
      </c>
      <c r="Q56" s="55">
        <f>_xll.EQNXTDZ($A$1,$B56,Q$1,$B$1)</f>
        <v>245.52740800000001</v>
      </c>
      <c r="R56" s="55">
        <f>_xll.EQNXTDZ($A$1,$B56,R$1,$B$1)</f>
        <v>348.18583630000001</v>
      </c>
      <c r="S56" s="55">
        <f>_xll.EQNXTDZ($A$1,$B56,S$1,$B$1)</f>
        <v>762.43536029999996</v>
      </c>
      <c r="T56" s="55">
        <f>_xll.EQNXTDZ($A$1,$B56,T$1,$B$1)</f>
        <v>1115.0239747000001</v>
      </c>
      <c r="U56" s="55">
        <f>_xll.EQNXTDZ($A$1,$B56,U$1,$B$1)</f>
        <v>864.74900000000002</v>
      </c>
      <c r="V56" s="55">
        <f>_xll.EQNXTDZ($A$1,$B56,V$1,$B$1)</f>
        <v>486.07299999999998</v>
      </c>
      <c r="W56" s="55">
        <f>_xll.EQNXTDZ($A$1,$B56,W$1,$B$1)</f>
        <v>1170.2570000000001</v>
      </c>
      <c r="X56" s="55">
        <f>_xll.EQNXTDZ($A$1,$B56,X$1,$B$1)</f>
        <v>1256.923</v>
      </c>
      <c r="Y56" s="55">
        <f>_xll.EQNXTDZ($A$1,$B56,Y$1,$B$1)</f>
        <v>782.78899999999999</v>
      </c>
      <c r="Z56" s="55">
        <f>_xll.EQNXTDZ($A$1,$B56,Z$1,$B$1)</f>
        <v>2531.998</v>
      </c>
      <c r="AA56" s="55">
        <f>_xll.EQNXTDZ($A$1,$B56,AA$1,$B$1)</f>
        <v>3376.1559999999999</v>
      </c>
      <c r="AB56" s="55">
        <f>_xll.EQNXTDZ($A$1,$B56,AB$1,$B$1)</f>
        <v>7875.5389999999998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2.6492572999999999</v>
      </c>
      <c r="K57" s="55">
        <f>_xll.EQNXTDZ($A$1,$B57,K$1,$B$1)</f>
        <v>3.6044950999999998</v>
      </c>
      <c r="L57" s="55">
        <f>_xll.EQNXTDZ($A$1,$B57,L$1,$B$1)</f>
        <v>8.2785542999999997</v>
      </c>
      <c r="M57" s="55">
        <f>_xll.EQNXTDZ($A$1,$B57,M$1,$B$1)</f>
        <v>1.8356385</v>
      </c>
      <c r="N57" s="55">
        <f>_xll.EQNXTDZ($A$1,$B57,N$1,$B$1)</f>
        <v>2.7820586</v>
      </c>
      <c r="O57" s="55">
        <f>_xll.EQNXTDZ($A$1,$B57,O$1,$B$1)</f>
        <v>1.0573958000000001</v>
      </c>
      <c r="P57" s="55">
        <f>_xll.EQNXTDZ($A$1,$B57,P$1,$B$1)</f>
        <v>1.3556025</v>
      </c>
      <c r="Q57" s="55">
        <f>_xll.EQNXTDZ($A$1,$B57,Q$1,$B$1)</f>
        <v>1.2095156</v>
      </c>
      <c r="R57" s="55">
        <f>_xll.EQNXTDZ($A$1,$B57,R$1,$B$1)</f>
        <v>1.1827827</v>
      </c>
      <c r="S57" s="55">
        <f>_xll.EQNXTDZ($A$1,$B57,S$1,$B$1)</f>
        <v>1.2447136000000001</v>
      </c>
      <c r="T57" s="55">
        <f>_xll.EQNXTDZ($A$1,$B57,T$1,$B$1)</f>
        <v>7.3901342999999997</v>
      </c>
      <c r="U57" s="55">
        <f>_xll.EQNXTDZ($A$1,$B57,U$1,$B$1)</f>
        <v>9.3190000000000008</v>
      </c>
      <c r="V57" s="55">
        <f>_xll.EQNXTDZ($A$1,$B57,V$1,$B$1)</f>
        <v>14.461</v>
      </c>
      <c r="W57" s="55">
        <f>_xll.EQNXTDZ($A$1,$B57,W$1,$B$1)</f>
        <v>283.09699999999998</v>
      </c>
      <c r="X57" s="55">
        <f>_xll.EQNXTDZ($A$1,$B57,X$1,$B$1)</f>
        <v>491.96899999999999</v>
      </c>
      <c r="Y57" s="55">
        <f>_xll.EQNXTDZ($A$1,$B57,Y$1,$B$1)</f>
        <v>624.06600000000003</v>
      </c>
      <c r="Z57" s="55">
        <f>_xll.EQNXTDZ($A$1,$B57,Z$1,$B$1)</f>
        <v>7.7759999999999998</v>
      </c>
      <c r="AA57" s="55">
        <f>_xll.EQNXTDZ($A$1,$B57,AA$1,$B$1)</f>
        <v>9.74</v>
      </c>
      <c r="AB57" s="55">
        <f>_xll.EQNXTDZ($A$1,$B57,AB$1,$B$1)</f>
        <v>370.98500000000001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10.6804617</v>
      </c>
      <c r="K59" s="55">
        <f>_xll.EQNXTDZ($A$1,$B59,K$1,$B$1)</f>
        <v>13.1035758</v>
      </c>
      <c r="L59" s="55">
        <f>_xll.EQNXTDZ($A$1,$B59,L$1,$B$1)</f>
        <v>19.254014399999999</v>
      </c>
      <c r="M59" s="55">
        <f>_xll.EQNXTDZ($A$1,$B59,M$1,$B$1)</f>
        <v>9.8351708000000002</v>
      </c>
      <c r="N59" s="55">
        <f>_xll.EQNXTDZ($A$1,$B59,N$1,$B$1)</f>
        <v>8.8059504000000004</v>
      </c>
      <c r="O59" s="55">
        <f>_xll.EQNXTDZ($A$1,$B59,O$1,$B$1)</f>
        <v>654.10139089999996</v>
      </c>
      <c r="P59" s="55">
        <f>_xll.EQNXTDZ($A$1,$B59,P$1,$B$1)</f>
        <v>617.95453440000006</v>
      </c>
      <c r="Q59" s="55">
        <f>_xll.EQNXTDZ($A$1,$B59,Q$1,$B$1)</f>
        <v>620.55927910000003</v>
      </c>
      <c r="R59" s="55">
        <f>_xll.EQNXTDZ($A$1,$B59,R$1,$B$1)</f>
        <v>757.32113349999997</v>
      </c>
      <c r="S59" s="55">
        <f>_xll.EQNXTDZ($A$1,$B59,S$1,$B$1)</f>
        <v>1401.652298</v>
      </c>
      <c r="T59" s="55">
        <f>_xll.EQNXTDZ($A$1,$B59,T$1,$B$1)</f>
        <v>1887.4501004000001</v>
      </c>
      <c r="U59" s="55">
        <f>_xll.EQNXTDZ($A$1,$B59,U$1,$B$1)</f>
        <v>1673.8420000000001</v>
      </c>
      <c r="V59" s="55">
        <f>_xll.EQNXTDZ($A$1,$B59,V$1,$B$1)</f>
        <v>1601.66</v>
      </c>
      <c r="W59" s="55">
        <f>_xll.EQNXTDZ($A$1,$B59,W$1,$B$1)</f>
        <v>3943.5659999999998</v>
      </c>
      <c r="X59" s="55">
        <f>_xll.EQNXTDZ($A$1,$B59,X$1,$B$1)</f>
        <v>6113.6360000000004</v>
      </c>
      <c r="Y59" s="55">
        <f>_xll.EQNXTDZ($A$1,$B59,Y$1,$B$1)</f>
        <v>5907.902</v>
      </c>
      <c r="Z59" s="55">
        <f>_xll.EQNXTDZ($A$1,$B59,Z$1,$B$1)</f>
        <v>10180.504000000001</v>
      </c>
      <c r="AA59" s="55">
        <f>_xll.EQNXTDZ($A$1,$B59,AA$1,$B$1)</f>
        <v>11174.178</v>
      </c>
      <c r="AB59" s="55">
        <f>_xll.EQNXTDZ($A$1,$B59,AB$1,$B$1)</f>
        <v>17986.284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190.65273780000001</v>
      </c>
      <c r="K60" s="55">
        <f>_xll.EQNXTDZ($A$1,$B60,K$1,$B$1)</f>
        <v>194.85833650000001</v>
      </c>
      <c r="L60" s="55">
        <f>_xll.EQNXTDZ($A$1,$B60,L$1,$B$1)</f>
        <v>280.17754619999999</v>
      </c>
      <c r="M60" s="55">
        <f>_xll.EQNXTDZ($A$1,$B60,M$1,$B$1)</f>
        <v>268.37108979999999</v>
      </c>
      <c r="N60" s="55">
        <f>_xll.EQNXTDZ($A$1,$B60,N$1,$B$1)</f>
        <v>239.27919679999999</v>
      </c>
      <c r="O60" s="55">
        <f>_xll.EQNXTDZ($A$1,$B60,O$1,$B$1)</f>
        <v>988.90018429999998</v>
      </c>
      <c r="P60" s="55">
        <f>_xll.EQNXTDZ($A$1,$B60,P$1,$B$1)</f>
        <v>954.69309459999999</v>
      </c>
      <c r="Q60" s="55">
        <f>_xll.EQNXTDZ($A$1,$B60,Q$1,$B$1)</f>
        <v>974.13568199999997</v>
      </c>
      <c r="R60" s="55">
        <f>_xll.EQNXTDZ($A$1,$B60,R$1,$B$1)</f>
        <v>1138.8809689</v>
      </c>
      <c r="S60" s="55">
        <f>_xll.EQNXTDZ($A$1,$B60,S$1,$B$1)</f>
        <v>1890.6826120000001</v>
      </c>
      <c r="T60" s="55">
        <f>_xll.EQNXTDZ($A$1,$B60,T$1,$B$1)</f>
        <v>2496.8747171</v>
      </c>
      <c r="U60" s="55">
        <f>_xll.EQNXTDZ($A$1,$B60,U$1,$B$1)</f>
        <v>2370.902</v>
      </c>
      <c r="V60" s="55">
        <f>_xll.EQNXTDZ($A$1,$B60,V$1,$B$1)</f>
        <v>2345.8200000000002</v>
      </c>
      <c r="W60" s="55">
        <f>_xll.EQNXTDZ($A$1,$B60,W$1,$B$1)</f>
        <v>5080.866</v>
      </c>
      <c r="X60" s="55">
        <f>_xll.EQNXTDZ($A$1,$B60,X$1,$B$1)</f>
        <v>7698.3980000000001</v>
      </c>
      <c r="Y60" s="55">
        <f>_xll.EQNXTDZ($A$1,$B60,Y$1,$B$1)</f>
        <v>8078.3760000000002</v>
      </c>
      <c r="Z60" s="55">
        <f>_xll.EQNXTDZ($A$1,$B60,Z$1,$B$1)</f>
        <v>13980.775</v>
      </c>
      <c r="AA60" s="55">
        <f>_xll.EQNXTDZ($A$1,$B60,AA$1,$B$1)</f>
        <v>18234.888999999999</v>
      </c>
      <c r="AB60" s="55">
        <f>_xll.EQNXTDZ($A$1,$B60,AB$1,$B$1)</f>
        <v>25062.899000000001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11.050205800000001</v>
      </c>
      <c r="K62" s="55">
        <f>_xll.EQNXTDZ($A$1,$B62,K$1,$B$1)</f>
        <v>15.220843500000001</v>
      </c>
      <c r="L62" s="55">
        <f>_xll.EQNXTDZ($A$1,$B62,L$1,$B$1)</f>
        <v>15.445991100000001</v>
      </c>
      <c r="M62" s="55">
        <f>_xll.EQNXTDZ($A$1,$B62,M$1,$B$1)</f>
        <v>79.176324899999997</v>
      </c>
      <c r="N62" s="55">
        <f>_xll.EQNXTDZ($A$1,$B62,N$1,$B$1)</f>
        <v>79.332656099999994</v>
      </c>
      <c r="O62" s="55">
        <f>_xll.EQNXTDZ($A$1,$B62,O$1,$B$1)</f>
        <v>226.0509931</v>
      </c>
      <c r="P62" s="55">
        <f>_xll.EQNXTDZ($A$1,$B62,P$1,$B$1)</f>
        <v>228.1037992</v>
      </c>
      <c r="Q62" s="55">
        <f>_xll.EQNXTDZ($A$1,$B62,Q$1,$B$1)</f>
        <v>235.67258090000001</v>
      </c>
      <c r="R62" s="55">
        <f>_xll.EQNXTDZ($A$1,$B62,R$1,$B$1)</f>
        <v>235.81198649999999</v>
      </c>
      <c r="S62" s="55">
        <f>_xll.EQNXTDZ($A$1,$B62,S$1,$B$1)</f>
        <v>247.22775659999999</v>
      </c>
      <c r="T62" s="55">
        <f>_xll.EQNXTDZ($A$1,$B62,T$1,$B$1)</f>
        <v>250.60776519999999</v>
      </c>
      <c r="U62" s="55">
        <f>_xll.EQNXTDZ($A$1,$B62,U$1,$B$1)</f>
        <v>167.666</v>
      </c>
      <c r="V62" s="55">
        <f>_xll.EQNXTDZ($A$1,$B62,V$1,$B$1)</f>
        <v>151.30099999999999</v>
      </c>
      <c r="W62" s="55">
        <f>_xll.EQNXTDZ($A$1,$B62,W$1,$B$1)</f>
        <v>156.54</v>
      </c>
      <c r="X62" s="55">
        <f>_xll.EQNXTDZ($A$1,$B62,X$1,$B$1)</f>
        <v>202.14599999999999</v>
      </c>
      <c r="Y62" s="55">
        <f>_xll.EQNXTDZ($A$1,$B62,Y$1,$B$1)</f>
        <v>260.71499999999997</v>
      </c>
      <c r="Z62" s="55">
        <f>_xll.EQNXTDZ($A$1,$B62,Z$1,$B$1)</f>
        <v>523.62900000000002</v>
      </c>
      <c r="AA62" s="55">
        <f>_xll.EQNXTDZ($A$1,$B62,AA$1,$B$1)</f>
        <v>697.14400000000001</v>
      </c>
      <c r="AB62" s="55">
        <f>_xll.EQNXTDZ($A$1,$B62,AB$1,$B$1)</f>
        <v>821.35599999999999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2.0287263000000002</v>
      </c>
      <c r="K63" s="55">
        <f>_xll.EQNXTDZ($A$1,$B63,K$1,$B$1)</f>
        <v>3.1024113</v>
      </c>
      <c r="L63" s="55">
        <f>_xll.EQNXTDZ($A$1,$B63,L$1,$B$1)</f>
        <v>4.1326026999999996</v>
      </c>
      <c r="M63" s="55">
        <f>_xll.EQNXTDZ($A$1,$B63,M$1,$B$1)</f>
        <v>3.6883720000000002</v>
      </c>
      <c r="N63" s="55">
        <f>_xll.EQNXTDZ($A$1,$B63,N$1,$B$1)</f>
        <v>5.2419983999999999</v>
      </c>
      <c r="O63" s="55">
        <f>_xll.EQNXTDZ($A$1,$B63,O$1,$B$1)</f>
        <v>93.936457399999995</v>
      </c>
      <c r="P63" s="55">
        <f>_xll.EQNXTDZ($A$1,$B63,P$1,$B$1)</f>
        <v>101.03354059999999</v>
      </c>
      <c r="Q63" s="55">
        <f>_xll.EQNXTDZ($A$1,$B63,Q$1,$B$1)</f>
        <v>114.55457389999999</v>
      </c>
      <c r="R63" s="55">
        <f>_xll.EQNXTDZ($A$1,$B63,R$1,$B$1)</f>
        <v>113.93211959999999</v>
      </c>
      <c r="S63" s="55">
        <f>_xll.EQNXTDZ($A$1,$B63,S$1,$B$1)</f>
        <v>124.44561299999999</v>
      </c>
      <c r="T63" s="55">
        <f>_xll.EQNXTDZ($A$1,$B63,T$1,$B$1)</f>
        <v>134.8037453</v>
      </c>
      <c r="U63" s="55">
        <f>_xll.EQNXTDZ($A$1,$B63,U$1,$B$1)</f>
        <v>33.694000000000003</v>
      </c>
      <c r="V63" s="55">
        <f>_xll.EQNXTDZ($A$1,$B63,V$1,$B$1)</f>
        <v>27.367000000000001</v>
      </c>
      <c r="W63" s="55">
        <f>_xll.EQNXTDZ($A$1,$B63,W$1,$B$1)</f>
        <v>45.106000000000002</v>
      </c>
      <c r="X63" s="55">
        <f>_xll.EQNXTDZ($A$1,$B63,X$1,$B$1)</f>
        <v>53.655999999999999</v>
      </c>
      <c r="Y63" s="55">
        <f>_xll.EQNXTDZ($A$1,$B63,Y$1,$B$1)</f>
        <v>77.459999999999994</v>
      </c>
      <c r="Z63" s="55">
        <f>_xll.EQNXTDZ($A$1,$B63,Z$1,$B$1)</f>
        <v>118.074</v>
      </c>
      <c r="AA63" s="55">
        <f>_xll.EQNXTDZ($A$1,$B63,AA$1,$B$1)</f>
        <v>201.20400000000001</v>
      </c>
      <c r="AB63" s="55">
        <f>_xll.EQNXTDZ($A$1,$B63,AB$1,$B$1)</f>
        <v>319.50599999999997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9.0214794999999999</v>
      </c>
      <c r="K65" s="55">
        <f>_xll.EQNXTDZ($A$1,$B65,K$1,$B$1)</f>
        <v>12.118432200000001</v>
      </c>
      <c r="L65" s="55">
        <f>_xll.EQNXTDZ($A$1,$B65,L$1,$B$1)</f>
        <v>11.313388399999999</v>
      </c>
      <c r="M65" s="55">
        <f>_xll.EQNXTDZ($A$1,$B65,M$1,$B$1)</f>
        <v>75.487952899999996</v>
      </c>
      <c r="N65" s="55">
        <f>_xll.EQNXTDZ($A$1,$B65,N$1,$B$1)</f>
        <v>74.090657699999994</v>
      </c>
      <c r="O65" s="55">
        <f>_xll.EQNXTDZ($A$1,$B65,O$1,$B$1)</f>
        <v>132.1145357</v>
      </c>
      <c r="P65" s="55">
        <f>_xll.EQNXTDZ($A$1,$B65,P$1,$B$1)</f>
        <v>127.0702586</v>
      </c>
      <c r="Q65" s="55">
        <f>_xll.EQNXTDZ($A$1,$B65,Q$1,$B$1)</f>
        <v>121.11800700000001</v>
      </c>
      <c r="R65" s="55">
        <f>_xll.EQNXTDZ($A$1,$B65,R$1,$B$1)</f>
        <v>121.8798669</v>
      </c>
      <c r="S65" s="55">
        <f>_xll.EQNXTDZ($A$1,$B65,S$1,$B$1)</f>
        <v>122.7821436</v>
      </c>
      <c r="T65" s="55">
        <f>_xll.EQNXTDZ($A$1,$B65,T$1,$B$1)</f>
        <v>115.8040199</v>
      </c>
      <c r="U65" s="55">
        <f>_xll.EQNXTDZ($A$1,$B65,U$1,$B$1)</f>
        <v>133.97200000000001</v>
      </c>
      <c r="V65" s="55">
        <f>_xll.EQNXTDZ($A$1,$B65,V$1,$B$1)</f>
        <v>123.934</v>
      </c>
      <c r="W65" s="55">
        <f>_xll.EQNXTDZ($A$1,$B65,W$1,$B$1)</f>
        <v>111.434</v>
      </c>
      <c r="X65" s="55">
        <f>_xll.EQNXTDZ($A$1,$B65,X$1,$B$1)</f>
        <v>148.49</v>
      </c>
      <c r="Y65" s="55">
        <f>_xll.EQNXTDZ($A$1,$B65,Y$1,$B$1)</f>
        <v>183.255</v>
      </c>
      <c r="Z65" s="55">
        <f>_xll.EQNXTDZ($A$1,$B65,Z$1,$B$1)</f>
        <v>405.55500000000001</v>
      </c>
      <c r="AA65" s="55">
        <f>_xll.EQNXTDZ($A$1,$B65,AA$1,$B$1)</f>
        <v>495.94</v>
      </c>
      <c r="AB65" s="55">
        <f>_xll.EQNXTDZ($A$1,$B65,AB$1,$B$1)</f>
        <v>501.85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8.39564E-2</v>
      </c>
      <c r="L67" s="55">
        <f>_xll.EQNXTDZ($A$1,$B67,L$1,$B$1)</f>
        <v>9.4796063000000004</v>
      </c>
      <c r="M67" s="55">
        <f>_xll.EQNXTDZ($A$1,$B67,M$1,$B$1)</f>
        <v>0.12824479999999999</v>
      </c>
      <c r="N67" s="55">
        <f>_xll.EQNXTDZ($A$1,$B67,N$1,$B$1)</f>
        <v>0</v>
      </c>
      <c r="O67" s="55">
        <f>_xll.EQNXTDZ($A$1,$B67,O$1,$B$1)</f>
        <v>1.3156015999999999</v>
      </c>
      <c r="P67" s="55">
        <f>_xll.EQNXTDZ($A$1,$B67,P$1,$B$1)</f>
        <v>1.8374999999999999</v>
      </c>
      <c r="Q67" s="55">
        <f>_xll.EQNXTDZ($A$1,$B67,Q$1,$B$1)</f>
        <v>0.87992369999999998</v>
      </c>
      <c r="R67" s="55">
        <f>_xll.EQNXTDZ($A$1,$B67,R$1,$B$1)</f>
        <v>1.2643498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61.523000000000003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0.64300000000000002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1.8335999999999999</v>
      </c>
      <c r="S68" s="55">
        <f>_xll.EQNXTDZ($A$1,$B68,S$1,$B$1)</f>
        <v>0.64137520000000003</v>
      </c>
      <c r="T68" s="55">
        <f>_xll.EQNXTDZ($A$1,$B68,T$1,$B$1)</f>
        <v>0</v>
      </c>
      <c r="U68" s="55">
        <f>_xll.EQNXTDZ($A$1,$B68,U$1,$B$1)</f>
        <v>0.56899999999999995</v>
      </c>
      <c r="V68" s="55">
        <f>_xll.EQNXTDZ($A$1,$B68,V$1,$B$1)</f>
        <v>2.0880000000000001</v>
      </c>
      <c r="W68" s="55">
        <f>_xll.EQNXTDZ($A$1,$B68,W$1,$B$1)</f>
        <v>0.183</v>
      </c>
      <c r="X68" s="55">
        <f>_xll.EQNXTDZ($A$1,$B68,X$1,$B$1)</f>
        <v>11.996</v>
      </c>
      <c r="Y68" s="55">
        <f>_xll.EQNXTDZ($A$1,$B68,Y$1,$B$1)</f>
        <v>0.108</v>
      </c>
      <c r="Z68" s="55">
        <f>_xll.EQNXTDZ($A$1,$B68,Z$1,$B$1)</f>
        <v>0.60299999999999998</v>
      </c>
      <c r="AA68" s="55">
        <f>_xll.EQNXTDZ($A$1,$B68,AA$1,$B$1)</f>
        <v>3.8660000000000001</v>
      </c>
      <c r="AB68" s="55">
        <f>_xll.EQNXTDZ($A$1,$B68,AB$1,$B$1)</f>
        <v>9.0459999999999994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0.128</v>
      </c>
      <c r="W70" s="55">
        <f>_xll.EQNXTDZ($A$1,$B70,W$1,$B$1)</f>
        <v>3.3940000000000001</v>
      </c>
      <c r="X70" s="55">
        <f>_xll.EQNXTDZ($A$1,$B70,X$1,$B$1)</f>
        <v>3.3359999999999999</v>
      </c>
      <c r="Y70" s="55">
        <f>_xll.EQNXTDZ($A$1,$B70,Y$1,$B$1)</f>
        <v>3.278</v>
      </c>
      <c r="Z70" s="55">
        <f>_xll.EQNXTDZ($A$1,$B70,Z$1,$B$1)</f>
        <v>3.22</v>
      </c>
      <c r="AA70" s="55">
        <f>_xll.EQNXTDZ($A$1,$B70,AA$1,$B$1)</f>
        <v>3.1619999999999999</v>
      </c>
      <c r="AB70" s="55">
        <f>_xll.EQNXTDZ($A$1,$B70,AB$1,$B$1)</f>
        <v>3.1040000000000001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124.9636837</v>
      </c>
      <c r="K71" s="55">
        <f>_xll.EQNXTDZ($A$1,$B71,K$1,$B$1)</f>
        <v>56.282946799999998</v>
      </c>
      <c r="L71" s="55">
        <f>_xll.EQNXTDZ($A$1,$B71,L$1,$B$1)</f>
        <v>58.532946799999998</v>
      </c>
      <c r="M71" s="55">
        <f>_xll.EQNXTDZ($A$1,$B71,M$1,$B$1)</f>
        <v>94.563287099999997</v>
      </c>
      <c r="N71" s="55">
        <f>_xll.EQNXTDZ($A$1,$B71,N$1,$B$1)</f>
        <v>109.1009868</v>
      </c>
      <c r="O71" s="55">
        <f>_xll.EQNXTDZ($A$1,$B71,O$1,$B$1)</f>
        <v>2.1039999999999999E-4</v>
      </c>
      <c r="P71" s="55">
        <f>_xll.EQNXTDZ($A$1,$B71,P$1,$B$1)</f>
        <v>2.1039999999999999E-4</v>
      </c>
      <c r="Q71" s="55">
        <f>_xll.EQNXTDZ($A$1,$B71,Q$1,$B$1)</f>
        <v>2.1039999999999999E-4</v>
      </c>
      <c r="R71" s="55">
        <f>_xll.EQNXTDZ($A$1,$B71,R$1,$B$1)</f>
        <v>2.1039999999999999E-4</v>
      </c>
      <c r="S71" s="55">
        <f>_xll.EQNXTDZ($A$1,$B71,S$1,$B$1)</f>
        <v>2.1039999999999999E-4</v>
      </c>
      <c r="T71" s="55">
        <f>_xll.EQNXTDZ($A$1,$B71,T$1,$B$1)</f>
        <v>2.1039999999999999E-4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109.474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6.5899858</v>
      </c>
      <c r="O72" s="55">
        <f>_xll.EQNXTDZ($A$1,$B72,O$1,$B$1)</f>
        <v>52.033846400000002</v>
      </c>
      <c r="P72" s="55">
        <f>_xll.EQNXTDZ($A$1,$B72,P$1,$B$1)</f>
        <v>52.149016899999999</v>
      </c>
      <c r="Q72" s="55">
        <f>_xll.EQNXTDZ($A$1,$B72,Q$1,$B$1)</f>
        <v>47.909913799999998</v>
      </c>
      <c r="R72" s="55">
        <f>_xll.EQNXTDZ($A$1,$B72,R$1,$B$1)</f>
        <v>18.140998100000001</v>
      </c>
      <c r="S72" s="55">
        <f>_xll.EQNXTDZ($A$1,$B72,S$1,$B$1)</f>
        <v>108.2745401</v>
      </c>
      <c r="T72" s="55">
        <f>_xll.EQNXTDZ($A$1,$B72,T$1,$B$1)</f>
        <v>157.11697580000001</v>
      </c>
      <c r="U72" s="55">
        <f>_xll.EQNXTDZ($A$1,$B72,U$1,$B$1)</f>
        <v>233.625</v>
      </c>
      <c r="V72" s="55">
        <f>_xll.EQNXTDZ($A$1,$B72,V$1,$B$1)</f>
        <v>425.05</v>
      </c>
      <c r="W72" s="55">
        <f>_xll.EQNXTDZ($A$1,$B72,W$1,$B$1)</f>
        <v>1431.038</v>
      </c>
      <c r="X72" s="55">
        <f>_xll.EQNXTDZ($A$1,$B72,X$1,$B$1)</f>
        <v>174.11199999999999</v>
      </c>
      <c r="Y72" s="55">
        <f>_xll.EQNXTDZ($A$1,$B72,Y$1,$B$1)</f>
        <v>155.42500000000001</v>
      </c>
      <c r="Z72" s="55">
        <f>_xll.EQNXTDZ($A$1,$B72,Z$1,$B$1)</f>
        <v>732.83500000000004</v>
      </c>
      <c r="AA72" s="55">
        <f>_xll.EQNXTDZ($A$1,$B72,AA$1,$B$1)</f>
        <v>1354.261</v>
      </c>
      <c r="AB72" s="55">
        <f>_xll.EQNXTDZ($A$1,$B72,AB$1,$B$1)</f>
        <v>817.245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9.6154130000000002</v>
      </c>
      <c r="P73" s="55">
        <f>_xll.EQNXTDZ($A$1,$B73,P$1,$B$1)</f>
        <v>2.7344750000000002</v>
      </c>
      <c r="Q73" s="55">
        <f>_xll.EQNXTDZ($A$1,$B73,Q$1,$B$1)</f>
        <v>3.0697835000000002</v>
      </c>
      <c r="R73" s="55">
        <f>_xll.EQNXTDZ($A$1,$B73,R$1,$B$1)</f>
        <v>3.2412082</v>
      </c>
      <c r="S73" s="55">
        <f>_xll.EQNXTDZ($A$1,$B73,S$1,$B$1)</f>
        <v>3.7574999999999998</v>
      </c>
      <c r="T73" s="55">
        <f>_xll.EQNXTDZ($A$1,$B73,T$1,$B$1)</f>
        <v>3.2077423999999999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3074.0349999999999</v>
      </c>
      <c r="AA73" s="55">
        <f>_xll.EQNXTDZ($A$1,$B73,AA$1,$B$1)</f>
        <v>4217.04</v>
      </c>
      <c r="AB73" s="55">
        <f>_xll.EQNXTDZ($A$1,$B73,AB$1,$B$1)</f>
        <v>1469.239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133.98516319999999</v>
      </c>
      <c r="K74" s="55">
        <f>_xll.EQNXTDZ($A$1,$B74,K$1,$B$1)</f>
        <v>68.485335399999997</v>
      </c>
      <c r="L74" s="55">
        <f>_xll.EQNXTDZ($A$1,$B74,L$1,$B$1)</f>
        <v>79.325941499999999</v>
      </c>
      <c r="M74" s="55">
        <f>_xll.EQNXTDZ($A$1,$B74,M$1,$B$1)</f>
        <v>170.17948480000001</v>
      </c>
      <c r="N74" s="55">
        <f>_xll.EQNXTDZ($A$1,$B74,N$1,$B$1)</f>
        <v>189.78163029999999</v>
      </c>
      <c r="O74" s="55">
        <f>_xll.EQNXTDZ($A$1,$B74,O$1,$B$1)</f>
        <v>195.0796071</v>
      </c>
      <c r="P74" s="55">
        <f>_xll.EQNXTDZ($A$1,$B74,P$1,$B$1)</f>
        <v>183.7914609</v>
      </c>
      <c r="Q74" s="55">
        <f>_xll.EQNXTDZ($A$1,$B74,Q$1,$B$1)</f>
        <v>172.9778384</v>
      </c>
      <c r="R74" s="55">
        <f>_xll.EQNXTDZ($A$1,$B74,R$1,$B$1)</f>
        <v>146.3602334</v>
      </c>
      <c r="S74" s="55">
        <f>_xll.EQNXTDZ($A$1,$B74,S$1,$B$1)</f>
        <v>235.45576929999999</v>
      </c>
      <c r="T74" s="55">
        <f>_xll.EQNXTDZ($A$1,$B74,T$1,$B$1)</f>
        <v>276.12894849999998</v>
      </c>
      <c r="U74" s="55">
        <f>_xll.EQNXTDZ($A$1,$B74,U$1,$B$1)</f>
        <v>368.166</v>
      </c>
      <c r="V74" s="55">
        <f>_xll.EQNXTDZ($A$1,$B74,V$1,$B$1)</f>
        <v>551.20000000000005</v>
      </c>
      <c r="W74" s="55">
        <f>_xll.EQNXTDZ($A$1,$B74,W$1,$B$1)</f>
        <v>1546.049</v>
      </c>
      <c r="X74" s="55">
        <f>_xll.EQNXTDZ($A$1,$B74,X$1,$B$1)</f>
        <v>337.93400000000003</v>
      </c>
      <c r="Y74" s="55">
        <f>_xll.EQNXTDZ($A$1,$B74,Y$1,$B$1)</f>
        <v>513.06299999999999</v>
      </c>
      <c r="Z74" s="55">
        <f>_xll.EQNXTDZ($A$1,$B74,Z$1,$B$1)</f>
        <v>4216.2479999999996</v>
      </c>
      <c r="AA74" s="55">
        <f>_xll.EQNXTDZ($A$1,$B74,AA$1,$B$1)</f>
        <v>6074.2690000000002</v>
      </c>
      <c r="AB74" s="55">
        <f>_xll.EQNXTDZ($A$1,$B74,AB$1,$B$1)</f>
        <v>2801.127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8.0236069000000008</v>
      </c>
      <c r="P75" s="55">
        <f>_xll.EQNXTDZ($A$1,$B75,P$1,$B$1)</f>
        <v>0.58027249999999997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49.518332999999998</v>
      </c>
      <c r="T75" s="55">
        <f>_xll.EQNXTDZ($A$1,$B75,T$1,$B$1)</f>
        <v>5.6215649000000001</v>
      </c>
      <c r="U75" s="55">
        <f>_xll.EQNXTDZ($A$1,$B75,U$1,$B$1)</f>
        <v>14.91</v>
      </c>
      <c r="V75" s="55">
        <f>_xll.EQNXTDZ($A$1,$B75,V$1,$B$1)</f>
        <v>35.265000000000001</v>
      </c>
      <c r="W75" s="55">
        <f>_xll.EQNXTDZ($A$1,$B75,W$1,$B$1)</f>
        <v>5.54</v>
      </c>
      <c r="X75" s="55">
        <f>_xll.EQNXTDZ($A$1,$B75,X$1,$B$1)</f>
        <v>18.652000000000001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201.58600000000001</v>
      </c>
      <c r="AB75" s="55">
        <f>_xll.EQNXTDZ($A$1,$B75,AB$1,$B$1)</f>
        <v>257.35500000000002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27.171399699999998</v>
      </c>
      <c r="K76" s="55">
        <f>_xll.EQNXTDZ($A$1,$B76,K$1,$B$1)</f>
        <v>58.308948299999997</v>
      </c>
      <c r="L76" s="55">
        <f>_xll.EQNXTDZ($A$1,$B76,L$1,$B$1)</f>
        <v>44.9401875</v>
      </c>
      <c r="M76" s="55">
        <f>_xll.EQNXTDZ($A$1,$B76,M$1,$B$1)</f>
        <v>10.7394737</v>
      </c>
      <c r="N76" s="55">
        <f>_xll.EQNXTDZ($A$1,$B76,N$1,$B$1)</f>
        <v>3.2737080000000001</v>
      </c>
      <c r="O76" s="55">
        <f>_xll.EQNXTDZ($A$1,$B76,O$1,$B$1)</f>
        <v>8.1640000000000004E-2</v>
      </c>
      <c r="P76" s="55">
        <f>_xll.EQNXTDZ($A$1,$B76,P$1,$B$1)</f>
        <v>7.2207400000000005E-2</v>
      </c>
      <c r="Q76" s="55">
        <f>_xll.EQNXTDZ($A$1,$B76,Q$1,$B$1)</f>
        <v>8.8545399999999996E-2</v>
      </c>
      <c r="R76" s="55">
        <f>_xll.EQNXTDZ($A$1,$B76,R$1,$B$1)</f>
        <v>0.15047269999999999</v>
      </c>
      <c r="S76" s="55">
        <f>_xll.EQNXTDZ($A$1,$B76,S$1,$B$1)</f>
        <v>0.18173929999999999</v>
      </c>
      <c r="T76" s="55">
        <f>_xll.EQNXTDZ($A$1,$B76,T$1,$B$1)</f>
        <v>5.6441999999999999E-2</v>
      </c>
      <c r="U76" s="55">
        <f>_xll.EQNXTDZ($A$1,$B76,U$1,$B$1)</f>
        <v>4.4999999999999998E-2</v>
      </c>
      <c r="V76" s="55">
        <f>_xll.EQNXTDZ($A$1,$B76,V$1,$B$1)</f>
        <v>4.4999999999999998E-2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0.44281900000000002</v>
      </c>
      <c r="L77" s="55">
        <f>_xll.EQNXTDZ($A$1,$B77,L$1,$B$1)</f>
        <v>37.335250600000002</v>
      </c>
      <c r="M77" s="55">
        <f>_xll.EQNXTDZ($A$1,$B77,M$1,$B$1)</f>
        <v>9.1299119999999991</v>
      </c>
      <c r="N77" s="55">
        <f>_xll.EQNXTDZ($A$1,$B77,N$1,$B$1)</f>
        <v>0</v>
      </c>
      <c r="O77" s="55">
        <f>_xll.EQNXTDZ($A$1,$B77,O$1,$B$1)</f>
        <v>129.96473979999999</v>
      </c>
      <c r="P77" s="55">
        <f>_xll.EQNXTDZ($A$1,$B77,P$1,$B$1)</f>
        <v>205.39513669999999</v>
      </c>
      <c r="Q77" s="55">
        <f>_xll.EQNXTDZ($A$1,$B77,Q$1,$B$1)</f>
        <v>268.45043509999999</v>
      </c>
      <c r="R77" s="55">
        <f>_xll.EQNXTDZ($A$1,$B77,R$1,$B$1)</f>
        <v>445.92661129999999</v>
      </c>
      <c r="S77" s="55">
        <f>_xll.EQNXTDZ($A$1,$B77,S$1,$B$1)</f>
        <v>858.15262840000003</v>
      </c>
      <c r="T77" s="55">
        <f>_xll.EQNXTDZ($A$1,$B77,T$1,$B$1)</f>
        <v>158.4630185</v>
      </c>
      <c r="U77" s="55">
        <f>_xll.EQNXTDZ($A$1,$B77,U$1,$B$1)</f>
        <v>214.64400000000001</v>
      </c>
      <c r="V77" s="55">
        <f>_xll.EQNXTDZ($A$1,$B77,V$1,$B$1)</f>
        <v>39.027000000000001</v>
      </c>
      <c r="W77" s="55">
        <f>_xll.EQNXTDZ($A$1,$B77,W$1,$B$1)</f>
        <v>227.69499999999999</v>
      </c>
      <c r="X77" s="55">
        <f>_xll.EQNXTDZ($A$1,$B77,X$1,$B$1)</f>
        <v>565.32399999999996</v>
      </c>
      <c r="Y77" s="55">
        <f>_xll.EQNXTDZ($A$1,$B77,Y$1,$B$1)</f>
        <v>374.18400000000003</v>
      </c>
      <c r="Z77" s="55">
        <f>_xll.EQNXTDZ($A$1,$B77,Z$1,$B$1)</f>
        <v>486.947</v>
      </c>
      <c r="AA77" s="55">
        <f>_xll.EQNXTDZ($A$1,$B77,AA$1,$B$1)</f>
        <v>299.59100000000001</v>
      </c>
      <c r="AB77" s="55">
        <f>_xll.EQNXTDZ($A$1,$B77,AB$1,$B$1)</f>
        <v>434.452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0.26796229999999999</v>
      </c>
      <c r="K78" s="55">
        <f>_xll.EQNXTDZ($A$1,$B78,K$1,$B$1)</f>
        <v>1.3886726</v>
      </c>
      <c r="L78" s="55">
        <f>_xll.EQNXTDZ($A$1,$B78,L$1,$B$1)</f>
        <v>3.4370276</v>
      </c>
      <c r="M78" s="55">
        <f>_xll.EQNXTDZ($A$1,$B78,M$1,$B$1)</f>
        <v>8.2074633000000006</v>
      </c>
      <c r="N78" s="55">
        <f>_xll.EQNXTDZ($A$1,$B78,N$1,$B$1)</f>
        <v>4.7828334999999997</v>
      </c>
      <c r="O78" s="55">
        <f>_xll.EQNXTDZ($A$1,$B78,O$1,$B$1)</f>
        <v>519.60137880000002</v>
      </c>
      <c r="P78" s="55">
        <f>_xll.EQNXTDZ($A$1,$B78,P$1,$B$1)</f>
        <v>352.12197270000001</v>
      </c>
      <c r="Q78" s="55">
        <f>_xll.EQNXTDZ($A$1,$B78,Q$1,$B$1)</f>
        <v>358.41007189999999</v>
      </c>
      <c r="R78" s="55">
        <f>_xll.EQNXTDZ($A$1,$B78,R$1,$B$1)</f>
        <v>437.61181699999997</v>
      </c>
      <c r="S78" s="55">
        <f>_xll.EQNXTDZ($A$1,$B78,S$1,$B$1)</f>
        <v>617.58289679999996</v>
      </c>
      <c r="T78" s="55">
        <f>_xll.EQNXTDZ($A$1,$B78,T$1,$B$1)</f>
        <v>927.38454449999995</v>
      </c>
      <c r="U78" s="55">
        <f>_xll.EQNXTDZ($A$1,$B78,U$1,$B$1)</f>
        <v>985.971</v>
      </c>
      <c r="V78" s="55">
        <f>_xll.EQNXTDZ($A$1,$B78,V$1,$B$1)</f>
        <v>1413.559</v>
      </c>
      <c r="W78" s="55">
        <f>_xll.EQNXTDZ($A$1,$B78,W$1,$B$1)</f>
        <v>1877.4469999999999</v>
      </c>
      <c r="X78" s="55">
        <f>_xll.EQNXTDZ($A$1,$B78,X$1,$B$1)</f>
        <v>4874.9570000000003</v>
      </c>
      <c r="Y78" s="55">
        <f>_xll.EQNXTDZ($A$1,$B78,Y$1,$B$1)</f>
        <v>5491.0829999999996</v>
      </c>
      <c r="Z78" s="55">
        <f>_xll.EQNXTDZ($A$1,$B78,Z$1,$B$1)</f>
        <v>6839.5829999999996</v>
      </c>
      <c r="AA78" s="55">
        <f>_xll.EQNXTDZ($A$1,$B78,AA$1,$B$1)</f>
        <v>7747.7250000000004</v>
      </c>
      <c r="AB78" s="55">
        <f>_xll.EQNXTDZ($A$1,$B78,AB$1,$B$1)</f>
        <v>15223.966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3.4986000000000001E-3</v>
      </c>
      <c r="K79" s="55">
        <f>_xll.EQNXTDZ($A$1,$B79,K$1,$B$1)</f>
        <v>3.19838E-2</v>
      </c>
      <c r="L79" s="55">
        <f>_xll.EQNXTDZ($A$1,$B79,L$1,$B$1)</f>
        <v>0.21778210000000001</v>
      </c>
      <c r="M79" s="55">
        <f>_xll.EQNXTDZ($A$1,$B79,M$1,$B$1)</f>
        <v>0</v>
      </c>
      <c r="N79" s="55">
        <f>_xll.EQNXTDZ($A$1,$B79,N$1,$B$1)</f>
        <v>0.1233568</v>
      </c>
      <c r="O79" s="55">
        <f>_xll.EQNXTDZ($A$1,$B79,O$1,$B$1)</f>
        <v>21.6130189</v>
      </c>
      <c r="P79" s="55">
        <f>_xll.EQNXTDZ($A$1,$B79,P$1,$B$1)</f>
        <v>55.127018900000003</v>
      </c>
      <c r="Q79" s="55">
        <f>_xll.EQNXTDZ($A$1,$B79,Q$1,$B$1)</f>
        <v>16.273233999999999</v>
      </c>
      <c r="R79" s="55">
        <f>_xll.EQNXTDZ($A$1,$B79,R$1,$B$1)</f>
        <v>15.777239</v>
      </c>
      <c r="S79" s="55">
        <f>_xll.EQNXTDZ($A$1,$B79,S$1,$B$1)</f>
        <v>20.8433511</v>
      </c>
      <c r="T79" s="55">
        <f>_xll.EQNXTDZ($A$1,$B79,T$1,$B$1)</f>
        <v>23.012947199999999</v>
      </c>
      <c r="U79" s="55">
        <f>_xll.EQNXTDZ($A$1,$B79,U$1,$B$1)</f>
        <v>12.522</v>
      </c>
      <c r="V79" s="55">
        <f>_xll.EQNXTDZ($A$1,$B79,V$1,$B$1)</f>
        <v>12.9</v>
      </c>
      <c r="W79" s="55">
        <f>_xll.EQNXTDZ($A$1,$B79,W$1,$B$1)</f>
        <v>16.425000000000001</v>
      </c>
      <c r="X79" s="55">
        <f>_xll.EQNXTDZ($A$1,$B79,X$1,$B$1)</f>
        <v>39.298999999999999</v>
      </c>
      <c r="Y79" s="55">
        <f>_xll.EQNXTDZ($A$1,$B79,Y$1,$B$1)</f>
        <v>57.927999999999997</v>
      </c>
      <c r="Z79" s="55">
        <f>_xll.EQNXTDZ($A$1,$B79,Z$1,$B$1)</f>
        <v>952.39200000000005</v>
      </c>
      <c r="AA79" s="55">
        <f>_xll.EQNXTDZ($A$1,$B79,AA$1,$B$1)</f>
        <v>212.417</v>
      </c>
      <c r="AB79" s="55">
        <f>_xll.EQNXTDZ($A$1,$B79,AB$1,$B$1)</f>
        <v>868.80600000000004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29.224713999999999</v>
      </c>
      <c r="K80" s="55">
        <f>_xll.EQNXTDZ($A$1,$B80,K$1,$B$1)</f>
        <v>66.2005774</v>
      </c>
      <c r="L80" s="55">
        <f>_xll.EQNXTDZ($A$1,$B80,L$1,$B$1)</f>
        <v>114.92135690000001</v>
      </c>
      <c r="M80" s="55">
        <f>_xll.EQNXTDZ($A$1,$B80,M$1,$B$1)</f>
        <v>70.114756</v>
      </c>
      <c r="N80" s="55">
        <f>_xll.EQNXTDZ($A$1,$B80,N$1,$B$1)</f>
        <v>41.3176682</v>
      </c>
      <c r="O80" s="55">
        <f>_xll.EQNXTDZ($A$1,$B80,O$1,$B$1)</f>
        <v>114.53619279999999</v>
      </c>
      <c r="P80" s="55">
        <f>_xll.EQNXTDZ($A$1,$B80,P$1,$B$1)</f>
        <v>157.60502550000001</v>
      </c>
      <c r="Q80" s="55">
        <f>_xll.EQNXTDZ($A$1,$B80,Q$1,$B$1)</f>
        <v>157.93555720000001</v>
      </c>
      <c r="R80" s="55">
        <f>_xll.EQNXTDZ($A$1,$B80,R$1,$B$1)</f>
        <v>93.054595500000005</v>
      </c>
      <c r="S80" s="55">
        <f>_xll.EQNXTDZ($A$1,$B80,S$1,$B$1)</f>
        <v>108.9478941</v>
      </c>
      <c r="T80" s="55">
        <f>_xll.EQNXTDZ($A$1,$B80,T$1,$B$1)</f>
        <v>1106.2072515</v>
      </c>
      <c r="U80" s="55">
        <f>_xll.EQNXTDZ($A$1,$B80,U$1,$B$1)</f>
        <v>774.64400000000001</v>
      </c>
      <c r="V80" s="55">
        <f>_xll.EQNXTDZ($A$1,$B80,V$1,$B$1)</f>
        <v>293.82400000000001</v>
      </c>
      <c r="W80" s="55">
        <f>_xll.EQNXTDZ($A$1,$B80,W$1,$B$1)</f>
        <v>1407.71</v>
      </c>
      <c r="X80" s="55">
        <f>_xll.EQNXTDZ($A$1,$B80,X$1,$B$1)</f>
        <v>1862.232</v>
      </c>
      <c r="Y80" s="55">
        <f>_xll.EQNXTDZ($A$1,$B80,Y$1,$B$1)</f>
        <v>1642.1179999999999</v>
      </c>
      <c r="Z80" s="55">
        <f>_xll.EQNXTDZ($A$1,$B80,Z$1,$B$1)</f>
        <v>1485.605</v>
      </c>
      <c r="AA80" s="55">
        <f>_xll.EQNXTDZ($A$1,$B80,AA$1,$B$1)</f>
        <v>3699.3009999999999</v>
      </c>
      <c r="AB80" s="55">
        <f>_xll.EQNXTDZ($A$1,$B80,AB$1,$B$1)</f>
        <v>5477.1930000000002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56.667574600000002</v>
      </c>
      <c r="K82" s="55">
        <f>_xll.EQNXTDZ($A$1,$B82,K$1,$B$1)</f>
        <v>126.3730011</v>
      </c>
      <c r="L82" s="55">
        <f>_xll.EQNXTDZ($A$1,$B82,L$1,$B$1)</f>
        <v>200.8516047</v>
      </c>
      <c r="M82" s="55">
        <f>_xll.EQNXTDZ($A$1,$B82,M$1,$B$1)</f>
        <v>98.191604999999996</v>
      </c>
      <c r="N82" s="55">
        <f>_xll.EQNXTDZ($A$1,$B82,N$1,$B$1)</f>
        <v>49.497566499999998</v>
      </c>
      <c r="O82" s="55">
        <f>_xll.EQNXTDZ($A$1,$B82,O$1,$B$1)</f>
        <v>793.8205772</v>
      </c>
      <c r="P82" s="55">
        <f>_xll.EQNXTDZ($A$1,$B82,P$1,$B$1)</f>
        <v>770.90163370000005</v>
      </c>
      <c r="Q82" s="55">
        <f>_xll.EQNXTDZ($A$1,$B82,Q$1,$B$1)</f>
        <v>801.15784359999998</v>
      </c>
      <c r="R82" s="55">
        <f>_xll.EQNXTDZ($A$1,$B82,R$1,$B$1)</f>
        <v>992.5207355</v>
      </c>
      <c r="S82" s="55">
        <f>_xll.EQNXTDZ($A$1,$B82,S$1,$B$1)</f>
        <v>1655.2268426999999</v>
      </c>
      <c r="T82" s="55">
        <f>_xll.EQNXTDZ($A$1,$B82,T$1,$B$1)</f>
        <v>2220.7457685999998</v>
      </c>
      <c r="U82" s="55">
        <f>_xll.EQNXTDZ($A$1,$B82,U$1,$B$1)</f>
        <v>2002.7360000000001</v>
      </c>
      <c r="V82" s="55">
        <f>_xll.EQNXTDZ($A$1,$B82,V$1,$B$1)</f>
        <v>1794.62</v>
      </c>
      <c r="W82" s="55">
        <f>_xll.EQNXTDZ($A$1,$B82,W$1,$B$1)</f>
        <v>3534.817</v>
      </c>
      <c r="X82" s="55">
        <f>_xll.EQNXTDZ($A$1,$B82,X$1,$B$1)</f>
        <v>7360.4639999999999</v>
      </c>
      <c r="Y82" s="55">
        <f>_xll.EQNXTDZ($A$1,$B82,Y$1,$B$1)</f>
        <v>7565.3130000000001</v>
      </c>
      <c r="Z82" s="55">
        <f>_xll.EQNXTDZ($A$1,$B82,Z$1,$B$1)</f>
        <v>9764.527</v>
      </c>
      <c r="AA82" s="55">
        <f>_xll.EQNXTDZ($A$1,$B82,AA$1,$B$1)</f>
        <v>12160.62</v>
      </c>
      <c r="AB82" s="55">
        <f>_xll.EQNXTDZ($A$1,$B82,AB$1,$B$1)</f>
        <v>22261.772000000001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190.65273780000001</v>
      </c>
      <c r="K84" s="55">
        <f>_xll.EQNXTDZ($A$1,$B84,K$1,$B$1)</f>
        <v>194.85833650000001</v>
      </c>
      <c r="L84" s="55">
        <f>_xll.EQNXTDZ($A$1,$B84,L$1,$B$1)</f>
        <v>280.17754619999999</v>
      </c>
      <c r="M84" s="55">
        <f>_xll.EQNXTDZ($A$1,$B84,M$1,$B$1)</f>
        <v>268.37108979999999</v>
      </c>
      <c r="N84" s="55">
        <f>_xll.EQNXTDZ($A$1,$B84,N$1,$B$1)</f>
        <v>239.27919679999999</v>
      </c>
      <c r="O84" s="55">
        <f>_xll.EQNXTDZ($A$1,$B84,O$1,$B$1)</f>
        <v>988.90018429999998</v>
      </c>
      <c r="P84" s="55">
        <f>_xll.EQNXTDZ($A$1,$B84,P$1,$B$1)</f>
        <v>954.69309459999999</v>
      </c>
      <c r="Q84" s="55">
        <f>_xll.EQNXTDZ($A$1,$B84,Q$1,$B$1)</f>
        <v>974.13568199999997</v>
      </c>
      <c r="R84" s="55">
        <f>_xll.EQNXTDZ($A$1,$B84,R$1,$B$1)</f>
        <v>1138.8809689</v>
      </c>
      <c r="S84" s="55">
        <f>_xll.EQNXTDZ($A$1,$B84,S$1,$B$1)</f>
        <v>1890.6826120000001</v>
      </c>
      <c r="T84" s="55">
        <f>_xll.EQNXTDZ($A$1,$B84,T$1,$B$1)</f>
        <v>2496.8747171</v>
      </c>
      <c r="U84" s="55">
        <f>_xll.EQNXTDZ($A$1,$B84,U$1,$B$1)</f>
        <v>2370.902</v>
      </c>
      <c r="V84" s="55">
        <f>_xll.EQNXTDZ($A$1,$B84,V$1,$B$1)</f>
        <v>2345.8200000000002</v>
      </c>
      <c r="W84" s="55">
        <f>_xll.EQNXTDZ($A$1,$B84,W$1,$B$1)</f>
        <v>5080.866</v>
      </c>
      <c r="X84" s="55">
        <f>_xll.EQNXTDZ($A$1,$B84,X$1,$B$1)</f>
        <v>7698.3980000000001</v>
      </c>
      <c r="Y84" s="55">
        <f>_xll.EQNXTDZ($A$1,$B84,Y$1,$B$1)</f>
        <v>8078.3760000000002</v>
      </c>
      <c r="Z84" s="55">
        <f>_xll.EQNXTDZ($A$1,$B84,Z$1,$B$1)</f>
        <v>13980.775</v>
      </c>
      <c r="AA84" s="55">
        <f>_xll.EQNXTDZ($A$1,$B84,AA$1,$B$1)</f>
        <v>18234.888999999999</v>
      </c>
      <c r="AB84" s="55">
        <f>_xll.EQNXTDZ($A$1,$B84,AB$1,$B$1)</f>
        <v>25062.899000000001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269.75</v>
      </c>
      <c r="M85" s="55">
        <f>_xll.EQNXTDZ($A$1,$B85,M$1,$B$1)</f>
        <v>0</v>
      </c>
      <c r="N85" s="55">
        <f>_xll.EQNXTDZ($A$1,$B85,N$1,$B$1)</f>
        <v>376.41333600000002</v>
      </c>
      <c r="O85" s="55">
        <f>_xll.EQNXTDZ($A$1,$B85,O$1,$B$1)</f>
        <v>292.46650979999998</v>
      </c>
      <c r="P85" s="55">
        <f>_xll.EQNXTDZ($A$1,$B85,P$1,$B$1)</f>
        <v>318.82610419999997</v>
      </c>
      <c r="Q85" s="55">
        <f>_xll.EQNXTDZ($A$1,$B85,Q$1,$B$1)</f>
        <v>0</v>
      </c>
      <c r="R85" s="55">
        <f>_xll.EQNXTDZ($A$1,$B85,R$1,$B$1)</f>
        <v>144.70893760000001</v>
      </c>
      <c r="S85" s="55">
        <f>_xll.EQNXTDZ($A$1,$B85,S$1,$B$1)</f>
        <v>81.863484200000002</v>
      </c>
      <c r="T85" s="55">
        <f>_xll.EQNXTDZ($A$1,$B85,T$1,$B$1)</f>
        <v>213.60448779999999</v>
      </c>
      <c r="U85" s="55">
        <f>_xll.EQNXTDZ($A$1,$B85,U$1,$B$1)</f>
        <v>356.36599999999999</v>
      </c>
      <c r="V85" s="55">
        <f>_xll.EQNXTDZ($A$1,$B85,V$1,$B$1)</f>
        <v>271.358</v>
      </c>
      <c r="W85" s="55">
        <f>_xll.EQNXTDZ($A$1,$B85,W$1,$B$1)</f>
        <v>433.77699999999999</v>
      </c>
      <c r="X85" s="55">
        <f>_xll.EQNXTDZ($A$1,$B85,X$1,$B$1)</f>
        <v>999.4</v>
      </c>
      <c r="Y85" s="55">
        <f>_xll.EQNXTDZ($A$1,$B85,Y$1,$B$1)</f>
        <v>3523.2420000000002</v>
      </c>
      <c r="Z85" s="55">
        <f>_xll.EQNXTDZ($A$1,$B85,Z$1,$B$1)</f>
        <v>3082.71</v>
      </c>
      <c r="AA85" s="55">
        <f>_xll.EQNXTDZ($A$1,$B85,AA$1,$B$1)</f>
        <v>1879.5319999999999</v>
      </c>
      <c r="AB85" s="55">
        <f>_xll.EQNXTDZ($A$1,$B85,AB$1,$B$1)</f>
        <v>2830.1370000000002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4.1633282999999999</v>
      </c>
      <c r="O88" s="55">
        <f>_xll.EQNXTDZ($A$1,$B88,O$1,$B$1)</f>
        <v>0</v>
      </c>
      <c r="P88" s="55">
        <f>_xll.EQNXTDZ($A$1,$B88,P$1,$B$1)</f>
        <v>77.871520799999999</v>
      </c>
      <c r="Q88" s="55">
        <f>_xll.EQNXTDZ($A$1,$B88,Q$1,$B$1)</f>
        <v>25.87</v>
      </c>
      <c r="R88" s="55">
        <f>_xll.EQNXTDZ($A$1,$B88,R$1,$B$1)</f>
        <v>1.5443165000000001</v>
      </c>
      <c r="S88" s="55">
        <f>_xll.EQNXTDZ($A$1,$B88,S$1,$B$1)</f>
        <v>1.7679213</v>
      </c>
      <c r="T88" s="55">
        <f>_xll.EQNXTDZ($A$1,$B88,T$1,$B$1)</f>
        <v>2.6995341000000002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1.1148475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1.1148475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26.663336000000001</v>
      </c>
      <c r="O93" s="55">
        <f>_xll.EQNXTDZ($A$1,$B93,O$1,$B$1)</f>
        <v>44.466509799999997</v>
      </c>
      <c r="P93" s="55">
        <f>_xll.EQNXTDZ($A$1,$B93,P$1,$B$1)</f>
        <v>30.3261042</v>
      </c>
      <c r="Q93" s="55">
        <f>_xll.EQNXTDZ($A$1,$B93,Q$1,$B$1)</f>
        <v>0</v>
      </c>
      <c r="R93" s="55">
        <f>_xll.EQNXTDZ($A$1,$B93,R$1,$B$1)</f>
        <v>30.399937600000001</v>
      </c>
      <c r="S93" s="55">
        <f>_xll.EQNXTDZ($A$1,$B93,S$1,$B$1)</f>
        <v>30.863484199999998</v>
      </c>
      <c r="T93" s="55">
        <f>_xll.EQNXTDZ($A$1,$B93,T$1,$B$1)</f>
        <v>16.354487800000001</v>
      </c>
      <c r="U93" s="55">
        <f>_xll.EQNXTDZ($A$1,$B93,U$1,$B$1)</f>
        <v>31.096</v>
      </c>
      <c r="V93" s="55">
        <f>_xll.EQNXTDZ($A$1,$B93,V$1,$B$1)</f>
        <v>31.207999999999998</v>
      </c>
      <c r="W93" s="55">
        <f>_xll.EQNXTDZ($A$1,$B93,W$1,$B$1)</f>
        <v>15.627000000000001</v>
      </c>
      <c r="X93" s="55">
        <f>_xll.EQNXTDZ($A$1,$B93,X$1,$B$1)</f>
        <v>19.25</v>
      </c>
      <c r="Y93" s="55">
        <f>_xll.EQNXTDZ($A$1,$B93,Y$1,$B$1)</f>
        <v>18.091999999999999</v>
      </c>
      <c r="Z93" s="55">
        <f>_xll.EQNXTDZ($A$1,$B93,Z$1,$B$1)</f>
        <v>17.079999999999998</v>
      </c>
      <c r="AA93" s="55">
        <f>_xll.EQNXTDZ($A$1,$B93,AA$1,$B$1)</f>
        <v>17.782</v>
      </c>
      <c r="AB93" s="55">
        <f>_xll.EQNXTDZ($A$1,$B93,AB$1,$B$1)</f>
        <v>24.887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269.75</v>
      </c>
      <c r="M95" s="55">
        <f>_xll.EQNXTDZ($A$1,$B95,M$1,$B$1)</f>
        <v>0</v>
      </c>
      <c r="N95" s="55">
        <f>_xll.EQNXTDZ($A$1,$B95,N$1,$B$1)</f>
        <v>349.75</v>
      </c>
      <c r="O95" s="55">
        <f>_xll.EQNXTDZ($A$1,$B95,O$1,$B$1)</f>
        <v>248</v>
      </c>
      <c r="P95" s="55">
        <f>_xll.EQNXTDZ($A$1,$B95,P$1,$B$1)</f>
        <v>288.5</v>
      </c>
      <c r="Q95" s="55">
        <f>_xll.EQNXTDZ($A$1,$B95,Q$1,$B$1)</f>
        <v>0</v>
      </c>
      <c r="R95" s="55">
        <f>_xll.EQNXTDZ($A$1,$B95,R$1,$B$1)</f>
        <v>114.309</v>
      </c>
      <c r="S95" s="55">
        <f>_xll.EQNXTDZ($A$1,$B95,S$1,$B$1)</f>
        <v>51</v>
      </c>
      <c r="T95" s="55">
        <f>_xll.EQNXTDZ($A$1,$B95,T$1,$B$1)</f>
        <v>197.25</v>
      </c>
      <c r="U95" s="55">
        <f>_xll.EQNXTDZ($A$1,$B95,U$1,$B$1)</f>
        <v>325.27</v>
      </c>
      <c r="V95" s="55">
        <f>_xll.EQNXTDZ($A$1,$B95,V$1,$B$1)</f>
        <v>240.15</v>
      </c>
      <c r="W95" s="55">
        <f>_xll.EQNXTDZ($A$1,$B95,W$1,$B$1)</f>
        <v>418.15</v>
      </c>
      <c r="X95" s="55">
        <f>_xll.EQNXTDZ($A$1,$B95,X$1,$B$1)</f>
        <v>980.15</v>
      </c>
      <c r="Y95" s="55">
        <f>_xll.EQNXTDZ($A$1,$B95,Y$1,$B$1)</f>
        <v>3505.15</v>
      </c>
      <c r="Z95" s="55">
        <f>_xll.EQNXTDZ($A$1,$B95,Z$1,$B$1)</f>
        <v>3065.63</v>
      </c>
      <c r="AA95" s="55">
        <f>_xll.EQNXTDZ($A$1,$B95,AA$1,$B$1)</f>
        <v>1861.75</v>
      </c>
      <c r="AB95" s="55">
        <f>_xll.EQNXTDZ($A$1,$B95,AB$1,$B$1)</f>
        <v>2805.25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13.438247</v>
      </c>
      <c r="K104" s="55">
        <f>_xll.EQNXTDZ($A$1,$B104,K$1,$B$1)</f>
        <v>13.438247</v>
      </c>
      <c r="L104" s="55">
        <f>_xll.EQNXTDZ($A$1,$B104,L$1,$B$1)</f>
        <v>13.438247</v>
      </c>
      <c r="M104" s="55">
        <f>_xll.EQNXTDZ($A$1,$B104,M$1,$B$1)</f>
        <v>13.438247</v>
      </c>
      <c r="N104" s="55">
        <f>_xll.EQNXTDZ($A$1,$B104,N$1,$B$1)</f>
        <v>14.364174999999999</v>
      </c>
      <c r="O104" s="55">
        <f>_xll.EQNXTDZ($A$1,$B104,O$1,$B$1)</f>
        <v>14.364174999999999</v>
      </c>
      <c r="P104" s="55">
        <f>_xll.EQNXTDZ($A$1,$B104,P$1,$B$1)</f>
        <v>14.364174999999999</v>
      </c>
      <c r="Q104" s="55">
        <f>_xll.EQNXTDZ($A$1,$B104,Q$1,$B$1)</f>
        <v>14.364174999999999</v>
      </c>
      <c r="R104" s="55">
        <f>_xll.EQNXTDZ($A$1,$B104,R$1,$B$1)</f>
        <v>14.364174999999999</v>
      </c>
      <c r="S104" s="55">
        <f>_xll.EQNXTDZ($A$1,$B104,S$1,$B$1)</f>
        <v>14.364174999999999</v>
      </c>
      <c r="T104" s="55">
        <f>_xll.EQNXTDZ($A$1,$B104,T$1,$B$1)</f>
        <v>71.995002999999997</v>
      </c>
      <c r="U104" s="55">
        <f>_xll.EQNXTDZ($A$1,$B104,U$1,$B$1)</f>
        <v>71.995000000000005</v>
      </c>
      <c r="V104" s="55">
        <f>_xll.EQNXTDZ($A$1,$B104,V$1,$B$1)</f>
        <v>71.995000000000005</v>
      </c>
      <c r="W104" s="55">
        <f>_xll.EQNXTDZ($A$1,$B104,W$1,$B$1)</f>
        <v>81.826999999999998</v>
      </c>
      <c r="X104" s="55">
        <f>_xll.EQNXTDZ($A$1,$B104,X$1,$B$1)</f>
        <v>82.858999999999995</v>
      </c>
      <c r="Y104" s="55">
        <f>_xll.EQNXTDZ($A$1,$B104,Y$1,$B$1)</f>
        <v>83.42</v>
      </c>
      <c r="Z104" s="55">
        <f>_xll.EQNXTDZ($A$1,$B104,Z$1,$B$1)</f>
        <v>84.007999999999996</v>
      </c>
      <c r="AA104" s="55">
        <f>_xll.EQNXTDZ($A$1,$B104,AA$1,$B$1)</f>
        <v>90.293999999999997</v>
      </c>
      <c r="AB104" s="55">
        <f>_xll.EQNXTDZ($A$1,$B104,AB$1,$B$1)</f>
        <v>91.085999999999999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29.11</v>
      </c>
      <c r="X106" s="55">
        <f>_xll.EQNXTDZ($A$1,$B106,X$1,$B$1)</f>
        <v>153.58500000000001</v>
      </c>
      <c r="Y106" s="55">
        <f>_xll.EQNXTDZ($A$1,$B106,Y$1,$B$1)</f>
        <v>116.33</v>
      </c>
      <c r="Z106" s="55">
        <f>_xll.EQNXTDZ($A$1,$B106,Z$1,$B$1)</f>
        <v>304.39</v>
      </c>
      <c r="AA106" s="55">
        <f>_xll.EQNXTDZ($A$1,$B106,AA$1,$B$1)</f>
        <v>231.26499999999999</v>
      </c>
      <c r="AB106" s="55">
        <f>_xll.EQNXTDZ($A$1,$B106,AB$1,$B$1)</f>
        <v>227.55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40.725000000000001</v>
      </c>
      <c r="X107" s="55">
        <f>_xll.EQNXTDZ($A$1,$B107,X$1,$B$1)</f>
        <v>171.7</v>
      </c>
      <c r="Y107" s="55">
        <f>_xll.EQNXTDZ($A$1,$B107,Y$1,$B$1)</f>
        <v>202.2</v>
      </c>
      <c r="Z107" s="55">
        <f>_xll.EQNXTDZ($A$1,$B107,Z$1,$B$1)</f>
        <v>390.03500000000003</v>
      </c>
      <c r="AA107" s="55">
        <f>_xll.EQNXTDZ($A$1,$B107,AA$1,$B$1)</f>
        <v>350.26</v>
      </c>
      <c r="AB107" s="55">
        <f>_xll.EQNXTDZ($A$1,$B107,AB$1,$B$1)</f>
        <v>328.3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22.3</v>
      </c>
      <c r="X108" s="55">
        <f>_xll.EQNXTDZ($A$1,$B108,X$1,$B$1)</f>
        <v>28.21</v>
      </c>
      <c r="Y108" s="55">
        <f>_xll.EQNXTDZ($A$1,$B108,Y$1,$B$1)</f>
        <v>100</v>
      </c>
      <c r="Z108" s="55">
        <f>_xll.EQNXTDZ($A$1,$B108,Z$1,$B$1)</f>
        <v>115.88500000000001</v>
      </c>
      <c r="AA108" s="55">
        <f>_xll.EQNXTDZ($A$1,$B108,AA$1,$B$1)</f>
        <v>194.2</v>
      </c>
      <c r="AB108" s="55">
        <f>_xll.EQNXTDZ($A$1,$B108,AB$1,$B$1)</f>
        <v>205.72499999999999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2381.9839700000002</v>
      </c>
      <c r="X109" s="55">
        <f>_xll.EQNXTDZ($A$1,$B109,X$1,$B$1)</f>
        <v>12725.899514999999</v>
      </c>
      <c r="Y109" s="55">
        <f>_xll.EQNXTDZ($A$1,$B109,Y$1,$B$1)</f>
        <v>9704.2486000000008</v>
      </c>
      <c r="Z109" s="55">
        <f>_xll.EQNXTDZ($A$1,$B109,Z$1,$B$1)</f>
        <v>25571.19512</v>
      </c>
      <c r="AA109" s="55">
        <f>_xll.EQNXTDZ($A$1,$B109,AA$1,$B$1)</f>
        <v>20881.841909999999</v>
      </c>
      <c r="AB109" s="55">
        <f>_xll.EQNXTDZ($A$1,$B109,AB$1,$B$1)</f>
        <v>20726.619299999998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4.0079999999999998E-2</v>
      </c>
      <c r="N110" s="55">
        <f>_xll.EQNXTDZ($A$1,$B110,N$1,$B$1)</f>
        <v>6.1940000000000002E-2</v>
      </c>
      <c r="O110" s="55">
        <f>_xll.EQNXTDZ($A$1,$B110,O$1,$B$1)</f>
        <v>3.2000000000000001E-2</v>
      </c>
      <c r="P110" s="55">
        <f>_xll.EQNXTDZ($A$1,$B110,P$1,$B$1)</f>
        <v>9.6000000000000002E-2</v>
      </c>
      <c r="Q110" s="55">
        <f>_xll.EQNXTDZ($A$1,$B110,Q$1,$B$1)</f>
        <v>8.7999999999999995E-2</v>
      </c>
      <c r="R110" s="55">
        <f>_xll.EQNXTDZ($A$1,$B110,R$1,$B$1)</f>
        <v>0.112</v>
      </c>
      <c r="S110" s="55">
        <f>_xll.EQNXTDZ($A$1,$B110,S$1,$B$1)</f>
        <v>0.13600000000000001</v>
      </c>
      <c r="T110" s="55">
        <f>_xll.EQNXTDZ($A$1,$B110,T$1,$B$1)</f>
        <v>1.36</v>
      </c>
      <c r="U110" s="55">
        <f>_xll.EQNXTDZ($A$1,$B110,U$1,$B$1)</f>
        <v>0.27</v>
      </c>
      <c r="V110" s="55">
        <f>_xll.EQNXTDZ($A$1,$B110,V$1,$B$1)</f>
        <v>0.27</v>
      </c>
      <c r="W110" s="55">
        <f>_xll.EQNXTDZ($A$1,$B110,W$1,$B$1)</f>
        <v>1.286</v>
      </c>
      <c r="X110" s="55">
        <f>_xll.EQNXTDZ($A$1,$B110,X$1,$B$1)</f>
        <v>2.71</v>
      </c>
      <c r="Y110" s="55">
        <f>_xll.EQNXTDZ($A$1,$B110,Y$1,$B$1)</f>
        <v>3.9849999999999999</v>
      </c>
      <c r="Z110" s="55">
        <f>_xll.EQNXTDZ($A$1,$B110,Z$1,$B$1)</f>
        <v>3.4649999999999999</v>
      </c>
      <c r="AA110" s="55">
        <f>_xll.EQNXTDZ($A$1,$B110,AA$1,$B$1)</f>
        <v>4.8</v>
      </c>
      <c r="AB110" s="55">
        <f>_xll.EQNXTDZ($A$1,$B110,AB$1,$B$1)</f>
        <v>4.05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201803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26.45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55.2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44.55</v>
      </c>
      <c r="X112" s="56">
        <f>_xll.EQNXTDZ($A$1,$B112,X$5)</f>
        <v>44</v>
      </c>
      <c r="Y112" s="56">
        <f>_xll.EQNXTDZ($A$1,$B112,Y$5)</f>
        <v>38.479999999999997</v>
      </c>
      <c r="Z112" s="56">
        <f>_xll.EQNXTDZ($A$1,$B112,Z$5)</f>
        <v>38.21</v>
      </c>
      <c r="AA112" s="56">
        <f>_xll.EQNXTDZ($A$1,$B112,AA$5)</f>
        <v>35.549999999999997</v>
      </c>
      <c r="AB112" s="56">
        <f>_xll.EQNXTDZ($A$1,$B112,AB$5)</f>
        <v>28.8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209902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27.5</v>
      </c>
      <c r="CZ6" cm="1">
        <f t="array" ref="CZ6">_xll.EQNXTDZ($A$1,$B6,CZ$1)</f>
        <v>35.365000000000002</v>
      </c>
      <c r="DA6" cm="1">
        <f t="array" ref="DA6">_xll.EQNXTDZ($A$1,$B6,DA$1)</f>
        <v>35.31</v>
      </c>
      <c r="DB6" cm="1">
        <f t="array" ref="DB6">_xll.EQNXTDZ($A$1,$B6,DB$1)</f>
        <v>33.799999999999997</v>
      </c>
      <c r="DC6" cm="1">
        <f t="array" ref="DC6">_xll.EQNXTDZ($A$1,$B6,DC$1)</f>
        <v>34.229999999999997</v>
      </c>
      <c r="DD6" cm="1">
        <f t="array" ref="DD6">_xll.EQNXTDZ($A$1,$B6,DD$1)</f>
        <v>33.475000000000001</v>
      </c>
      <c r="DE6" cm="1">
        <f t="array" ref="DE6">_xll.EQNXTDZ($A$1,$B6,DE$1)</f>
        <v>29.13</v>
      </c>
      <c r="DF6" cm="1">
        <f t="array" ref="DF6">_xll.EQNXTDZ($A$1,$B6,DF$1)</f>
        <v>37.1</v>
      </c>
      <c r="DG6" cm="1">
        <f t="array" ref="DG6">_xll.EQNXTDZ($A$1,$B6,DG$1)</f>
        <v>76</v>
      </c>
      <c r="DH6" cm="1">
        <f t="array" ref="DH6">_xll.EQNXTDZ($A$1,$B6,DH$1)</f>
        <v>86.29</v>
      </c>
      <c r="DI6" cm="1">
        <f t="array" ref="DI6">_xll.EQNXTDZ($A$1,$B6,DI$1)</f>
        <v>120.4</v>
      </c>
      <c r="DJ6" cm="1">
        <f t="array" ref="DJ6">_xll.EQNXTDZ($A$1,$B6,DJ$1)</f>
        <v>121</v>
      </c>
      <c r="DK6" cm="1">
        <f t="array" ref="DK6">_xll.EQNXTDZ($A$1,$B6,DK$1)</f>
        <v>131</v>
      </c>
      <c r="DL6" cm="1">
        <f t="array" ref="DL6">_xll.EQNXTDZ($A$1,$B6,DL$1)</f>
        <v>124.35</v>
      </c>
      <c r="DM6" cm="1">
        <f t="array" ref="DM6">_xll.EQNXTDZ($A$1,$B6,DM$1)</f>
        <v>102.295</v>
      </c>
      <c r="DN6" cm="1">
        <f t="array" ref="DN6">_xll.EQNXTDZ($A$1,$B6,DN$1)</f>
        <v>119</v>
      </c>
      <c r="DO6" cm="1">
        <f t="array" ref="DO6">_xll.EQNXTDZ($A$1,$B6,DO$1)</f>
        <v>139.99</v>
      </c>
      <c r="DP6" cm="1">
        <f t="array" ref="DP6">_xll.EQNXTDZ($A$1,$B6,DP$1)</f>
        <v>132.9</v>
      </c>
      <c r="DQ6" cm="1">
        <f t="array" ref="DQ6">_xll.EQNXTDZ($A$1,$B6,DQ$1)</f>
        <v>154.30000000000001</v>
      </c>
      <c r="DR6" cm="1">
        <f t="array" ref="DR6">_xll.EQNXTDZ($A$1,$B6,DR$1)</f>
        <v>193.5</v>
      </c>
      <c r="DS6" cm="1">
        <f t="array" ref="DS6">_xll.EQNXTDZ($A$1,$B6,DS$1)</f>
        <v>149.02500000000001</v>
      </c>
      <c r="DT6" cm="1">
        <f t="array" ref="DT6">_xll.EQNXTDZ($A$1,$B6,DT$1)</f>
        <v>120.2</v>
      </c>
      <c r="DU6" cm="1">
        <f t="array" ref="DU6">_xll.EQNXTDZ($A$1,$B6,DU$1)</f>
        <v>138</v>
      </c>
      <c r="DV6" cm="1">
        <f t="array" ref="DV6">_xll.EQNXTDZ($A$1,$B6,DV$1)</f>
        <v>130</v>
      </c>
      <c r="DW6" cm="1">
        <f t="array" ref="DW6">_xll.EQNXTDZ($A$1,$B6,DW$1)</f>
        <v>136.88499999999999</v>
      </c>
      <c r="DX6" cm="1">
        <f t="array" ref="DX6">_xll.EQNXTDZ($A$1,$B6,DX$1)</f>
        <v>160.4</v>
      </c>
      <c r="DY6" cm="1">
        <f t="array" ref="DY6">_xll.EQNXTDZ($A$1,$B6,DY$1)</f>
        <v>160.51499999999999</v>
      </c>
      <c r="DZ6" cm="1">
        <f t="array" ref="DZ6">_xll.EQNXTDZ($A$1,$B6,DZ$1)</f>
        <v>132.02500000000001</v>
      </c>
      <c r="EA6" cm="1">
        <f t="array" ref="EA6">_xll.EQNXTDZ($A$1,$B6,EA$1)</f>
        <v>124.5</v>
      </c>
      <c r="EB6" cm="1">
        <f t="array" ref="EB6">_xll.EQNXTDZ($A$1,$B6,EB$1)</f>
        <v>102.465</v>
      </c>
      <c r="EC6" cm="1">
        <f t="array" ref="EC6">_xll.EQNXTDZ($A$1,$B6,EC$1)</f>
        <v>116.685</v>
      </c>
      <c r="ED6" cm="1">
        <f t="array" ref="ED6">_xll.EQNXTDZ($A$1,$B6,ED$1)</f>
        <v>123.5</v>
      </c>
      <c r="EE6" cm="1">
        <f t="array" ref="EE6">_xll.EQNXTDZ($A$1,$B6,EE$1)</f>
        <v>136.5</v>
      </c>
      <c r="EF6" cm="1">
        <f t="array" ref="EF6">_xll.EQNXTDZ($A$1,$B6,EF$1)</f>
        <v>172.9</v>
      </c>
      <c r="EG6" cm="1">
        <f t="array" ref="EG6">_xll.EQNXTDZ($A$1,$B6,EG$1)</f>
        <v>154.94</v>
      </c>
      <c r="EH6" cm="1">
        <f t="array" ref="EH6">_xll.EQNXTDZ($A$1,$B6,EH$1)</f>
        <v>189.5</v>
      </c>
      <c r="EI6" cm="1">
        <f t="array" ref="EI6">_xll.EQNXTDZ($A$1,$B6,EI$1)</f>
        <v>184.7</v>
      </c>
      <c r="EJ6" cm="1">
        <f t="array" ref="EJ6">_xll.EQNXTDZ($A$1,$B6,EJ$1)</f>
        <v>258.69499999999999</v>
      </c>
      <c r="EK6" cm="1">
        <f t="array" ref="EK6">_xll.EQNXTDZ($A$1,$B6,EK$1)</f>
        <v>308</v>
      </c>
      <c r="EL6" cm="1">
        <f t="array" ref="EL6">_xll.EQNXTDZ($A$1,$B6,EL$1)</f>
        <v>348.4</v>
      </c>
      <c r="EM6" cm="1">
        <f t="array" ref="EM6">_xll.EQNXTDZ($A$1,$B6,EM$1)</f>
        <v>329</v>
      </c>
      <c r="EN6" cm="1">
        <f t="array" ref="EN6">_xll.EQNXTDZ($A$1,$B6,EN$1)</f>
        <v>281.69499999999999</v>
      </c>
      <c r="EO6" cm="1">
        <f t="array" ref="EO6">_xll.EQNXTDZ($A$1,$B6,EO$1)</f>
        <v>312.5</v>
      </c>
      <c r="EP6" cm="1">
        <f t="array" ref="EP6">_xll.EQNXTDZ($A$1,$B6,EP$1)</f>
        <v>279.44</v>
      </c>
      <c r="EQ6" cm="1">
        <f t="array" ref="EQ6">_xll.EQNXTDZ($A$1,$B6,EQ$1)</f>
        <v>264.5</v>
      </c>
      <c r="ER6" cm="1">
        <f t="array" ref="ER6">_xll.EQNXTDZ($A$1,$B6,ER$1)</f>
        <v>259.89999999999998</v>
      </c>
      <c r="ES6" cm="1">
        <f t="array" ref="ES6">_xll.EQNXTDZ($A$1,$B6,ES$1)</f>
        <v>216.94</v>
      </c>
      <c r="ET6" cm="1">
        <f t="array" ref="ET6">_xll.EQNXTDZ($A$1,$B6,ET$1)</f>
        <v>261</v>
      </c>
      <c r="EU6" cm="1">
        <f t="array" ref="EU6">_xll.EQNXTDZ($A$1,$B6,EU$1)</f>
        <v>260.20499999999998</v>
      </c>
      <c r="EV6" cm="1">
        <f t="array" ref="EV6">_xll.EQNXTDZ($A$1,$B6,EV$1)</f>
        <v>307.89999999999998</v>
      </c>
      <c r="EW6" cm="1">
        <f t="array" ref="EW6">_xll.EQNXTDZ($A$1,$B6,EW$1)</f>
        <v>283.86</v>
      </c>
      <c r="EX6" cm="1">
        <f t="array" ref="EX6">_xll.EQNXTDZ($A$1,$B6,EX$1)</f>
        <v>295</v>
      </c>
      <c r="EY6" cm="1">
        <f t="array" ref="EY6">_xll.EQNXTDZ($A$1,$B6,EY$1)</f>
        <v>234.48</v>
      </c>
      <c r="EZ6" cm="1">
        <f t="array" ref="EZ6">_xll.EQNXTDZ($A$1,$B6,EZ$1)</f>
        <v>216.9</v>
      </c>
      <c r="FA6" cm="1">
        <f t="array" ref="FA6">_xll.EQNXTDZ($A$1,$B6,FA$1)</f>
        <v>229.8</v>
      </c>
      <c r="FB6" cm="1">
        <f t="array" ref="FB6">_xll.EQNXTDZ($A$1,$B6,FB$1)</f>
        <v>231.23</v>
      </c>
      <c r="FC6" cm="1">
        <f t="array" ref="FC6">_xll.EQNXTDZ($A$1,$B6,FC$1)</f>
        <v>303.87</v>
      </c>
      <c r="FD6" cm="1">
        <f t="array" ref="FD6">_xll.EQNXTDZ($A$1,$B6,FD$1)</f>
        <v>292.52</v>
      </c>
      <c r="FE6" cm="1">
        <f t="array" ref="FE6">_xll.EQNXTDZ($A$1,$B6,FE$1)</f>
        <v>259.89999999999998</v>
      </c>
      <c r="FF6" cm="1">
        <f t="array" ref="FF6">_xll.EQNXTDZ($A$1,$B6,FF$1)</f>
        <v>222.6</v>
      </c>
      <c r="FG6" cm="1">
        <f t="array" ref="FG6">_xll.EQNXTDZ($A$1,$B6,FG$1)</f>
        <v>214</v>
      </c>
      <c r="FH6" cm="1">
        <f t="array" ref="FH6">_xll.EQNXTDZ($A$1,$B6,FH$1)</f>
        <v>249.24</v>
      </c>
      <c r="FI6" cm="1">
        <f t="array" ref="FI6">_xll.EQNXTDZ($A$1,$B6,FI$1)</f>
        <v>270.89999999999998</v>
      </c>
      <c r="FJ6" cm="1">
        <f t="array" ref="FJ6">_xll.EQNXTDZ($A$1,$B6,FJ$1)</f>
        <v>235.2</v>
      </c>
      <c r="FK6" cm="1">
        <f t="array" ref="FK6">_xll.EQNXTDZ($A$1,$B6,FK$1)</f>
        <v>251.8</v>
      </c>
      <c r="FL6" cm="1">
        <f t="array" ref="FL6">_xll.EQNXTDZ($A$1,$B6,FL$1)</f>
        <v>220.1</v>
      </c>
      <c r="FM6" cm="1">
        <f t="array" ref="FM6">_xll.EQNXTDZ($A$1,$B6,FM$1)</f>
        <v>238.96</v>
      </c>
      <c r="FN6" cm="1">
        <f t="array" ref="FN6">_xll.EQNXTDZ($A$1,$B6,FN$1)</f>
        <v>308.7</v>
      </c>
      <c r="FO6" cm="1">
        <f t="array" ref="FO6">_xll.EQNXTDZ($A$1,$B6,FO$1)</f>
        <v>341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37.9</v>
      </c>
      <c r="CZ7" s="116" cm="1">
        <f t="array" ref="CZ7">_xll.EQNXTDZ($A$1,$B7,CZ$1)</f>
        <v>36.935000000000002</v>
      </c>
      <c r="DA7" s="116" cm="1">
        <f t="array" ref="DA7">_xll.EQNXTDZ($A$1,$B7,DA$1)</f>
        <v>40.799999999999997</v>
      </c>
      <c r="DB7" s="116" cm="1">
        <f t="array" ref="DB7">_xll.EQNXTDZ($A$1,$B7,DB$1)</f>
        <v>37.79</v>
      </c>
      <c r="DC7" s="116" cm="1">
        <f t="array" ref="DC7">_xll.EQNXTDZ($A$1,$B7,DC$1)</f>
        <v>36</v>
      </c>
      <c r="DD7" s="116" cm="1">
        <f t="array" ref="DD7">_xll.EQNXTDZ($A$1,$B7,DD$1)</f>
        <v>34.634999999999998</v>
      </c>
      <c r="DE7" s="116" cm="1">
        <f t="array" ref="DE7">_xll.EQNXTDZ($A$1,$B7,DE$1)</f>
        <v>38.5</v>
      </c>
      <c r="DF7" s="116" cm="1">
        <f t="array" ref="DF7">_xll.EQNXTDZ($A$1,$B7,DF$1)</f>
        <v>78.7</v>
      </c>
      <c r="DG7" s="116" cm="1">
        <f t="array" ref="DG7">_xll.EQNXTDZ($A$1,$B7,DG$1)</f>
        <v>96.5</v>
      </c>
      <c r="DH7" s="116" cm="1">
        <f t="array" ref="DH7">_xll.EQNXTDZ($A$1,$B7,DH$1)</f>
        <v>147.5</v>
      </c>
      <c r="DI7" s="116" cm="1">
        <f t="array" ref="DI7">_xll.EQNXTDZ($A$1,$B7,DI$1)</f>
        <v>139.595</v>
      </c>
      <c r="DJ7" s="116" cm="1">
        <f t="array" ref="DJ7">_xll.EQNXTDZ($A$1,$B7,DJ$1)</f>
        <v>135</v>
      </c>
      <c r="DK7" s="116" cm="1">
        <f t="array" ref="DK7">_xll.EQNXTDZ($A$1,$B7,DK$1)</f>
        <v>168.9</v>
      </c>
      <c r="DL7" s="116" cm="1">
        <f t="array" ref="DL7">_xll.EQNXTDZ($A$1,$B7,DL$1)</f>
        <v>127</v>
      </c>
      <c r="DM7" s="116" cm="1">
        <f t="array" ref="DM7">_xll.EQNXTDZ($A$1,$B7,DM$1)</f>
        <v>121.3</v>
      </c>
      <c r="DN7" s="116" cm="1">
        <f t="array" ref="DN7">_xll.EQNXTDZ($A$1,$B7,DN$1)</f>
        <v>152.78</v>
      </c>
      <c r="DO7" s="116" cm="1">
        <f t="array" ref="DO7">_xll.EQNXTDZ($A$1,$B7,DO$1)</f>
        <v>142.5</v>
      </c>
      <c r="DP7" s="116" cm="1">
        <f t="array" ref="DP7">_xll.EQNXTDZ($A$1,$B7,DP$1)</f>
        <v>171.82</v>
      </c>
      <c r="DQ7" s="116" cm="1">
        <f t="array" ref="DQ7">_xll.EQNXTDZ($A$1,$B7,DQ$1)</f>
        <v>202.2</v>
      </c>
      <c r="DR7" s="116" cm="1">
        <f t="array" ref="DR7">_xll.EQNXTDZ($A$1,$B7,DR$1)</f>
        <v>194.41</v>
      </c>
      <c r="DS7" s="116" cm="1">
        <f t="array" ref="DS7">_xll.EQNXTDZ($A$1,$B7,DS$1)</f>
        <v>155.57</v>
      </c>
      <c r="DT7" s="116" cm="1">
        <f t="array" ref="DT7">_xll.EQNXTDZ($A$1,$B7,DT$1)</f>
        <v>146.9</v>
      </c>
      <c r="DU7" s="116" cm="1">
        <f t="array" ref="DU7">_xll.EQNXTDZ($A$1,$B7,DU$1)</f>
        <v>138.77000000000001</v>
      </c>
      <c r="DV7" s="116" cm="1">
        <f t="array" ref="DV7">_xll.EQNXTDZ($A$1,$B7,DV$1)</f>
        <v>163.1</v>
      </c>
      <c r="DW7" s="116" cm="1">
        <f t="array" ref="DW7">_xll.EQNXTDZ($A$1,$B7,DW$1)</f>
        <v>167.4</v>
      </c>
      <c r="DX7" s="116" cm="1">
        <f t="array" ref="DX7">_xll.EQNXTDZ($A$1,$B7,DX$1)</f>
        <v>162.35</v>
      </c>
      <c r="DY7" s="116" cm="1">
        <f t="array" ref="DY7">_xll.EQNXTDZ($A$1,$B7,DY$1)</f>
        <v>162.26499999999999</v>
      </c>
      <c r="DZ7" s="116" cm="1">
        <f t="array" ref="DZ7">_xll.EQNXTDZ($A$1,$B7,DZ$1)</f>
        <v>136.875</v>
      </c>
      <c r="EA7" s="116" cm="1">
        <f t="array" ref="EA7">_xll.EQNXTDZ($A$1,$B7,EA$1)</f>
        <v>126.685</v>
      </c>
      <c r="EB7" s="116" cm="1">
        <f t="array" ref="EB7">_xll.EQNXTDZ($A$1,$B7,EB$1)</f>
        <v>120.5</v>
      </c>
      <c r="EC7" s="116" cm="1">
        <f t="array" ref="EC7">_xll.EQNXTDZ($A$1,$B7,EC$1)</f>
        <v>135.88499999999999</v>
      </c>
      <c r="ED7" s="116" cm="1">
        <f t="array" ref="ED7">_xll.EQNXTDZ($A$1,$B7,ED$1)</f>
        <v>135</v>
      </c>
      <c r="EE7" s="116" cm="1">
        <f t="array" ref="EE7">_xll.EQNXTDZ($A$1,$B7,EE$1)</f>
        <v>174.39500000000001</v>
      </c>
      <c r="EF7" s="116" cm="1">
        <f t="array" ref="EF7">_xll.EQNXTDZ($A$1,$B7,EF$1)</f>
        <v>180.48500000000001</v>
      </c>
      <c r="EG7" s="116" cm="1">
        <f t="array" ref="EG7">_xll.EQNXTDZ($A$1,$B7,EG$1)</f>
        <v>188.1</v>
      </c>
      <c r="EH7" s="116" cm="1">
        <f t="array" ref="EH7">_xll.EQNXTDZ($A$1,$B7,EH$1)</f>
        <v>196.59</v>
      </c>
      <c r="EI7" s="116" cm="1">
        <f t="array" ref="EI7">_xll.EQNXTDZ($A$1,$B7,EI$1)</f>
        <v>259.91500000000002</v>
      </c>
      <c r="EJ7" s="116" cm="1">
        <f t="array" ref="EJ7">_xll.EQNXTDZ($A$1,$B7,EJ$1)</f>
        <v>319.5</v>
      </c>
      <c r="EK7" s="116" cm="1">
        <f t="array" ref="EK7">_xll.EQNXTDZ($A$1,$B7,EK$1)</f>
        <v>350.5</v>
      </c>
      <c r="EL7" s="116" cm="1">
        <f t="array" ref="EL7">_xll.EQNXTDZ($A$1,$B7,EL$1)</f>
        <v>389.6</v>
      </c>
      <c r="EM7" s="116" cm="1">
        <f t="array" ref="EM7">_xll.EQNXTDZ($A$1,$B7,EM$1)</f>
        <v>343.82</v>
      </c>
      <c r="EN7" s="116" cm="1">
        <f t="array" ref="EN7">_xll.EQNXTDZ($A$1,$B7,EN$1)</f>
        <v>311.5</v>
      </c>
      <c r="EO7" s="116" cm="1">
        <f t="array" ref="EO7">_xll.EQNXTDZ($A$1,$B7,EO$1)</f>
        <v>322.91500000000002</v>
      </c>
      <c r="EP7" s="116" cm="1">
        <f t="array" ref="EP7">_xll.EQNXTDZ($A$1,$B7,EP$1)</f>
        <v>281.07499999999999</v>
      </c>
      <c r="EQ7" s="116" cm="1">
        <f t="array" ref="EQ7">_xll.EQNXTDZ($A$1,$B7,EQ$1)</f>
        <v>269.7</v>
      </c>
      <c r="ER7" s="116" cm="1">
        <f t="array" ref="ER7">_xll.EQNXTDZ($A$1,$B7,ER$1)</f>
        <v>259.89999999999998</v>
      </c>
      <c r="ES7" s="116" cm="1">
        <f t="array" ref="ES7">_xll.EQNXTDZ($A$1,$B7,ES$1)</f>
        <v>285.5</v>
      </c>
      <c r="ET7" s="116" cm="1">
        <f t="array" ref="ET7">_xll.EQNXTDZ($A$1,$B7,ET$1)</f>
        <v>269.39999999999998</v>
      </c>
      <c r="EU7" s="116" cm="1">
        <f t="array" ref="EU7">_xll.EQNXTDZ($A$1,$B7,EU$1)</f>
        <v>339.3</v>
      </c>
      <c r="EV7" s="116" cm="1">
        <f t="array" ref="EV7">_xll.EQNXTDZ($A$1,$B7,EV$1)</f>
        <v>310</v>
      </c>
      <c r="EW7" s="116" cm="1">
        <f t="array" ref="EW7">_xll.EQNXTDZ($A$1,$B7,EW$1)</f>
        <v>350.315</v>
      </c>
      <c r="EX7" s="116" cm="1">
        <f t="array" ref="EX7">_xll.EQNXTDZ($A$1,$B7,EX$1)</f>
        <v>304.2</v>
      </c>
      <c r="EY7" s="116" cm="1">
        <f t="array" ref="EY7">_xll.EQNXTDZ($A$1,$B7,EY$1)</f>
        <v>253.685</v>
      </c>
      <c r="EZ7" s="116" cm="1">
        <f t="array" ref="EZ7">_xll.EQNXTDZ($A$1,$B7,EZ$1)</f>
        <v>242.4</v>
      </c>
      <c r="FA7" s="116" cm="1">
        <f t="array" ref="FA7">_xll.EQNXTDZ($A$1,$B7,FA$1)</f>
        <v>255.25</v>
      </c>
      <c r="FB7" s="116" cm="1">
        <f t="array" ref="FB7">_xll.EQNXTDZ($A$1,$B7,FB$1)</f>
        <v>311.89999999999998</v>
      </c>
      <c r="FC7" s="116" cm="1">
        <f t="array" ref="FC7">_xll.EQNXTDZ($A$1,$B7,FC$1)</f>
        <v>328.5</v>
      </c>
      <c r="FD7" s="116" cm="1">
        <f t="array" ref="FD7">_xll.EQNXTDZ($A$1,$B7,FD$1)</f>
        <v>297.69</v>
      </c>
      <c r="FE7" s="116" cm="1">
        <f t="array" ref="FE7">_xll.EQNXTDZ($A$1,$B7,FE$1)</f>
        <v>273.68</v>
      </c>
      <c r="FF7" s="116" cm="1">
        <f t="array" ref="FF7">_xll.EQNXTDZ($A$1,$B7,FF$1)</f>
        <v>237.5</v>
      </c>
      <c r="FG7" s="116" cm="1">
        <f t="array" ref="FG7">_xll.EQNXTDZ($A$1,$B7,FG$1)</f>
        <v>258.8</v>
      </c>
      <c r="FH7" s="116" cm="1">
        <f t="array" ref="FH7">_xll.EQNXTDZ($A$1,$B7,FH$1)</f>
        <v>286.7</v>
      </c>
      <c r="FI7" s="116" cm="1">
        <f t="array" ref="FI7">_xll.EQNXTDZ($A$1,$B7,FI$1)</f>
        <v>282.5</v>
      </c>
      <c r="FJ7" s="116" cm="1">
        <f t="array" ref="FJ7">_xll.EQNXTDZ($A$1,$B7,FJ$1)</f>
        <v>277.86</v>
      </c>
      <c r="FK7" s="116" cm="1">
        <f t="array" ref="FK7">_xll.EQNXTDZ($A$1,$B7,FK$1)</f>
        <v>280.87</v>
      </c>
      <c r="FL7" s="116" cm="1">
        <f t="array" ref="FL7">_xll.EQNXTDZ($A$1,$B7,FL$1)</f>
        <v>243.8</v>
      </c>
      <c r="FM7" s="116" cm="1">
        <f t="array" ref="FM7">_xll.EQNXTDZ($A$1,$B7,FM$1)</f>
        <v>330.23</v>
      </c>
      <c r="FN7" s="116" cm="1">
        <f t="array" ref="FN7">_xll.EQNXTDZ($A$1,$B7,FN$1)</f>
        <v>351</v>
      </c>
      <c r="FO7" s="116" cm="1">
        <f t="array" ref="FO7">_xll.EQNXTDZ($A$1,$B7,FO$1)</f>
        <v>345.55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40.799999999999997</v>
      </c>
      <c r="IX7" s="116">
        <f>+MAX(DB7:DD7)</f>
        <v>37.79</v>
      </c>
      <c r="IY7" s="116">
        <f>+MAX(DE7:DG7)</f>
        <v>96.5</v>
      </c>
      <c r="IZ7" s="116">
        <f>+MAX(DH7:DJ7)</f>
        <v>147.5</v>
      </c>
      <c r="JA7" s="116">
        <f>+MAX(DK7:DM7)</f>
        <v>168.9</v>
      </c>
      <c r="JB7" s="116">
        <f>+MAX(DN7:DP7)</f>
        <v>171.82</v>
      </c>
      <c r="JC7" s="116">
        <f>+MAX(DQ7:DS7)</f>
        <v>202.2</v>
      </c>
      <c r="JD7" s="116">
        <f>+MAX(DT7:DV7)</f>
        <v>163.1</v>
      </c>
      <c r="JE7" s="116">
        <f>+MAX(DW7:DY7)</f>
        <v>167.4</v>
      </c>
      <c r="JF7" s="116">
        <f>+MAX(DZ7:EB7)</f>
        <v>136.875</v>
      </c>
      <c r="JG7" s="116">
        <f>+MAX(EC7:EE7)</f>
        <v>174.39500000000001</v>
      </c>
      <c r="JH7" s="116">
        <f>+MAX(EF7:EH7)</f>
        <v>196.59</v>
      </c>
      <c r="JI7" s="116">
        <f>+MAX(EI7:EK7)</f>
        <v>350.5</v>
      </c>
      <c r="JJ7" s="116">
        <f>+MAX(EL7:EN7)</f>
        <v>389.6</v>
      </c>
      <c r="JK7" s="116">
        <f>MAX(EO7:EQ7)</f>
        <v>322.91500000000002</v>
      </c>
      <c r="JL7" s="116">
        <f>MAX(ER7:ET7)</f>
        <v>285.5</v>
      </c>
      <c r="JM7" s="116">
        <f>MAX(EU7:EW7)</f>
        <v>350.315</v>
      </c>
      <c r="JN7" s="116">
        <f>MAX(EX7:EZ7)</f>
        <v>304.2</v>
      </c>
      <c r="JO7" s="116">
        <f>MAX(FA7:FC7)</f>
        <v>328.5</v>
      </c>
      <c r="JP7" s="116">
        <f>MAX(FD7:FF7)</f>
        <v>297.69</v>
      </c>
      <c r="JQ7" s="116">
        <f>MAX(FG7:FI7)</f>
        <v>286.7</v>
      </c>
      <c r="JR7" s="116">
        <f>MAX(FJ7:FL7)</f>
        <v>280.87</v>
      </c>
      <c r="JS7" s="116">
        <f>MAX(FM7:FO7)</f>
        <v>351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22.22</v>
      </c>
      <c r="CZ8" s="116" cm="1">
        <f t="array" ref="CZ8">_xll.EQNXTDZ($A$1,$B8,CZ$1)</f>
        <v>29.065000000000001</v>
      </c>
      <c r="DA8" s="116" cm="1">
        <f t="array" ref="DA8">_xll.EQNXTDZ($A$1,$B8,DA$1)</f>
        <v>31.504999999999999</v>
      </c>
      <c r="DB8" s="116" cm="1">
        <f t="array" ref="DB8">_xll.EQNXTDZ($A$1,$B8,DB$1)</f>
        <v>33.47</v>
      </c>
      <c r="DC8" s="116" cm="1">
        <f t="array" ref="DC8">_xll.EQNXTDZ($A$1,$B8,DC$1)</f>
        <v>31.7</v>
      </c>
      <c r="DD8" s="116" cm="1">
        <f t="array" ref="DD8">_xll.EQNXTDZ($A$1,$B8,DD$1)</f>
        <v>28.88</v>
      </c>
      <c r="DE8" s="116" cm="1">
        <f t="array" ref="DE8">_xll.EQNXTDZ($A$1,$B8,DE$1)</f>
        <v>28.635000000000002</v>
      </c>
      <c r="DF8" s="116" cm="1">
        <f t="array" ref="DF8">_xll.EQNXTDZ($A$1,$B8,DF$1)</f>
        <v>37.1</v>
      </c>
      <c r="DG8" s="116" cm="1">
        <f t="array" ref="DG8">_xll.EQNXTDZ($A$1,$B8,DG$1)</f>
        <v>73.754999999999995</v>
      </c>
      <c r="DH8" s="116" cm="1">
        <f t="array" ref="DH8">_xll.EQNXTDZ($A$1,$B8,DH$1)</f>
        <v>85.21</v>
      </c>
      <c r="DI8" s="116" cm="1">
        <f t="array" ref="DI8">_xll.EQNXTDZ($A$1,$B8,DI$1)</f>
        <v>101.4</v>
      </c>
      <c r="DJ8" s="116" cm="1">
        <f t="array" ref="DJ8">_xll.EQNXTDZ($A$1,$B8,DJ$1)</f>
        <v>115.505</v>
      </c>
      <c r="DK8" s="116" cm="1">
        <f t="array" ref="DK8">_xll.EQNXTDZ($A$1,$B8,DK$1)</f>
        <v>122.2</v>
      </c>
      <c r="DL8" s="116" cm="1">
        <f t="array" ref="DL8">_xll.EQNXTDZ($A$1,$B8,DL$1)</f>
        <v>99.05</v>
      </c>
      <c r="DM8" s="116" cm="1">
        <f t="array" ref="DM8">_xll.EQNXTDZ($A$1,$B8,DM$1)</f>
        <v>101</v>
      </c>
      <c r="DN8" s="116" cm="1">
        <f t="array" ref="DN8">_xll.EQNXTDZ($A$1,$B8,DN$1)</f>
        <v>118.56</v>
      </c>
      <c r="DO8" s="116" cm="1">
        <f t="array" ref="DO8">_xll.EQNXTDZ($A$1,$B8,DO$1)</f>
        <v>118.04</v>
      </c>
      <c r="DP8" s="116" cm="1">
        <f t="array" ref="DP8">_xll.EQNXTDZ($A$1,$B8,DP$1)</f>
        <v>124</v>
      </c>
      <c r="DQ8" s="116" cm="1">
        <f t="array" ref="DQ8">_xll.EQNXTDZ($A$1,$B8,DQ$1)</f>
        <v>153.5</v>
      </c>
      <c r="DR8" s="116" cm="1">
        <f t="array" ref="DR8">_xll.EQNXTDZ($A$1,$B8,DR$1)</f>
        <v>126.7</v>
      </c>
      <c r="DS8" s="116" cm="1">
        <f t="array" ref="DS8">_xll.EQNXTDZ($A$1,$B8,DS$1)</f>
        <v>106.6</v>
      </c>
      <c r="DT8" s="116" cm="1">
        <f t="array" ref="DT8">_xll.EQNXTDZ($A$1,$B8,DT$1)</f>
        <v>118.5</v>
      </c>
      <c r="DU8" s="116" cm="1">
        <f t="array" ref="DU8">_xll.EQNXTDZ($A$1,$B8,DU$1)</f>
        <v>124.22</v>
      </c>
      <c r="DV8" s="116" cm="1">
        <f t="array" ref="DV8">_xll.EQNXTDZ($A$1,$B8,DV$1)</f>
        <v>129.755</v>
      </c>
      <c r="DW8" s="116" cm="1">
        <f t="array" ref="DW8">_xll.EQNXTDZ($A$1,$B8,DW$1)</f>
        <v>133.935</v>
      </c>
      <c r="DX8" s="116" cm="1">
        <f t="array" ref="DX8">_xll.EQNXTDZ($A$1,$B8,DX$1)</f>
        <v>142.52000000000001</v>
      </c>
      <c r="DY8" s="116" cm="1">
        <f t="array" ref="DY8">_xll.EQNXTDZ($A$1,$B8,DY$1)</f>
        <v>123.02</v>
      </c>
      <c r="DZ8" s="116" cm="1">
        <f t="array" ref="DZ8">_xll.EQNXTDZ($A$1,$B8,DZ$1)</f>
        <v>116.465</v>
      </c>
      <c r="EA8" s="116" cm="1">
        <f t="array" ref="EA8">_xll.EQNXTDZ($A$1,$B8,EA$1)</f>
        <v>101</v>
      </c>
      <c r="EB8" s="116" cm="1">
        <f t="array" ref="EB8">_xll.EQNXTDZ($A$1,$B8,EB$1)</f>
        <v>99.9</v>
      </c>
      <c r="EC8" s="116" cm="1">
        <f t="array" ref="EC8">_xll.EQNXTDZ($A$1,$B8,EC$1)</f>
        <v>115.995</v>
      </c>
      <c r="ED8" s="116" cm="1">
        <f t="array" ref="ED8">_xll.EQNXTDZ($A$1,$B8,ED$1)</f>
        <v>118.12</v>
      </c>
      <c r="EE8" s="116" cm="1">
        <f t="array" ref="EE8">_xll.EQNXTDZ($A$1,$B8,EE$1)</f>
        <v>129.69999999999999</v>
      </c>
      <c r="EF8" s="116" cm="1">
        <f t="array" ref="EF8">_xll.EQNXTDZ($A$1,$B8,EF$1)</f>
        <v>145.19999999999999</v>
      </c>
      <c r="EG8" s="116" cm="1">
        <f t="array" ref="EG8">_xll.EQNXTDZ($A$1,$B8,EG$1)</f>
        <v>146.19999999999999</v>
      </c>
      <c r="EH8" s="116" cm="1">
        <f t="array" ref="EH8">_xll.EQNXTDZ($A$1,$B8,EH$1)</f>
        <v>170.5</v>
      </c>
      <c r="EI8" s="116" cm="1">
        <f t="array" ref="EI8">_xll.EQNXTDZ($A$1,$B8,EI$1)</f>
        <v>182.405</v>
      </c>
      <c r="EJ8" s="116" cm="1">
        <f t="array" ref="EJ8">_xll.EQNXTDZ($A$1,$B8,EJ$1)</f>
        <v>249.34</v>
      </c>
      <c r="EK8" s="116" cm="1">
        <f t="array" ref="EK8">_xll.EQNXTDZ($A$1,$B8,EK$1)</f>
        <v>290.3</v>
      </c>
      <c r="EL8" s="116" cm="1">
        <f t="array" ref="EL8">_xll.EQNXTDZ($A$1,$B8,EL$1)</f>
        <v>284.35000000000002</v>
      </c>
      <c r="EM8" s="116" cm="1">
        <f t="array" ref="EM8">_xll.EQNXTDZ($A$1,$B8,EM$1)</f>
        <v>275.05</v>
      </c>
      <c r="EN8" s="116" cm="1">
        <f t="array" ref="EN8">_xll.EQNXTDZ($A$1,$B8,EN$1)</f>
        <v>233.54</v>
      </c>
      <c r="EO8" s="116" cm="1">
        <f t="array" ref="EO8">_xll.EQNXTDZ($A$1,$B8,EO$1)</f>
        <v>267.54500000000002</v>
      </c>
      <c r="EP8" s="116" cm="1">
        <f t="array" ref="EP8">_xll.EQNXTDZ($A$1,$B8,EP$1)</f>
        <v>240.1</v>
      </c>
      <c r="EQ8" s="116" cm="1">
        <f t="array" ref="EQ8">_xll.EQNXTDZ($A$1,$B8,EQ$1)</f>
        <v>212.97</v>
      </c>
      <c r="ER8" s="116" cm="1">
        <f t="array" ref="ER8">_xll.EQNXTDZ($A$1,$B8,ER$1)</f>
        <v>202.5</v>
      </c>
      <c r="ES8" s="116" cm="1">
        <f t="array" ref="ES8">_xll.EQNXTDZ($A$1,$B8,ES$1)</f>
        <v>203</v>
      </c>
      <c r="ET8" s="116" cm="1">
        <f t="array" ref="ET8">_xll.EQNXTDZ($A$1,$B8,ET$1)</f>
        <v>231.51499999999999</v>
      </c>
      <c r="EU8" s="116" cm="1">
        <f t="array" ref="EU8">_xll.EQNXTDZ($A$1,$B8,EU$1)</f>
        <v>245</v>
      </c>
      <c r="EV8" s="116" cm="1">
        <f t="array" ref="EV8">_xll.EQNXTDZ($A$1,$B8,EV$1)</f>
        <v>260.5</v>
      </c>
      <c r="EW8" s="116" cm="1">
        <f t="array" ref="EW8">_xll.EQNXTDZ($A$1,$B8,EW$1)</f>
        <v>282.70499999999998</v>
      </c>
      <c r="EX8" s="116" cm="1">
        <f t="array" ref="EX8">_xll.EQNXTDZ($A$1,$B8,EX$1)</f>
        <v>215.03</v>
      </c>
      <c r="EY8" s="116" cm="1">
        <f t="array" ref="EY8">_xll.EQNXTDZ($A$1,$B8,EY$1)</f>
        <v>209.17</v>
      </c>
      <c r="EZ8" s="116" cm="1">
        <f t="array" ref="EZ8">_xll.EQNXTDZ($A$1,$B8,EZ$1)</f>
        <v>194.1</v>
      </c>
      <c r="FA8" s="116" cm="1">
        <f t="array" ref="FA8">_xll.EQNXTDZ($A$1,$B8,FA$1)</f>
        <v>205.7</v>
      </c>
      <c r="FB8" s="116" cm="1">
        <f t="array" ref="FB8">_xll.EQNXTDZ($A$1,$B8,FB$1)</f>
        <v>225.29</v>
      </c>
      <c r="FC8" s="116" cm="1">
        <f t="array" ref="FC8">_xll.EQNXTDZ($A$1,$B8,FC$1)</f>
        <v>275.8</v>
      </c>
      <c r="FD8" s="116" cm="1">
        <f t="array" ref="FD8">_xll.EQNXTDZ($A$1,$B8,FD$1)</f>
        <v>258</v>
      </c>
      <c r="FE8" s="116" cm="1">
        <f t="array" ref="FE8">_xll.EQNXTDZ($A$1,$B8,FE$1)</f>
        <v>219.84</v>
      </c>
      <c r="FF8" s="116" cm="1">
        <f t="array" ref="FF8">_xll.EQNXTDZ($A$1,$B8,FF$1)</f>
        <v>210.1</v>
      </c>
      <c r="FG8" s="116" cm="1">
        <f t="array" ref="FG8">_xll.EQNXTDZ($A$1,$B8,FG$1)</f>
        <v>211.76</v>
      </c>
      <c r="FH8" s="116" cm="1">
        <f t="array" ref="FH8">_xll.EQNXTDZ($A$1,$B8,FH$1)</f>
        <v>244.6</v>
      </c>
      <c r="FI8" s="116" cm="1">
        <f t="array" ref="FI8">_xll.EQNXTDZ($A$1,$B8,FI$1)</f>
        <v>232.5</v>
      </c>
      <c r="FJ8" s="116" cm="1">
        <f t="array" ref="FJ8">_xll.EQNXTDZ($A$1,$B8,FJ$1)</f>
        <v>229.76</v>
      </c>
      <c r="FK8" s="116" cm="1">
        <f t="array" ref="FK8">_xll.EQNXTDZ($A$1,$B8,FK$1)</f>
        <v>219.95</v>
      </c>
      <c r="FL8" s="116" cm="1">
        <f t="array" ref="FL8">_xll.EQNXTDZ($A$1,$B8,FL$1)</f>
        <v>208.63</v>
      </c>
      <c r="FM8" s="116" cm="1">
        <f t="array" ref="FM8">_xll.EQNXTDZ($A$1,$B8,FM$1)</f>
        <v>228.45</v>
      </c>
      <c r="FN8" s="116" cm="1">
        <f t="array" ref="FN8">_xll.EQNXTDZ($A$1,$B8,FN$1)</f>
        <v>290.8</v>
      </c>
      <c r="FO8" s="116" cm="1">
        <f t="array" ref="FO8">_xll.EQNXTDZ($A$1,$B8,FO$1)</f>
        <v>319.5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22.22</v>
      </c>
      <c r="IX8" s="116">
        <f>+MIN(DB8:DD8)</f>
        <v>28.88</v>
      </c>
      <c r="IY8" s="116">
        <f>+MIN(DE8:DG8)</f>
        <v>28.635000000000002</v>
      </c>
      <c r="IZ8" s="116">
        <f>+MIN(DH8:DJ8)</f>
        <v>85.21</v>
      </c>
      <c r="JA8" s="116">
        <f>+MIN(DK8:DM8)</f>
        <v>99.05</v>
      </c>
      <c r="JB8" s="116">
        <f>+MIN(DN8:DP8)</f>
        <v>118.04</v>
      </c>
      <c r="JC8" s="116">
        <f>+MIN(DQ8:DS8)</f>
        <v>106.6</v>
      </c>
      <c r="JD8" s="116">
        <f>+MIN(DT8:DV8)</f>
        <v>118.5</v>
      </c>
      <c r="JE8" s="116">
        <f>+MIN(DW8:DY8)</f>
        <v>123.02</v>
      </c>
      <c r="JF8" s="116">
        <f>+MIN(DZ8:EB8)</f>
        <v>99.9</v>
      </c>
      <c r="JG8" s="116">
        <f>+MIN(EC8:EE8)</f>
        <v>115.995</v>
      </c>
      <c r="JH8" s="116">
        <f>+MIN(EF8:EH8)</f>
        <v>145.19999999999999</v>
      </c>
      <c r="JI8" s="116">
        <f>+MIN(EI8:EK8)</f>
        <v>182.405</v>
      </c>
      <c r="JJ8" s="116">
        <f>+MIN(EL8:EN8)</f>
        <v>233.54</v>
      </c>
      <c r="JK8" s="116">
        <f>MIN(EO8:EQ8)</f>
        <v>212.97</v>
      </c>
      <c r="JL8" s="116">
        <f>MIN(ER8:ET8)</f>
        <v>202.5</v>
      </c>
      <c r="JM8" s="116">
        <f>MIN(EU8:EW8)</f>
        <v>245</v>
      </c>
      <c r="JN8" s="116">
        <f>MIN(EX8:EZ8)</f>
        <v>194.1</v>
      </c>
      <c r="JO8" s="116">
        <f>MIN(FA8:FC8)</f>
        <v>205.7</v>
      </c>
      <c r="JP8" s="116">
        <f>MIN(FD8:FF8)</f>
        <v>210.1</v>
      </c>
      <c r="JQ8" s="116">
        <f>MIN(FG8:FI8)</f>
        <v>211.76</v>
      </c>
      <c r="JR8" s="116">
        <f>MIN(FJ8:FL8)</f>
        <v>208.63</v>
      </c>
      <c r="JS8" s="116">
        <f>MIN(FM8:FO8)</f>
        <v>228.45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35.335000000000001</v>
      </c>
      <c r="CZ9" s="116" cm="1">
        <f t="array" ref="CZ9">_xll.EQNXTDZ($A$1,$B9,CZ$1)</f>
        <v>35.78</v>
      </c>
      <c r="DA9" s="116" cm="1">
        <f t="array" ref="DA9">_xll.EQNXTDZ($A$1,$B9,DA$1)</f>
        <v>33.805</v>
      </c>
      <c r="DB9" s="116" cm="1">
        <f t="array" ref="DB9">_xll.EQNXTDZ($A$1,$B9,DB$1)</f>
        <v>34.25</v>
      </c>
      <c r="DC9" s="116" cm="1">
        <f t="array" ref="DC9">_xll.EQNXTDZ($A$1,$B9,DC$1)</f>
        <v>33.08</v>
      </c>
      <c r="DD9" s="116" cm="1">
        <f t="array" ref="DD9">_xll.EQNXTDZ($A$1,$B9,DD$1)</f>
        <v>29.12</v>
      </c>
      <c r="DE9" s="116" cm="1">
        <f t="array" ref="DE9">_xll.EQNXTDZ($A$1,$B9,DE$1)</f>
        <v>37.03</v>
      </c>
      <c r="DF9" s="116" cm="1">
        <f t="array" ref="DF9">_xll.EQNXTDZ($A$1,$B9,DF$1)</f>
        <v>75.709999999999994</v>
      </c>
      <c r="DG9" s="116" cm="1">
        <f t="array" ref="DG9">_xll.EQNXTDZ($A$1,$B9,DG$1)</f>
        <v>85.81</v>
      </c>
      <c r="DH9" s="116" cm="1">
        <f t="array" ref="DH9">_xll.EQNXTDZ($A$1,$B9,DH$1)</f>
        <v>118.72499999999999</v>
      </c>
      <c r="DI9" s="116" cm="1">
        <f t="array" ref="DI9">_xll.EQNXTDZ($A$1,$B9,DI$1)</f>
        <v>120.74</v>
      </c>
      <c r="DJ9" s="116" cm="1">
        <f t="array" ref="DJ9">_xll.EQNXTDZ($A$1,$B9,DJ$1)</f>
        <v>132.27500000000001</v>
      </c>
      <c r="DK9" s="116" cm="1">
        <f t="array" ref="DK9">_xll.EQNXTDZ($A$1,$B9,DK$1)</f>
        <v>124.35</v>
      </c>
      <c r="DL9" s="116" cm="1">
        <f t="array" ref="DL9">_xll.EQNXTDZ($A$1,$B9,DL$1)</f>
        <v>101.425</v>
      </c>
      <c r="DM9" s="116" cm="1">
        <f t="array" ref="DM9">_xll.EQNXTDZ($A$1,$B9,DM$1)</f>
        <v>118.205</v>
      </c>
      <c r="DN9" s="116" cm="1">
        <f t="array" ref="DN9">_xll.EQNXTDZ($A$1,$B9,DN$1)</f>
        <v>139.49</v>
      </c>
      <c r="DO9" s="116" cm="1">
        <f t="array" ref="DO9">_xll.EQNXTDZ($A$1,$B9,DO$1)</f>
        <v>133.53</v>
      </c>
      <c r="DP9" s="116" cm="1">
        <f t="array" ref="DP9">_xll.EQNXTDZ($A$1,$B9,DP$1)</f>
        <v>153.67500000000001</v>
      </c>
      <c r="DQ9" s="116" cm="1">
        <f t="array" ref="DQ9">_xll.EQNXTDZ($A$1,$B9,DQ$1)</f>
        <v>194.92</v>
      </c>
      <c r="DR9" s="116" cm="1">
        <f t="array" ref="DR9">_xll.EQNXTDZ($A$1,$B9,DR$1)</f>
        <v>147.55000000000001</v>
      </c>
      <c r="DS9" s="116" cm="1">
        <f t="array" ref="DS9">_xll.EQNXTDZ($A$1,$B9,DS$1)</f>
        <v>120.62</v>
      </c>
      <c r="DT9" s="116" cm="1">
        <f t="array" ref="DT9">_xll.EQNXTDZ($A$1,$B9,DT$1)</f>
        <v>136.68</v>
      </c>
      <c r="DU9" s="116" cm="1">
        <f t="array" ref="DU9">_xll.EQNXTDZ($A$1,$B9,DU$1)</f>
        <v>130.72999999999999</v>
      </c>
      <c r="DV9" s="116" cm="1">
        <f t="array" ref="DV9">_xll.EQNXTDZ($A$1,$B9,DV$1)</f>
        <v>136.19999999999999</v>
      </c>
      <c r="DW9" s="116" cm="1">
        <f t="array" ref="DW9">_xll.EQNXTDZ($A$1,$B9,DW$1)</f>
        <v>160.26499999999999</v>
      </c>
      <c r="DX9" s="116" cm="1">
        <f t="array" ref="DX9">_xll.EQNXTDZ($A$1,$B9,DX$1)</f>
        <v>159.715</v>
      </c>
      <c r="DY9" s="116" cm="1">
        <f t="array" ref="DY9">_xll.EQNXTDZ($A$1,$B9,DY$1)</f>
        <v>131.13499999999999</v>
      </c>
      <c r="DZ9" s="116" cm="1">
        <f t="array" ref="DZ9">_xll.EQNXTDZ($A$1,$B9,DZ$1)</f>
        <v>122.76</v>
      </c>
      <c r="EA9" s="116" cm="1">
        <f t="array" ref="EA9">_xll.EQNXTDZ($A$1,$B9,EA$1)</f>
        <v>101.955</v>
      </c>
      <c r="EB9" s="116" cm="1">
        <f t="array" ref="EB9">_xll.EQNXTDZ($A$1,$B9,EB$1)</f>
        <v>116.285</v>
      </c>
      <c r="EC9" s="116" cm="1">
        <f t="array" ref="EC9">_xll.EQNXTDZ($A$1,$B9,EC$1)</f>
        <v>123.005</v>
      </c>
      <c r="ED9" s="116" cm="1">
        <f t="array" ref="ED9">_xll.EQNXTDZ($A$1,$B9,ED$1)</f>
        <v>134.55000000000001</v>
      </c>
      <c r="EE9" s="116" cm="1">
        <f t="array" ref="EE9">_xll.EQNXTDZ($A$1,$B9,EE$1)</f>
        <v>171.88</v>
      </c>
      <c r="EF9" s="116" cm="1">
        <f t="array" ref="EF9">_xll.EQNXTDZ($A$1,$B9,EF$1)</f>
        <v>154.11000000000001</v>
      </c>
      <c r="EG9" s="116" cm="1">
        <f t="array" ref="EG9">_xll.EQNXTDZ($A$1,$B9,EG$1)</f>
        <v>186.98500000000001</v>
      </c>
      <c r="EH9" s="116" cm="1">
        <f t="array" ref="EH9">_xll.EQNXTDZ($A$1,$B9,EH$1)</f>
        <v>185.065</v>
      </c>
      <c r="EI9" s="116" cm="1">
        <f t="array" ref="EI9">_xll.EQNXTDZ($A$1,$B9,EI$1)</f>
        <v>258.19499999999999</v>
      </c>
      <c r="EJ9" s="116" cm="1">
        <f t="array" ref="EJ9">_xll.EQNXTDZ($A$1,$B9,EJ$1)</f>
        <v>306.72500000000002</v>
      </c>
      <c r="EK9" s="116" cm="1">
        <f t="array" ref="EK9">_xll.EQNXTDZ($A$1,$B9,EK$1)</f>
        <v>348.78</v>
      </c>
      <c r="EL9" s="116" cm="1">
        <f t="array" ref="EL9">_xll.EQNXTDZ($A$1,$B9,EL$1)</f>
        <v>328.53500000000003</v>
      </c>
      <c r="EM9" s="116" cm="1">
        <f t="array" ref="EM9">_xll.EQNXTDZ($A$1,$B9,EM$1)</f>
        <v>278.27</v>
      </c>
      <c r="EN9" s="116" cm="1">
        <f t="array" ref="EN9">_xll.EQNXTDZ($A$1,$B9,EN$1)</f>
        <v>304.5</v>
      </c>
      <c r="EO9" s="116" cm="1">
        <f t="array" ref="EO9">_xll.EQNXTDZ($A$1,$B9,EO$1)</f>
        <v>278.66000000000003</v>
      </c>
      <c r="EP9" s="116" cm="1">
        <f t="array" ref="EP9">_xll.EQNXTDZ($A$1,$B9,EP$1)</f>
        <v>246.73</v>
      </c>
      <c r="EQ9" s="116" cm="1">
        <f t="array" ref="EQ9">_xll.EQNXTDZ($A$1,$B9,EQ$1)</f>
        <v>260.2</v>
      </c>
      <c r="ER9" s="116" cm="1">
        <f t="array" ref="ER9">_xll.EQNXTDZ($A$1,$B9,ER$1)</f>
        <v>216.61500000000001</v>
      </c>
      <c r="ES9" s="116" cm="1">
        <f t="array" ref="ES9">_xll.EQNXTDZ($A$1,$B9,ES$1)</f>
        <v>258.63499999999999</v>
      </c>
      <c r="ET9" s="116" cm="1">
        <f t="array" ref="ET9">_xll.EQNXTDZ($A$1,$B9,ET$1)</f>
        <v>256.17</v>
      </c>
      <c r="EU9" s="116" cm="1">
        <f t="array" ref="EU9">_xll.EQNXTDZ($A$1,$B9,EU$1)</f>
        <v>305.16000000000003</v>
      </c>
      <c r="EV9" s="116" cm="1">
        <f t="array" ref="EV9">_xll.EQNXTDZ($A$1,$B9,EV$1)</f>
        <v>289.70999999999998</v>
      </c>
      <c r="EW9" s="116" cm="1">
        <f t="array" ref="EW9">_xll.EQNXTDZ($A$1,$B9,EW$1)</f>
        <v>293.16500000000002</v>
      </c>
      <c r="EX9" s="116" cm="1">
        <f t="array" ref="EX9">_xll.EQNXTDZ($A$1,$B9,EX$1)</f>
        <v>234.61</v>
      </c>
      <c r="EY9" s="116" cm="1">
        <f t="array" ref="EY9">_xll.EQNXTDZ($A$1,$B9,EY$1)</f>
        <v>216.91499999999999</v>
      </c>
      <c r="EZ9" s="116" cm="1">
        <f t="array" ref="EZ9">_xll.EQNXTDZ($A$1,$B9,EZ$1)</f>
        <v>231.32</v>
      </c>
      <c r="FA9" s="116" cm="1">
        <f t="array" ref="FA9">_xll.EQNXTDZ($A$1,$B9,FA$1)</f>
        <v>231.23</v>
      </c>
      <c r="FB9" s="116" cm="1">
        <f t="array" ref="FB9">_xll.EQNXTDZ($A$1,$B9,FB$1)</f>
        <v>303.56</v>
      </c>
      <c r="FC9" s="116" cm="1">
        <f t="array" ref="FC9">_xll.EQNXTDZ($A$1,$B9,FC$1)</f>
        <v>292.27999999999997</v>
      </c>
      <c r="FD9" s="116" cm="1">
        <f t="array" ref="FD9">_xll.EQNXTDZ($A$1,$B9,FD$1)</f>
        <v>260.08999999999997</v>
      </c>
      <c r="FE9" s="116" cm="1">
        <f t="array" ref="FE9">_xll.EQNXTDZ($A$1,$B9,FE$1)</f>
        <v>220.98</v>
      </c>
      <c r="FF9" s="116" cm="1">
        <f t="array" ref="FF9">_xll.EQNXTDZ($A$1,$B9,FF$1)</f>
        <v>213.25</v>
      </c>
      <c r="FG9" s="116" cm="1">
        <f t="array" ref="FG9">_xll.EQNXTDZ($A$1,$B9,FG$1)</f>
        <v>249.24</v>
      </c>
      <c r="FH9" s="116" cm="1">
        <f t="array" ref="FH9">_xll.EQNXTDZ($A$1,$B9,FH$1)</f>
        <v>270.38</v>
      </c>
      <c r="FI9" s="116" cm="1">
        <f t="array" ref="FI9">_xll.EQNXTDZ($A$1,$B9,FI$1)</f>
        <v>234.4</v>
      </c>
      <c r="FJ9" s="116" cm="1">
        <f t="array" ref="FJ9">_xll.EQNXTDZ($A$1,$B9,FJ$1)</f>
        <v>254.09</v>
      </c>
      <c r="FK9" s="116" cm="1">
        <f t="array" ref="FK9">_xll.EQNXTDZ($A$1,$B9,FK$1)</f>
        <v>233.2</v>
      </c>
      <c r="FL9" s="116" cm="1">
        <f t="array" ref="FL9">_xll.EQNXTDZ($A$1,$B9,FL$1)</f>
        <v>227.53</v>
      </c>
      <c r="FM9" s="116" cm="1">
        <f t="array" ref="FM9">_xll.EQNXTDZ($A$1,$B9,FM$1)</f>
        <v>308.70999999999998</v>
      </c>
      <c r="FN9" s="116" cm="1">
        <f t="array" ref="FN9">_xll.EQNXTDZ($A$1,$B9,FN$1)</f>
        <v>337.3</v>
      </c>
      <c r="FO9" s="116" cm="1">
        <f t="array" ref="FO9">_xll.EQNXTDZ($A$1,$B9,FO$1)</f>
        <v>339.5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33.805</v>
      </c>
      <c r="IX9" s="116">
        <f>+DD9</f>
        <v>29.12</v>
      </c>
      <c r="IY9" s="116">
        <f>+DG9</f>
        <v>85.81</v>
      </c>
      <c r="IZ9" s="116">
        <f>+DJ9</f>
        <v>132.27500000000001</v>
      </c>
      <c r="JA9" s="116">
        <f>+DM9</f>
        <v>118.205</v>
      </c>
      <c r="JB9" s="116">
        <f>+DP9</f>
        <v>153.67500000000001</v>
      </c>
      <c r="JC9" s="116">
        <f>+DS9</f>
        <v>120.62</v>
      </c>
      <c r="JD9" s="116">
        <f>+DV9</f>
        <v>136.19999999999999</v>
      </c>
      <c r="JE9" s="116">
        <f>+DY9</f>
        <v>131.13499999999999</v>
      </c>
      <c r="JF9" s="116">
        <f>+EB9</f>
        <v>116.285</v>
      </c>
      <c r="JG9" s="116">
        <f>+EE9</f>
        <v>171.88</v>
      </c>
      <c r="JH9" s="116">
        <f>+EH9</f>
        <v>185.065</v>
      </c>
      <c r="JI9" s="116">
        <f>+EK9</f>
        <v>348.78</v>
      </c>
      <c r="JJ9" s="116">
        <f>+EN9</f>
        <v>304.5</v>
      </c>
      <c r="JK9" s="116">
        <f>EQ9</f>
        <v>260.2</v>
      </c>
      <c r="JL9" s="116">
        <f>ET9</f>
        <v>256.17</v>
      </c>
      <c r="JM9" s="116">
        <f>EW9</f>
        <v>293.16500000000002</v>
      </c>
      <c r="JN9" s="116">
        <f>EZ9</f>
        <v>231.32</v>
      </c>
      <c r="JO9" s="116">
        <f>FC9</f>
        <v>292.27999999999997</v>
      </c>
      <c r="JP9" s="116">
        <f>FF9</f>
        <v>213.25</v>
      </c>
      <c r="JQ9" s="116">
        <f>FI9</f>
        <v>234.4</v>
      </c>
      <c r="JR9" s="116">
        <f>FL9</f>
        <v>227.53</v>
      </c>
      <c r="JS9" s="116">
        <f>FO9</f>
        <v>339.5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27.5</v>
      </c>
      <c r="CZ13" cm="1">
        <f t="array" ref="CZ13">_xll.EQNXTDZ($A$1,$B13,CZ$1)</f>
        <v>34.61</v>
      </c>
      <c r="DA13" cm="1">
        <f t="array" ref="DA13">_xll.EQNXTDZ($A$1,$B13,DA$1)</f>
        <v>35.6</v>
      </c>
      <c r="DB13" cm="1">
        <f t="array" ref="DB13">_xll.EQNXTDZ($A$1,$B13,DB$1)</f>
        <v>33.409999999999997</v>
      </c>
      <c r="DC13" cm="1">
        <f t="array" ref="DC13">_xll.EQNXTDZ($A$1,$B13,DC$1)</f>
        <v>34.01</v>
      </c>
      <c r="DD13" cm="1">
        <f t="array" ref="DD13">_xll.EQNXTDZ($A$1,$B13,DD$1)</f>
        <v>33.4</v>
      </c>
      <c r="DE13" cm="1">
        <f t="array" ref="DE13">_xll.EQNXTDZ($A$1,$B13,DE$1)</f>
        <v>29.7</v>
      </c>
      <c r="DF13" cm="1">
        <f t="array" ref="DF13">_xll.EQNXTDZ($A$1,$B13,DF$1)</f>
        <v>37.479999999999997</v>
      </c>
      <c r="DG13" cm="1">
        <f t="array" ref="DG13">_xll.EQNXTDZ($A$1,$B13,DG$1)</f>
        <v>76.989999999999995</v>
      </c>
      <c r="DH13" cm="1">
        <f t="array" ref="DH13">_xll.EQNXTDZ($A$1,$B13,DH$1)</f>
        <v>86.484999999999999</v>
      </c>
      <c r="DI13" cm="1">
        <f t="array" ref="DI13">_xll.EQNXTDZ($A$1,$B13,DI$1)</f>
        <v>119</v>
      </c>
      <c r="DJ13" cm="1">
        <f t="array" ref="DJ13">_xll.EQNXTDZ($A$1,$B13,DJ$1)</f>
        <v>120.80500000000001</v>
      </c>
      <c r="DK13" cm="1">
        <f t="array" ref="DK13">_xll.EQNXTDZ($A$1,$B13,DK$1)</f>
        <v>132.19999999999999</v>
      </c>
      <c r="DL13" cm="1">
        <f t="array" ref="DL13">_xll.EQNXTDZ($A$1,$B13,DL$1)</f>
        <v>127</v>
      </c>
      <c r="DM13" cm="1">
        <f t="array" ref="DM13">_xll.EQNXTDZ($A$1,$B13,DM$1)</f>
        <v>101.8</v>
      </c>
      <c r="DN13" cm="1">
        <f t="array" ref="DN13">_xll.EQNXTDZ($A$1,$B13,DN$1)</f>
        <v>118.7</v>
      </c>
      <c r="DO13" cm="1">
        <f t="array" ref="DO13">_xll.EQNXTDZ($A$1,$B13,DO$1)</f>
        <v>141</v>
      </c>
      <c r="DP13" cm="1">
        <f t="array" ref="DP13">_xll.EQNXTDZ($A$1,$B13,DP$1)</f>
        <v>130.02000000000001</v>
      </c>
      <c r="DQ13" cm="1">
        <f t="array" ref="DQ13">_xll.EQNXTDZ($A$1,$B13,DQ$1)</f>
        <v>153.76499999999999</v>
      </c>
      <c r="DR13" cm="1">
        <f t="array" ref="DR13">_xll.EQNXTDZ($A$1,$B13,DR$1)</f>
        <v>194</v>
      </c>
      <c r="DS13" cm="1">
        <f t="array" ref="DS13">_xll.EQNXTDZ($A$1,$B13,DS$1)</f>
        <v>147.9</v>
      </c>
      <c r="DT13" cm="1">
        <f t="array" ref="DT13">_xll.EQNXTDZ($A$1,$B13,DT$1)</f>
        <v>120</v>
      </c>
      <c r="DU13" cm="1">
        <f t="array" ref="DU13">_xll.EQNXTDZ($A$1,$B13,DU$1)</f>
        <v>138.36000000000001</v>
      </c>
      <c r="DV13" cm="1">
        <f t="array" ref="DV13">_xll.EQNXTDZ($A$1,$B13,DV$1)</f>
        <v>130</v>
      </c>
      <c r="DW13" cm="1">
        <f t="array" ref="DW13">_xll.EQNXTDZ($A$1,$B13,DW$1)</f>
        <v>137</v>
      </c>
      <c r="DX13" cm="1">
        <f t="array" ref="DX13">_xll.EQNXTDZ($A$1,$B13,DX$1)</f>
        <v>160.19</v>
      </c>
      <c r="DY13" cm="1">
        <f t="array" ref="DY13">_xll.EQNXTDZ($A$1,$B13,DY$1)</f>
        <v>161.38499999999999</v>
      </c>
      <c r="DZ13" cm="1">
        <f t="array" ref="DZ13">_xll.EQNXTDZ($A$1,$B13,DZ$1)</f>
        <v>132.39500000000001</v>
      </c>
      <c r="EA13" cm="1">
        <f t="array" ref="EA13">_xll.EQNXTDZ($A$1,$B13,EA$1)</f>
        <v>123.005</v>
      </c>
      <c r="EB13" cm="1">
        <f t="array" ref="EB13">_xll.EQNXTDZ($A$1,$B13,EB$1)</f>
        <v>101.97499999999999</v>
      </c>
      <c r="EC13" cm="1">
        <f t="array" ref="EC13">_xll.EQNXTDZ($A$1,$B13,EC$1)</f>
        <v>116.39</v>
      </c>
      <c r="ED13" cm="1">
        <f t="array" ref="ED13">_xll.EQNXTDZ($A$1,$B13,ED$1)</f>
        <v>122.94</v>
      </c>
      <c r="EE13" cm="1">
        <f t="array" ref="EE13">_xll.EQNXTDZ($A$1,$B13,EE$1)</f>
        <v>136.785</v>
      </c>
      <c r="EF13" cm="1">
        <f t="array" ref="EF13">_xll.EQNXTDZ($A$1,$B13,EF$1)</f>
        <v>172.71</v>
      </c>
      <c r="EG13" cm="1">
        <f t="array" ref="EG13">_xll.EQNXTDZ($A$1,$B13,EG$1)</f>
        <v>155.98500000000001</v>
      </c>
      <c r="EH13" cm="1">
        <f t="array" ref="EH13">_xll.EQNXTDZ($A$1,$B13,EH$1)</f>
        <v>189.69499999999999</v>
      </c>
      <c r="EI13" cm="1">
        <f t="array" ref="EI13">_xll.EQNXTDZ($A$1,$B13,EI$1)</f>
        <v>184.7</v>
      </c>
      <c r="EJ13" cm="1">
        <f t="array" ref="EJ13">_xll.EQNXTDZ($A$1,$B13,EJ$1)</f>
        <v>259.68</v>
      </c>
      <c r="EK13" cm="1">
        <f t="array" ref="EK13">_xll.EQNXTDZ($A$1,$B13,EK$1)</f>
        <v>310.495</v>
      </c>
      <c r="EL13" cm="1">
        <f t="array" ref="EL13">_xll.EQNXTDZ($A$1,$B13,EL$1)</f>
        <v>351.39499999999998</v>
      </c>
      <c r="EM13" cm="1">
        <f t="array" ref="EM13">_xll.EQNXTDZ($A$1,$B13,EM$1)</f>
        <v>329.13499999999999</v>
      </c>
      <c r="EN13" cm="1">
        <f t="array" ref="EN13">_xll.EQNXTDZ($A$1,$B13,EN$1)</f>
        <v>281.89499999999998</v>
      </c>
      <c r="EO13" cm="1">
        <f t="array" ref="EO13">_xll.EQNXTDZ($A$1,$B13,EO$1)</f>
        <v>310.63499999999999</v>
      </c>
      <c r="EP13" cm="1">
        <f t="array" ref="EP13">_xll.EQNXTDZ($A$1,$B13,EP$1)</f>
        <v>279.01499999999999</v>
      </c>
      <c r="EQ13" cm="1">
        <f t="array" ref="EQ13">_xll.EQNXTDZ($A$1,$B13,EQ$1)</f>
        <v>264.8</v>
      </c>
      <c r="ER13" cm="1">
        <f t="array" ref="ER13">_xll.EQNXTDZ($A$1,$B13,ER$1)</f>
        <v>259.13499999999999</v>
      </c>
      <c r="ES13" cm="1">
        <f t="array" ref="ES13">_xll.EQNXTDZ($A$1,$B13,ES$1)</f>
        <v>216.715</v>
      </c>
      <c r="ET13" cm="1">
        <f t="array" ref="ET13">_xll.EQNXTDZ($A$1,$B13,ET$1)</f>
        <v>259.53500000000003</v>
      </c>
      <c r="EU13" cm="1">
        <f t="array" ref="EU13">_xll.EQNXTDZ($A$1,$B13,EU$1)</f>
        <v>259.8</v>
      </c>
      <c r="EV13" cm="1">
        <f t="array" ref="EV13">_xll.EQNXTDZ($A$1,$B13,EV$1)</f>
        <v>309.8</v>
      </c>
      <c r="EW13" cm="1">
        <f t="array" ref="EW13">_xll.EQNXTDZ($A$1,$B13,EW$1)</f>
        <v>282.01499999999999</v>
      </c>
      <c r="EX13" cm="1">
        <f t="array" ref="EX13">_xll.EQNXTDZ($A$1,$B13,EX$1)</f>
        <v>294.005</v>
      </c>
      <c r="EY13" cm="1">
        <f t="array" ref="EY13">_xll.EQNXTDZ($A$1,$B13,EY$1)</f>
        <v>236.86</v>
      </c>
      <c r="EZ13" cm="1">
        <f t="array" ref="EZ13">_xll.EQNXTDZ($A$1,$B13,EZ$1)</f>
        <v>218.495</v>
      </c>
      <c r="FA13" cm="1">
        <f t="array" ref="FA13">_xll.EQNXTDZ($A$1,$B13,FA$1)</f>
        <v>230</v>
      </c>
      <c r="FB13" cm="1">
        <f t="array" ref="FB13">_xll.EQNXTDZ($A$1,$B13,FB$1)</f>
        <v>231.37</v>
      </c>
      <c r="FC13" cm="1">
        <f t="array" ref="FC13">_xll.EQNXTDZ($A$1,$B13,FC$1)</f>
        <v>303.57499999999999</v>
      </c>
      <c r="FD13" cm="1">
        <f t="array" ref="FD13">_xll.EQNXTDZ($A$1,$B13,FD$1)</f>
        <v>292.33999999999997</v>
      </c>
      <c r="FE13" cm="1">
        <f t="array" ref="FE13">_xll.EQNXTDZ($A$1,$B13,FE$1)</f>
        <v>258.22000000000003</v>
      </c>
      <c r="FF13" cm="1">
        <f t="array" ref="FF13">_xll.EQNXTDZ($A$1,$B13,FF$1)</f>
        <v>222.92</v>
      </c>
      <c r="FG13" cm="1">
        <f t="array" ref="FG13">_xll.EQNXTDZ($A$1,$B13,FG$1)</f>
        <v>214.845</v>
      </c>
      <c r="FH13" cm="1">
        <f t="array" ref="FH13">_xll.EQNXTDZ($A$1,$B13,FH$1)</f>
        <v>249.70500000000001</v>
      </c>
      <c r="FI13" cm="1">
        <f t="array" ref="FI13">_xll.EQNXTDZ($A$1,$B13,FI$1)</f>
        <v>270.565</v>
      </c>
      <c r="FJ13" cm="1">
        <f t="array" ref="FJ13">_xll.EQNXTDZ($A$1,$B13,FJ$1)</f>
        <v>234.95500000000001</v>
      </c>
      <c r="FK13" cm="1">
        <f t="array" ref="FK13">_xll.EQNXTDZ($A$1,$B13,FK$1)</f>
        <v>251.82</v>
      </c>
      <c r="FL13" cm="1">
        <f t="array" ref="FL13">_xll.EQNXTDZ($A$1,$B13,FL$1)</f>
        <v>215.45</v>
      </c>
      <c r="FM13" cm="1">
        <f t="array" ref="FM13">_xll.EQNXTDZ($A$1,$B13,FM$1)</f>
        <v>240.75</v>
      </c>
      <c r="FN13" cm="1">
        <f t="array" ref="FN13">_xll.EQNXTDZ($A$1,$B13,FN$1)</f>
        <v>309</v>
      </c>
      <c r="FO13" cm="1">
        <f t="array" ref="FO13">_xll.EQNXTDZ($A$1,$B13,FO$1)</f>
        <v>345.95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37.93</v>
      </c>
      <c r="CZ14" s="116" cm="1">
        <f t="array" ref="CZ14">_xll.EQNXTDZ($A$1,$B14,CZ$1)</f>
        <v>37</v>
      </c>
      <c r="DA14" s="116" cm="1">
        <f t="array" ref="DA14">_xll.EQNXTDZ($A$1,$B14,DA$1)</f>
        <v>40.725000000000001</v>
      </c>
      <c r="DB14" s="116" cm="1">
        <f t="array" ref="DB14">_xll.EQNXTDZ($A$1,$B14,DB$1)</f>
        <v>38.49</v>
      </c>
      <c r="DC14" s="116" cm="1">
        <f t="array" ref="DC14">_xll.EQNXTDZ($A$1,$B14,DC$1)</f>
        <v>35.994999999999997</v>
      </c>
      <c r="DD14" s="116" cm="1">
        <f t="array" ref="DD14">_xll.EQNXTDZ($A$1,$B14,DD$1)</f>
        <v>34.46</v>
      </c>
      <c r="DE14" s="116" cm="1">
        <f t="array" ref="DE14">_xll.EQNXTDZ($A$1,$B14,DE$1)</f>
        <v>39</v>
      </c>
      <c r="DF14" s="116" cm="1">
        <f t="array" ref="DF14">_xll.EQNXTDZ($A$1,$B14,DF$1)</f>
        <v>78.894999999999996</v>
      </c>
      <c r="DG14" s="116" cm="1">
        <f t="array" ref="DG14">_xll.EQNXTDZ($A$1,$B14,DG$1)</f>
        <v>96.394999999999996</v>
      </c>
      <c r="DH14" s="116" cm="1">
        <f t="array" ref="DH14">_xll.EQNXTDZ($A$1,$B14,DH$1)</f>
        <v>148.4</v>
      </c>
      <c r="DI14" s="116" cm="1">
        <f t="array" ref="DI14">_xll.EQNXTDZ($A$1,$B14,DI$1)</f>
        <v>139.74</v>
      </c>
      <c r="DJ14" s="116" cm="1">
        <f t="array" ref="DJ14">_xll.EQNXTDZ($A$1,$B14,DJ$1)</f>
        <v>135</v>
      </c>
      <c r="DK14" s="116" cm="1">
        <f t="array" ref="DK14">_xll.EQNXTDZ($A$1,$B14,DK$1)</f>
        <v>168.93</v>
      </c>
      <c r="DL14" s="116" cm="1">
        <f t="array" ref="DL14">_xll.EQNXTDZ($A$1,$B14,DL$1)</f>
        <v>127</v>
      </c>
      <c r="DM14" s="116" cm="1">
        <f t="array" ref="DM14">_xll.EQNXTDZ($A$1,$B14,DM$1)</f>
        <v>121.2</v>
      </c>
      <c r="DN14" s="116" cm="1">
        <f t="array" ref="DN14">_xll.EQNXTDZ($A$1,$B14,DN$1)</f>
        <v>152.80000000000001</v>
      </c>
      <c r="DO14" s="116" cm="1">
        <f t="array" ref="DO14">_xll.EQNXTDZ($A$1,$B14,DO$1)</f>
        <v>142.41</v>
      </c>
      <c r="DP14" s="116" cm="1">
        <f t="array" ref="DP14">_xll.EQNXTDZ($A$1,$B14,DP$1)</f>
        <v>171.7</v>
      </c>
      <c r="DQ14" s="116" cm="1">
        <f t="array" ref="DQ14">_xll.EQNXTDZ($A$1,$B14,DQ$1)</f>
        <v>202.2</v>
      </c>
      <c r="DR14" s="116" cm="1">
        <f t="array" ref="DR14">_xll.EQNXTDZ($A$1,$B14,DR$1)</f>
        <v>194.13499999999999</v>
      </c>
      <c r="DS14" s="116" cm="1">
        <f t="array" ref="DS14">_xll.EQNXTDZ($A$1,$B14,DS$1)</f>
        <v>155.56</v>
      </c>
      <c r="DT14" s="116" cm="1">
        <f t="array" ref="DT14">_xll.EQNXTDZ($A$1,$B14,DT$1)</f>
        <v>146.95500000000001</v>
      </c>
      <c r="DU14" s="116" cm="1">
        <f t="array" ref="DU14">_xll.EQNXTDZ($A$1,$B14,DU$1)</f>
        <v>138.54</v>
      </c>
      <c r="DV14" s="116" cm="1">
        <f t="array" ref="DV14">_xll.EQNXTDZ($A$1,$B14,DV$1)</f>
        <v>163</v>
      </c>
      <c r="DW14" s="116" cm="1">
        <f t="array" ref="DW14">_xll.EQNXTDZ($A$1,$B14,DW$1)</f>
        <v>167.3</v>
      </c>
      <c r="DX14" s="116" cm="1">
        <f t="array" ref="DX14">_xll.EQNXTDZ($A$1,$B14,DX$1)</f>
        <v>162.35499999999999</v>
      </c>
      <c r="DY14" s="116" cm="1">
        <f t="array" ref="DY14">_xll.EQNXTDZ($A$1,$B14,DY$1)</f>
        <v>162.10499999999999</v>
      </c>
      <c r="DZ14" s="116" cm="1">
        <f t="array" ref="DZ14">_xll.EQNXTDZ($A$1,$B14,DZ$1)</f>
        <v>136.625</v>
      </c>
      <c r="EA14" s="116" cm="1">
        <f t="array" ref="EA14">_xll.EQNXTDZ($A$1,$B14,EA$1)</f>
        <v>126.5</v>
      </c>
      <c r="EB14" s="116" cm="1">
        <f t="array" ref="EB14">_xll.EQNXTDZ($A$1,$B14,EB$1)</f>
        <v>120.41500000000001</v>
      </c>
      <c r="EC14" s="116" cm="1">
        <f t="array" ref="EC14">_xll.EQNXTDZ($A$1,$B14,EC$1)</f>
        <v>135.73500000000001</v>
      </c>
      <c r="ED14" s="116" cm="1">
        <f t="array" ref="ED14">_xll.EQNXTDZ($A$1,$B14,ED$1)</f>
        <v>135.08000000000001</v>
      </c>
      <c r="EE14" s="116" cm="1">
        <f t="array" ref="EE14">_xll.EQNXTDZ($A$1,$B14,EE$1)</f>
        <v>174.48500000000001</v>
      </c>
      <c r="EF14" s="116" cm="1">
        <f t="array" ref="EF14">_xll.EQNXTDZ($A$1,$B14,EF$1)</f>
        <v>180.33500000000001</v>
      </c>
      <c r="EG14" s="116" cm="1">
        <f t="array" ref="EG14">_xll.EQNXTDZ($A$1,$B14,EG$1)</f>
        <v>187.7</v>
      </c>
      <c r="EH14" s="116" cm="1">
        <f t="array" ref="EH14">_xll.EQNXTDZ($A$1,$B14,EH$1)</f>
        <v>196.285</v>
      </c>
      <c r="EI14" s="116" cm="1">
        <f t="array" ref="EI14">_xll.EQNXTDZ($A$1,$B14,EI$1)</f>
        <v>260.05500000000001</v>
      </c>
      <c r="EJ14" s="116" cm="1">
        <f t="array" ref="EJ14">_xll.EQNXTDZ($A$1,$B14,EJ$1)</f>
        <v>319.3</v>
      </c>
      <c r="EK14" s="116" cm="1">
        <f t="array" ref="EK14">_xll.EQNXTDZ($A$1,$B14,EK$1)</f>
        <v>350</v>
      </c>
      <c r="EL14" s="116" cm="1">
        <f t="array" ref="EL14">_xll.EQNXTDZ($A$1,$B14,EL$1)</f>
        <v>390.03500000000003</v>
      </c>
      <c r="EM14" s="116" cm="1">
        <f t="array" ref="EM14">_xll.EQNXTDZ($A$1,$B14,EM$1)</f>
        <v>343.98</v>
      </c>
      <c r="EN14" s="116" cm="1">
        <f t="array" ref="EN14">_xll.EQNXTDZ($A$1,$B14,EN$1)</f>
        <v>311.55500000000001</v>
      </c>
      <c r="EO14" s="116" cm="1">
        <f t="array" ref="EO14">_xll.EQNXTDZ($A$1,$B14,EO$1)</f>
        <v>322.72500000000002</v>
      </c>
      <c r="EP14" s="116" cm="1">
        <f t="array" ref="EP14">_xll.EQNXTDZ($A$1,$B14,EP$1)</f>
        <v>281.39</v>
      </c>
      <c r="EQ14" s="116" cm="1">
        <f t="array" ref="EQ14">_xll.EQNXTDZ($A$1,$B14,EQ$1)</f>
        <v>269.67500000000001</v>
      </c>
      <c r="ER14" s="116" cm="1">
        <f t="array" ref="ER14">_xll.EQNXTDZ($A$1,$B14,ER$1)</f>
        <v>260.25</v>
      </c>
      <c r="ES14" s="116" cm="1">
        <f t="array" ref="ES14">_xll.EQNXTDZ($A$1,$B14,ES$1)</f>
        <v>285.19499999999999</v>
      </c>
      <c r="ET14" s="116" cm="1">
        <f t="array" ref="ET14">_xll.EQNXTDZ($A$1,$B14,ET$1)</f>
        <v>269.52999999999997</v>
      </c>
      <c r="EU14" s="116" cm="1">
        <f t="array" ref="EU14">_xll.EQNXTDZ($A$1,$B14,EU$1)</f>
        <v>339.4</v>
      </c>
      <c r="EV14" s="116" cm="1">
        <f t="array" ref="EV14">_xll.EQNXTDZ($A$1,$B14,EV$1)</f>
        <v>310.15499999999997</v>
      </c>
      <c r="EW14" s="116" cm="1">
        <f t="array" ref="EW14">_xll.EQNXTDZ($A$1,$B14,EW$1)</f>
        <v>350.26</v>
      </c>
      <c r="EX14" s="116" cm="1">
        <f t="array" ref="EX14">_xll.EQNXTDZ($A$1,$B14,EX$1)</f>
        <v>304.32499999999999</v>
      </c>
      <c r="EY14" s="116" cm="1">
        <f t="array" ref="EY14">_xll.EQNXTDZ($A$1,$B14,EY$1)</f>
        <v>253.61</v>
      </c>
      <c r="EZ14" s="116" cm="1">
        <f t="array" ref="EZ14">_xll.EQNXTDZ($A$1,$B14,EZ$1)</f>
        <v>242.4</v>
      </c>
      <c r="FA14" s="116" cm="1">
        <f t="array" ref="FA14">_xll.EQNXTDZ($A$1,$B14,FA$1)</f>
        <v>255.53</v>
      </c>
      <c r="FB14" s="116" cm="1">
        <f t="array" ref="FB14">_xll.EQNXTDZ($A$1,$B14,FB$1)</f>
        <v>311.95999999999998</v>
      </c>
      <c r="FC14" s="116" cm="1">
        <f t="array" ref="FC14">_xll.EQNXTDZ($A$1,$B14,FC$1)</f>
        <v>328.3</v>
      </c>
      <c r="FD14" s="116" cm="1">
        <f t="array" ref="FD14">_xll.EQNXTDZ($A$1,$B14,FD$1)</f>
        <v>297.39999999999998</v>
      </c>
      <c r="FE14" s="116" cm="1">
        <f t="array" ref="FE14">_xll.EQNXTDZ($A$1,$B14,FE$1)</f>
        <v>273.60000000000002</v>
      </c>
      <c r="FF14" s="116" cm="1">
        <f t="array" ref="FF14">_xll.EQNXTDZ($A$1,$B14,FF$1)</f>
        <v>237.435</v>
      </c>
      <c r="FG14" s="116" cm="1">
        <f t="array" ref="FG14">_xll.EQNXTDZ($A$1,$B14,FG$1)</f>
        <v>258.93</v>
      </c>
      <c r="FH14" s="116" cm="1">
        <f t="array" ref="FH14">_xll.EQNXTDZ($A$1,$B14,FH$1)</f>
        <v>286.42500000000001</v>
      </c>
      <c r="FI14" s="116" cm="1">
        <f t="array" ref="FI14">_xll.EQNXTDZ($A$1,$B14,FI$1)</f>
        <v>282.5</v>
      </c>
      <c r="FJ14" s="116" cm="1">
        <f t="array" ref="FJ14">_xll.EQNXTDZ($A$1,$B14,FJ$1)</f>
        <v>277.82499999999999</v>
      </c>
      <c r="FK14" s="116" cm="1">
        <f t="array" ref="FK14">_xll.EQNXTDZ($A$1,$B14,FK$1)</f>
        <v>280.7</v>
      </c>
      <c r="FL14" s="116" cm="1">
        <f t="array" ref="FL14">_xll.EQNXTDZ($A$1,$B14,FL$1)</f>
        <v>243.7</v>
      </c>
      <c r="FM14" s="116" cm="1">
        <f t="array" ref="FM14">_xll.EQNXTDZ($A$1,$B14,FM$1)</f>
        <v>330.1</v>
      </c>
      <c r="FN14" s="116" cm="1">
        <f t="array" ref="FN14">_xll.EQNXTDZ($A$1,$B14,FN$1)</f>
        <v>351</v>
      </c>
      <c r="FO14" s="116" cm="1">
        <f t="array" ref="FO14">_xll.EQNXTDZ($A$1,$B14,FO$1)</f>
        <v>345.95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40.725000000000001</v>
      </c>
      <c r="IX14" s="116">
        <f>+MAX(DB14:DD14)</f>
        <v>38.49</v>
      </c>
      <c r="IY14" s="116">
        <f>+MAX(DE14:DG14)</f>
        <v>96.394999999999996</v>
      </c>
      <c r="IZ14" s="116">
        <f>+MAX(DH14:DJ14)</f>
        <v>148.4</v>
      </c>
      <c r="JA14" s="116">
        <f>+MAX(DK14:DM14)</f>
        <v>168.93</v>
      </c>
      <c r="JB14" s="116">
        <f>+MAX(DN14:DP14)</f>
        <v>171.7</v>
      </c>
      <c r="JC14" s="116">
        <f>+MAX(DQ14:DS14)</f>
        <v>202.2</v>
      </c>
      <c r="JD14" s="116">
        <f>+MAX(DT14:DV14)</f>
        <v>163</v>
      </c>
      <c r="JE14" s="116">
        <f>+MAX(DW14:DY14)</f>
        <v>167.3</v>
      </c>
      <c r="JF14" s="116">
        <f>+MAX(DZ14:EB14)</f>
        <v>136.625</v>
      </c>
      <c r="JG14" s="116">
        <f>+MAX(EC14:EE14)</f>
        <v>174.48500000000001</v>
      </c>
      <c r="JH14" s="116">
        <f>+MAX(EF14:EH14)</f>
        <v>196.285</v>
      </c>
      <c r="JI14" s="116">
        <f>+MAX(EI14:EK14)</f>
        <v>350</v>
      </c>
      <c r="JJ14" s="116">
        <f>+MAX(EL14:EN14)</f>
        <v>390.03500000000003</v>
      </c>
      <c r="JK14" s="116">
        <f>MAX(EO14:EQ14)</f>
        <v>322.72500000000002</v>
      </c>
      <c r="JL14" s="116">
        <f>MAX(ER14:ET14)</f>
        <v>285.19499999999999</v>
      </c>
      <c r="JM14" s="116">
        <f>MAX(EU14:EW14)</f>
        <v>350.26</v>
      </c>
      <c r="JN14" s="116">
        <f>MAX(EX14:EZ14)</f>
        <v>304.32499999999999</v>
      </c>
      <c r="JO14" s="116">
        <f>MAX(FA14:FC14)</f>
        <v>328.3</v>
      </c>
      <c r="JP14" s="116">
        <f>MAX(FD14:FF14)</f>
        <v>297.39999999999998</v>
      </c>
      <c r="JQ14" s="116">
        <f>MAX(FG14:FI14)</f>
        <v>286.42500000000001</v>
      </c>
      <c r="JR14" s="116">
        <f>MAX(FJ14:FL14)</f>
        <v>280.7</v>
      </c>
      <c r="JS14" s="116">
        <f>MAX(FM14:FO14)</f>
        <v>351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22.3</v>
      </c>
      <c r="CZ15" s="116" cm="1">
        <f t="array" ref="CZ15">_xll.EQNXTDZ($A$1,$B15,CZ$1)</f>
        <v>29.1</v>
      </c>
      <c r="DA15" s="116" cm="1">
        <f t="array" ref="DA15">_xll.EQNXTDZ($A$1,$B15,DA$1)</f>
        <v>31.59</v>
      </c>
      <c r="DB15" s="116" cm="1">
        <f t="array" ref="DB15">_xll.EQNXTDZ($A$1,$B15,DB$1)</f>
        <v>33.409999999999997</v>
      </c>
      <c r="DC15" s="116" cm="1">
        <f t="array" ref="DC15">_xll.EQNXTDZ($A$1,$B15,DC$1)</f>
        <v>32.1</v>
      </c>
      <c r="DD15" s="116" cm="1">
        <f t="array" ref="DD15">_xll.EQNXTDZ($A$1,$B15,DD$1)</f>
        <v>29.024999999999999</v>
      </c>
      <c r="DE15" s="116" cm="1">
        <f t="array" ref="DE15">_xll.EQNXTDZ($A$1,$B15,DE$1)</f>
        <v>28.21</v>
      </c>
      <c r="DF15" s="116" cm="1">
        <f t="array" ref="DF15">_xll.EQNXTDZ($A$1,$B15,DF$1)</f>
        <v>37.145000000000003</v>
      </c>
      <c r="DG15" s="116" cm="1">
        <f t="array" ref="DG15">_xll.EQNXTDZ($A$1,$B15,DG$1)</f>
        <v>70</v>
      </c>
      <c r="DH15" s="116" cm="1">
        <f t="array" ref="DH15">_xll.EQNXTDZ($A$1,$B15,DH$1)</f>
        <v>85.3</v>
      </c>
      <c r="DI15" s="116" cm="1">
        <f t="array" ref="DI15">_xll.EQNXTDZ($A$1,$B15,DI$1)</f>
        <v>100.89</v>
      </c>
      <c r="DJ15" s="116" cm="1">
        <f t="array" ref="DJ15">_xll.EQNXTDZ($A$1,$B15,DJ$1)</f>
        <v>115.505</v>
      </c>
      <c r="DK15" s="116" cm="1">
        <f t="array" ref="DK15">_xll.EQNXTDZ($A$1,$B15,DK$1)</f>
        <v>120.1</v>
      </c>
      <c r="DL15" s="116" cm="1">
        <f t="array" ref="DL15">_xll.EQNXTDZ($A$1,$B15,DL$1)</f>
        <v>99.2</v>
      </c>
      <c r="DM15" s="116" cm="1">
        <f t="array" ref="DM15">_xll.EQNXTDZ($A$1,$B15,DM$1)</f>
        <v>101.01</v>
      </c>
      <c r="DN15" s="116" cm="1">
        <f t="array" ref="DN15">_xll.EQNXTDZ($A$1,$B15,DN$1)</f>
        <v>118.35</v>
      </c>
      <c r="DO15" s="116" cm="1">
        <f t="array" ref="DO15">_xll.EQNXTDZ($A$1,$B15,DO$1)</f>
        <v>118.58</v>
      </c>
      <c r="DP15" s="116" cm="1">
        <f t="array" ref="DP15">_xll.EQNXTDZ($A$1,$B15,DP$1)</f>
        <v>124.81</v>
      </c>
      <c r="DQ15" s="116" cm="1">
        <f t="array" ref="DQ15">_xll.EQNXTDZ($A$1,$B15,DQ$1)</f>
        <v>153.58500000000001</v>
      </c>
      <c r="DR15" s="116" cm="1">
        <f t="array" ref="DR15">_xll.EQNXTDZ($A$1,$B15,DR$1)</f>
        <v>127.19499999999999</v>
      </c>
      <c r="DS15" s="116" cm="1">
        <f t="array" ref="DS15">_xll.EQNXTDZ($A$1,$B15,DS$1)</f>
        <v>106.58499999999999</v>
      </c>
      <c r="DT15" s="116" cm="1">
        <f t="array" ref="DT15">_xll.EQNXTDZ($A$1,$B15,DT$1)</f>
        <v>118.3</v>
      </c>
      <c r="DU15" s="116" cm="1">
        <f t="array" ref="DU15">_xll.EQNXTDZ($A$1,$B15,DU$1)</f>
        <v>124.4</v>
      </c>
      <c r="DV15" s="116" cm="1">
        <f t="array" ref="DV15">_xll.EQNXTDZ($A$1,$B15,DV$1)</f>
        <v>129.99</v>
      </c>
      <c r="DW15" s="116" cm="1">
        <f t="array" ref="DW15">_xll.EQNXTDZ($A$1,$B15,DW$1)</f>
        <v>133.91999999999999</v>
      </c>
      <c r="DX15" s="116" cm="1">
        <f t="array" ref="DX15">_xll.EQNXTDZ($A$1,$B15,DX$1)</f>
        <v>142.505</v>
      </c>
      <c r="DY15" s="116" cm="1">
        <f t="array" ref="DY15">_xll.EQNXTDZ($A$1,$B15,DY$1)</f>
        <v>120.005</v>
      </c>
      <c r="DZ15" s="116" cm="1">
        <f t="array" ref="DZ15">_xll.EQNXTDZ($A$1,$B15,DZ$1)</f>
        <v>116.5</v>
      </c>
      <c r="EA15" s="116" cm="1">
        <f t="array" ref="EA15">_xll.EQNXTDZ($A$1,$B15,EA$1)</f>
        <v>101.11</v>
      </c>
      <c r="EB15" s="116" cm="1">
        <f t="array" ref="EB15">_xll.EQNXTDZ($A$1,$B15,EB$1)</f>
        <v>100</v>
      </c>
      <c r="EC15" s="116" cm="1">
        <f t="array" ref="EC15">_xll.EQNXTDZ($A$1,$B15,EC$1)</f>
        <v>115.88500000000001</v>
      </c>
      <c r="ED15" s="116" cm="1">
        <f t="array" ref="ED15">_xll.EQNXTDZ($A$1,$B15,ED$1)</f>
        <v>118.2</v>
      </c>
      <c r="EE15" s="116" cm="1">
        <f t="array" ref="EE15">_xll.EQNXTDZ($A$1,$B15,EE$1)</f>
        <v>129.68</v>
      </c>
      <c r="EF15" s="116" cm="1">
        <f t="array" ref="EF15">_xll.EQNXTDZ($A$1,$B15,EF$1)</f>
        <v>144.60499999999999</v>
      </c>
      <c r="EG15" s="116" cm="1">
        <f t="array" ref="EG15">_xll.EQNXTDZ($A$1,$B15,EG$1)</f>
        <v>146.01</v>
      </c>
      <c r="EH15" s="116" cm="1">
        <f t="array" ref="EH15">_xll.EQNXTDZ($A$1,$B15,EH$1)</f>
        <v>165.10499999999999</v>
      </c>
      <c r="EI15" s="116" cm="1">
        <f t="array" ref="EI15">_xll.EQNXTDZ($A$1,$B15,EI$1)</f>
        <v>182.62</v>
      </c>
      <c r="EJ15" s="116" cm="1">
        <f t="array" ref="EJ15">_xll.EQNXTDZ($A$1,$B15,EJ$1)</f>
        <v>249.435</v>
      </c>
      <c r="EK15" s="116" cm="1">
        <f t="array" ref="EK15">_xll.EQNXTDZ($A$1,$B15,EK$1)</f>
        <v>290.41500000000002</v>
      </c>
      <c r="EL15" s="116" cm="1">
        <f t="array" ref="EL15">_xll.EQNXTDZ($A$1,$B15,EL$1)</f>
        <v>284.51499999999999</v>
      </c>
      <c r="EM15" s="116" cm="1">
        <f t="array" ref="EM15">_xll.EQNXTDZ($A$1,$B15,EM$1)</f>
        <v>275.10000000000002</v>
      </c>
      <c r="EN15" s="116" cm="1">
        <f t="array" ref="EN15">_xll.EQNXTDZ($A$1,$B15,EN$1)</f>
        <v>233.51499999999999</v>
      </c>
      <c r="EO15" s="116" cm="1">
        <f t="array" ref="EO15">_xll.EQNXTDZ($A$1,$B15,EO$1)</f>
        <v>267.54000000000002</v>
      </c>
      <c r="EP15" s="116" cm="1">
        <f t="array" ref="EP15">_xll.EQNXTDZ($A$1,$B15,EP$1)</f>
        <v>240.10499999999999</v>
      </c>
      <c r="EQ15" s="116" cm="1">
        <f t="array" ref="EQ15">_xll.EQNXTDZ($A$1,$B15,EQ$1)</f>
        <v>212.61</v>
      </c>
      <c r="ER15" s="116" cm="1">
        <f t="array" ref="ER15">_xll.EQNXTDZ($A$1,$B15,ER$1)</f>
        <v>202.72499999999999</v>
      </c>
      <c r="ES15" s="116" cm="1">
        <f t="array" ref="ES15">_xll.EQNXTDZ($A$1,$B15,ES$1)</f>
        <v>203.16499999999999</v>
      </c>
      <c r="ET15" s="116" cm="1">
        <f t="array" ref="ET15">_xll.EQNXTDZ($A$1,$B15,ET$1)</f>
        <v>232.5</v>
      </c>
      <c r="EU15" s="116" cm="1">
        <f t="array" ref="EU15">_xll.EQNXTDZ($A$1,$B15,EU$1)</f>
        <v>244.83500000000001</v>
      </c>
      <c r="EV15" s="116" cm="1">
        <f t="array" ref="EV15">_xll.EQNXTDZ($A$1,$B15,EV$1)</f>
        <v>260.435</v>
      </c>
      <c r="EW15" s="116" cm="1">
        <f t="array" ref="EW15">_xll.EQNXTDZ($A$1,$B15,EW$1)</f>
        <v>282.01499999999999</v>
      </c>
      <c r="EX15" s="116" cm="1">
        <f t="array" ref="EX15">_xll.EQNXTDZ($A$1,$B15,EX$1)</f>
        <v>215.1</v>
      </c>
      <c r="EY15" s="116" cm="1">
        <f t="array" ref="EY15">_xll.EQNXTDZ($A$1,$B15,EY$1)</f>
        <v>209.01</v>
      </c>
      <c r="EZ15" s="116" cm="1">
        <f t="array" ref="EZ15">_xll.EQNXTDZ($A$1,$B15,EZ$1)</f>
        <v>194.2</v>
      </c>
      <c r="FA15" s="116" cm="1">
        <f t="array" ref="FA15">_xll.EQNXTDZ($A$1,$B15,FA$1)</f>
        <v>205.72499999999999</v>
      </c>
      <c r="FB15" s="116" cm="1">
        <f t="array" ref="FB15">_xll.EQNXTDZ($A$1,$B15,FB$1)</f>
        <v>225.3</v>
      </c>
      <c r="FC15" s="116" cm="1">
        <f t="array" ref="FC15">_xll.EQNXTDZ($A$1,$B15,FC$1)</f>
        <v>275.73</v>
      </c>
      <c r="FD15" s="116" cm="1">
        <f t="array" ref="FD15">_xll.EQNXTDZ($A$1,$B15,FD$1)</f>
        <v>258.08</v>
      </c>
      <c r="FE15" s="116" cm="1">
        <f t="array" ref="FE15">_xll.EQNXTDZ($A$1,$B15,FE$1)</f>
        <v>219.8</v>
      </c>
      <c r="FF15" s="116" cm="1">
        <f t="array" ref="FF15">_xll.EQNXTDZ($A$1,$B15,FF$1)</f>
        <v>210.2</v>
      </c>
      <c r="FG15" s="116" cm="1">
        <f t="array" ref="FG15">_xll.EQNXTDZ($A$1,$B15,FG$1)</f>
        <v>211.71</v>
      </c>
      <c r="FH15" s="116" cm="1">
        <f t="array" ref="FH15">_xll.EQNXTDZ($A$1,$B15,FH$1)</f>
        <v>244.57499999999999</v>
      </c>
      <c r="FI15" s="116" cm="1">
        <f t="array" ref="FI15">_xll.EQNXTDZ($A$1,$B15,FI$1)</f>
        <v>232.6</v>
      </c>
      <c r="FJ15" s="116" cm="1">
        <f t="array" ref="FJ15">_xll.EQNXTDZ($A$1,$B15,FJ$1)</f>
        <v>229.755</v>
      </c>
      <c r="FK15" s="116" cm="1">
        <f t="array" ref="FK15">_xll.EQNXTDZ($A$1,$B15,FK$1)</f>
        <v>220.1</v>
      </c>
      <c r="FL15" s="116" cm="1">
        <f t="array" ref="FL15">_xll.EQNXTDZ($A$1,$B15,FL$1)</f>
        <v>208.9</v>
      </c>
      <c r="FM15" s="116" cm="1">
        <f t="array" ref="FM15">_xll.EQNXTDZ($A$1,$B15,FM$1)</f>
        <v>228.45</v>
      </c>
      <c r="FN15" s="116" cm="1">
        <f t="array" ref="FN15">_xll.EQNXTDZ($A$1,$B15,FN$1)</f>
        <v>290.89999999999998</v>
      </c>
      <c r="FO15" s="116" cm="1">
        <f t="array" ref="FO15">_xll.EQNXTDZ($A$1,$B15,FO$1)</f>
        <v>319.55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22.3</v>
      </c>
      <c r="IX15" s="116">
        <f>+MIN(DB15:DD15)</f>
        <v>29.024999999999999</v>
      </c>
      <c r="IY15" s="116">
        <f>+MIN(DE15:DG15)</f>
        <v>28.21</v>
      </c>
      <c r="IZ15" s="116">
        <f>+MIN(DH15:DJ15)</f>
        <v>85.3</v>
      </c>
      <c r="JA15" s="116">
        <f>+MIN(DK15:DM15)</f>
        <v>99.2</v>
      </c>
      <c r="JB15" s="116">
        <f>+MIN(DN15:DP15)</f>
        <v>118.35</v>
      </c>
      <c r="JC15" s="116">
        <f>+MIN(DQ15:DS15)</f>
        <v>106.58499999999999</v>
      </c>
      <c r="JD15" s="116">
        <f>+MIN(DT15:DV15)</f>
        <v>118.3</v>
      </c>
      <c r="JE15" s="116">
        <f>+MIN(DW15:DY15)</f>
        <v>120.005</v>
      </c>
      <c r="JF15" s="116">
        <f>+MIN(DZ15:EB15)</f>
        <v>100</v>
      </c>
      <c r="JG15" s="116">
        <f>+MIN(EC15:EE15)</f>
        <v>115.88500000000001</v>
      </c>
      <c r="JH15" s="116">
        <f>+MIN(EF15:EH15)</f>
        <v>144.60499999999999</v>
      </c>
      <c r="JI15" s="116">
        <f>+MIN(EI15:EK15)</f>
        <v>182.62</v>
      </c>
      <c r="JJ15" s="116">
        <f>+MIN(EL15:EN15)</f>
        <v>233.51499999999999</v>
      </c>
      <c r="JK15" s="116">
        <f>MIN(EO15:EQ15)</f>
        <v>212.61</v>
      </c>
      <c r="JL15" s="116">
        <f>MIN(ER15:ET15)</f>
        <v>202.72499999999999</v>
      </c>
      <c r="JM15" s="116">
        <f>MIN(EU15:EW15)</f>
        <v>244.83500000000001</v>
      </c>
      <c r="JN15" s="116">
        <f>MIN(EX15:EZ15)</f>
        <v>194.2</v>
      </c>
      <c r="JO15" s="116">
        <f>MIN(FA15:FC15)</f>
        <v>205.72499999999999</v>
      </c>
      <c r="JP15" s="116">
        <f>MIN(FD15:FF15)</f>
        <v>210.2</v>
      </c>
      <c r="JQ15" s="116">
        <f>MIN(FG15:FI15)</f>
        <v>211.71</v>
      </c>
      <c r="JR15" s="116">
        <f>MIN(FJ15:FL15)</f>
        <v>208.9</v>
      </c>
      <c r="JS15" s="116">
        <f>MIN(FM15:FO15)</f>
        <v>228.45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35.244999999999997</v>
      </c>
      <c r="CZ16" s="116" cm="1">
        <f t="array" ref="CZ16">_xll.EQNXTDZ($A$1,$B16,CZ$1)</f>
        <v>35.725000000000001</v>
      </c>
      <c r="DA16" s="116" cm="1">
        <f t="array" ref="DA16">_xll.EQNXTDZ($A$1,$B16,DA$1)</f>
        <v>33.78</v>
      </c>
      <c r="DB16" s="116" cm="1">
        <f t="array" ref="DB16">_xll.EQNXTDZ($A$1,$B16,DB$1)</f>
        <v>34.299999999999997</v>
      </c>
      <c r="DC16" s="116" cm="1">
        <f t="array" ref="DC16">_xll.EQNXTDZ($A$1,$B16,DC$1)</f>
        <v>33.06</v>
      </c>
      <c r="DD16" s="116" cm="1">
        <f t="array" ref="DD16">_xll.EQNXTDZ($A$1,$B16,DD$1)</f>
        <v>29.11</v>
      </c>
      <c r="DE16" s="116" cm="1">
        <f t="array" ref="DE16">_xll.EQNXTDZ($A$1,$B16,DE$1)</f>
        <v>36.86</v>
      </c>
      <c r="DF16" s="116" cm="1">
        <f t="array" ref="DF16">_xll.EQNXTDZ($A$1,$B16,DF$1)</f>
        <v>75.75</v>
      </c>
      <c r="DG16" s="116" cm="1">
        <f t="array" ref="DG16">_xll.EQNXTDZ($A$1,$B16,DG$1)</f>
        <v>85.61</v>
      </c>
      <c r="DH16" s="116" cm="1">
        <f t="array" ref="DH16">_xll.EQNXTDZ($A$1,$B16,DH$1)</f>
        <v>118.685</v>
      </c>
      <c r="DI16" s="116" cm="1">
        <f t="array" ref="DI16">_xll.EQNXTDZ($A$1,$B16,DI$1)</f>
        <v>120.845</v>
      </c>
      <c r="DJ16" s="116" cm="1">
        <f t="array" ref="DJ16">_xll.EQNXTDZ($A$1,$B16,DJ$1)</f>
        <v>132.21</v>
      </c>
      <c r="DK16" s="116" cm="1">
        <f t="array" ref="DK16">_xll.EQNXTDZ($A$1,$B16,DK$1)</f>
        <v>124.25</v>
      </c>
      <c r="DL16" s="116" cm="1">
        <f t="array" ref="DL16">_xll.EQNXTDZ($A$1,$B16,DL$1)</f>
        <v>101.675</v>
      </c>
      <c r="DM16" s="116" cm="1">
        <f t="array" ref="DM16">_xll.EQNXTDZ($A$1,$B16,DM$1)</f>
        <v>118.25</v>
      </c>
      <c r="DN16" s="116" cm="1">
        <f t="array" ref="DN16">_xll.EQNXTDZ($A$1,$B16,DN$1)</f>
        <v>139.345</v>
      </c>
      <c r="DO16" s="116" cm="1">
        <f t="array" ref="DO16">_xll.EQNXTDZ($A$1,$B16,DO$1)</f>
        <v>133.54</v>
      </c>
      <c r="DP16" s="116" cm="1">
        <f t="array" ref="DP16">_xll.EQNXTDZ($A$1,$B16,DP$1)</f>
        <v>153.58500000000001</v>
      </c>
      <c r="DQ16" s="116" cm="1">
        <f t="array" ref="DQ16">_xll.EQNXTDZ($A$1,$B16,DQ$1)</f>
        <v>195.26499999999999</v>
      </c>
      <c r="DR16" s="116" cm="1">
        <f t="array" ref="DR16">_xll.EQNXTDZ($A$1,$B16,DR$1)</f>
        <v>147.435</v>
      </c>
      <c r="DS16" s="116" cm="1">
        <f t="array" ref="DS16">_xll.EQNXTDZ($A$1,$B16,DS$1)</f>
        <v>120.64</v>
      </c>
      <c r="DT16" s="116" cm="1">
        <f t="array" ref="DT16">_xll.EQNXTDZ($A$1,$B16,DT$1)</f>
        <v>136.53</v>
      </c>
      <c r="DU16" s="116" cm="1">
        <f t="array" ref="DU16">_xll.EQNXTDZ($A$1,$B16,DU$1)</f>
        <v>130.685</v>
      </c>
      <c r="DV16" s="116" cm="1">
        <f t="array" ref="DV16">_xll.EQNXTDZ($A$1,$B16,DV$1)</f>
        <v>136.77000000000001</v>
      </c>
      <c r="DW16" s="116" cm="1">
        <f t="array" ref="DW16">_xll.EQNXTDZ($A$1,$B16,DW$1)</f>
        <v>160.44499999999999</v>
      </c>
      <c r="DX16" s="116" cm="1">
        <f t="array" ref="DX16">_xll.EQNXTDZ($A$1,$B16,DX$1)</f>
        <v>159.85</v>
      </c>
      <c r="DY16" s="116" cm="1">
        <f t="array" ref="DY16">_xll.EQNXTDZ($A$1,$B16,DY$1)</f>
        <v>131.15</v>
      </c>
      <c r="DZ16" s="116" cm="1">
        <f t="array" ref="DZ16">_xll.EQNXTDZ($A$1,$B16,DZ$1)</f>
        <v>122.85</v>
      </c>
      <c r="EA16" s="116" cm="1">
        <f t="array" ref="EA16">_xll.EQNXTDZ($A$1,$B16,EA$1)</f>
        <v>101.97</v>
      </c>
      <c r="EB16" s="116" cm="1">
        <f t="array" ref="EB16">_xll.EQNXTDZ($A$1,$B16,EB$1)</f>
        <v>116.33</v>
      </c>
      <c r="EC16" s="116" cm="1">
        <f t="array" ref="EC16">_xll.EQNXTDZ($A$1,$B16,EC$1)</f>
        <v>122.935</v>
      </c>
      <c r="ED16" s="116" cm="1">
        <f t="array" ref="ED16">_xll.EQNXTDZ($A$1,$B16,ED$1)</f>
        <v>134.51499999999999</v>
      </c>
      <c r="EE16" s="116" cm="1">
        <f t="array" ref="EE16">_xll.EQNXTDZ($A$1,$B16,EE$1)</f>
        <v>171.86</v>
      </c>
      <c r="EF16" s="116" cm="1">
        <f t="array" ref="EF16">_xll.EQNXTDZ($A$1,$B16,EF$1)</f>
        <v>154.12</v>
      </c>
      <c r="EG16" s="116" cm="1">
        <f t="array" ref="EG16">_xll.EQNXTDZ($A$1,$B16,EG$1)</f>
        <v>186.79499999999999</v>
      </c>
      <c r="EH16" s="116" cm="1">
        <f t="array" ref="EH16">_xll.EQNXTDZ($A$1,$B16,EH$1)</f>
        <v>185.1</v>
      </c>
      <c r="EI16" s="116" cm="1">
        <f t="array" ref="EI16">_xll.EQNXTDZ($A$1,$B16,EI$1)</f>
        <v>258.48</v>
      </c>
      <c r="EJ16" s="116" cm="1">
        <f t="array" ref="EJ16">_xll.EQNXTDZ($A$1,$B16,EJ$1)</f>
        <v>306.69</v>
      </c>
      <c r="EK16" s="116" cm="1">
        <f t="array" ref="EK16">_xll.EQNXTDZ($A$1,$B16,EK$1)</f>
        <v>348.94499999999999</v>
      </c>
      <c r="EL16" s="116" cm="1">
        <f t="array" ref="EL16">_xll.EQNXTDZ($A$1,$B16,EL$1)</f>
        <v>328.42500000000001</v>
      </c>
      <c r="EM16" s="116" cm="1">
        <f t="array" ref="EM16">_xll.EQNXTDZ($A$1,$B16,EM$1)</f>
        <v>278.47000000000003</v>
      </c>
      <c r="EN16" s="116" cm="1">
        <f t="array" ref="EN16">_xll.EQNXTDZ($A$1,$B16,EN$1)</f>
        <v>304.39</v>
      </c>
      <c r="EO16" s="116" cm="1">
        <f t="array" ref="EO16">_xll.EQNXTDZ($A$1,$B16,EO$1)</f>
        <v>278.90499999999997</v>
      </c>
      <c r="EP16" s="116" cm="1">
        <f t="array" ref="EP16">_xll.EQNXTDZ($A$1,$B16,EP$1)</f>
        <v>246.22</v>
      </c>
      <c r="EQ16" s="116" cm="1">
        <f t="array" ref="EQ16">_xll.EQNXTDZ($A$1,$B16,EQ$1)</f>
        <v>260</v>
      </c>
      <c r="ER16" s="116" cm="1">
        <f t="array" ref="ER16">_xll.EQNXTDZ($A$1,$B16,ER$1)</f>
        <v>216.66499999999999</v>
      </c>
      <c r="ES16" s="116" cm="1">
        <f t="array" ref="ES16">_xll.EQNXTDZ($A$1,$B16,ES$1)</f>
        <v>258.51499999999999</v>
      </c>
      <c r="ET16" s="116" cm="1">
        <f t="array" ref="ET16">_xll.EQNXTDZ($A$1,$B16,ET$1)</f>
        <v>256.17</v>
      </c>
      <c r="EU16" s="116" cm="1">
        <f t="array" ref="EU16">_xll.EQNXTDZ($A$1,$B16,EU$1)</f>
        <v>305.51</v>
      </c>
      <c r="EV16" s="116" cm="1">
        <f t="array" ref="EV16">_xll.EQNXTDZ($A$1,$B16,EV$1)</f>
        <v>289.63499999999999</v>
      </c>
      <c r="EW16" s="116" cm="1">
        <f t="array" ref="EW16">_xll.EQNXTDZ($A$1,$B16,EW$1)</f>
        <v>293.24</v>
      </c>
      <c r="EX16" s="116" cm="1">
        <f t="array" ref="EX16">_xll.EQNXTDZ($A$1,$B16,EX$1)</f>
        <v>234.43</v>
      </c>
      <c r="EY16" s="116" cm="1">
        <f t="array" ref="EY16">_xll.EQNXTDZ($A$1,$B16,EY$1)</f>
        <v>216.79499999999999</v>
      </c>
      <c r="EZ16" s="116" cm="1">
        <f t="array" ref="EZ16">_xll.EQNXTDZ($A$1,$B16,EZ$1)</f>
        <v>231.26499999999999</v>
      </c>
      <c r="FA16" s="116" cm="1">
        <f t="array" ref="FA16">_xll.EQNXTDZ($A$1,$B16,FA$1)</f>
        <v>231.37</v>
      </c>
      <c r="FB16" s="116" cm="1">
        <f t="array" ref="FB16">_xll.EQNXTDZ($A$1,$B16,FB$1)</f>
        <v>303.49</v>
      </c>
      <c r="FC16" s="116" cm="1">
        <f t="array" ref="FC16">_xll.EQNXTDZ($A$1,$B16,FC$1)</f>
        <v>292.315</v>
      </c>
      <c r="FD16" s="116" cm="1">
        <f t="array" ref="FD16">_xll.EQNXTDZ($A$1,$B16,FD$1)</f>
        <v>259.87</v>
      </c>
      <c r="FE16" s="116" cm="1">
        <f t="array" ref="FE16">_xll.EQNXTDZ($A$1,$B16,FE$1)</f>
        <v>220.95</v>
      </c>
      <c r="FF16" s="116" cm="1">
        <f t="array" ref="FF16">_xll.EQNXTDZ($A$1,$B16,FF$1)</f>
        <v>213.215</v>
      </c>
      <c r="FG16" s="116" cm="1">
        <f t="array" ref="FG16">_xll.EQNXTDZ($A$1,$B16,FG$1)</f>
        <v>249.22499999999999</v>
      </c>
      <c r="FH16" s="116" cm="1">
        <f t="array" ref="FH16">_xll.EQNXTDZ($A$1,$B16,FH$1)</f>
        <v>270.3</v>
      </c>
      <c r="FI16" s="116" cm="1">
        <f t="array" ref="FI16">_xll.EQNXTDZ($A$1,$B16,FI$1)</f>
        <v>234.41499999999999</v>
      </c>
      <c r="FJ16" s="116" cm="1">
        <f t="array" ref="FJ16">_xll.EQNXTDZ($A$1,$B16,FJ$1)</f>
        <v>253.85499999999999</v>
      </c>
      <c r="FK16" s="116" cm="1">
        <f t="array" ref="FK16">_xll.EQNXTDZ($A$1,$B16,FK$1)</f>
        <v>233.7</v>
      </c>
      <c r="FL16" s="116" cm="1">
        <f t="array" ref="FL16">_xll.EQNXTDZ($A$1,$B16,FL$1)</f>
        <v>227.55</v>
      </c>
      <c r="FM16" s="116" cm="1">
        <f t="array" ref="FM16">_xll.EQNXTDZ($A$1,$B16,FM$1)</f>
        <v>308.7</v>
      </c>
      <c r="FN16" s="116" cm="1">
        <f t="array" ref="FN16">_xll.EQNXTDZ($A$1,$B16,FN$1)</f>
        <v>337.25</v>
      </c>
      <c r="FO16" s="116" cm="1">
        <f t="array" ref="FO16">_xll.EQNXTDZ($A$1,$B16,FO$1)</f>
        <v>339.45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33.78</v>
      </c>
      <c r="IX16" s="116">
        <f>+DD16</f>
        <v>29.11</v>
      </c>
      <c r="IY16" s="116">
        <f>+DG16</f>
        <v>85.61</v>
      </c>
      <c r="IZ16" s="116">
        <f>+DJ16</f>
        <v>132.21</v>
      </c>
      <c r="JA16" s="116">
        <f>+DM16</f>
        <v>118.25</v>
      </c>
      <c r="JB16" s="116">
        <f>+DP16</f>
        <v>153.58500000000001</v>
      </c>
      <c r="JC16" s="116">
        <f>+DS16</f>
        <v>120.64</v>
      </c>
      <c r="JD16" s="116">
        <f>+DV16</f>
        <v>136.77000000000001</v>
      </c>
      <c r="JE16" s="116">
        <f>+DY16</f>
        <v>131.15</v>
      </c>
      <c r="JF16" s="116">
        <f>+EB16</f>
        <v>116.33</v>
      </c>
      <c r="JG16" s="116">
        <f>+EE16</f>
        <v>171.86</v>
      </c>
      <c r="JH16" s="116">
        <f>+EH16</f>
        <v>185.1</v>
      </c>
      <c r="JI16" s="116">
        <f>+EK16</f>
        <v>348.94499999999999</v>
      </c>
      <c r="JJ16" s="116">
        <f>+EN16</f>
        <v>304.39</v>
      </c>
      <c r="JK16" s="116">
        <f>EQ16</f>
        <v>260</v>
      </c>
      <c r="JL16" s="116">
        <f>ET16</f>
        <v>256.17</v>
      </c>
      <c r="JM16" s="116">
        <f>EW16</f>
        <v>293.24</v>
      </c>
      <c r="JN16" s="116">
        <f>EZ16</f>
        <v>231.26499999999999</v>
      </c>
      <c r="JO16" s="116">
        <f>FC16</f>
        <v>292.315</v>
      </c>
      <c r="JP16" s="116">
        <f>FF16</f>
        <v>213.215</v>
      </c>
      <c r="JQ16" s="116">
        <f>FI16</f>
        <v>234.41499999999999</v>
      </c>
      <c r="JR16" s="116">
        <f>FL16</f>
        <v>227.55</v>
      </c>
      <c r="JS16" s="116">
        <f>FO16</f>
        <v>339.45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40.725000000000001</v>
      </c>
      <c r="IX19" s="116">
        <f t="shared" si="1"/>
        <v>38.49</v>
      </c>
      <c r="IY19" s="116">
        <f t="shared" si="1"/>
        <v>96.394999999999996</v>
      </c>
      <c r="IZ19" s="116">
        <f t="shared" si="1"/>
        <v>148.4</v>
      </c>
      <c r="JA19" s="116">
        <f t="shared" si="1"/>
        <v>168.93</v>
      </c>
      <c r="JB19" s="116">
        <f t="shared" si="1"/>
        <v>171.7</v>
      </c>
      <c r="JC19" s="116">
        <f t="shared" si="1"/>
        <v>202.2</v>
      </c>
      <c r="JD19" s="116">
        <f t="shared" si="1"/>
        <v>163</v>
      </c>
      <c r="JE19" s="116">
        <f t="shared" si="1"/>
        <v>167.3</v>
      </c>
      <c r="JF19" s="116">
        <f t="shared" si="1"/>
        <v>136.625</v>
      </c>
      <c r="JG19" s="116">
        <f t="shared" si="1"/>
        <v>174.48500000000001</v>
      </c>
      <c r="JH19" s="116">
        <f t="shared" si="1"/>
        <v>196.285</v>
      </c>
      <c r="JI19" s="116">
        <f t="shared" si="1"/>
        <v>350</v>
      </c>
      <c r="JJ19" s="116">
        <f t="shared" ref="JJ19:JJ21" si="2">+IF(JJ14=0,JJ7,JJ14)</f>
        <v>390.03500000000003</v>
      </c>
      <c r="JK19" s="116">
        <f t="shared" ref="JK19" si="3">+IF(JK14=0,JK7,JK14)</f>
        <v>322.72500000000002</v>
      </c>
      <c r="JL19" s="116">
        <f t="shared" ref="JL19:JM19" si="4">+IF(JL14=0,JL7,JL14)</f>
        <v>285.19499999999999</v>
      </c>
      <c r="JM19" s="116">
        <f t="shared" si="4"/>
        <v>350.26</v>
      </c>
      <c r="JN19" s="116">
        <f t="shared" ref="JN19:JO19" si="5">+IF(JN14=0,JN7,JN14)</f>
        <v>304.32499999999999</v>
      </c>
      <c r="JO19" s="116">
        <f t="shared" si="5"/>
        <v>328.3</v>
      </c>
      <c r="JP19" s="116">
        <f t="shared" ref="JP19" si="6">+IF(JP14=0,JP7,JP14)</f>
        <v>297.39999999999998</v>
      </c>
      <c r="JQ19" s="116">
        <f t="shared" ref="JQ19:KH19" si="7">+IF(JQ14=0,JQ7,JQ14)</f>
        <v>286.42500000000001</v>
      </c>
      <c r="JR19" s="116">
        <f t="shared" si="7"/>
        <v>280.7</v>
      </c>
      <c r="JS19" s="116">
        <f t="shared" si="7"/>
        <v>351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22.3</v>
      </c>
      <c r="IX20" s="116">
        <f t="shared" si="1"/>
        <v>29.024999999999999</v>
      </c>
      <c r="IY20" s="116">
        <f t="shared" si="1"/>
        <v>28.21</v>
      </c>
      <c r="IZ20" s="116">
        <f t="shared" si="1"/>
        <v>85.3</v>
      </c>
      <c r="JA20" s="116">
        <f t="shared" si="1"/>
        <v>99.2</v>
      </c>
      <c r="JB20" s="116">
        <f t="shared" si="1"/>
        <v>118.35</v>
      </c>
      <c r="JC20" s="116">
        <f t="shared" si="1"/>
        <v>106.58499999999999</v>
      </c>
      <c r="JD20" s="116">
        <f t="shared" si="1"/>
        <v>118.3</v>
      </c>
      <c r="JE20" s="116">
        <f t="shared" si="1"/>
        <v>120.005</v>
      </c>
      <c r="JF20" s="116">
        <f t="shared" si="1"/>
        <v>100</v>
      </c>
      <c r="JG20" s="116">
        <f t="shared" si="1"/>
        <v>115.88500000000001</v>
      </c>
      <c r="JH20" s="116">
        <f t="shared" si="1"/>
        <v>144.60499999999999</v>
      </c>
      <c r="JI20" s="116">
        <f t="shared" si="1"/>
        <v>182.62</v>
      </c>
      <c r="JJ20" s="116">
        <f t="shared" si="2"/>
        <v>233.51499999999999</v>
      </c>
      <c r="JK20" s="116">
        <f t="shared" ref="JK20" si="9">+IF(JK15=0,JK8,JK15)</f>
        <v>212.61</v>
      </c>
      <c r="JL20" s="116">
        <f t="shared" ref="JL20:JM20" si="10">+IF(JL15=0,JL8,JL15)</f>
        <v>202.72499999999999</v>
      </c>
      <c r="JM20" s="116">
        <f t="shared" si="10"/>
        <v>244.83500000000001</v>
      </c>
      <c r="JN20" s="116">
        <f t="shared" ref="JN20:JO20" si="11">+IF(JN15=0,JN8,JN15)</f>
        <v>194.2</v>
      </c>
      <c r="JO20" s="116">
        <f t="shared" si="11"/>
        <v>205.72499999999999</v>
      </c>
      <c r="JP20" s="116">
        <f t="shared" ref="JP20" si="12">+IF(JP15=0,JP8,JP15)</f>
        <v>210.2</v>
      </c>
      <c r="JQ20" s="116">
        <f t="shared" ref="JQ20:KH20" si="13">+IF(JQ15=0,JQ8,JQ15)</f>
        <v>211.71</v>
      </c>
      <c r="JR20" s="116">
        <f t="shared" si="13"/>
        <v>208.9</v>
      </c>
      <c r="JS20" s="116">
        <f t="shared" si="13"/>
        <v>228.45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33.78</v>
      </c>
      <c r="IX21" s="116">
        <f t="shared" si="1"/>
        <v>29.11</v>
      </c>
      <c r="IY21" s="116">
        <f t="shared" si="1"/>
        <v>85.61</v>
      </c>
      <c r="IZ21" s="116">
        <f t="shared" si="1"/>
        <v>132.21</v>
      </c>
      <c r="JA21" s="116">
        <f t="shared" si="1"/>
        <v>118.25</v>
      </c>
      <c r="JB21" s="116">
        <f t="shared" si="1"/>
        <v>153.58500000000001</v>
      </c>
      <c r="JC21" s="116">
        <f t="shared" si="1"/>
        <v>120.64</v>
      </c>
      <c r="JD21" s="116">
        <f t="shared" si="1"/>
        <v>136.77000000000001</v>
      </c>
      <c r="JE21" s="116">
        <f t="shared" si="1"/>
        <v>131.15</v>
      </c>
      <c r="JF21" s="116">
        <f t="shared" si="1"/>
        <v>116.33</v>
      </c>
      <c r="JG21" s="116">
        <f t="shared" si="1"/>
        <v>171.86</v>
      </c>
      <c r="JH21" s="116">
        <f t="shared" si="1"/>
        <v>185.1</v>
      </c>
      <c r="JI21" s="116">
        <f t="shared" si="1"/>
        <v>348.94499999999999</v>
      </c>
      <c r="JJ21" s="116">
        <f t="shared" si="2"/>
        <v>304.39</v>
      </c>
      <c r="JK21" s="116">
        <f t="shared" ref="JK21" si="14">+IF(JK16=0,JK9,JK16)</f>
        <v>260</v>
      </c>
      <c r="JL21" s="116">
        <f t="shared" ref="JL21:JM21" si="15">+IF(JL16=0,JL9,JL16)</f>
        <v>256.17</v>
      </c>
      <c r="JM21" s="116">
        <f t="shared" si="15"/>
        <v>293.24</v>
      </c>
      <c r="JN21" s="116">
        <f t="shared" ref="JN21:JO21" si="16">+IF(JN16=0,JN9,JN16)</f>
        <v>231.26499999999999</v>
      </c>
      <c r="JO21" s="116">
        <f t="shared" si="16"/>
        <v>292.315</v>
      </c>
      <c r="JP21" s="116">
        <f t="shared" ref="JP21" si="17">+IF(JP16=0,JP9,JP16)</f>
        <v>213.215</v>
      </c>
      <c r="JQ21" s="116">
        <f t="shared" ref="JQ21:KH21" si="18">+IF(JQ16=0,JQ9,JQ16)</f>
        <v>234.41499999999999</v>
      </c>
      <c r="JR21" s="116">
        <f t="shared" si="18"/>
        <v>227.55</v>
      </c>
      <c r="JS21" s="116">
        <f t="shared" si="18"/>
        <v>339.45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209902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201803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14364175</v>
      </c>
      <c r="G6" cm="1">
        <f t="array" ref="G6">_xll.EQNXTDZ($A$1,$B6,G$1)</f>
        <v>0</v>
      </c>
      <c r="H6" cm="1">
        <f t="array" ref="H6">_xll.EQNXTDZ($A$1,$B6,H$1)</f>
        <v>14364175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14364175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14364175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14364175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71995003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81798924</v>
      </c>
      <c r="AK6" cm="1">
        <f t="array" ref="AK6">_xll.EQNXTDZ($A$1,$B6,AK$1)</f>
        <v>81803984</v>
      </c>
      <c r="AL6" cm="1">
        <f t="array" ref="AL6">_xll.EQNXTDZ($A$1,$B6,AL$1)</f>
        <v>81826507</v>
      </c>
      <c r="AM6" cm="1">
        <f t="array" ref="AM6">_xll.EQNXTDZ($A$1,$B6,AM$1)</f>
        <v>82370444</v>
      </c>
      <c r="AN6" cm="1">
        <f t="array" ref="AN6">_xll.EQNXTDZ($A$1,$B6,AN$1)</f>
        <v>82610358</v>
      </c>
      <c r="AO6" cm="1">
        <f t="array" ref="AO6">_xll.EQNXTDZ($A$1,$B6,AO$1)</f>
        <v>82782065</v>
      </c>
      <c r="AP6" cm="1">
        <f t="array" ref="AP6">_xll.EQNXTDZ($A$1,$B6,AP$1)</f>
        <v>82858722</v>
      </c>
      <c r="AQ6" cm="1">
        <f t="array" ref="AQ6">_xll.EQNXTDZ($A$1,$B6,AQ$1)</f>
        <v>83072229</v>
      </c>
      <c r="AR6" cm="1">
        <f t="array" ref="AR6">_xll.EQNXTDZ($A$1,$B6,AR$1)</f>
        <v>83316085</v>
      </c>
      <c r="AS6" cm="1">
        <f t="array" ref="AS6">_xll.EQNXTDZ($A$1,$B6,AS$1)</f>
        <v>83371060</v>
      </c>
      <c r="AT6" cm="1">
        <f t="array" ref="AT6">_xll.EQNXTDZ($A$1,$B6,AT$1)</f>
        <v>83419741</v>
      </c>
      <c r="AU6" cm="1">
        <f t="array" ref="AU6">_xll.EQNXTDZ($A$1,$B6,AU$1)</f>
        <v>83819403</v>
      </c>
      <c r="AV6" cm="1">
        <f t="array" ref="AV6">_xll.EQNXTDZ($A$1,$B6,AV$1)</f>
        <v>83893537</v>
      </c>
      <c r="AW6" cm="1">
        <f t="array" ref="AW6">_xll.EQNXTDZ($A$1,$B6,AW$1)</f>
        <v>83950454</v>
      </c>
      <c r="AX6" cm="1">
        <f t="array" ref="AX6">_xll.EQNXTDZ($A$1,$B6,AX$1)</f>
        <v>84008188</v>
      </c>
      <c r="AY6" cm="1">
        <f t="array" ref="AY6">_xll.EQNXTDZ($A$1,$B6,AY$1)</f>
        <v>90088050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1.4364174999999999</v>
      </c>
      <c r="G7" s="100">
        <f t="shared" si="0"/>
        <v>0</v>
      </c>
      <c r="H7" s="100">
        <f t="shared" si="0"/>
        <v>1.4364174999999999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1.4364174999999999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1.4364174999999999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1.4364174999999999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7.1995003000000004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8.1798924</v>
      </c>
      <c r="AK7" s="100">
        <f t="shared" si="1"/>
        <v>8.1803983999999996</v>
      </c>
      <c r="AL7" s="100">
        <f t="shared" si="1"/>
        <v>8.1826506999999999</v>
      </c>
      <c r="AM7" s="100">
        <f t="shared" si="1"/>
        <v>8.2370444000000003</v>
      </c>
      <c r="AN7" s="100">
        <f t="shared" si="1"/>
        <v>8.2610358000000002</v>
      </c>
      <c r="AO7" s="100">
        <f t="shared" si="1"/>
        <v>8.2782064999999996</v>
      </c>
      <c r="AP7" s="100">
        <f t="shared" si="1"/>
        <v>8.2858722</v>
      </c>
      <c r="AQ7" s="100">
        <f t="shared" si="1"/>
        <v>8.3072228999999993</v>
      </c>
      <c r="AR7" s="100">
        <f t="shared" si="1"/>
        <v>8.3316084999999998</v>
      </c>
      <c r="AS7" s="100">
        <f t="shared" si="1"/>
        <v>8.3371060000000003</v>
      </c>
      <c r="AT7" s="100">
        <f t="shared" ref="AT7:AX7" si="2">+AT6/10^7</f>
        <v>8.3419740999999998</v>
      </c>
      <c r="AU7" s="100">
        <f t="shared" si="2"/>
        <v>8.3819403000000001</v>
      </c>
      <c r="AV7" s="100">
        <f t="shared" si="2"/>
        <v>8.3893536999999991</v>
      </c>
      <c r="AW7" s="100">
        <f t="shared" si="2"/>
        <v>8.3950454000000008</v>
      </c>
      <c r="AX7" s="100">
        <f t="shared" si="2"/>
        <v>8.4008187999999997</v>
      </c>
      <c r="AY7" s="100">
        <f t="shared" ref="AY7" si="3">+AY6/10^7</f>
        <v>9.0088050000000006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209902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44109</v>
      </c>
      <c r="B4" s="116">
        <v>29.645</v>
      </c>
      <c r="C4" s="116">
        <v>27.585000000000001</v>
      </c>
      <c r="D4" s="116">
        <v>25.66</v>
      </c>
      <c r="E4" s="116">
        <v>27.5</v>
      </c>
      <c r="F4" s="116">
        <v>275.85000000000002</v>
      </c>
      <c r="G4">
        <v>894431</v>
      </c>
      <c r="H4" s="116"/>
      <c r="I4" s="116"/>
      <c r="L4" s="170">
        <v>44109</v>
      </c>
      <c r="M4" s="116">
        <v>27.58</v>
      </c>
      <c r="N4" s="116">
        <v>29.67</v>
      </c>
      <c r="O4" s="116">
        <v>25.7</v>
      </c>
      <c r="P4" s="116">
        <v>27.5</v>
      </c>
      <c r="Q4" s="116">
        <v>275.8</v>
      </c>
      <c r="R4">
        <v>8546238</v>
      </c>
    </row>
    <row r="5" spans="1:18" x14ac:dyDescent="0.25">
      <c r="A5" s="170">
        <v>44110</v>
      </c>
      <c r="B5" s="116">
        <v>27.5</v>
      </c>
      <c r="C5" s="116">
        <v>26.614999999999998</v>
      </c>
      <c r="D5" s="116">
        <v>26.135000000000002</v>
      </c>
      <c r="E5" s="116">
        <v>27.5</v>
      </c>
      <c r="F5" s="116">
        <v>266.14999999999998</v>
      </c>
      <c r="G5">
        <v>288545</v>
      </c>
      <c r="H5" s="116"/>
      <c r="I5" s="116"/>
      <c r="L5" s="170">
        <v>44110</v>
      </c>
      <c r="M5" s="116">
        <v>26.625</v>
      </c>
      <c r="N5" s="116">
        <v>27.414999999999999</v>
      </c>
      <c r="O5" s="116">
        <v>26.155000000000001</v>
      </c>
      <c r="P5" s="116">
        <v>27.4</v>
      </c>
      <c r="Q5" s="116">
        <v>266.25</v>
      </c>
      <c r="R5">
        <v>2721384</v>
      </c>
    </row>
    <row r="6" spans="1:18" x14ac:dyDescent="0.25">
      <c r="A6" s="170">
        <v>44111</v>
      </c>
      <c r="B6" s="116">
        <v>26.98</v>
      </c>
      <c r="C6" s="116">
        <v>26.545000000000002</v>
      </c>
      <c r="D6" s="116">
        <v>26.274999999999999</v>
      </c>
      <c r="E6" s="116">
        <v>26.445</v>
      </c>
      <c r="F6" s="116">
        <v>265.45</v>
      </c>
      <c r="G6">
        <v>64262</v>
      </c>
      <c r="H6" s="116"/>
      <c r="I6" s="116"/>
      <c r="L6" s="170">
        <v>44111</v>
      </c>
      <c r="M6" s="116">
        <v>26.555</v>
      </c>
      <c r="N6" s="116">
        <v>27</v>
      </c>
      <c r="O6" s="116">
        <v>26.25</v>
      </c>
      <c r="P6" s="116">
        <v>26.29</v>
      </c>
      <c r="Q6" s="116">
        <v>265.55</v>
      </c>
      <c r="R6">
        <v>820136</v>
      </c>
    </row>
    <row r="7" spans="1:18" x14ac:dyDescent="0.25">
      <c r="A7" s="170">
        <v>44112</v>
      </c>
      <c r="B7" s="116">
        <v>27.34</v>
      </c>
      <c r="C7" s="116">
        <v>27.02</v>
      </c>
      <c r="D7" s="116">
        <v>26.48</v>
      </c>
      <c r="E7" s="116">
        <v>26.9</v>
      </c>
      <c r="F7" s="116">
        <v>270.2</v>
      </c>
      <c r="G7">
        <v>57160</v>
      </c>
      <c r="H7" s="116"/>
      <c r="I7" s="116"/>
      <c r="L7" s="170">
        <v>44112</v>
      </c>
      <c r="M7" s="116">
        <v>27.085000000000001</v>
      </c>
      <c r="N7" s="116">
        <v>27.335000000000001</v>
      </c>
      <c r="O7" s="116">
        <v>26.454999999999998</v>
      </c>
      <c r="P7" s="116">
        <v>26.704999999999998</v>
      </c>
      <c r="Q7" s="116">
        <v>270.85000000000002</v>
      </c>
      <c r="R7">
        <v>738241</v>
      </c>
    </row>
    <row r="8" spans="1:18" x14ac:dyDescent="0.25">
      <c r="A8" s="170">
        <v>44113</v>
      </c>
      <c r="B8" s="116">
        <v>27.6</v>
      </c>
      <c r="C8" s="116">
        <v>27.47</v>
      </c>
      <c r="D8" s="116">
        <v>27.01</v>
      </c>
      <c r="E8" s="116">
        <v>27.02</v>
      </c>
      <c r="F8" s="116">
        <v>274.7</v>
      </c>
      <c r="G8">
        <v>55157</v>
      </c>
      <c r="H8" s="116"/>
      <c r="I8" s="116"/>
      <c r="L8" s="170">
        <v>44113</v>
      </c>
      <c r="M8" s="116">
        <v>27.484999999999999</v>
      </c>
      <c r="N8" s="116">
        <v>27.6</v>
      </c>
      <c r="O8" s="116">
        <v>27</v>
      </c>
      <c r="P8" s="116">
        <v>27.085000000000001</v>
      </c>
      <c r="Q8" s="116">
        <v>274.85000000000002</v>
      </c>
      <c r="R8">
        <v>556877</v>
      </c>
    </row>
    <row r="9" spans="1:18" x14ac:dyDescent="0.25">
      <c r="A9" s="170">
        <v>44116</v>
      </c>
      <c r="B9" s="116">
        <v>27.65</v>
      </c>
      <c r="C9" s="116">
        <v>26.954999999999998</v>
      </c>
      <c r="D9" s="116">
        <v>26.524999999999999</v>
      </c>
      <c r="E9" s="116">
        <v>27.484999999999999</v>
      </c>
      <c r="F9" s="116">
        <v>269.55</v>
      </c>
      <c r="G9">
        <v>34971</v>
      </c>
      <c r="H9" s="116"/>
      <c r="I9" s="116"/>
      <c r="L9" s="170">
        <v>44116</v>
      </c>
      <c r="M9" s="116">
        <v>26.945</v>
      </c>
      <c r="N9" s="116">
        <v>27.69</v>
      </c>
      <c r="O9" s="116">
        <v>26.5</v>
      </c>
      <c r="P9" s="116">
        <v>27.5</v>
      </c>
      <c r="Q9" s="116">
        <v>269.45</v>
      </c>
      <c r="R9">
        <v>440911</v>
      </c>
    </row>
    <row r="10" spans="1:18" x14ac:dyDescent="0.25">
      <c r="A10" s="170">
        <v>44117</v>
      </c>
      <c r="B10" s="116">
        <v>27.21</v>
      </c>
      <c r="C10" s="116">
        <v>26.97</v>
      </c>
      <c r="D10" s="116">
        <v>26.31</v>
      </c>
      <c r="E10" s="116">
        <v>26.6</v>
      </c>
      <c r="F10" s="116">
        <v>269.7</v>
      </c>
      <c r="G10">
        <v>43808</v>
      </c>
      <c r="H10" s="116"/>
      <c r="I10" s="116"/>
      <c r="L10" s="170">
        <v>44117</v>
      </c>
      <c r="M10" s="116">
        <v>26.98</v>
      </c>
      <c r="N10" s="116">
        <v>27.2</v>
      </c>
      <c r="O10" s="116">
        <v>26.3</v>
      </c>
      <c r="P10" s="116">
        <v>26.635000000000002</v>
      </c>
      <c r="Q10" s="116">
        <v>269.8</v>
      </c>
      <c r="R10">
        <v>369077</v>
      </c>
    </row>
    <row r="11" spans="1:18" x14ac:dyDescent="0.25">
      <c r="A11" s="170">
        <v>44118</v>
      </c>
      <c r="B11" s="116">
        <v>26.97</v>
      </c>
      <c r="C11" s="116">
        <v>26.184999999999999</v>
      </c>
      <c r="D11" s="116">
        <v>26.065000000000001</v>
      </c>
      <c r="E11" s="116">
        <v>26.97</v>
      </c>
      <c r="F11" s="116">
        <v>261.85000000000002</v>
      </c>
      <c r="G11">
        <v>13363</v>
      </c>
      <c r="H11" s="116"/>
      <c r="I11" s="116"/>
      <c r="L11" s="170">
        <v>44118</v>
      </c>
      <c r="M11" s="116">
        <v>26.18</v>
      </c>
      <c r="N11" s="116">
        <v>26.9</v>
      </c>
      <c r="O11" s="116">
        <v>26.06</v>
      </c>
      <c r="P11" s="116">
        <v>26.715</v>
      </c>
      <c r="Q11" s="116">
        <v>261.8</v>
      </c>
      <c r="R11">
        <v>231804</v>
      </c>
    </row>
    <row r="12" spans="1:18" x14ac:dyDescent="0.25">
      <c r="A12" s="170">
        <v>44119</v>
      </c>
      <c r="B12" s="116">
        <v>26.625</v>
      </c>
      <c r="C12" s="116">
        <v>25.71</v>
      </c>
      <c r="D12" s="116">
        <v>25.5</v>
      </c>
      <c r="E12" s="116">
        <v>26</v>
      </c>
      <c r="F12" s="116">
        <v>257.10000000000002</v>
      </c>
      <c r="G12">
        <v>23359</v>
      </c>
      <c r="H12" s="116"/>
      <c r="I12" s="116"/>
      <c r="L12" s="170">
        <v>44119</v>
      </c>
      <c r="M12" s="116">
        <v>25.725000000000001</v>
      </c>
      <c r="N12" s="116">
        <v>26.614999999999998</v>
      </c>
      <c r="O12" s="116">
        <v>25.5</v>
      </c>
      <c r="P12" s="116">
        <v>26.3</v>
      </c>
      <c r="Q12" s="116">
        <v>257.25</v>
      </c>
      <c r="R12">
        <v>215948</v>
      </c>
    </row>
    <row r="13" spans="1:18" x14ac:dyDescent="0.25">
      <c r="A13" s="170">
        <v>44120</v>
      </c>
      <c r="B13" s="116">
        <v>26.055</v>
      </c>
      <c r="C13" s="116">
        <v>24.484999999999999</v>
      </c>
      <c r="D13" s="116">
        <v>24.364999999999998</v>
      </c>
      <c r="E13" s="116">
        <v>25.7</v>
      </c>
      <c r="F13" s="116">
        <v>244.85</v>
      </c>
      <c r="G13">
        <v>20256</v>
      </c>
      <c r="H13" s="116"/>
      <c r="I13" s="116"/>
      <c r="L13" s="170">
        <v>44120</v>
      </c>
      <c r="M13" s="116">
        <v>24.51</v>
      </c>
      <c r="N13" s="116">
        <v>26.05</v>
      </c>
      <c r="O13" s="116">
        <v>24.3</v>
      </c>
      <c r="P13" s="116">
        <v>25.71</v>
      </c>
      <c r="Q13" s="116">
        <v>245.1</v>
      </c>
      <c r="R13">
        <v>229542</v>
      </c>
    </row>
    <row r="14" spans="1:18" x14ac:dyDescent="0.25">
      <c r="A14" s="170">
        <v>44123</v>
      </c>
      <c r="B14" s="116">
        <v>24.84</v>
      </c>
      <c r="C14" s="116">
        <v>23.58</v>
      </c>
      <c r="D14" s="116">
        <v>23.434999999999999</v>
      </c>
      <c r="E14" s="116">
        <v>24.785</v>
      </c>
      <c r="F14" s="116">
        <v>235.8</v>
      </c>
      <c r="G14">
        <v>29864</v>
      </c>
      <c r="H14" s="116"/>
      <c r="I14" s="116"/>
      <c r="L14" s="170">
        <v>44123</v>
      </c>
      <c r="M14" s="116">
        <v>23.585000000000001</v>
      </c>
      <c r="N14" s="116">
        <v>24.83</v>
      </c>
      <c r="O14" s="116">
        <v>23.43</v>
      </c>
      <c r="P14" s="116">
        <v>24.7</v>
      </c>
      <c r="Q14" s="116">
        <v>235.85</v>
      </c>
      <c r="R14">
        <v>309611</v>
      </c>
    </row>
    <row r="15" spans="1:18" x14ac:dyDescent="0.25">
      <c r="A15" s="170">
        <v>44124</v>
      </c>
      <c r="B15" s="116">
        <v>23.6</v>
      </c>
      <c r="C15" s="116">
        <v>22.465</v>
      </c>
      <c r="D15" s="116">
        <v>22.38</v>
      </c>
      <c r="E15" s="116">
        <v>23.6</v>
      </c>
      <c r="F15" s="116">
        <v>224.65</v>
      </c>
      <c r="G15">
        <v>26335</v>
      </c>
      <c r="H15" s="116"/>
      <c r="I15" s="116"/>
      <c r="L15" s="170">
        <v>44124</v>
      </c>
      <c r="M15" s="116">
        <v>22.465</v>
      </c>
      <c r="N15" s="116">
        <v>23.684999999999999</v>
      </c>
      <c r="O15" s="116">
        <v>22.38</v>
      </c>
      <c r="P15" s="116">
        <v>23.585000000000001</v>
      </c>
      <c r="Q15" s="116">
        <v>224.65</v>
      </c>
      <c r="R15">
        <v>297360</v>
      </c>
    </row>
    <row r="16" spans="1:18" x14ac:dyDescent="0.25">
      <c r="A16" s="170">
        <v>44125</v>
      </c>
      <c r="B16" s="116">
        <v>24.4</v>
      </c>
      <c r="C16" s="116">
        <v>23.87</v>
      </c>
      <c r="D16" s="116">
        <v>22.3</v>
      </c>
      <c r="E16" s="116">
        <v>22.3</v>
      </c>
      <c r="F16" s="116">
        <v>238.7</v>
      </c>
      <c r="G16">
        <v>91122</v>
      </c>
      <c r="H16" s="116"/>
      <c r="I16" s="116"/>
      <c r="L16" s="170">
        <v>44125</v>
      </c>
      <c r="M16" s="116">
        <v>23.895</v>
      </c>
      <c r="N16" s="116">
        <v>24.38</v>
      </c>
      <c r="O16" s="116">
        <v>22.22</v>
      </c>
      <c r="P16" s="116">
        <v>22.22</v>
      </c>
      <c r="Q16" s="116">
        <v>238.95</v>
      </c>
      <c r="R16">
        <v>1258953</v>
      </c>
    </row>
    <row r="17" spans="1:18" x14ac:dyDescent="0.25">
      <c r="A17" s="170">
        <v>44126</v>
      </c>
      <c r="B17" s="116">
        <v>24.48</v>
      </c>
      <c r="C17" s="116">
        <v>23.885000000000002</v>
      </c>
      <c r="D17" s="116">
        <v>23.315000000000001</v>
      </c>
      <c r="E17" s="116">
        <v>23.8</v>
      </c>
      <c r="F17" s="116">
        <v>238.85</v>
      </c>
      <c r="G17">
        <v>44803</v>
      </c>
      <c r="H17" s="116"/>
      <c r="I17" s="116"/>
      <c r="L17" s="170">
        <v>44126</v>
      </c>
      <c r="M17" s="116">
        <v>23.895</v>
      </c>
      <c r="N17" s="116">
        <v>24.46</v>
      </c>
      <c r="O17" s="116">
        <v>23.305</v>
      </c>
      <c r="P17" s="116">
        <v>23.85</v>
      </c>
      <c r="Q17" s="116">
        <v>238.95</v>
      </c>
      <c r="R17">
        <v>392676</v>
      </c>
    </row>
    <row r="18" spans="1:18" x14ac:dyDescent="0.25">
      <c r="A18" s="170">
        <v>44127</v>
      </c>
      <c r="B18" s="116">
        <v>24.28</v>
      </c>
      <c r="C18" s="116">
        <v>23.995000000000001</v>
      </c>
      <c r="D18" s="116">
        <v>23.594999999999999</v>
      </c>
      <c r="E18" s="116">
        <v>23.91</v>
      </c>
      <c r="F18" s="116">
        <v>239.95</v>
      </c>
      <c r="G18">
        <v>20543</v>
      </c>
      <c r="H18" s="116"/>
      <c r="I18" s="116"/>
      <c r="L18" s="170">
        <v>44127</v>
      </c>
      <c r="M18" s="116">
        <v>24.004999999999999</v>
      </c>
      <c r="N18" s="116">
        <v>24.295000000000002</v>
      </c>
      <c r="O18" s="116">
        <v>23.56</v>
      </c>
      <c r="P18" s="116">
        <v>24.145</v>
      </c>
      <c r="Q18" s="116">
        <v>240.05</v>
      </c>
      <c r="R18">
        <v>383393</v>
      </c>
    </row>
    <row r="19" spans="1:18" x14ac:dyDescent="0.25">
      <c r="A19" s="170">
        <v>44130</v>
      </c>
      <c r="B19" s="116">
        <v>25.1</v>
      </c>
      <c r="C19" s="116">
        <v>24.864999999999998</v>
      </c>
      <c r="D19" s="116">
        <v>24.01</v>
      </c>
      <c r="E19" s="116">
        <v>24.32</v>
      </c>
      <c r="F19" s="116">
        <v>248.65</v>
      </c>
      <c r="G19">
        <v>22661</v>
      </c>
      <c r="H19" s="116"/>
      <c r="I19" s="116"/>
      <c r="L19" s="170">
        <v>44130</v>
      </c>
      <c r="M19" s="116">
        <v>24.875</v>
      </c>
      <c r="N19" s="116">
        <v>25.12</v>
      </c>
      <c r="O19" s="116">
        <v>24.02</v>
      </c>
      <c r="P19" s="116">
        <v>24.1</v>
      </c>
      <c r="Q19" s="116">
        <v>248.75</v>
      </c>
      <c r="R19">
        <v>320284</v>
      </c>
    </row>
    <row r="20" spans="1:18" x14ac:dyDescent="0.25">
      <c r="A20" s="170">
        <v>44131</v>
      </c>
      <c r="B20" s="116">
        <v>29.835000000000001</v>
      </c>
      <c r="C20" s="116">
        <v>29.835000000000001</v>
      </c>
      <c r="D20" s="116">
        <v>26.5</v>
      </c>
      <c r="E20" s="116">
        <v>26.5</v>
      </c>
      <c r="F20" s="116">
        <v>298.35000000000002</v>
      </c>
      <c r="G20">
        <v>363956</v>
      </c>
      <c r="H20" s="116"/>
      <c r="I20" s="116"/>
      <c r="L20" s="170">
        <v>44131</v>
      </c>
      <c r="M20" s="116">
        <v>29.85</v>
      </c>
      <c r="N20" s="116">
        <v>29.85</v>
      </c>
      <c r="O20" s="116">
        <v>26.7</v>
      </c>
      <c r="P20" s="116">
        <v>26.7</v>
      </c>
      <c r="Q20" s="116">
        <v>298.5</v>
      </c>
      <c r="R20">
        <v>4710027</v>
      </c>
    </row>
    <row r="21" spans="1:18" x14ac:dyDescent="0.25">
      <c r="A21" s="170">
        <v>44132</v>
      </c>
      <c r="B21" s="116">
        <v>33.564999999999998</v>
      </c>
      <c r="C21" s="116">
        <v>31.605</v>
      </c>
      <c r="D21" s="116">
        <v>27.925000000000001</v>
      </c>
      <c r="E21" s="116">
        <v>30.52</v>
      </c>
      <c r="F21" s="116">
        <v>316.05</v>
      </c>
      <c r="G21">
        <v>430898</v>
      </c>
      <c r="H21" s="116"/>
      <c r="I21" s="116"/>
      <c r="L21" s="170">
        <v>44132</v>
      </c>
      <c r="M21" s="116">
        <v>31.585000000000001</v>
      </c>
      <c r="N21" s="116">
        <v>33.590000000000003</v>
      </c>
      <c r="O21" s="116">
        <v>27.885000000000002</v>
      </c>
      <c r="P21" s="116">
        <v>30.59</v>
      </c>
      <c r="Q21" s="116">
        <v>315.85000000000002</v>
      </c>
      <c r="R21">
        <v>7045997</v>
      </c>
    </row>
    <row r="22" spans="1:18" x14ac:dyDescent="0.25">
      <c r="A22" s="170">
        <v>44133</v>
      </c>
      <c r="B22" s="116">
        <v>32.975000000000001</v>
      </c>
      <c r="C22" s="116">
        <v>32.555</v>
      </c>
      <c r="D22" s="116">
        <v>29.7</v>
      </c>
      <c r="E22" s="116">
        <v>29.7</v>
      </c>
      <c r="F22" s="116">
        <v>325.55</v>
      </c>
      <c r="G22">
        <v>209264</v>
      </c>
      <c r="H22" s="116"/>
      <c r="I22" s="116"/>
      <c r="L22" s="170">
        <v>44133</v>
      </c>
      <c r="M22" s="116">
        <v>32.575000000000003</v>
      </c>
      <c r="N22" s="116">
        <v>32.994999999999997</v>
      </c>
      <c r="O22" s="116">
        <v>29.695</v>
      </c>
      <c r="P22" s="116">
        <v>30</v>
      </c>
      <c r="Q22" s="116">
        <v>325.75</v>
      </c>
      <c r="R22">
        <v>1977364</v>
      </c>
    </row>
    <row r="23" spans="1:18" x14ac:dyDescent="0.25">
      <c r="A23" s="170">
        <v>44134</v>
      </c>
      <c r="B23" s="116">
        <v>37.93</v>
      </c>
      <c r="C23" s="116">
        <v>35.244999999999997</v>
      </c>
      <c r="D23" s="116">
        <v>32.729999999999997</v>
      </c>
      <c r="E23" s="116">
        <v>32.83</v>
      </c>
      <c r="F23" s="116">
        <v>352.45</v>
      </c>
      <c r="G23">
        <v>304337</v>
      </c>
      <c r="H23" s="116"/>
      <c r="I23" s="116"/>
      <c r="L23" s="170">
        <v>44134</v>
      </c>
      <c r="M23" s="116">
        <v>35.335000000000001</v>
      </c>
      <c r="N23" s="116">
        <v>37.9</v>
      </c>
      <c r="O23" s="116">
        <v>32.700000000000003</v>
      </c>
      <c r="P23" s="116">
        <v>32.795000000000002</v>
      </c>
      <c r="Q23" s="116">
        <v>353.35</v>
      </c>
      <c r="R23">
        <v>4462994</v>
      </c>
    </row>
    <row r="24" spans="1:18" x14ac:dyDescent="0.25">
      <c r="A24" s="170">
        <v>44137</v>
      </c>
      <c r="B24" s="116">
        <v>35.36</v>
      </c>
      <c r="C24" s="116">
        <v>31.785</v>
      </c>
      <c r="D24" s="116">
        <v>31.725000000000001</v>
      </c>
      <c r="E24" s="116">
        <v>34.61</v>
      </c>
      <c r="F24" s="116">
        <v>317.85000000000002</v>
      </c>
      <c r="G24">
        <v>68161</v>
      </c>
      <c r="H24" s="116"/>
      <c r="I24" s="116"/>
      <c r="L24" s="170">
        <v>44137</v>
      </c>
      <c r="M24" s="116">
        <v>31.59</v>
      </c>
      <c r="N24" s="116">
        <v>35.4</v>
      </c>
      <c r="O24" s="116">
        <v>31.43</v>
      </c>
      <c r="P24" s="116">
        <v>35.365000000000002</v>
      </c>
      <c r="Q24" s="116">
        <v>315.89999999999998</v>
      </c>
      <c r="R24">
        <v>933339</v>
      </c>
    </row>
    <row r="25" spans="1:18" x14ac:dyDescent="0.25">
      <c r="A25" s="170">
        <v>44138</v>
      </c>
      <c r="B25" s="116">
        <v>32.82</v>
      </c>
      <c r="C25" s="116">
        <v>29.93</v>
      </c>
      <c r="D25" s="116">
        <v>29.1</v>
      </c>
      <c r="E25" s="116">
        <v>31.49</v>
      </c>
      <c r="F25" s="116">
        <v>299.3</v>
      </c>
      <c r="G25">
        <v>82358</v>
      </c>
      <c r="H25" s="116"/>
      <c r="I25" s="116"/>
      <c r="L25" s="170">
        <v>44138</v>
      </c>
      <c r="M25" s="116">
        <v>29.89</v>
      </c>
      <c r="N25" s="116">
        <v>32.89</v>
      </c>
      <c r="O25" s="116">
        <v>29.65</v>
      </c>
      <c r="P25" s="116">
        <v>31.25</v>
      </c>
      <c r="Q25" s="116">
        <v>298.89999999999998</v>
      </c>
      <c r="R25">
        <v>848752</v>
      </c>
    </row>
    <row r="26" spans="1:18" x14ac:dyDescent="0.25">
      <c r="A26" s="170">
        <v>44139</v>
      </c>
      <c r="B26" s="116">
        <v>32.299999999999997</v>
      </c>
      <c r="C26" s="116">
        <v>30.95</v>
      </c>
      <c r="D26" s="116">
        <v>29.36</v>
      </c>
      <c r="E26" s="116">
        <v>29.995000000000001</v>
      </c>
      <c r="F26" s="116">
        <v>309.5</v>
      </c>
      <c r="G26">
        <v>71978</v>
      </c>
      <c r="H26" s="116"/>
      <c r="I26" s="116"/>
      <c r="L26" s="170">
        <v>44139</v>
      </c>
      <c r="M26" s="116">
        <v>30.97</v>
      </c>
      <c r="N26" s="116">
        <v>32.28</v>
      </c>
      <c r="O26" s="116">
        <v>29.065000000000001</v>
      </c>
      <c r="P26" s="116">
        <v>29.905000000000001</v>
      </c>
      <c r="Q26" s="116">
        <v>309.7</v>
      </c>
      <c r="R26">
        <v>768906</v>
      </c>
    </row>
    <row r="27" spans="1:18" x14ac:dyDescent="0.25">
      <c r="A27" s="170">
        <v>44140</v>
      </c>
      <c r="B27" s="116">
        <v>32.075000000000003</v>
      </c>
      <c r="C27" s="116">
        <v>31.105</v>
      </c>
      <c r="D27" s="116">
        <v>30.504999999999999</v>
      </c>
      <c r="E27" s="116">
        <v>31.5</v>
      </c>
      <c r="F27" s="116">
        <v>311.05</v>
      </c>
      <c r="G27">
        <v>26616</v>
      </c>
      <c r="H27" s="116"/>
      <c r="I27" s="116"/>
      <c r="L27" s="170">
        <v>44140</v>
      </c>
      <c r="M27" s="116">
        <v>31.12</v>
      </c>
      <c r="N27" s="116">
        <v>32</v>
      </c>
      <c r="O27" s="116">
        <v>30.48</v>
      </c>
      <c r="P27" s="116">
        <v>31.52</v>
      </c>
      <c r="Q27" s="116">
        <v>311.2</v>
      </c>
      <c r="R27">
        <v>288705</v>
      </c>
    </row>
    <row r="28" spans="1:18" x14ac:dyDescent="0.25">
      <c r="A28" s="170">
        <v>44141</v>
      </c>
      <c r="B28" s="116">
        <v>31.76</v>
      </c>
      <c r="C28" s="116">
        <v>31.18</v>
      </c>
      <c r="D28" s="116">
        <v>30.885000000000002</v>
      </c>
      <c r="E28" s="116">
        <v>31.29</v>
      </c>
      <c r="F28" s="116">
        <v>311.8</v>
      </c>
      <c r="G28">
        <v>61025</v>
      </c>
      <c r="H28" s="116"/>
      <c r="I28" s="116"/>
      <c r="L28" s="170">
        <v>44141</v>
      </c>
      <c r="M28" s="116">
        <v>31.155000000000001</v>
      </c>
      <c r="N28" s="116">
        <v>31.745000000000001</v>
      </c>
      <c r="O28" s="116">
        <v>30.905000000000001</v>
      </c>
      <c r="P28" s="116">
        <v>31.19</v>
      </c>
      <c r="Q28" s="116">
        <v>311.55</v>
      </c>
      <c r="R28">
        <v>359419</v>
      </c>
    </row>
    <row r="29" spans="1:18" x14ac:dyDescent="0.25">
      <c r="A29" s="170">
        <v>44144</v>
      </c>
      <c r="B29" s="116">
        <v>34.295000000000002</v>
      </c>
      <c r="C29" s="116">
        <v>33.39</v>
      </c>
      <c r="D29" s="116">
        <v>30.805</v>
      </c>
      <c r="E29" s="116">
        <v>30.805</v>
      </c>
      <c r="F29" s="116">
        <v>333.9</v>
      </c>
      <c r="G29">
        <v>230687</v>
      </c>
      <c r="H29" s="116"/>
      <c r="I29" s="116"/>
      <c r="L29" s="170">
        <v>44144</v>
      </c>
      <c r="M29" s="116">
        <v>33.450000000000003</v>
      </c>
      <c r="N29" s="116">
        <v>34.270000000000003</v>
      </c>
      <c r="O29" s="116">
        <v>30.914999999999999</v>
      </c>
      <c r="P29" s="116">
        <v>31.204999999999998</v>
      </c>
      <c r="Q29" s="116">
        <v>334.5</v>
      </c>
      <c r="R29">
        <v>2120253</v>
      </c>
    </row>
    <row r="30" spans="1:18" x14ac:dyDescent="0.25">
      <c r="A30" s="170">
        <v>44145</v>
      </c>
      <c r="B30" s="116">
        <v>34.54</v>
      </c>
      <c r="C30" s="116">
        <v>32.79</v>
      </c>
      <c r="D30" s="116">
        <v>32.365000000000002</v>
      </c>
      <c r="E30" s="116">
        <v>33.94</v>
      </c>
      <c r="F30" s="116">
        <v>327.9</v>
      </c>
      <c r="G30">
        <v>60943</v>
      </c>
      <c r="H30" s="116"/>
      <c r="I30" s="116"/>
      <c r="L30" s="170">
        <v>44145</v>
      </c>
      <c r="M30" s="116">
        <v>32.784999999999997</v>
      </c>
      <c r="N30" s="116">
        <v>34.590000000000003</v>
      </c>
      <c r="O30" s="116">
        <v>32.299999999999997</v>
      </c>
      <c r="P30" s="116">
        <v>33.99</v>
      </c>
      <c r="Q30" s="116">
        <v>327.85</v>
      </c>
      <c r="R30">
        <v>721991</v>
      </c>
    </row>
    <row r="31" spans="1:18" x14ac:dyDescent="0.25">
      <c r="A31" s="170">
        <v>44146</v>
      </c>
      <c r="B31" s="116">
        <v>33.880000000000003</v>
      </c>
      <c r="C31" s="116">
        <v>33.200000000000003</v>
      </c>
      <c r="D31" s="116">
        <v>32.344999999999999</v>
      </c>
      <c r="E31" s="116">
        <v>32.799999999999997</v>
      </c>
      <c r="F31" s="116">
        <v>332</v>
      </c>
      <c r="G31">
        <v>62052</v>
      </c>
      <c r="H31" s="116"/>
      <c r="I31" s="116"/>
      <c r="L31" s="170">
        <v>44146</v>
      </c>
      <c r="M31" s="116">
        <v>33.204999999999998</v>
      </c>
      <c r="N31" s="116">
        <v>33.880000000000003</v>
      </c>
      <c r="O31" s="116">
        <v>32.335000000000001</v>
      </c>
      <c r="P31" s="116">
        <v>32.770000000000003</v>
      </c>
      <c r="Q31" s="116">
        <v>332.05</v>
      </c>
      <c r="R31">
        <v>505739</v>
      </c>
    </row>
    <row r="32" spans="1:18" x14ac:dyDescent="0.25">
      <c r="A32" s="170">
        <v>44147</v>
      </c>
      <c r="B32" s="116">
        <v>34.335000000000001</v>
      </c>
      <c r="C32" s="116">
        <v>33.725000000000001</v>
      </c>
      <c r="D32" s="116">
        <v>32.895000000000003</v>
      </c>
      <c r="E32" s="116">
        <v>33.204999999999998</v>
      </c>
      <c r="F32" s="116">
        <v>337.25</v>
      </c>
      <c r="G32">
        <v>32489</v>
      </c>
      <c r="H32" s="116"/>
      <c r="I32" s="116"/>
      <c r="L32" s="170">
        <v>44147</v>
      </c>
      <c r="M32" s="116">
        <v>33.805</v>
      </c>
      <c r="N32" s="116">
        <v>34.35</v>
      </c>
      <c r="O32" s="116">
        <v>32.659999999999997</v>
      </c>
      <c r="P32" s="116">
        <v>33.299999999999997</v>
      </c>
      <c r="Q32" s="116">
        <v>338.05</v>
      </c>
      <c r="R32">
        <v>517305</v>
      </c>
    </row>
    <row r="33" spans="1:18" x14ac:dyDescent="0.25">
      <c r="A33" s="170">
        <v>44148</v>
      </c>
      <c r="B33" s="116">
        <v>36.4</v>
      </c>
      <c r="C33" s="116">
        <v>35.215000000000003</v>
      </c>
      <c r="D33" s="116">
        <v>33.78</v>
      </c>
      <c r="E33" s="116">
        <v>33.795000000000002</v>
      </c>
      <c r="F33" s="116">
        <v>352.15</v>
      </c>
      <c r="G33">
        <v>75092</v>
      </c>
      <c r="H33" s="116"/>
      <c r="I33" s="116"/>
      <c r="L33" s="170">
        <v>44148</v>
      </c>
      <c r="M33" s="116">
        <v>35.22</v>
      </c>
      <c r="N33" s="116">
        <v>36.409999999999997</v>
      </c>
      <c r="O33" s="116">
        <v>33.524999999999999</v>
      </c>
      <c r="P33" s="116">
        <v>33.524999999999999</v>
      </c>
      <c r="Q33" s="116">
        <v>352.2</v>
      </c>
      <c r="R33">
        <v>915610</v>
      </c>
    </row>
    <row r="34" spans="1:18" x14ac:dyDescent="0.25">
      <c r="A34" s="170">
        <v>44149</v>
      </c>
      <c r="B34" s="116">
        <v>35.520000000000003</v>
      </c>
      <c r="C34" s="116">
        <v>35.164999999999999</v>
      </c>
      <c r="D34" s="116">
        <v>34.700000000000003</v>
      </c>
      <c r="E34" s="116">
        <v>35</v>
      </c>
      <c r="F34" s="116">
        <v>351.65</v>
      </c>
      <c r="G34">
        <v>16311</v>
      </c>
      <c r="H34" s="116"/>
      <c r="I34" s="116"/>
      <c r="L34" s="170">
        <v>44149</v>
      </c>
      <c r="M34" s="116">
        <v>35.18</v>
      </c>
      <c r="N34" s="116">
        <v>35.5</v>
      </c>
      <c r="O34" s="116">
        <v>34.659999999999997</v>
      </c>
      <c r="P34" s="116">
        <v>35.1</v>
      </c>
      <c r="Q34" s="116">
        <v>351.8</v>
      </c>
      <c r="R34">
        <v>149447</v>
      </c>
    </row>
    <row r="35" spans="1:18" x14ac:dyDescent="0.25">
      <c r="A35" s="170">
        <v>44152</v>
      </c>
      <c r="B35" s="116">
        <v>35.625</v>
      </c>
      <c r="C35" s="116">
        <v>34.96</v>
      </c>
      <c r="D35" s="116">
        <v>34.534999999999997</v>
      </c>
      <c r="E35" s="116">
        <v>35.03</v>
      </c>
      <c r="F35" s="116">
        <v>349.6</v>
      </c>
      <c r="G35">
        <v>45020</v>
      </c>
      <c r="H35" s="116"/>
      <c r="I35" s="116"/>
      <c r="L35" s="170">
        <v>44152</v>
      </c>
      <c r="M35" s="116">
        <v>34.950000000000003</v>
      </c>
      <c r="N35" s="116">
        <v>35.65</v>
      </c>
      <c r="O35" s="116">
        <v>34.5</v>
      </c>
      <c r="P35" s="116">
        <v>34.805</v>
      </c>
      <c r="Q35" s="116">
        <v>349.5</v>
      </c>
      <c r="R35">
        <v>632194</v>
      </c>
    </row>
    <row r="36" spans="1:18" x14ac:dyDescent="0.25">
      <c r="A36" s="170">
        <v>44153</v>
      </c>
      <c r="B36" s="116">
        <v>35.44</v>
      </c>
      <c r="C36" s="116">
        <v>35.07</v>
      </c>
      <c r="D36" s="116">
        <v>34.799999999999997</v>
      </c>
      <c r="E36" s="116">
        <v>34.799999999999997</v>
      </c>
      <c r="F36" s="116">
        <v>350.7</v>
      </c>
      <c r="G36">
        <v>31974</v>
      </c>
      <c r="H36" s="116"/>
      <c r="I36" s="116"/>
      <c r="L36" s="170">
        <v>44153</v>
      </c>
      <c r="M36" s="116">
        <v>35.119999999999997</v>
      </c>
      <c r="N36" s="116">
        <v>35.494999999999997</v>
      </c>
      <c r="O36" s="116">
        <v>34.865000000000002</v>
      </c>
      <c r="P36" s="116">
        <v>35.045000000000002</v>
      </c>
      <c r="Q36" s="116">
        <v>351.2</v>
      </c>
      <c r="R36">
        <v>204970</v>
      </c>
    </row>
    <row r="37" spans="1:18" x14ac:dyDescent="0.25">
      <c r="A37" s="170">
        <v>44154</v>
      </c>
      <c r="B37" s="116">
        <v>37</v>
      </c>
      <c r="C37" s="116">
        <v>35.880000000000003</v>
      </c>
      <c r="D37" s="116">
        <v>34.505000000000003</v>
      </c>
      <c r="E37" s="116">
        <v>34.505000000000003</v>
      </c>
      <c r="F37" s="116">
        <v>358.8</v>
      </c>
      <c r="G37">
        <v>52586</v>
      </c>
      <c r="H37" s="116"/>
      <c r="I37" s="116"/>
      <c r="L37" s="170">
        <v>44154</v>
      </c>
      <c r="M37" s="116">
        <v>35.884999999999998</v>
      </c>
      <c r="N37" s="116">
        <v>36.935000000000002</v>
      </c>
      <c r="O37" s="116">
        <v>34.685000000000002</v>
      </c>
      <c r="P37" s="116">
        <v>34.685000000000002</v>
      </c>
      <c r="Q37" s="116">
        <v>358.85</v>
      </c>
      <c r="R37">
        <v>547130</v>
      </c>
    </row>
    <row r="38" spans="1:18" x14ac:dyDescent="0.25">
      <c r="A38" s="170">
        <v>44155</v>
      </c>
      <c r="B38" s="116">
        <v>36.380000000000003</v>
      </c>
      <c r="C38" s="116">
        <v>35.895000000000003</v>
      </c>
      <c r="D38" s="116">
        <v>35.450000000000003</v>
      </c>
      <c r="E38" s="116">
        <v>35.880000000000003</v>
      </c>
      <c r="F38" s="116">
        <v>358.95</v>
      </c>
      <c r="G38">
        <v>30492</v>
      </c>
      <c r="H38" s="116"/>
      <c r="I38" s="116"/>
      <c r="L38" s="170">
        <v>44155</v>
      </c>
      <c r="M38" s="116">
        <v>35.979999999999997</v>
      </c>
      <c r="N38" s="116">
        <v>36.4</v>
      </c>
      <c r="O38" s="116">
        <v>35.365000000000002</v>
      </c>
      <c r="P38" s="116">
        <v>35.75</v>
      </c>
      <c r="Q38" s="116">
        <v>359.8</v>
      </c>
      <c r="R38">
        <v>259500</v>
      </c>
    </row>
    <row r="39" spans="1:18" x14ac:dyDescent="0.25">
      <c r="A39" s="170">
        <v>44158</v>
      </c>
      <c r="B39" s="116">
        <v>36.534999999999997</v>
      </c>
      <c r="C39" s="116">
        <v>35.594999999999999</v>
      </c>
      <c r="D39" s="116">
        <v>35.545000000000002</v>
      </c>
      <c r="E39" s="116">
        <v>36.534999999999997</v>
      </c>
      <c r="F39" s="116">
        <v>355.95</v>
      </c>
      <c r="G39">
        <v>10864</v>
      </c>
      <c r="H39" s="116"/>
      <c r="I39" s="116"/>
      <c r="L39" s="170">
        <v>44158</v>
      </c>
      <c r="M39" s="116">
        <v>35.630000000000003</v>
      </c>
      <c r="N39" s="116">
        <v>36.39</v>
      </c>
      <c r="O39" s="116">
        <v>35.575000000000003</v>
      </c>
      <c r="P39" s="116">
        <v>36</v>
      </c>
      <c r="Q39" s="116">
        <v>356.3</v>
      </c>
      <c r="R39">
        <v>178666</v>
      </c>
    </row>
    <row r="40" spans="1:18" x14ac:dyDescent="0.25">
      <c r="A40" s="170">
        <v>44159</v>
      </c>
      <c r="B40" s="116">
        <v>35.965000000000003</v>
      </c>
      <c r="C40" s="116">
        <v>35.475000000000001</v>
      </c>
      <c r="D40" s="116">
        <v>35.354999999999997</v>
      </c>
      <c r="E40" s="116">
        <v>35.795000000000002</v>
      </c>
      <c r="F40" s="116">
        <v>354.75</v>
      </c>
      <c r="G40">
        <v>12860</v>
      </c>
      <c r="H40" s="116"/>
      <c r="I40" s="116"/>
      <c r="L40" s="170">
        <v>44159</v>
      </c>
      <c r="M40" s="116">
        <v>35.484999999999999</v>
      </c>
      <c r="N40" s="116">
        <v>36</v>
      </c>
      <c r="O40" s="116">
        <v>35.35</v>
      </c>
      <c r="P40" s="116">
        <v>35.630000000000003</v>
      </c>
      <c r="Q40" s="116">
        <v>354.85</v>
      </c>
      <c r="R40">
        <v>140872</v>
      </c>
    </row>
    <row r="41" spans="1:18" x14ac:dyDescent="0.25">
      <c r="A41" s="170">
        <v>44160</v>
      </c>
      <c r="B41" s="116">
        <v>36.380000000000003</v>
      </c>
      <c r="C41" s="116">
        <v>35.229999999999997</v>
      </c>
      <c r="D41" s="116">
        <v>35.159999999999997</v>
      </c>
      <c r="E41" s="116">
        <v>35.799999999999997</v>
      </c>
      <c r="F41" s="116">
        <v>352.3</v>
      </c>
      <c r="G41">
        <v>22797</v>
      </c>
      <c r="H41" s="116"/>
      <c r="I41" s="116"/>
      <c r="L41" s="170">
        <v>44160</v>
      </c>
      <c r="M41" s="116">
        <v>35.25</v>
      </c>
      <c r="N41" s="116">
        <v>36.375</v>
      </c>
      <c r="O41" s="116">
        <v>35.174999999999997</v>
      </c>
      <c r="P41" s="116">
        <v>35.484999999999999</v>
      </c>
      <c r="Q41" s="116">
        <v>352.5</v>
      </c>
      <c r="R41">
        <v>273223</v>
      </c>
    </row>
    <row r="42" spans="1:18" x14ac:dyDescent="0.25">
      <c r="A42" s="170">
        <v>44161</v>
      </c>
      <c r="B42" s="116">
        <v>35.799999999999997</v>
      </c>
      <c r="C42" s="116">
        <v>35.17</v>
      </c>
      <c r="D42" s="116">
        <v>35.125</v>
      </c>
      <c r="E42" s="116">
        <v>35.659999999999997</v>
      </c>
      <c r="F42" s="116">
        <v>351.7</v>
      </c>
      <c r="G42">
        <v>15582</v>
      </c>
      <c r="H42" s="116"/>
      <c r="I42" s="116"/>
      <c r="L42" s="170">
        <v>44161</v>
      </c>
      <c r="M42" s="116">
        <v>35.19</v>
      </c>
      <c r="N42" s="116">
        <v>35.840000000000003</v>
      </c>
      <c r="O42" s="116">
        <v>35.15</v>
      </c>
      <c r="P42" s="116">
        <v>35.594999999999999</v>
      </c>
      <c r="Q42" s="116">
        <v>351.9</v>
      </c>
      <c r="R42">
        <v>134142</v>
      </c>
    </row>
    <row r="43" spans="1:18" x14ac:dyDescent="0.25">
      <c r="A43" s="170">
        <v>44162</v>
      </c>
      <c r="B43" s="116">
        <v>36</v>
      </c>
      <c r="C43" s="116">
        <v>35.725000000000001</v>
      </c>
      <c r="D43" s="116">
        <v>35.17</v>
      </c>
      <c r="E43" s="116">
        <v>35.28</v>
      </c>
      <c r="F43" s="116">
        <v>357.25</v>
      </c>
      <c r="G43">
        <v>23333</v>
      </c>
      <c r="H43" s="116"/>
      <c r="I43" s="116"/>
      <c r="L43" s="170">
        <v>44162</v>
      </c>
      <c r="M43" s="116">
        <v>35.78</v>
      </c>
      <c r="N43" s="116">
        <v>36.03</v>
      </c>
      <c r="O43" s="116">
        <v>35.15</v>
      </c>
      <c r="P43" s="116">
        <v>35.229999999999997</v>
      </c>
      <c r="Q43" s="116">
        <v>357.8</v>
      </c>
      <c r="R43">
        <v>249363</v>
      </c>
    </row>
    <row r="44" spans="1:18" x14ac:dyDescent="0.25">
      <c r="A44" s="170">
        <v>44166</v>
      </c>
      <c r="B44" s="116">
        <v>35.6</v>
      </c>
      <c r="C44" s="116">
        <v>35.045000000000002</v>
      </c>
      <c r="D44" s="116">
        <v>35</v>
      </c>
      <c r="E44" s="116">
        <v>35.6</v>
      </c>
      <c r="F44" s="116">
        <v>350.45</v>
      </c>
      <c r="G44">
        <v>10930</v>
      </c>
      <c r="H44" s="116"/>
      <c r="I44" s="116"/>
      <c r="L44" s="170">
        <v>44166</v>
      </c>
      <c r="M44" s="116">
        <v>35.055</v>
      </c>
      <c r="N44" s="116">
        <v>35.69</v>
      </c>
      <c r="O44" s="116">
        <v>35.024999999999999</v>
      </c>
      <c r="P44" s="116">
        <v>35.31</v>
      </c>
      <c r="Q44" s="116">
        <v>350.55</v>
      </c>
      <c r="R44">
        <v>153972</v>
      </c>
    </row>
    <row r="45" spans="1:18" x14ac:dyDescent="0.25">
      <c r="A45" s="170">
        <v>44167</v>
      </c>
      <c r="B45" s="116">
        <v>35.29</v>
      </c>
      <c r="C45" s="116">
        <v>34.99</v>
      </c>
      <c r="D45" s="116">
        <v>34.854999999999997</v>
      </c>
      <c r="E45" s="116">
        <v>35</v>
      </c>
      <c r="F45" s="116">
        <v>349.9</v>
      </c>
      <c r="G45">
        <v>10882</v>
      </c>
      <c r="H45" s="116"/>
      <c r="I45" s="116"/>
      <c r="L45" s="170">
        <v>44167</v>
      </c>
      <c r="M45" s="116">
        <v>35.024999999999999</v>
      </c>
      <c r="N45" s="116">
        <v>35.395000000000003</v>
      </c>
      <c r="O45" s="116">
        <v>34.875</v>
      </c>
      <c r="P45" s="116">
        <v>35.145000000000003</v>
      </c>
      <c r="Q45" s="116">
        <v>350.25</v>
      </c>
      <c r="R45">
        <v>119345</v>
      </c>
    </row>
    <row r="46" spans="1:18" x14ac:dyDescent="0.25">
      <c r="A46" s="170">
        <v>44168</v>
      </c>
      <c r="B46" s="116">
        <v>35.5</v>
      </c>
      <c r="C46" s="116">
        <v>34.92</v>
      </c>
      <c r="D46" s="116">
        <v>34.725000000000001</v>
      </c>
      <c r="E46" s="116">
        <v>35.5</v>
      </c>
      <c r="F46" s="116">
        <v>349.2</v>
      </c>
      <c r="G46">
        <v>7876</v>
      </c>
      <c r="H46" s="116"/>
      <c r="I46" s="116"/>
      <c r="L46" s="170">
        <v>44168</v>
      </c>
      <c r="M46" s="116">
        <v>34.89</v>
      </c>
      <c r="N46" s="116">
        <v>35.31</v>
      </c>
      <c r="O46" s="116">
        <v>34.75</v>
      </c>
      <c r="P46" s="116">
        <v>35.164999999999999</v>
      </c>
      <c r="Q46" s="116">
        <v>348.9</v>
      </c>
      <c r="R46">
        <v>119037</v>
      </c>
    </row>
    <row r="47" spans="1:18" x14ac:dyDescent="0.25">
      <c r="A47" s="170">
        <v>44169</v>
      </c>
      <c r="B47" s="116">
        <v>35.17</v>
      </c>
      <c r="C47" s="116">
        <v>34.744999999999997</v>
      </c>
      <c r="D47" s="116">
        <v>34.695</v>
      </c>
      <c r="E47" s="116">
        <v>35.045000000000002</v>
      </c>
      <c r="F47" s="116">
        <v>347.45</v>
      </c>
      <c r="G47">
        <v>17249</v>
      </c>
      <c r="H47" s="116"/>
      <c r="I47" s="116"/>
      <c r="L47" s="170">
        <v>44169</v>
      </c>
      <c r="M47" s="116">
        <v>34.784999999999997</v>
      </c>
      <c r="N47" s="116">
        <v>35.200000000000003</v>
      </c>
      <c r="O47" s="116">
        <v>34.715000000000003</v>
      </c>
      <c r="P47" s="116">
        <v>34.909999999999997</v>
      </c>
      <c r="Q47" s="116">
        <v>347.85</v>
      </c>
      <c r="R47">
        <v>126982</v>
      </c>
    </row>
    <row r="48" spans="1:18" x14ac:dyDescent="0.25">
      <c r="A48" s="170">
        <v>44172</v>
      </c>
      <c r="B48" s="116">
        <v>40.725000000000001</v>
      </c>
      <c r="C48" s="116">
        <v>38.125</v>
      </c>
      <c r="D48" s="116">
        <v>34.805</v>
      </c>
      <c r="E48" s="116">
        <v>34.805</v>
      </c>
      <c r="F48" s="116">
        <v>381.25</v>
      </c>
      <c r="G48">
        <v>90579</v>
      </c>
      <c r="H48" s="116"/>
      <c r="I48" s="116"/>
      <c r="L48" s="170">
        <v>44172</v>
      </c>
      <c r="M48" s="116">
        <v>38.085000000000001</v>
      </c>
      <c r="N48" s="116">
        <v>40.799999999999997</v>
      </c>
      <c r="O48" s="116">
        <v>35.005000000000003</v>
      </c>
      <c r="P48" s="116">
        <v>35.200000000000003</v>
      </c>
      <c r="Q48" s="116">
        <v>380.85</v>
      </c>
      <c r="R48">
        <v>1132733</v>
      </c>
    </row>
    <row r="49" spans="1:18" x14ac:dyDescent="0.25">
      <c r="A49" s="170">
        <v>44173</v>
      </c>
      <c r="B49" s="116">
        <v>38.729999999999997</v>
      </c>
      <c r="C49" s="116">
        <v>36.18</v>
      </c>
      <c r="D49" s="116">
        <v>36.03</v>
      </c>
      <c r="E49" s="116">
        <v>38.299999999999997</v>
      </c>
      <c r="F49" s="116">
        <v>361.8</v>
      </c>
      <c r="G49">
        <v>36421</v>
      </c>
      <c r="H49" s="116"/>
      <c r="I49" s="116"/>
      <c r="L49" s="170">
        <v>44173</v>
      </c>
      <c r="M49" s="116">
        <v>36.155000000000001</v>
      </c>
      <c r="N49" s="116">
        <v>38.54</v>
      </c>
      <c r="O49" s="116">
        <v>36</v>
      </c>
      <c r="P49" s="116">
        <v>38.44</v>
      </c>
      <c r="Q49" s="116">
        <v>361.55</v>
      </c>
      <c r="R49">
        <v>378460</v>
      </c>
    </row>
    <row r="50" spans="1:18" x14ac:dyDescent="0.25">
      <c r="A50" s="170">
        <v>44174</v>
      </c>
      <c r="B50" s="116">
        <v>37.71</v>
      </c>
      <c r="C50" s="116">
        <v>35.89</v>
      </c>
      <c r="D50" s="116">
        <v>35.734999999999999</v>
      </c>
      <c r="E50" s="116">
        <v>36.28</v>
      </c>
      <c r="F50" s="116">
        <v>358.9</v>
      </c>
      <c r="G50">
        <v>45377</v>
      </c>
      <c r="H50" s="116"/>
      <c r="I50" s="116"/>
      <c r="L50" s="170">
        <v>44174</v>
      </c>
      <c r="M50" s="116">
        <v>35.86</v>
      </c>
      <c r="N50" s="116">
        <v>37.799999999999997</v>
      </c>
      <c r="O50" s="116">
        <v>35.725000000000001</v>
      </c>
      <c r="P50" s="116">
        <v>36.58</v>
      </c>
      <c r="Q50" s="116">
        <v>358.6</v>
      </c>
      <c r="R50">
        <v>478312</v>
      </c>
    </row>
    <row r="51" spans="1:18" x14ac:dyDescent="0.25">
      <c r="A51" s="170">
        <v>44175</v>
      </c>
      <c r="B51" s="116">
        <v>36.880000000000003</v>
      </c>
      <c r="C51" s="116">
        <v>36.085000000000001</v>
      </c>
      <c r="D51" s="116">
        <v>35.365000000000002</v>
      </c>
      <c r="E51" s="116">
        <v>35.700000000000003</v>
      </c>
      <c r="F51" s="116">
        <v>360.85</v>
      </c>
      <c r="G51">
        <v>40280</v>
      </c>
      <c r="H51" s="116"/>
      <c r="I51" s="116"/>
      <c r="L51" s="170">
        <v>44175</v>
      </c>
      <c r="M51" s="116">
        <v>36.07</v>
      </c>
      <c r="N51" s="116">
        <v>36.875</v>
      </c>
      <c r="O51" s="116">
        <v>35.375</v>
      </c>
      <c r="P51" s="116">
        <v>36.03</v>
      </c>
      <c r="Q51" s="116">
        <v>360.7</v>
      </c>
      <c r="R51">
        <v>291865</v>
      </c>
    </row>
    <row r="52" spans="1:18" x14ac:dyDescent="0.25">
      <c r="A52" s="170">
        <v>44176</v>
      </c>
      <c r="B52" s="116">
        <v>36.729999999999997</v>
      </c>
      <c r="C52" s="116">
        <v>35.57</v>
      </c>
      <c r="D52" s="116">
        <v>35.26</v>
      </c>
      <c r="E52" s="116">
        <v>36.1</v>
      </c>
      <c r="F52" s="116">
        <v>355.7</v>
      </c>
      <c r="G52">
        <v>24560</v>
      </c>
      <c r="H52" s="116"/>
      <c r="I52" s="116"/>
      <c r="L52" s="170">
        <v>44176</v>
      </c>
      <c r="M52" s="116">
        <v>35.494999999999997</v>
      </c>
      <c r="N52" s="116">
        <v>36.72</v>
      </c>
      <c r="O52" s="116">
        <v>35.42</v>
      </c>
      <c r="P52" s="116">
        <v>36.299999999999997</v>
      </c>
      <c r="Q52" s="116">
        <v>354.95</v>
      </c>
      <c r="R52">
        <v>217875</v>
      </c>
    </row>
    <row r="53" spans="1:18" x14ac:dyDescent="0.25">
      <c r="A53" s="170">
        <v>44179</v>
      </c>
      <c r="B53" s="116">
        <v>36.295000000000002</v>
      </c>
      <c r="C53" s="116">
        <v>35.630000000000003</v>
      </c>
      <c r="D53" s="116">
        <v>35.42</v>
      </c>
      <c r="E53" s="116">
        <v>36.005000000000003</v>
      </c>
      <c r="F53" s="116">
        <v>356.3</v>
      </c>
      <c r="G53">
        <v>18705</v>
      </c>
      <c r="H53" s="116"/>
      <c r="I53" s="116"/>
      <c r="L53" s="170">
        <v>44179</v>
      </c>
      <c r="M53" s="116">
        <v>35.604999999999997</v>
      </c>
      <c r="N53" s="116">
        <v>36.39</v>
      </c>
      <c r="O53" s="116">
        <v>35.450000000000003</v>
      </c>
      <c r="P53" s="116">
        <v>36.284999999999997</v>
      </c>
      <c r="Q53" s="116">
        <v>356.05</v>
      </c>
      <c r="R53">
        <v>164219</v>
      </c>
    </row>
    <row r="54" spans="1:18" x14ac:dyDescent="0.25">
      <c r="A54" s="170">
        <v>44180</v>
      </c>
      <c r="B54" s="116">
        <v>36.479999999999997</v>
      </c>
      <c r="C54" s="116">
        <v>35.840000000000003</v>
      </c>
      <c r="D54" s="116">
        <v>35.215000000000003</v>
      </c>
      <c r="E54" s="116">
        <v>35.215000000000003</v>
      </c>
      <c r="F54" s="116">
        <v>358.4</v>
      </c>
      <c r="G54">
        <v>28856</v>
      </c>
      <c r="H54" s="116"/>
      <c r="I54" s="116"/>
      <c r="L54" s="170">
        <v>44180</v>
      </c>
      <c r="M54" s="116">
        <v>35.85</v>
      </c>
      <c r="N54" s="116">
        <v>36.484999999999999</v>
      </c>
      <c r="O54" s="116">
        <v>35.31</v>
      </c>
      <c r="P54" s="116">
        <v>35.32</v>
      </c>
      <c r="Q54" s="116">
        <v>358.5</v>
      </c>
      <c r="R54">
        <v>184641</v>
      </c>
    </row>
    <row r="55" spans="1:18" x14ac:dyDescent="0.25">
      <c r="A55" s="170">
        <v>44181</v>
      </c>
      <c r="B55" s="116">
        <v>36.395000000000003</v>
      </c>
      <c r="C55" s="116">
        <v>36.045000000000002</v>
      </c>
      <c r="D55" s="116">
        <v>35.700000000000003</v>
      </c>
      <c r="E55" s="116">
        <v>36.115000000000002</v>
      </c>
      <c r="F55" s="116">
        <v>360.45</v>
      </c>
      <c r="G55">
        <v>6604</v>
      </c>
      <c r="H55" s="116"/>
      <c r="I55" s="116"/>
      <c r="L55" s="170">
        <v>44181</v>
      </c>
      <c r="M55" s="116">
        <v>36.045000000000002</v>
      </c>
      <c r="N55" s="116">
        <v>36.375</v>
      </c>
      <c r="O55" s="116">
        <v>35.700000000000003</v>
      </c>
      <c r="P55" s="116">
        <v>35.9</v>
      </c>
      <c r="Q55" s="116">
        <v>360.45</v>
      </c>
      <c r="R55">
        <v>213563</v>
      </c>
    </row>
    <row r="56" spans="1:18" x14ac:dyDescent="0.25">
      <c r="A56" s="170">
        <v>44182</v>
      </c>
      <c r="B56" s="116">
        <v>36.26</v>
      </c>
      <c r="C56" s="116">
        <v>35.755000000000003</v>
      </c>
      <c r="D56" s="116">
        <v>35.700000000000003</v>
      </c>
      <c r="E56" s="116">
        <v>36.055</v>
      </c>
      <c r="F56" s="116">
        <v>357.55</v>
      </c>
      <c r="G56">
        <v>8136</v>
      </c>
      <c r="H56" s="116"/>
      <c r="I56" s="116"/>
      <c r="L56" s="170">
        <v>44182</v>
      </c>
      <c r="M56" s="116">
        <v>35.765000000000001</v>
      </c>
      <c r="N56" s="116">
        <v>36.299999999999997</v>
      </c>
      <c r="O56" s="116">
        <v>35.700000000000003</v>
      </c>
      <c r="P56" s="116">
        <v>35.700000000000003</v>
      </c>
      <c r="Q56" s="116">
        <v>357.65</v>
      </c>
      <c r="R56">
        <v>75165</v>
      </c>
    </row>
    <row r="57" spans="1:18" x14ac:dyDescent="0.25">
      <c r="A57" s="170">
        <v>44183</v>
      </c>
      <c r="B57" s="116">
        <v>35.805</v>
      </c>
      <c r="C57" s="116">
        <v>34.78</v>
      </c>
      <c r="D57" s="116">
        <v>34.56</v>
      </c>
      <c r="E57" s="116">
        <v>35.700000000000003</v>
      </c>
      <c r="F57" s="116">
        <v>347.8</v>
      </c>
      <c r="G57">
        <v>18226</v>
      </c>
      <c r="H57" s="116"/>
      <c r="I57" s="116"/>
      <c r="L57" s="170">
        <v>44183</v>
      </c>
      <c r="M57" s="116">
        <v>34.799999999999997</v>
      </c>
      <c r="N57" s="116">
        <v>36.19</v>
      </c>
      <c r="O57" s="116">
        <v>34.305</v>
      </c>
      <c r="P57" s="116">
        <v>35.82</v>
      </c>
      <c r="Q57" s="116">
        <v>348</v>
      </c>
      <c r="R57">
        <v>424373</v>
      </c>
    </row>
    <row r="58" spans="1:18" x14ac:dyDescent="0.25">
      <c r="A58" s="170">
        <v>44186</v>
      </c>
      <c r="B58" s="116">
        <v>35.994999999999997</v>
      </c>
      <c r="C58" s="116">
        <v>33.295000000000002</v>
      </c>
      <c r="D58" s="116">
        <v>32.325000000000003</v>
      </c>
      <c r="E58" s="116">
        <v>35.994999999999997</v>
      </c>
      <c r="F58" s="116">
        <v>332.95</v>
      </c>
      <c r="G58">
        <v>29962</v>
      </c>
      <c r="H58" s="116"/>
      <c r="I58" s="116"/>
      <c r="L58" s="170">
        <v>44186</v>
      </c>
      <c r="M58" s="116">
        <v>33.454999999999998</v>
      </c>
      <c r="N58" s="116">
        <v>34.994999999999997</v>
      </c>
      <c r="O58" s="116">
        <v>31.67</v>
      </c>
      <c r="P58" s="116">
        <v>34.799999999999997</v>
      </c>
      <c r="Q58" s="116">
        <v>334.55</v>
      </c>
      <c r="R58">
        <v>498025</v>
      </c>
    </row>
    <row r="59" spans="1:18" x14ac:dyDescent="0.25">
      <c r="A59" s="170">
        <v>44187</v>
      </c>
      <c r="B59" s="116">
        <v>34.094999999999999</v>
      </c>
      <c r="C59" s="116">
        <v>32.585000000000001</v>
      </c>
      <c r="D59" s="116">
        <v>31.59</v>
      </c>
      <c r="E59" s="116">
        <v>33.5</v>
      </c>
      <c r="F59" s="116">
        <v>325.85000000000002</v>
      </c>
      <c r="G59">
        <v>21721</v>
      </c>
      <c r="H59" s="116"/>
      <c r="I59" s="116"/>
      <c r="L59" s="170">
        <v>44187</v>
      </c>
      <c r="M59" s="116">
        <v>32.590000000000003</v>
      </c>
      <c r="N59" s="116">
        <v>34.08</v>
      </c>
      <c r="O59" s="116">
        <v>31.504999999999999</v>
      </c>
      <c r="P59" s="116">
        <v>33.454999999999998</v>
      </c>
      <c r="Q59" s="116">
        <v>325.89999999999998</v>
      </c>
      <c r="R59">
        <v>348717</v>
      </c>
    </row>
    <row r="60" spans="1:18" x14ac:dyDescent="0.25">
      <c r="A60" s="170">
        <v>44188</v>
      </c>
      <c r="B60" s="116">
        <v>34.115000000000002</v>
      </c>
      <c r="C60" s="116">
        <v>33.875</v>
      </c>
      <c r="D60" s="116">
        <v>32.700000000000003</v>
      </c>
      <c r="E60" s="116">
        <v>32.700000000000003</v>
      </c>
      <c r="F60" s="116">
        <v>338.75</v>
      </c>
      <c r="G60">
        <v>10001</v>
      </c>
      <c r="H60" s="116"/>
      <c r="I60" s="116"/>
      <c r="L60" s="170">
        <v>44188</v>
      </c>
      <c r="M60" s="116">
        <v>33.814999999999998</v>
      </c>
      <c r="N60" s="116">
        <v>34.1</v>
      </c>
      <c r="O60" s="116">
        <v>32.6</v>
      </c>
      <c r="P60" s="116">
        <v>32.6</v>
      </c>
      <c r="Q60" s="116">
        <v>338.15</v>
      </c>
      <c r="R60">
        <v>137526</v>
      </c>
    </row>
    <row r="61" spans="1:18" x14ac:dyDescent="0.25">
      <c r="A61" s="170">
        <v>44189</v>
      </c>
      <c r="B61" s="116">
        <v>34.380000000000003</v>
      </c>
      <c r="C61" s="116">
        <v>33.274999999999999</v>
      </c>
      <c r="D61" s="116">
        <v>31.6</v>
      </c>
      <c r="E61" s="116">
        <v>33.57</v>
      </c>
      <c r="F61" s="116">
        <v>332.75</v>
      </c>
      <c r="G61">
        <v>17126</v>
      </c>
      <c r="H61" s="116"/>
      <c r="I61" s="116"/>
      <c r="L61" s="170">
        <v>44189</v>
      </c>
      <c r="M61" s="116">
        <v>33.770000000000003</v>
      </c>
      <c r="N61" s="116">
        <v>34.4</v>
      </c>
      <c r="O61" s="116">
        <v>33.5</v>
      </c>
      <c r="P61" s="116">
        <v>33.85</v>
      </c>
      <c r="Q61" s="116">
        <v>337.7</v>
      </c>
      <c r="R61">
        <v>231309</v>
      </c>
    </row>
    <row r="62" spans="1:18" x14ac:dyDescent="0.25">
      <c r="A62" s="170">
        <v>44193</v>
      </c>
      <c r="B62" s="116">
        <v>34.200000000000003</v>
      </c>
      <c r="C62" s="116">
        <v>33.664999999999999</v>
      </c>
      <c r="D62" s="116">
        <v>33.450000000000003</v>
      </c>
      <c r="E62" s="116">
        <v>33.9</v>
      </c>
      <c r="F62" s="116">
        <v>336.65</v>
      </c>
      <c r="G62">
        <v>13978</v>
      </c>
      <c r="H62" s="116"/>
      <c r="I62" s="116"/>
      <c r="L62" s="170">
        <v>44193</v>
      </c>
      <c r="M62" s="116">
        <v>33.685000000000002</v>
      </c>
      <c r="N62" s="116">
        <v>34.284999999999997</v>
      </c>
      <c r="O62" s="116">
        <v>33.450000000000003</v>
      </c>
      <c r="P62" s="116">
        <v>33.840000000000003</v>
      </c>
      <c r="Q62" s="116">
        <v>336.85</v>
      </c>
      <c r="R62">
        <v>146899</v>
      </c>
    </row>
    <row r="63" spans="1:18" x14ac:dyDescent="0.25">
      <c r="A63" s="170">
        <v>44194</v>
      </c>
      <c r="B63" s="116">
        <v>34.17</v>
      </c>
      <c r="C63" s="116">
        <v>33.685000000000002</v>
      </c>
      <c r="D63" s="116">
        <v>33.505000000000003</v>
      </c>
      <c r="E63" s="116">
        <v>33.734999999999999</v>
      </c>
      <c r="F63" s="116">
        <v>336.85</v>
      </c>
      <c r="G63">
        <v>16202</v>
      </c>
      <c r="H63" s="116"/>
      <c r="I63" s="116"/>
      <c r="L63" s="170">
        <v>44194</v>
      </c>
      <c r="M63" s="116">
        <v>33.685000000000002</v>
      </c>
      <c r="N63" s="116">
        <v>34.185000000000002</v>
      </c>
      <c r="O63" s="116">
        <v>33.5</v>
      </c>
      <c r="P63" s="116">
        <v>33.799999999999997</v>
      </c>
      <c r="Q63" s="116">
        <v>336.85</v>
      </c>
      <c r="R63">
        <v>223265</v>
      </c>
    </row>
    <row r="64" spans="1:18" x14ac:dyDescent="0.25">
      <c r="A64" s="170">
        <v>44195</v>
      </c>
      <c r="B64" s="116">
        <v>34.32</v>
      </c>
      <c r="C64" s="116">
        <v>33.234999999999999</v>
      </c>
      <c r="D64" s="116">
        <v>32.975000000000001</v>
      </c>
      <c r="E64" s="116">
        <v>34.15</v>
      </c>
      <c r="F64" s="116">
        <v>332.35</v>
      </c>
      <c r="G64">
        <v>21586</v>
      </c>
      <c r="H64" s="116"/>
      <c r="I64" s="116"/>
      <c r="L64" s="170">
        <v>44195</v>
      </c>
      <c r="M64" s="116">
        <v>33.234999999999999</v>
      </c>
      <c r="N64" s="116">
        <v>34.4</v>
      </c>
      <c r="O64" s="116">
        <v>32.950000000000003</v>
      </c>
      <c r="P64" s="116">
        <v>34.295000000000002</v>
      </c>
      <c r="Q64" s="116">
        <v>332.35</v>
      </c>
      <c r="R64">
        <v>351295</v>
      </c>
    </row>
    <row r="65" spans="1:18" x14ac:dyDescent="0.25">
      <c r="A65" s="170">
        <v>44196</v>
      </c>
      <c r="B65" s="116">
        <v>33.97</v>
      </c>
      <c r="C65" s="116">
        <v>33.78</v>
      </c>
      <c r="D65" s="116">
        <v>32.5</v>
      </c>
      <c r="E65" s="116">
        <v>33.200000000000003</v>
      </c>
      <c r="F65" s="116">
        <v>337.8</v>
      </c>
      <c r="G65">
        <v>23753</v>
      </c>
      <c r="H65" s="116"/>
      <c r="I65" s="116"/>
      <c r="L65" s="170">
        <v>44196</v>
      </c>
      <c r="M65" s="116">
        <v>33.805</v>
      </c>
      <c r="N65" s="116">
        <v>33.950000000000003</v>
      </c>
      <c r="O65" s="116">
        <v>33.145000000000003</v>
      </c>
      <c r="P65" s="116">
        <v>33.4</v>
      </c>
      <c r="Q65" s="116">
        <v>338.05</v>
      </c>
      <c r="R65">
        <v>164791</v>
      </c>
    </row>
    <row r="66" spans="1:18" x14ac:dyDescent="0.25">
      <c r="A66" s="170">
        <v>44197</v>
      </c>
      <c r="B66" s="116">
        <v>34.125</v>
      </c>
      <c r="C66" s="116">
        <v>33.71</v>
      </c>
      <c r="D66" s="116">
        <v>33.409999999999997</v>
      </c>
      <c r="E66" s="116">
        <v>33.409999999999997</v>
      </c>
      <c r="F66" s="116">
        <v>337.1</v>
      </c>
      <c r="G66">
        <v>7582</v>
      </c>
      <c r="H66" s="116"/>
      <c r="I66" s="116"/>
      <c r="L66" s="170">
        <v>44197</v>
      </c>
      <c r="M66" s="116">
        <v>33.664999999999999</v>
      </c>
      <c r="N66" s="116">
        <v>34.119999999999997</v>
      </c>
      <c r="O66" s="116">
        <v>33.47</v>
      </c>
      <c r="P66" s="116">
        <v>33.799999999999997</v>
      </c>
      <c r="Q66" s="116">
        <v>336.65</v>
      </c>
      <c r="R66">
        <v>125610</v>
      </c>
    </row>
    <row r="67" spans="1:18" x14ac:dyDescent="0.25">
      <c r="A67" s="170">
        <v>44200</v>
      </c>
      <c r="B67" s="116">
        <v>35.645000000000003</v>
      </c>
      <c r="C67" s="116">
        <v>34.44</v>
      </c>
      <c r="D67" s="116">
        <v>33.68</v>
      </c>
      <c r="E67" s="116">
        <v>33.68</v>
      </c>
      <c r="F67" s="116">
        <v>344.4</v>
      </c>
      <c r="G67">
        <v>59375</v>
      </c>
      <c r="H67" s="116"/>
      <c r="I67" s="116"/>
      <c r="L67" s="170">
        <v>44200</v>
      </c>
      <c r="M67" s="116">
        <v>34.5</v>
      </c>
      <c r="N67" s="116">
        <v>35.67</v>
      </c>
      <c r="O67" s="116">
        <v>33.695</v>
      </c>
      <c r="P67" s="116">
        <v>34.200000000000003</v>
      </c>
      <c r="Q67" s="116">
        <v>345</v>
      </c>
      <c r="R67">
        <v>644292</v>
      </c>
    </row>
    <row r="68" spans="1:18" x14ac:dyDescent="0.25">
      <c r="A68" s="170">
        <v>44201</v>
      </c>
      <c r="B68" s="116">
        <v>35.765000000000001</v>
      </c>
      <c r="C68" s="116">
        <v>35.44</v>
      </c>
      <c r="D68" s="116">
        <v>34</v>
      </c>
      <c r="E68" s="116">
        <v>34.1</v>
      </c>
      <c r="F68" s="116">
        <v>354.4</v>
      </c>
      <c r="G68">
        <v>27967</v>
      </c>
      <c r="H68" s="116"/>
      <c r="I68" s="116"/>
      <c r="L68" s="170">
        <v>44201</v>
      </c>
      <c r="M68" s="116">
        <v>35.435000000000002</v>
      </c>
      <c r="N68" s="116">
        <v>35.770000000000003</v>
      </c>
      <c r="O68" s="116">
        <v>33.93</v>
      </c>
      <c r="P68" s="116">
        <v>34.494999999999997</v>
      </c>
      <c r="Q68" s="116">
        <v>354.35</v>
      </c>
      <c r="R68">
        <v>843235</v>
      </c>
    </row>
    <row r="69" spans="1:18" x14ac:dyDescent="0.25">
      <c r="A69" s="170">
        <v>44202</v>
      </c>
      <c r="B69" s="116">
        <v>36.055</v>
      </c>
      <c r="C69" s="116">
        <v>35.305</v>
      </c>
      <c r="D69" s="116">
        <v>35</v>
      </c>
      <c r="E69" s="116">
        <v>36</v>
      </c>
      <c r="F69" s="116">
        <v>353.05</v>
      </c>
      <c r="G69">
        <v>38413</v>
      </c>
      <c r="H69" s="116"/>
      <c r="I69" s="116"/>
      <c r="L69" s="170">
        <v>44202</v>
      </c>
      <c r="M69" s="116">
        <v>35.295000000000002</v>
      </c>
      <c r="N69" s="116">
        <v>36.1</v>
      </c>
      <c r="O69" s="116">
        <v>34.869999999999997</v>
      </c>
      <c r="P69" s="116">
        <v>35.549999999999997</v>
      </c>
      <c r="Q69" s="116">
        <v>352.95</v>
      </c>
      <c r="R69">
        <v>344067</v>
      </c>
    </row>
    <row r="70" spans="1:18" x14ac:dyDescent="0.25">
      <c r="A70" s="170">
        <v>44203</v>
      </c>
      <c r="B70" s="116">
        <v>36.9</v>
      </c>
      <c r="C70" s="116">
        <v>36.094999999999999</v>
      </c>
      <c r="D70" s="116">
        <v>35.244999999999997</v>
      </c>
      <c r="E70" s="116">
        <v>35.5</v>
      </c>
      <c r="F70" s="116">
        <v>360.95</v>
      </c>
      <c r="G70">
        <v>57240</v>
      </c>
      <c r="H70" s="116"/>
      <c r="I70" s="116"/>
      <c r="L70" s="170">
        <v>44203</v>
      </c>
      <c r="M70" s="116">
        <v>36.125</v>
      </c>
      <c r="N70" s="116">
        <v>37</v>
      </c>
      <c r="O70" s="116">
        <v>35.229999999999997</v>
      </c>
      <c r="P70" s="116">
        <v>35.51</v>
      </c>
      <c r="Q70" s="116">
        <v>361.25</v>
      </c>
      <c r="R70">
        <v>372362</v>
      </c>
    </row>
    <row r="71" spans="1:18" x14ac:dyDescent="0.25">
      <c r="A71" s="170">
        <v>44204</v>
      </c>
      <c r="B71" s="116">
        <v>37.555</v>
      </c>
      <c r="C71" s="116">
        <v>36.375</v>
      </c>
      <c r="D71" s="116">
        <v>36.229999999999997</v>
      </c>
      <c r="E71" s="116">
        <v>36.380000000000003</v>
      </c>
      <c r="F71" s="116">
        <v>363.75</v>
      </c>
      <c r="G71">
        <v>30684</v>
      </c>
      <c r="H71" s="116"/>
      <c r="I71" s="116"/>
      <c r="L71" s="170">
        <v>44204</v>
      </c>
      <c r="M71" s="116">
        <v>36.4</v>
      </c>
      <c r="N71" s="116">
        <v>37.58</v>
      </c>
      <c r="O71" s="116">
        <v>36.200000000000003</v>
      </c>
      <c r="P71" s="116">
        <v>36.5</v>
      </c>
      <c r="Q71" s="116">
        <v>364</v>
      </c>
      <c r="R71">
        <v>404986</v>
      </c>
    </row>
    <row r="72" spans="1:18" x14ac:dyDescent="0.25">
      <c r="A72" s="170">
        <v>44207</v>
      </c>
      <c r="B72" s="116">
        <v>36.99</v>
      </c>
      <c r="C72" s="116">
        <v>35.630000000000003</v>
      </c>
      <c r="D72" s="116">
        <v>35.35</v>
      </c>
      <c r="E72" s="116">
        <v>36.99</v>
      </c>
      <c r="F72" s="116">
        <v>356.3</v>
      </c>
      <c r="G72">
        <v>18363</v>
      </c>
      <c r="H72" s="116"/>
      <c r="I72" s="116"/>
      <c r="L72" s="170">
        <v>44207</v>
      </c>
      <c r="M72" s="116">
        <v>35.685000000000002</v>
      </c>
      <c r="N72" s="116">
        <v>36.96</v>
      </c>
      <c r="O72" s="116">
        <v>35.270000000000003</v>
      </c>
      <c r="P72" s="116">
        <v>36.549999999999997</v>
      </c>
      <c r="Q72" s="116">
        <v>356.85</v>
      </c>
      <c r="R72">
        <v>215776</v>
      </c>
    </row>
    <row r="73" spans="1:18" x14ac:dyDescent="0.25">
      <c r="A73" s="170">
        <v>44208</v>
      </c>
      <c r="B73" s="116">
        <v>36.634999999999998</v>
      </c>
      <c r="C73" s="116">
        <v>35.99</v>
      </c>
      <c r="D73" s="116">
        <v>35.68</v>
      </c>
      <c r="E73" s="116">
        <v>35.68</v>
      </c>
      <c r="F73" s="116">
        <v>359.9</v>
      </c>
      <c r="G73">
        <v>11020</v>
      </c>
      <c r="H73" s="116"/>
      <c r="I73" s="116"/>
      <c r="L73" s="170">
        <v>44208</v>
      </c>
      <c r="M73" s="116">
        <v>36.08</v>
      </c>
      <c r="N73" s="116">
        <v>36.700000000000003</v>
      </c>
      <c r="O73" s="116">
        <v>35.6</v>
      </c>
      <c r="P73" s="116">
        <v>35.6</v>
      </c>
      <c r="Q73" s="116">
        <v>360.8</v>
      </c>
      <c r="R73">
        <v>143789</v>
      </c>
    </row>
    <row r="74" spans="1:18" x14ac:dyDescent="0.25">
      <c r="A74" s="170">
        <v>44209</v>
      </c>
      <c r="B74" s="116">
        <v>38.49</v>
      </c>
      <c r="C74" s="116">
        <v>34.854999999999997</v>
      </c>
      <c r="D74" s="116">
        <v>34.655000000000001</v>
      </c>
      <c r="E74" s="116">
        <v>38.49</v>
      </c>
      <c r="F74" s="116">
        <v>348.55</v>
      </c>
      <c r="G74">
        <v>21913</v>
      </c>
      <c r="H74" s="116"/>
      <c r="I74" s="116"/>
      <c r="L74" s="170">
        <v>44209</v>
      </c>
      <c r="M74" s="116">
        <v>34.880000000000003</v>
      </c>
      <c r="N74" s="116">
        <v>36.685000000000002</v>
      </c>
      <c r="O74" s="116">
        <v>34.700000000000003</v>
      </c>
      <c r="P74" s="116">
        <v>36.299999999999997</v>
      </c>
      <c r="Q74" s="116">
        <v>348.8</v>
      </c>
      <c r="R74">
        <v>256008</v>
      </c>
    </row>
    <row r="75" spans="1:18" x14ac:dyDescent="0.25">
      <c r="A75" s="170">
        <v>44210</v>
      </c>
      <c r="B75" s="116">
        <v>35.935000000000002</v>
      </c>
      <c r="C75" s="116">
        <v>35.5</v>
      </c>
      <c r="D75" s="116">
        <v>35.164999999999999</v>
      </c>
      <c r="E75" s="116">
        <v>35.174999999999997</v>
      </c>
      <c r="F75" s="116">
        <v>355</v>
      </c>
      <c r="G75">
        <v>27455</v>
      </c>
      <c r="H75" s="116"/>
      <c r="I75" s="116"/>
      <c r="L75" s="170">
        <v>44210</v>
      </c>
      <c r="M75" s="116">
        <v>35.564999999999998</v>
      </c>
      <c r="N75" s="116">
        <v>36</v>
      </c>
      <c r="O75" s="116">
        <v>34.9</v>
      </c>
      <c r="P75" s="116">
        <v>34.9</v>
      </c>
      <c r="Q75" s="116">
        <v>355.65</v>
      </c>
      <c r="R75">
        <v>461488</v>
      </c>
    </row>
    <row r="76" spans="1:18" x14ac:dyDescent="0.25">
      <c r="A76" s="170">
        <v>44211</v>
      </c>
      <c r="B76" s="116">
        <v>35.770000000000003</v>
      </c>
      <c r="C76" s="116">
        <v>34.950000000000003</v>
      </c>
      <c r="D76" s="116">
        <v>34.865000000000002</v>
      </c>
      <c r="E76" s="116">
        <v>35.5</v>
      </c>
      <c r="F76" s="116">
        <v>349.5</v>
      </c>
      <c r="G76">
        <v>6531</v>
      </c>
      <c r="H76" s="116"/>
      <c r="I76" s="116"/>
      <c r="L76" s="170">
        <v>44211</v>
      </c>
      <c r="M76" s="116">
        <v>34.909999999999997</v>
      </c>
      <c r="N76" s="116">
        <v>35.875</v>
      </c>
      <c r="O76" s="116">
        <v>34.799999999999997</v>
      </c>
      <c r="P76" s="116">
        <v>35.6</v>
      </c>
      <c r="Q76" s="116">
        <v>349.1</v>
      </c>
      <c r="R76">
        <v>95157</v>
      </c>
    </row>
    <row r="77" spans="1:18" x14ac:dyDescent="0.25">
      <c r="A77" s="170">
        <v>44214</v>
      </c>
      <c r="B77" s="116">
        <v>35.25</v>
      </c>
      <c r="C77" s="116">
        <v>34.57</v>
      </c>
      <c r="D77" s="116">
        <v>33.9</v>
      </c>
      <c r="E77" s="116">
        <v>35.204999999999998</v>
      </c>
      <c r="F77" s="116">
        <v>345.7</v>
      </c>
      <c r="G77">
        <v>18659</v>
      </c>
      <c r="H77" s="116"/>
      <c r="I77" s="116"/>
      <c r="L77" s="170">
        <v>44214</v>
      </c>
      <c r="M77" s="116">
        <v>34.6</v>
      </c>
      <c r="N77" s="116">
        <v>35.299999999999997</v>
      </c>
      <c r="O77" s="116">
        <v>34.575000000000003</v>
      </c>
      <c r="P77" s="116">
        <v>35.18</v>
      </c>
      <c r="Q77" s="116">
        <v>346</v>
      </c>
      <c r="R77">
        <v>98225</v>
      </c>
    </row>
    <row r="78" spans="1:18" x14ac:dyDescent="0.25">
      <c r="A78" s="170">
        <v>44215</v>
      </c>
      <c r="B78" s="116">
        <v>35.590000000000003</v>
      </c>
      <c r="C78" s="116">
        <v>35.35</v>
      </c>
      <c r="D78" s="116">
        <v>35</v>
      </c>
      <c r="E78" s="116">
        <v>35</v>
      </c>
      <c r="F78" s="116">
        <v>353.5</v>
      </c>
      <c r="G78">
        <v>8571</v>
      </c>
      <c r="H78" s="116"/>
      <c r="I78" s="116"/>
      <c r="L78" s="170">
        <v>44215</v>
      </c>
      <c r="M78" s="116">
        <v>35.384999999999998</v>
      </c>
      <c r="N78" s="116">
        <v>35.5</v>
      </c>
      <c r="O78" s="116">
        <v>34.835000000000001</v>
      </c>
      <c r="P78" s="116">
        <v>34.835000000000001</v>
      </c>
      <c r="Q78" s="116">
        <v>353.85</v>
      </c>
      <c r="R78">
        <v>90823</v>
      </c>
    </row>
    <row r="79" spans="1:18" x14ac:dyDescent="0.25">
      <c r="A79" s="170">
        <v>44216</v>
      </c>
      <c r="B79" s="116">
        <v>35.869999999999997</v>
      </c>
      <c r="C79" s="116">
        <v>35.685000000000002</v>
      </c>
      <c r="D79" s="116">
        <v>35.244999999999997</v>
      </c>
      <c r="E79" s="116">
        <v>35.244999999999997</v>
      </c>
      <c r="F79" s="116">
        <v>356.85</v>
      </c>
      <c r="G79">
        <v>6558</v>
      </c>
      <c r="H79" s="116"/>
      <c r="I79" s="116"/>
      <c r="L79" s="170">
        <v>44216</v>
      </c>
      <c r="M79" s="116">
        <v>35.685000000000002</v>
      </c>
      <c r="N79" s="116">
        <v>35.875</v>
      </c>
      <c r="O79" s="116">
        <v>35.15</v>
      </c>
      <c r="P79" s="116">
        <v>35.15</v>
      </c>
      <c r="Q79" s="116">
        <v>356.85</v>
      </c>
      <c r="R79">
        <v>83613</v>
      </c>
    </row>
    <row r="80" spans="1:18" x14ac:dyDescent="0.25">
      <c r="A80" s="170">
        <v>44217</v>
      </c>
      <c r="B80" s="116">
        <v>37</v>
      </c>
      <c r="C80" s="116">
        <v>36.005000000000003</v>
      </c>
      <c r="D80" s="116">
        <v>35.625</v>
      </c>
      <c r="E80" s="116">
        <v>36.299999999999997</v>
      </c>
      <c r="F80" s="116">
        <v>360.05</v>
      </c>
      <c r="G80">
        <v>53347</v>
      </c>
      <c r="H80" s="116"/>
      <c r="I80" s="116"/>
      <c r="L80" s="170">
        <v>44217</v>
      </c>
      <c r="M80" s="116">
        <v>35.965000000000003</v>
      </c>
      <c r="N80" s="116">
        <v>37</v>
      </c>
      <c r="O80" s="116">
        <v>35.659999999999997</v>
      </c>
      <c r="P80" s="116">
        <v>35.9</v>
      </c>
      <c r="Q80" s="116">
        <v>359.65</v>
      </c>
      <c r="R80">
        <v>241273</v>
      </c>
    </row>
    <row r="81" spans="1:18" x14ac:dyDescent="0.25">
      <c r="A81" s="170">
        <v>44218</v>
      </c>
      <c r="B81" s="116">
        <v>37</v>
      </c>
      <c r="C81" s="116">
        <v>36.549999999999997</v>
      </c>
      <c r="D81" s="116">
        <v>35.83</v>
      </c>
      <c r="E81" s="116">
        <v>36.03</v>
      </c>
      <c r="F81" s="116">
        <v>365.5</v>
      </c>
      <c r="G81">
        <v>35864</v>
      </c>
      <c r="H81" s="116"/>
      <c r="I81" s="116"/>
      <c r="L81" s="170">
        <v>44218</v>
      </c>
      <c r="M81" s="116">
        <v>36.549999999999997</v>
      </c>
      <c r="N81" s="116">
        <v>37.049999999999997</v>
      </c>
      <c r="O81" s="116">
        <v>35.86</v>
      </c>
      <c r="P81" s="116">
        <v>36.185000000000002</v>
      </c>
      <c r="Q81" s="116">
        <v>365.5</v>
      </c>
      <c r="R81">
        <v>249783</v>
      </c>
    </row>
    <row r="82" spans="1:18" x14ac:dyDescent="0.25">
      <c r="A82" s="170">
        <v>44221</v>
      </c>
      <c r="B82" s="116">
        <v>36.9</v>
      </c>
      <c r="C82" s="116">
        <v>36.58</v>
      </c>
      <c r="D82" s="116">
        <v>35.125</v>
      </c>
      <c r="E82" s="116">
        <v>36.549999999999997</v>
      </c>
      <c r="F82" s="116">
        <v>365.8</v>
      </c>
      <c r="G82">
        <v>9148</v>
      </c>
      <c r="H82" s="116"/>
      <c r="I82" s="116"/>
      <c r="L82" s="170">
        <v>44221</v>
      </c>
      <c r="M82" s="116">
        <v>36.625</v>
      </c>
      <c r="N82" s="116">
        <v>36.979999999999997</v>
      </c>
      <c r="O82" s="116">
        <v>35.1</v>
      </c>
      <c r="P82" s="116">
        <v>36.880000000000003</v>
      </c>
      <c r="Q82" s="116">
        <v>366.25</v>
      </c>
      <c r="R82">
        <v>87582</v>
      </c>
    </row>
    <row r="83" spans="1:18" x14ac:dyDescent="0.25">
      <c r="A83" s="170">
        <v>44223</v>
      </c>
      <c r="B83" s="116">
        <v>36.9</v>
      </c>
      <c r="C83" s="116">
        <v>36.67</v>
      </c>
      <c r="D83" s="116">
        <v>35.590000000000003</v>
      </c>
      <c r="E83" s="116">
        <v>36.68</v>
      </c>
      <c r="F83" s="116">
        <v>366.7</v>
      </c>
      <c r="G83">
        <v>10532</v>
      </c>
      <c r="H83" s="116"/>
      <c r="I83" s="116"/>
      <c r="L83" s="170">
        <v>44223</v>
      </c>
      <c r="M83" s="116">
        <v>36.700000000000003</v>
      </c>
      <c r="N83" s="116">
        <v>37</v>
      </c>
      <c r="O83" s="116">
        <v>35.575000000000003</v>
      </c>
      <c r="P83" s="116">
        <v>36.619999999999997</v>
      </c>
      <c r="Q83" s="116">
        <v>367</v>
      </c>
      <c r="R83">
        <v>144752</v>
      </c>
    </row>
    <row r="84" spans="1:18" x14ac:dyDescent="0.25">
      <c r="A84" s="170">
        <v>44224</v>
      </c>
      <c r="B84" s="116">
        <v>37.295000000000002</v>
      </c>
      <c r="C84" s="116">
        <v>36.89</v>
      </c>
      <c r="D84" s="116">
        <v>36.090000000000003</v>
      </c>
      <c r="E84" s="116">
        <v>36.9</v>
      </c>
      <c r="F84" s="116">
        <v>368.9</v>
      </c>
      <c r="G84">
        <v>13692</v>
      </c>
      <c r="H84" s="116"/>
      <c r="I84" s="116"/>
      <c r="L84" s="170">
        <v>44224</v>
      </c>
      <c r="M84" s="116">
        <v>36.92</v>
      </c>
      <c r="N84" s="116">
        <v>37.295000000000002</v>
      </c>
      <c r="O84" s="116">
        <v>36.090000000000003</v>
      </c>
      <c r="P84" s="116">
        <v>36.6</v>
      </c>
      <c r="Q84" s="116">
        <v>369.2</v>
      </c>
      <c r="R84">
        <v>109703</v>
      </c>
    </row>
    <row r="85" spans="1:18" x14ac:dyDescent="0.25">
      <c r="A85" s="170">
        <v>44225</v>
      </c>
      <c r="B85" s="116">
        <v>37.74</v>
      </c>
      <c r="C85" s="116">
        <v>34.299999999999997</v>
      </c>
      <c r="D85" s="116">
        <v>33.744999999999997</v>
      </c>
      <c r="E85" s="116">
        <v>37.1</v>
      </c>
      <c r="F85" s="116">
        <v>343</v>
      </c>
      <c r="G85">
        <v>43215</v>
      </c>
      <c r="H85" s="116"/>
      <c r="I85" s="116"/>
      <c r="L85" s="170">
        <v>44225</v>
      </c>
      <c r="M85" s="116">
        <v>34.25</v>
      </c>
      <c r="N85" s="116">
        <v>37.79</v>
      </c>
      <c r="O85" s="116">
        <v>33.725000000000001</v>
      </c>
      <c r="P85" s="116">
        <v>37.5</v>
      </c>
      <c r="Q85" s="116">
        <v>342.5</v>
      </c>
      <c r="R85">
        <v>712678</v>
      </c>
    </row>
    <row r="86" spans="1:18" x14ac:dyDescent="0.25">
      <c r="A86" s="170">
        <v>44228</v>
      </c>
      <c r="B86" s="116">
        <v>34.215000000000003</v>
      </c>
      <c r="C86" s="116">
        <v>33.49</v>
      </c>
      <c r="D86" s="116">
        <v>32.1</v>
      </c>
      <c r="E86" s="116">
        <v>34.01</v>
      </c>
      <c r="F86" s="116">
        <v>334.9</v>
      </c>
      <c r="G86">
        <v>39073</v>
      </c>
      <c r="H86" s="116"/>
      <c r="I86" s="116"/>
      <c r="L86" s="170">
        <v>44228</v>
      </c>
      <c r="M86" s="116">
        <v>33.515000000000001</v>
      </c>
      <c r="N86" s="116">
        <v>34.229999999999997</v>
      </c>
      <c r="O86" s="116">
        <v>32.085000000000001</v>
      </c>
      <c r="P86" s="116">
        <v>34.229999999999997</v>
      </c>
      <c r="Q86" s="116">
        <v>335.15</v>
      </c>
      <c r="R86">
        <v>378960</v>
      </c>
    </row>
    <row r="87" spans="1:18" x14ac:dyDescent="0.25">
      <c r="A87" s="170">
        <v>44229</v>
      </c>
      <c r="B87" s="116">
        <v>35.844999999999999</v>
      </c>
      <c r="C87" s="116">
        <v>33.814999999999998</v>
      </c>
      <c r="D87" s="116">
        <v>33.564999999999998</v>
      </c>
      <c r="E87" s="116">
        <v>33.700000000000003</v>
      </c>
      <c r="F87" s="116">
        <v>338.15</v>
      </c>
      <c r="G87">
        <v>24794</v>
      </c>
      <c r="H87" s="116"/>
      <c r="I87" s="116"/>
      <c r="L87" s="170">
        <v>44229</v>
      </c>
      <c r="M87" s="116">
        <v>33.85</v>
      </c>
      <c r="N87" s="116">
        <v>35.9</v>
      </c>
      <c r="O87" s="116">
        <v>33.615000000000002</v>
      </c>
      <c r="P87" s="116">
        <v>34.200000000000003</v>
      </c>
      <c r="Q87" s="116">
        <v>338.5</v>
      </c>
      <c r="R87">
        <v>500237</v>
      </c>
    </row>
    <row r="88" spans="1:18" x14ac:dyDescent="0.25">
      <c r="A88" s="170">
        <v>44230</v>
      </c>
      <c r="B88" s="116">
        <v>35.594999999999999</v>
      </c>
      <c r="C88" s="116">
        <v>34.695</v>
      </c>
      <c r="D88" s="116">
        <v>34.305</v>
      </c>
      <c r="E88" s="116">
        <v>34.484999999999999</v>
      </c>
      <c r="F88" s="116">
        <v>346.95</v>
      </c>
      <c r="G88">
        <v>15269</v>
      </c>
      <c r="H88" s="116"/>
      <c r="I88" s="116"/>
      <c r="L88" s="170">
        <v>44230</v>
      </c>
      <c r="M88" s="116">
        <v>34.715000000000003</v>
      </c>
      <c r="N88" s="116">
        <v>35.6</v>
      </c>
      <c r="O88" s="116">
        <v>34.305</v>
      </c>
      <c r="P88" s="116">
        <v>34.35</v>
      </c>
      <c r="Q88" s="116">
        <v>347.15</v>
      </c>
      <c r="R88">
        <v>169887</v>
      </c>
    </row>
    <row r="89" spans="1:18" x14ac:dyDescent="0.25">
      <c r="A89" s="170">
        <v>44231</v>
      </c>
      <c r="B89" s="116">
        <v>35.994999999999997</v>
      </c>
      <c r="C89" s="116">
        <v>34.935000000000002</v>
      </c>
      <c r="D89" s="116">
        <v>34.75</v>
      </c>
      <c r="E89" s="116">
        <v>35.115000000000002</v>
      </c>
      <c r="F89" s="116">
        <v>349.35</v>
      </c>
      <c r="G89">
        <v>13358</v>
      </c>
      <c r="H89" s="116"/>
      <c r="I89" s="116"/>
      <c r="L89" s="170">
        <v>44231</v>
      </c>
      <c r="M89" s="116">
        <v>34.89</v>
      </c>
      <c r="N89" s="116">
        <v>36</v>
      </c>
      <c r="O89" s="116">
        <v>34.799999999999997</v>
      </c>
      <c r="P89" s="116">
        <v>35</v>
      </c>
      <c r="Q89" s="116">
        <v>348.9</v>
      </c>
      <c r="R89">
        <v>132227</v>
      </c>
    </row>
    <row r="90" spans="1:18" x14ac:dyDescent="0.25">
      <c r="A90" s="170">
        <v>44232</v>
      </c>
      <c r="B90" s="116">
        <v>35.215000000000003</v>
      </c>
      <c r="C90" s="116">
        <v>33.909999999999997</v>
      </c>
      <c r="D90" s="116">
        <v>33.78</v>
      </c>
      <c r="E90" s="116">
        <v>34.835000000000001</v>
      </c>
      <c r="F90" s="116">
        <v>339.1</v>
      </c>
      <c r="G90">
        <v>14337</v>
      </c>
      <c r="H90" s="116"/>
      <c r="I90" s="116"/>
      <c r="L90" s="170">
        <v>44232</v>
      </c>
      <c r="M90" s="116">
        <v>33.92</v>
      </c>
      <c r="N90" s="116">
        <v>35.31</v>
      </c>
      <c r="O90" s="116">
        <v>33.715000000000003</v>
      </c>
      <c r="P90" s="116">
        <v>34.4</v>
      </c>
      <c r="Q90" s="116">
        <v>339.2</v>
      </c>
      <c r="R90">
        <v>176012</v>
      </c>
    </row>
    <row r="91" spans="1:18" x14ac:dyDescent="0.25">
      <c r="A91" s="170">
        <v>44235</v>
      </c>
      <c r="B91" s="116">
        <v>34.674999999999997</v>
      </c>
      <c r="C91" s="116">
        <v>34.515000000000001</v>
      </c>
      <c r="D91" s="116">
        <v>33.884999999999998</v>
      </c>
      <c r="E91" s="116">
        <v>33.884999999999998</v>
      </c>
      <c r="F91" s="116">
        <v>345.15</v>
      </c>
      <c r="G91">
        <v>30666</v>
      </c>
      <c r="H91" s="116"/>
      <c r="I91" s="116"/>
      <c r="L91" s="170">
        <v>44235</v>
      </c>
      <c r="M91" s="116">
        <v>34.520000000000003</v>
      </c>
      <c r="N91" s="116">
        <v>34.645000000000003</v>
      </c>
      <c r="O91" s="116">
        <v>33.94</v>
      </c>
      <c r="P91" s="116">
        <v>34.18</v>
      </c>
      <c r="Q91" s="116">
        <v>345.2</v>
      </c>
      <c r="R91">
        <v>209225</v>
      </c>
    </row>
    <row r="92" spans="1:18" x14ac:dyDescent="0.25">
      <c r="A92" s="170">
        <v>44236</v>
      </c>
      <c r="B92" s="116">
        <v>35.284999999999997</v>
      </c>
      <c r="C92" s="116">
        <v>34.58</v>
      </c>
      <c r="D92" s="116">
        <v>34.454999999999998</v>
      </c>
      <c r="E92" s="116">
        <v>34.58</v>
      </c>
      <c r="F92" s="116">
        <v>345.8</v>
      </c>
      <c r="G92">
        <v>17419</v>
      </c>
      <c r="H92" s="116"/>
      <c r="I92" s="116"/>
      <c r="L92" s="170">
        <v>44236</v>
      </c>
      <c r="M92" s="116">
        <v>34.604999999999997</v>
      </c>
      <c r="N92" s="116">
        <v>35.284999999999997</v>
      </c>
      <c r="O92" s="116">
        <v>34.475000000000001</v>
      </c>
      <c r="P92" s="116">
        <v>34.520000000000003</v>
      </c>
      <c r="Q92" s="116">
        <v>346.05</v>
      </c>
      <c r="R92">
        <v>143812</v>
      </c>
    </row>
    <row r="93" spans="1:18" x14ac:dyDescent="0.25">
      <c r="A93" s="170">
        <v>44237</v>
      </c>
      <c r="B93" s="116">
        <v>34.774999999999999</v>
      </c>
      <c r="C93" s="116">
        <v>34.354999999999997</v>
      </c>
      <c r="D93" s="116">
        <v>34.134999999999998</v>
      </c>
      <c r="E93" s="116">
        <v>34.75</v>
      </c>
      <c r="F93" s="116">
        <v>343.55</v>
      </c>
      <c r="G93">
        <v>4080</v>
      </c>
      <c r="H93" s="116"/>
      <c r="I93" s="116"/>
      <c r="L93" s="170">
        <v>44237</v>
      </c>
      <c r="M93" s="116">
        <v>34.395000000000003</v>
      </c>
      <c r="N93" s="116">
        <v>34.79</v>
      </c>
      <c r="O93" s="116">
        <v>34.1</v>
      </c>
      <c r="P93" s="116">
        <v>34.5</v>
      </c>
      <c r="Q93" s="116">
        <v>343.95</v>
      </c>
      <c r="R93">
        <v>63633</v>
      </c>
    </row>
    <row r="94" spans="1:18" x14ac:dyDescent="0.25">
      <c r="A94" s="170">
        <v>44238</v>
      </c>
      <c r="B94" s="116">
        <v>34.6</v>
      </c>
      <c r="C94" s="116">
        <v>34.22</v>
      </c>
      <c r="D94" s="116">
        <v>34.17</v>
      </c>
      <c r="E94" s="116">
        <v>34.6</v>
      </c>
      <c r="F94" s="116">
        <v>342.2</v>
      </c>
      <c r="G94">
        <v>2603</v>
      </c>
      <c r="H94" s="116"/>
      <c r="I94" s="116"/>
      <c r="L94" s="170">
        <v>44238</v>
      </c>
      <c r="M94" s="116">
        <v>34.229999999999997</v>
      </c>
      <c r="N94" s="116">
        <v>34.664999999999999</v>
      </c>
      <c r="O94" s="116">
        <v>34.19</v>
      </c>
      <c r="P94" s="116">
        <v>34.299999999999997</v>
      </c>
      <c r="Q94" s="116">
        <v>342.3</v>
      </c>
      <c r="R94">
        <v>33296</v>
      </c>
    </row>
    <row r="95" spans="1:18" x14ac:dyDescent="0.25">
      <c r="A95" s="170">
        <v>44239</v>
      </c>
      <c r="B95" s="116">
        <v>34.630000000000003</v>
      </c>
      <c r="C95" s="116">
        <v>34.32</v>
      </c>
      <c r="D95" s="116">
        <v>33.844999999999999</v>
      </c>
      <c r="E95" s="116">
        <v>34.344999999999999</v>
      </c>
      <c r="F95" s="116">
        <v>343.2</v>
      </c>
      <c r="G95">
        <v>7571</v>
      </c>
      <c r="H95" s="116"/>
      <c r="I95" s="116"/>
      <c r="L95" s="170">
        <v>44239</v>
      </c>
      <c r="M95" s="116">
        <v>34.369999999999997</v>
      </c>
      <c r="N95" s="116">
        <v>34.6</v>
      </c>
      <c r="O95" s="116">
        <v>33.799999999999997</v>
      </c>
      <c r="P95" s="116">
        <v>34.44</v>
      </c>
      <c r="Q95" s="116">
        <v>343.7</v>
      </c>
      <c r="R95">
        <v>59538</v>
      </c>
    </row>
    <row r="96" spans="1:18" x14ac:dyDescent="0.25">
      <c r="A96" s="170">
        <v>44242</v>
      </c>
      <c r="B96" s="116">
        <v>34.704999999999998</v>
      </c>
      <c r="C96" s="116">
        <v>34.07</v>
      </c>
      <c r="D96" s="116">
        <v>33.935000000000002</v>
      </c>
      <c r="E96" s="116">
        <v>34.634999999999998</v>
      </c>
      <c r="F96" s="116">
        <v>340.7</v>
      </c>
      <c r="G96">
        <v>2074</v>
      </c>
      <c r="H96" s="116"/>
      <c r="I96" s="116"/>
      <c r="L96" s="170">
        <v>44242</v>
      </c>
      <c r="M96" s="116">
        <v>34.075000000000003</v>
      </c>
      <c r="N96" s="116">
        <v>34.674999999999997</v>
      </c>
      <c r="O96" s="116">
        <v>33.94</v>
      </c>
      <c r="P96" s="116">
        <v>34.369999999999997</v>
      </c>
      <c r="Q96" s="116">
        <v>340.75</v>
      </c>
      <c r="R96">
        <v>36169</v>
      </c>
    </row>
    <row r="97" spans="1:18" x14ac:dyDescent="0.25">
      <c r="A97" s="170">
        <v>44243</v>
      </c>
      <c r="B97" s="116">
        <v>34.380000000000003</v>
      </c>
      <c r="C97" s="116">
        <v>33.520000000000003</v>
      </c>
      <c r="D97" s="116">
        <v>33.414999999999999</v>
      </c>
      <c r="E97" s="116">
        <v>34.380000000000003</v>
      </c>
      <c r="F97" s="116">
        <v>335.2</v>
      </c>
      <c r="G97">
        <v>6235</v>
      </c>
      <c r="H97" s="116"/>
      <c r="I97" s="116"/>
      <c r="L97" s="170">
        <v>44243</v>
      </c>
      <c r="M97" s="116">
        <v>33.534999999999997</v>
      </c>
      <c r="N97" s="116">
        <v>34.39</v>
      </c>
      <c r="O97" s="116">
        <v>33.454999999999998</v>
      </c>
      <c r="P97" s="116">
        <v>34.24</v>
      </c>
      <c r="Q97" s="116">
        <v>335.35</v>
      </c>
      <c r="R97">
        <v>111599</v>
      </c>
    </row>
    <row r="98" spans="1:18" x14ac:dyDescent="0.25">
      <c r="A98" s="170">
        <v>44244</v>
      </c>
      <c r="B98" s="116">
        <v>33.655000000000001</v>
      </c>
      <c r="C98" s="116">
        <v>33.375</v>
      </c>
      <c r="D98" s="116">
        <v>33.07</v>
      </c>
      <c r="E98" s="116">
        <v>33.414999999999999</v>
      </c>
      <c r="F98" s="116">
        <v>333.75</v>
      </c>
      <c r="G98">
        <v>5605</v>
      </c>
      <c r="H98" s="116"/>
      <c r="I98" s="116"/>
      <c r="L98" s="170">
        <v>44244</v>
      </c>
      <c r="M98" s="116">
        <v>33.39</v>
      </c>
      <c r="N98" s="116">
        <v>33.65</v>
      </c>
      <c r="O98" s="116">
        <v>33.020000000000003</v>
      </c>
      <c r="P98" s="116">
        <v>33.534999999999997</v>
      </c>
      <c r="Q98" s="116">
        <v>333.9</v>
      </c>
      <c r="R98">
        <v>80425</v>
      </c>
    </row>
    <row r="99" spans="1:18" x14ac:dyDescent="0.25">
      <c r="A99" s="170">
        <v>44245</v>
      </c>
      <c r="B99" s="116">
        <v>33.17</v>
      </c>
      <c r="C99" s="116">
        <v>32.67</v>
      </c>
      <c r="D99" s="116">
        <v>32.6</v>
      </c>
      <c r="E99" s="116">
        <v>33</v>
      </c>
      <c r="F99" s="116">
        <v>326.7</v>
      </c>
      <c r="G99">
        <v>7721</v>
      </c>
      <c r="H99" s="116"/>
      <c r="I99" s="116"/>
      <c r="L99" s="170">
        <v>44245</v>
      </c>
      <c r="M99" s="116">
        <v>32.715000000000003</v>
      </c>
      <c r="N99" s="116">
        <v>33.4</v>
      </c>
      <c r="O99" s="116">
        <v>32.625</v>
      </c>
      <c r="P99" s="116">
        <v>33.4</v>
      </c>
      <c r="Q99" s="116">
        <v>327.14999999999998</v>
      </c>
      <c r="R99">
        <v>244675</v>
      </c>
    </row>
    <row r="100" spans="1:18" x14ac:dyDescent="0.25">
      <c r="A100" s="170">
        <v>44246</v>
      </c>
      <c r="B100" s="116">
        <v>33.5</v>
      </c>
      <c r="C100" s="116">
        <v>32.465000000000003</v>
      </c>
      <c r="D100" s="116">
        <v>32.375</v>
      </c>
      <c r="E100" s="116">
        <v>33.5</v>
      </c>
      <c r="F100" s="116">
        <v>324.64999999999998</v>
      </c>
      <c r="G100">
        <v>8604</v>
      </c>
      <c r="H100" s="116"/>
      <c r="I100" s="116"/>
      <c r="L100" s="170">
        <v>44246</v>
      </c>
      <c r="M100" s="116">
        <v>32.46</v>
      </c>
      <c r="N100" s="116">
        <v>33.28</v>
      </c>
      <c r="O100" s="116">
        <v>32.375</v>
      </c>
      <c r="P100" s="116">
        <v>33.28</v>
      </c>
      <c r="Q100" s="116">
        <v>324.60000000000002</v>
      </c>
      <c r="R100">
        <v>180528</v>
      </c>
    </row>
    <row r="101" spans="1:18" x14ac:dyDescent="0.25">
      <c r="A101" s="170">
        <v>44249</v>
      </c>
      <c r="B101" s="116">
        <v>32.994999999999997</v>
      </c>
      <c r="C101" s="116">
        <v>32.520000000000003</v>
      </c>
      <c r="D101" s="116">
        <v>32.4</v>
      </c>
      <c r="E101" s="116">
        <v>32.505000000000003</v>
      </c>
      <c r="F101" s="116">
        <v>325.2</v>
      </c>
      <c r="G101">
        <v>17501</v>
      </c>
      <c r="H101" s="116"/>
      <c r="I101" s="116"/>
      <c r="L101" s="170">
        <v>44249</v>
      </c>
      <c r="M101" s="116">
        <v>32.56</v>
      </c>
      <c r="N101" s="116">
        <v>33.04</v>
      </c>
      <c r="O101" s="116">
        <v>32.424999999999997</v>
      </c>
      <c r="P101" s="116">
        <v>32.805</v>
      </c>
      <c r="Q101" s="116">
        <v>325.60000000000002</v>
      </c>
      <c r="R101">
        <v>61327</v>
      </c>
    </row>
    <row r="102" spans="1:18" x14ac:dyDescent="0.25">
      <c r="A102" s="170">
        <v>44250</v>
      </c>
      <c r="B102" s="116">
        <v>33</v>
      </c>
      <c r="C102" s="116">
        <v>32.82</v>
      </c>
      <c r="D102" s="116">
        <v>32.49</v>
      </c>
      <c r="E102" s="116">
        <v>32.630000000000003</v>
      </c>
      <c r="F102" s="116">
        <v>328.2</v>
      </c>
      <c r="G102">
        <v>2595</v>
      </c>
      <c r="H102" s="116"/>
      <c r="I102" s="116"/>
      <c r="L102" s="170">
        <v>44250</v>
      </c>
      <c r="M102" s="116">
        <v>32.83</v>
      </c>
      <c r="N102" s="116">
        <v>33.1</v>
      </c>
      <c r="O102" s="116">
        <v>32.450000000000003</v>
      </c>
      <c r="P102" s="116">
        <v>32.700000000000003</v>
      </c>
      <c r="Q102" s="116">
        <v>328.3</v>
      </c>
      <c r="R102">
        <v>52867</v>
      </c>
    </row>
    <row r="103" spans="1:18" x14ac:dyDescent="0.25">
      <c r="A103" s="170">
        <v>44251</v>
      </c>
      <c r="B103" s="116">
        <v>33.4</v>
      </c>
      <c r="C103" s="116">
        <v>32.384999999999998</v>
      </c>
      <c r="D103" s="116">
        <v>32.270000000000003</v>
      </c>
      <c r="E103" s="116">
        <v>33.4</v>
      </c>
      <c r="F103" s="116">
        <v>323.85000000000002</v>
      </c>
      <c r="G103">
        <v>9851</v>
      </c>
      <c r="H103" s="116"/>
      <c r="I103" s="116"/>
      <c r="L103" s="170">
        <v>44251</v>
      </c>
      <c r="M103" s="116">
        <v>32.340000000000003</v>
      </c>
      <c r="N103" s="116">
        <v>33.200000000000003</v>
      </c>
      <c r="O103" s="116">
        <v>31.7</v>
      </c>
      <c r="P103" s="116">
        <v>32.9</v>
      </c>
      <c r="Q103" s="116">
        <v>323.39999999999998</v>
      </c>
      <c r="R103">
        <v>58932</v>
      </c>
    </row>
    <row r="104" spans="1:18" x14ac:dyDescent="0.25">
      <c r="A104" s="170">
        <v>44252</v>
      </c>
      <c r="B104" s="116">
        <v>33.799999999999997</v>
      </c>
      <c r="C104" s="116">
        <v>33.274999999999999</v>
      </c>
      <c r="D104" s="116">
        <v>32.664999999999999</v>
      </c>
      <c r="E104" s="116">
        <v>32.895000000000003</v>
      </c>
      <c r="F104" s="116">
        <v>332.75</v>
      </c>
      <c r="G104">
        <v>22588</v>
      </c>
      <c r="H104" s="116"/>
      <c r="I104" s="116"/>
      <c r="L104" s="170">
        <v>44252</v>
      </c>
      <c r="M104" s="116">
        <v>33.405000000000001</v>
      </c>
      <c r="N104" s="116">
        <v>33.950000000000003</v>
      </c>
      <c r="O104" s="116">
        <v>32.51</v>
      </c>
      <c r="P104" s="116">
        <v>32.51</v>
      </c>
      <c r="Q104" s="116">
        <v>334.05</v>
      </c>
      <c r="R104">
        <v>336577</v>
      </c>
    </row>
    <row r="105" spans="1:18" x14ac:dyDescent="0.25">
      <c r="A105" s="170">
        <v>44253</v>
      </c>
      <c r="B105" s="116">
        <v>33.520000000000003</v>
      </c>
      <c r="C105" s="116">
        <v>33.06</v>
      </c>
      <c r="D105" s="116">
        <v>32.659999999999997</v>
      </c>
      <c r="E105" s="116">
        <v>33.520000000000003</v>
      </c>
      <c r="F105" s="116">
        <v>330.6</v>
      </c>
      <c r="G105">
        <v>10039</v>
      </c>
      <c r="H105" s="116"/>
      <c r="I105" s="116"/>
      <c r="L105" s="170">
        <v>44253</v>
      </c>
      <c r="M105" s="116">
        <v>33.08</v>
      </c>
      <c r="N105" s="116">
        <v>33.39</v>
      </c>
      <c r="O105" s="116">
        <v>32.659999999999997</v>
      </c>
      <c r="P105" s="116">
        <v>33.39</v>
      </c>
      <c r="Q105" s="116">
        <v>330.8</v>
      </c>
      <c r="R105">
        <v>61693</v>
      </c>
    </row>
    <row r="106" spans="1:18" x14ac:dyDescent="0.25">
      <c r="A106" s="170">
        <v>44256</v>
      </c>
      <c r="B106" s="116">
        <v>33.4</v>
      </c>
      <c r="C106" s="116">
        <v>32.799999999999997</v>
      </c>
      <c r="D106" s="116">
        <v>32.664999999999999</v>
      </c>
      <c r="E106" s="116">
        <v>33.4</v>
      </c>
      <c r="F106" s="116">
        <v>328</v>
      </c>
      <c r="G106">
        <v>2010</v>
      </c>
      <c r="H106" s="116"/>
      <c r="I106" s="116"/>
      <c r="L106" s="170">
        <v>44256</v>
      </c>
      <c r="M106" s="116">
        <v>32.795000000000002</v>
      </c>
      <c r="N106" s="116">
        <v>33.475000000000001</v>
      </c>
      <c r="O106" s="116">
        <v>32.664999999999999</v>
      </c>
      <c r="P106" s="116">
        <v>33.475000000000001</v>
      </c>
      <c r="Q106" s="116">
        <v>327.95</v>
      </c>
      <c r="R106">
        <v>31062</v>
      </c>
    </row>
    <row r="107" spans="1:18" x14ac:dyDescent="0.25">
      <c r="A107" s="170">
        <v>44257</v>
      </c>
      <c r="B107" s="116">
        <v>33.1</v>
      </c>
      <c r="C107" s="116">
        <v>32.435000000000002</v>
      </c>
      <c r="D107" s="116">
        <v>32.36</v>
      </c>
      <c r="E107" s="116">
        <v>32.93</v>
      </c>
      <c r="F107" s="116">
        <v>324.35000000000002</v>
      </c>
      <c r="G107">
        <v>11277</v>
      </c>
      <c r="H107" s="116"/>
      <c r="I107" s="116"/>
      <c r="L107" s="170">
        <v>44257</v>
      </c>
      <c r="M107" s="116">
        <v>32.42</v>
      </c>
      <c r="N107" s="116">
        <v>33.085000000000001</v>
      </c>
      <c r="O107" s="116">
        <v>32.340000000000003</v>
      </c>
      <c r="P107" s="116">
        <v>32.99</v>
      </c>
      <c r="Q107" s="116">
        <v>324.2</v>
      </c>
      <c r="R107">
        <v>54875</v>
      </c>
    </row>
    <row r="108" spans="1:18" x14ac:dyDescent="0.25">
      <c r="A108" s="170">
        <v>44258</v>
      </c>
      <c r="B108" s="116">
        <v>32.9</v>
      </c>
      <c r="C108" s="116">
        <v>32.56</v>
      </c>
      <c r="D108" s="116">
        <v>32.4</v>
      </c>
      <c r="E108" s="116">
        <v>32.549999999999997</v>
      </c>
      <c r="F108" s="116">
        <v>325.60000000000002</v>
      </c>
      <c r="G108">
        <v>8094</v>
      </c>
      <c r="H108" s="116"/>
      <c r="I108" s="116"/>
      <c r="L108" s="170">
        <v>44258</v>
      </c>
      <c r="M108" s="116">
        <v>32.575000000000003</v>
      </c>
      <c r="N108" s="116">
        <v>32.950000000000003</v>
      </c>
      <c r="O108" s="116">
        <v>32.5</v>
      </c>
      <c r="P108" s="116">
        <v>32.950000000000003</v>
      </c>
      <c r="Q108" s="116">
        <v>325.75</v>
      </c>
      <c r="R108">
        <v>51978</v>
      </c>
    </row>
    <row r="109" spans="1:18" x14ac:dyDescent="0.25">
      <c r="A109" s="170">
        <v>44259</v>
      </c>
      <c r="B109" s="116">
        <v>34.46</v>
      </c>
      <c r="C109" s="116">
        <v>33.57</v>
      </c>
      <c r="D109" s="116">
        <v>32.6</v>
      </c>
      <c r="E109" s="116">
        <v>32.6</v>
      </c>
      <c r="F109" s="116">
        <v>335.7</v>
      </c>
      <c r="G109">
        <v>26224</v>
      </c>
      <c r="H109" s="116"/>
      <c r="I109" s="116"/>
      <c r="L109" s="170">
        <v>44259</v>
      </c>
      <c r="M109" s="116">
        <v>33.594999999999999</v>
      </c>
      <c r="N109" s="116">
        <v>34.634999999999998</v>
      </c>
      <c r="O109" s="116">
        <v>32.799999999999997</v>
      </c>
      <c r="P109" s="116">
        <v>33</v>
      </c>
      <c r="Q109" s="116">
        <v>335.95</v>
      </c>
      <c r="R109">
        <v>303488</v>
      </c>
    </row>
    <row r="110" spans="1:18" x14ac:dyDescent="0.25">
      <c r="A110" s="170">
        <v>44260</v>
      </c>
      <c r="B110" s="116">
        <v>34.29</v>
      </c>
      <c r="C110" s="116">
        <v>32.924999999999997</v>
      </c>
      <c r="D110" s="116">
        <v>32.755000000000003</v>
      </c>
      <c r="E110" s="116">
        <v>34.1</v>
      </c>
      <c r="F110" s="116">
        <v>329.25</v>
      </c>
      <c r="G110">
        <v>7890</v>
      </c>
      <c r="H110" s="116"/>
      <c r="I110" s="116"/>
      <c r="L110" s="170">
        <v>44260</v>
      </c>
      <c r="M110" s="116">
        <v>32.935000000000002</v>
      </c>
      <c r="N110" s="116">
        <v>34.270000000000003</v>
      </c>
      <c r="O110" s="116">
        <v>32.76</v>
      </c>
      <c r="P110" s="116">
        <v>34.200000000000003</v>
      </c>
      <c r="Q110" s="116">
        <v>329.35</v>
      </c>
      <c r="R110">
        <v>119155</v>
      </c>
    </row>
    <row r="111" spans="1:18" x14ac:dyDescent="0.25">
      <c r="A111" s="170">
        <v>44263</v>
      </c>
      <c r="B111" s="116">
        <v>33.475000000000001</v>
      </c>
      <c r="C111" s="116">
        <v>33.01</v>
      </c>
      <c r="D111" s="116">
        <v>32.86</v>
      </c>
      <c r="E111" s="116">
        <v>33.380000000000003</v>
      </c>
      <c r="F111" s="116">
        <v>330.1</v>
      </c>
      <c r="G111">
        <v>4475</v>
      </c>
      <c r="H111" s="116"/>
      <c r="I111" s="116"/>
      <c r="L111" s="170">
        <v>44263</v>
      </c>
      <c r="M111" s="116">
        <v>32.994999999999997</v>
      </c>
      <c r="N111" s="116">
        <v>33.6</v>
      </c>
      <c r="O111" s="116">
        <v>32.799999999999997</v>
      </c>
      <c r="P111" s="116">
        <v>33.6</v>
      </c>
      <c r="Q111" s="116">
        <v>329.95</v>
      </c>
      <c r="R111">
        <v>46451</v>
      </c>
    </row>
    <row r="112" spans="1:18" x14ac:dyDescent="0.25">
      <c r="A112" s="170">
        <v>44264</v>
      </c>
      <c r="B112" s="116">
        <v>33.4</v>
      </c>
      <c r="C112" s="116">
        <v>32.99</v>
      </c>
      <c r="D112" s="116">
        <v>32.774999999999999</v>
      </c>
      <c r="E112" s="116">
        <v>33.36</v>
      </c>
      <c r="F112" s="116">
        <v>329.9</v>
      </c>
      <c r="G112">
        <v>11137</v>
      </c>
      <c r="H112" s="116"/>
      <c r="I112" s="116"/>
      <c r="L112" s="170">
        <v>44264</v>
      </c>
      <c r="M112" s="116">
        <v>33.055</v>
      </c>
      <c r="N112" s="116">
        <v>33.479999999999997</v>
      </c>
      <c r="O112" s="116">
        <v>32.799999999999997</v>
      </c>
      <c r="P112" s="116">
        <v>33.479999999999997</v>
      </c>
      <c r="Q112" s="116">
        <v>330.55</v>
      </c>
      <c r="R112">
        <v>166877</v>
      </c>
    </row>
    <row r="113" spans="1:18" x14ac:dyDescent="0.25">
      <c r="A113" s="170">
        <v>44265</v>
      </c>
      <c r="B113" s="116">
        <v>33.195</v>
      </c>
      <c r="C113" s="116">
        <v>32.784999999999997</v>
      </c>
      <c r="D113" s="116">
        <v>32.729999999999997</v>
      </c>
      <c r="E113" s="116">
        <v>33.174999999999997</v>
      </c>
      <c r="F113" s="116">
        <v>327.85</v>
      </c>
      <c r="G113">
        <v>1498</v>
      </c>
      <c r="H113" s="116"/>
      <c r="I113" s="116"/>
      <c r="L113" s="170">
        <v>44265</v>
      </c>
      <c r="M113" s="116">
        <v>32.81</v>
      </c>
      <c r="N113" s="116">
        <v>33.274999999999999</v>
      </c>
      <c r="O113" s="116">
        <v>32.704999999999998</v>
      </c>
      <c r="P113" s="116">
        <v>33.1</v>
      </c>
      <c r="Q113" s="116">
        <v>328.1</v>
      </c>
      <c r="R113">
        <v>25336</v>
      </c>
    </row>
    <row r="114" spans="1:18" x14ac:dyDescent="0.25">
      <c r="A114" s="170">
        <v>44267</v>
      </c>
      <c r="B114" s="116">
        <v>33.744999999999997</v>
      </c>
      <c r="C114" s="116">
        <v>33.274999999999999</v>
      </c>
      <c r="D114" s="116">
        <v>32.685000000000002</v>
      </c>
      <c r="E114" s="116">
        <v>32.715000000000003</v>
      </c>
      <c r="F114" s="116">
        <v>332.75</v>
      </c>
      <c r="G114">
        <v>10025</v>
      </c>
      <c r="H114" s="116"/>
      <c r="I114" s="116"/>
      <c r="L114" s="170">
        <v>44267</v>
      </c>
      <c r="M114" s="116">
        <v>33.130000000000003</v>
      </c>
      <c r="N114" s="116">
        <v>33.799999999999997</v>
      </c>
      <c r="O114" s="116">
        <v>32.58</v>
      </c>
      <c r="P114" s="116">
        <v>33.174999999999997</v>
      </c>
      <c r="Q114" s="116">
        <v>331.3</v>
      </c>
      <c r="R114">
        <v>492026</v>
      </c>
    </row>
    <row r="115" spans="1:18" x14ac:dyDescent="0.25">
      <c r="A115" s="170">
        <v>44270</v>
      </c>
      <c r="B115" s="116">
        <v>33.575000000000003</v>
      </c>
      <c r="C115" s="116">
        <v>32.75</v>
      </c>
      <c r="D115" s="116">
        <v>32.299999999999997</v>
      </c>
      <c r="E115" s="116">
        <v>33.274999999999999</v>
      </c>
      <c r="F115" s="116">
        <v>327.5</v>
      </c>
      <c r="G115">
        <v>11558</v>
      </c>
      <c r="H115" s="116"/>
      <c r="I115" s="116"/>
      <c r="L115" s="170">
        <v>44270</v>
      </c>
      <c r="M115" s="116">
        <v>32.79</v>
      </c>
      <c r="N115" s="116">
        <v>33.65</v>
      </c>
      <c r="O115" s="116">
        <v>32.28</v>
      </c>
      <c r="P115" s="116">
        <v>33.5</v>
      </c>
      <c r="Q115" s="116">
        <v>327.9</v>
      </c>
      <c r="R115">
        <v>56650</v>
      </c>
    </row>
    <row r="116" spans="1:18" x14ac:dyDescent="0.25">
      <c r="A116" s="170">
        <v>44271</v>
      </c>
      <c r="B116" s="116">
        <v>33.1</v>
      </c>
      <c r="C116" s="116">
        <v>32.79</v>
      </c>
      <c r="D116" s="116">
        <v>32.774999999999999</v>
      </c>
      <c r="E116" s="116">
        <v>32.805</v>
      </c>
      <c r="F116" s="116">
        <v>327.9</v>
      </c>
      <c r="G116">
        <v>5502</v>
      </c>
      <c r="H116" s="116"/>
      <c r="I116" s="116"/>
      <c r="L116" s="170">
        <v>44271</v>
      </c>
      <c r="M116" s="116">
        <v>32.83</v>
      </c>
      <c r="N116" s="116">
        <v>33.155000000000001</v>
      </c>
      <c r="O116" s="116">
        <v>32.704999999999998</v>
      </c>
      <c r="P116" s="116">
        <v>32.96</v>
      </c>
      <c r="Q116" s="116">
        <v>328.3</v>
      </c>
      <c r="R116">
        <v>183789</v>
      </c>
    </row>
    <row r="117" spans="1:18" x14ac:dyDescent="0.25">
      <c r="A117" s="170">
        <v>44272</v>
      </c>
      <c r="B117" s="116">
        <v>32.869999999999997</v>
      </c>
      <c r="C117" s="116">
        <v>32.195</v>
      </c>
      <c r="D117" s="116">
        <v>32.11</v>
      </c>
      <c r="E117" s="116">
        <v>32.704999999999998</v>
      </c>
      <c r="F117" s="116">
        <v>321.95</v>
      </c>
      <c r="G117">
        <v>2375</v>
      </c>
      <c r="H117" s="116"/>
      <c r="I117" s="116"/>
      <c r="L117" s="170">
        <v>44272</v>
      </c>
      <c r="M117" s="116">
        <v>32.354999999999997</v>
      </c>
      <c r="N117" s="116">
        <v>32.984999999999999</v>
      </c>
      <c r="O117" s="116">
        <v>32.11</v>
      </c>
      <c r="P117" s="116">
        <v>32.9</v>
      </c>
      <c r="Q117" s="116">
        <v>323.55</v>
      </c>
      <c r="R117">
        <v>54533</v>
      </c>
    </row>
    <row r="118" spans="1:18" x14ac:dyDescent="0.25">
      <c r="A118" s="170">
        <v>44273</v>
      </c>
      <c r="B118" s="116">
        <v>32.445</v>
      </c>
      <c r="C118" s="116">
        <v>30.69</v>
      </c>
      <c r="D118" s="116">
        <v>30.434999999999999</v>
      </c>
      <c r="E118" s="116">
        <v>32.200000000000003</v>
      </c>
      <c r="F118" s="116">
        <v>306.89999999999998</v>
      </c>
      <c r="G118">
        <v>9621</v>
      </c>
      <c r="H118" s="116"/>
      <c r="I118" s="116"/>
      <c r="L118" s="170">
        <v>44273</v>
      </c>
      <c r="M118" s="116">
        <v>30.585000000000001</v>
      </c>
      <c r="N118" s="116">
        <v>32.5</v>
      </c>
      <c r="O118" s="116">
        <v>30.4</v>
      </c>
      <c r="P118" s="116">
        <v>32.354999999999997</v>
      </c>
      <c r="Q118" s="116">
        <v>305.85000000000002</v>
      </c>
      <c r="R118">
        <v>350947</v>
      </c>
    </row>
    <row r="119" spans="1:18" x14ac:dyDescent="0.25">
      <c r="A119" s="170">
        <v>44274</v>
      </c>
      <c r="B119" s="116">
        <v>31.195</v>
      </c>
      <c r="C119" s="116">
        <v>30.75</v>
      </c>
      <c r="D119" s="116">
        <v>30.024999999999999</v>
      </c>
      <c r="E119" s="116">
        <v>31</v>
      </c>
      <c r="F119" s="116">
        <v>307.5</v>
      </c>
      <c r="G119">
        <v>18738</v>
      </c>
      <c r="H119" s="116"/>
      <c r="I119" s="116"/>
      <c r="L119" s="170">
        <v>44274</v>
      </c>
      <c r="M119" s="116">
        <v>30.79</v>
      </c>
      <c r="N119" s="116">
        <v>31.19</v>
      </c>
      <c r="O119" s="116">
        <v>30</v>
      </c>
      <c r="P119" s="116">
        <v>30.6</v>
      </c>
      <c r="Q119" s="116">
        <v>307.89999999999998</v>
      </c>
      <c r="R119">
        <v>213721</v>
      </c>
    </row>
    <row r="120" spans="1:18" x14ac:dyDescent="0.25">
      <c r="A120" s="170">
        <v>44277</v>
      </c>
      <c r="B120" s="116">
        <v>31.5</v>
      </c>
      <c r="C120" s="116">
        <v>31.375</v>
      </c>
      <c r="D120" s="116">
        <v>30.565000000000001</v>
      </c>
      <c r="E120" s="116">
        <v>30.79</v>
      </c>
      <c r="F120" s="116">
        <v>313.75</v>
      </c>
      <c r="G120">
        <v>5628</v>
      </c>
      <c r="H120" s="116"/>
      <c r="I120" s="116"/>
      <c r="L120" s="170">
        <v>44277</v>
      </c>
      <c r="M120" s="116">
        <v>31.395</v>
      </c>
      <c r="N120" s="116">
        <v>31.55</v>
      </c>
      <c r="O120" s="116">
        <v>30.535</v>
      </c>
      <c r="P120" s="116">
        <v>30.6</v>
      </c>
      <c r="Q120" s="116">
        <v>313.95</v>
      </c>
      <c r="R120">
        <v>145667</v>
      </c>
    </row>
    <row r="121" spans="1:18" x14ac:dyDescent="0.25">
      <c r="A121" s="170">
        <v>44278</v>
      </c>
      <c r="B121" s="116">
        <v>31.68</v>
      </c>
      <c r="C121" s="116">
        <v>31.414999999999999</v>
      </c>
      <c r="D121" s="116">
        <v>31.31</v>
      </c>
      <c r="E121" s="116">
        <v>31.68</v>
      </c>
      <c r="F121" s="116">
        <v>314.14999999999998</v>
      </c>
      <c r="G121">
        <v>2623</v>
      </c>
      <c r="H121" s="116"/>
      <c r="I121" s="116"/>
      <c r="L121" s="170">
        <v>44278</v>
      </c>
      <c r="M121" s="116">
        <v>31.434999999999999</v>
      </c>
      <c r="N121" s="116">
        <v>31.79</v>
      </c>
      <c r="O121" s="116">
        <v>31.305</v>
      </c>
      <c r="P121" s="116">
        <v>31.79</v>
      </c>
      <c r="Q121" s="116">
        <v>314.35000000000002</v>
      </c>
      <c r="R121">
        <v>26343</v>
      </c>
    </row>
    <row r="122" spans="1:18" x14ac:dyDescent="0.25">
      <c r="A122" s="170">
        <v>44279</v>
      </c>
      <c r="B122" s="116">
        <v>31.25</v>
      </c>
      <c r="C122" s="116">
        <v>30.785</v>
      </c>
      <c r="D122" s="116">
        <v>30.765000000000001</v>
      </c>
      <c r="E122" s="116">
        <v>31.25</v>
      </c>
      <c r="F122" s="116">
        <v>307.85000000000002</v>
      </c>
      <c r="G122">
        <v>1617</v>
      </c>
      <c r="H122" s="116"/>
      <c r="I122" s="116"/>
      <c r="L122" s="170">
        <v>44279</v>
      </c>
      <c r="M122" s="116">
        <v>30.835000000000001</v>
      </c>
      <c r="N122" s="116">
        <v>31.39</v>
      </c>
      <c r="O122" s="116">
        <v>30.795000000000002</v>
      </c>
      <c r="P122" s="116">
        <v>31.39</v>
      </c>
      <c r="Q122" s="116">
        <v>308.35000000000002</v>
      </c>
      <c r="R122">
        <v>23497</v>
      </c>
    </row>
    <row r="123" spans="1:18" x14ac:dyDescent="0.25">
      <c r="A123" s="170">
        <v>44280</v>
      </c>
      <c r="B123" s="116">
        <v>30.6</v>
      </c>
      <c r="C123" s="116">
        <v>30.07</v>
      </c>
      <c r="D123" s="116">
        <v>29.934999999999999</v>
      </c>
      <c r="E123" s="116">
        <v>30.6</v>
      </c>
      <c r="F123" s="116">
        <v>300.7</v>
      </c>
      <c r="G123">
        <v>1679</v>
      </c>
      <c r="H123" s="116"/>
      <c r="I123" s="116"/>
      <c r="L123" s="170">
        <v>44280</v>
      </c>
      <c r="M123" s="116">
        <v>30.155000000000001</v>
      </c>
      <c r="N123" s="116">
        <v>30.9</v>
      </c>
      <c r="O123" s="116">
        <v>29.8</v>
      </c>
      <c r="P123" s="116">
        <v>30.835000000000001</v>
      </c>
      <c r="Q123" s="116">
        <v>301.55</v>
      </c>
      <c r="R123">
        <v>40112</v>
      </c>
    </row>
    <row r="124" spans="1:18" x14ac:dyDescent="0.25">
      <c r="A124" s="170">
        <v>44281</v>
      </c>
      <c r="B124" s="116">
        <v>30.745000000000001</v>
      </c>
      <c r="C124" s="116">
        <v>30.25</v>
      </c>
      <c r="D124" s="116">
        <v>30.09</v>
      </c>
      <c r="E124" s="116">
        <v>30.32</v>
      </c>
      <c r="F124" s="116">
        <v>302.5</v>
      </c>
      <c r="G124">
        <v>38802</v>
      </c>
      <c r="H124" s="116"/>
      <c r="I124" s="116"/>
      <c r="L124" s="170">
        <v>44281</v>
      </c>
      <c r="M124" s="116">
        <v>30.344999999999999</v>
      </c>
      <c r="N124" s="116">
        <v>30.9</v>
      </c>
      <c r="O124" s="116">
        <v>30.024999999999999</v>
      </c>
      <c r="P124" s="116">
        <v>30.155000000000001</v>
      </c>
      <c r="Q124" s="116">
        <v>303.45</v>
      </c>
      <c r="R124">
        <v>213094</v>
      </c>
    </row>
    <row r="125" spans="1:18" x14ac:dyDescent="0.25">
      <c r="A125" s="170">
        <v>44285</v>
      </c>
      <c r="B125" s="116">
        <v>30.524999999999999</v>
      </c>
      <c r="C125" s="116">
        <v>29.59</v>
      </c>
      <c r="D125" s="116">
        <v>29.484999999999999</v>
      </c>
      <c r="E125" s="116">
        <v>30.45</v>
      </c>
      <c r="F125" s="116">
        <v>295.89999999999998</v>
      </c>
      <c r="G125">
        <v>4101</v>
      </c>
      <c r="H125" s="116"/>
      <c r="I125" s="116"/>
      <c r="L125" s="170">
        <v>44285</v>
      </c>
      <c r="M125" s="116">
        <v>29.58</v>
      </c>
      <c r="N125" s="116">
        <v>30.56</v>
      </c>
      <c r="O125" s="116">
        <v>29.4</v>
      </c>
      <c r="P125" s="116">
        <v>30.5</v>
      </c>
      <c r="Q125" s="116">
        <v>295.8</v>
      </c>
      <c r="R125">
        <v>104256</v>
      </c>
    </row>
    <row r="126" spans="1:18" x14ac:dyDescent="0.25">
      <c r="A126" s="170">
        <v>44286</v>
      </c>
      <c r="B126" s="116">
        <v>29.75</v>
      </c>
      <c r="C126" s="116">
        <v>29.11</v>
      </c>
      <c r="D126" s="116">
        <v>29.024999999999999</v>
      </c>
      <c r="E126" s="116">
        <v>29.69</v>
      </c>
      <c r="F126" s="116">
        <v>291.10000000000002</v>
      </c>
      <c r="G126">
        <v>9561</v>
      </c>
      <c r="H126" s="116"/>
      <c r="I126" s="116"/>
      <c r="L126" s="170">
        <v>44286</v>
      </c>
      <c r="M126" s="116">
        <v>29.12</v>
      </c>
      <c r="N126" s="116">
        <v>29.81</v>
      </c>
      <c r="O126" s="116">
        <v>28.88</v>
      </c>
      <c r="P126" s="116">
        <v>29.79</v>
      </c>
      <c r="Q126" s="116">
        <v>291.2</v>
      </c>
      <c r="R126">
        <v>242689</v>
      </c>
    </row>
    <row r="127" spans="1:18" x14ac:dyDescent="0.25">
      <c r="A127" s="170">
        <v>44287</v>
      </c>
      <c r="B127" s="116">
        <v>30.145</v>
      </c>
      <c r="C127" s="116">
        <v>29.4</v>
      </c>
      <c r="D127" s="116">
        <v>29.225000000000001</v>
      </c>
      <c r="E127" s="116">
        <v>29.7</v>
      </c>
      <c r="F127" s="116">
        <v>294</v>
      </c>
      <c r="G127">
        <v>7287</v>
      </c>
      <c r="H127" s="116"/>
      <c r="I127" s="116"/>
      <c r="L127" s="170">
        <v>44287</v>
      </c>
      <c r="M127" s="116">
        <v>29.454999999999998</v>
      </c>
      <c r="N127" s="116">
        <v>30.15</v>
      </c>
      <c r="O127" s="116">
        <v>29.13</v>
      </c>
      <c r="P127" s="116">
        <v>29.13</v>
      </c>
      <c r="Q127" s="116">
        <v>294.55</v>
      </c>
      <c r="R127">
        <v>192526</v>
      </c>
    </row>
    <row r="128" spans="1:18" x14ac:dyDescent="0.25">
      <c r="A128" s="170">
        <v>44291</v>
      </c>
      <c r="B128" s="116">
        <v>30.2</v>
      </c>
      <c r="C128" s="116">
        <v>29.274999999999999</v>
      </c>
      <c r="D128" s="116">
        <v>28.675000000000001</v>
      </c>
      <c r="E128" s="116">
        <v>29.96</v>
      </c>
      <c r="F128" s="116">
        <v>292.75</v>
      </c>
      <c r="G128">
        <v>7635</v>
      </c>
      <c r="H128" s="116"/>
      <c r="I128" s="116"/>
      <c r="L128" s="170">
        <v>44291</v>
      </c>
      <c r="M128" s="116">
        <v>29.184999999999999</v>
      </c>
      <c r="N128" s="116">
        <v>30.3</v>
      </c>
      <c r="O128" s="116">
        <v>28.66</v>
      </c>
      <c r="P128" s="116">
        <v>30.05</v>
      </c>
      <c r="Q128" s="116">
        <v>291.85000000000002</v>
      </c>
      <c r="R128">
        <v>460068</v>
      </c>
    </row>
    <row r="129" spans="1:18" x14ac:dyDescent="0.25">
      <c r="A129" s="170">
        <v>44292</v>
      </c>
      <c r="B129" s="116">
        <v>29.925000000000001</v>
      </c>
      <c r="C129" s="116">
        <v>28.965</v>
      </c>
      <c r="D129" s="116">
        <v>28.86</v>
      </c>
      <c r="E129" s="116">
        <v>29.1</v>
      </c>
      <c r="F129" s="116">
        <v>289.64999999999998</v>
      </c>
      <c r="G129">
        <v>16140</v>
      </c>
      <c r="H129" s="116"/>
      <c r="I129" s="116"/>
      <c r="L129" s="170">
        <v>44292</v>
      </c>
      <c r="M129" s="116">
        <v>28.97</v>
      </c>
      <c r="N129" s="116">
        <v>29.92</v>
      </c>
      <c r="O129" s="116">
        <v>28.8</v>
      </c>
      <c r="P129" s="116">
        <v>29.5</v>
      </c>
      <c r="Q129" s="116">
        <v>289.7</v>
      </c>
      <c r="R129">
        <v>123821</v>
      </c>
    </row>
    <row r="130" spans="1:18" x14ac:dyDescent="0.25">
      <c r="A130" s="170">
        <v>44293</v>
      </c>
      <c r="B130" s="116">
        <v>29.82</v>
      </c>
      <c r="C130" s="116">
        <v>29.545000000000002</v>
      </c>
      <c r="D130" s="116">
        <v>28.95</v>
      </c>
      <c r="E130" s="116">
        <v>29.585000000000001</v>
      </c>
      <c r="F130" s="116">
        <v>295.45</v>
      </c>
      <c r="G130">
        <v>10501</v>
      </c>
      <c r="H130" s="116"/>
      <c r="I130" s="116"/>
      <c r="L130" s="170">
        <v>44293</v>
      </c>
      <c r="M130" s="116">
        <v>29.574999999999999</v>
      </c>
      <c r="N130" s="116">
        <v>29.9</v>
      </c>
      <c r="O130" s="116">
        <v>28.934999999999999</v>
      </c>
      <c r="P130" s="116">
        <v>29</v>
      </c>
      <c r="Q130" s="116">
        <v>295.75</v>
      </c>
      <c r="R130">
        <v>135707</v>
      </c>
    </row>
    <row r="131" spans="1:18" x14ac:dyDescent="0.25">
      <c r="A131" s="170">
        <v>44294</v>
      </c>
      <c r="B131" s="116">
        <v>30.295000000000002</v>
      </c>
      <c r="C131" s="116">
        <v>29.94</v>
      </c>
      <c r="D131" s="116">
        <v>29.57</v>
      </c>
      <c r="E131" s="116">
        <v>29.785</v>
      </c>
      <c r="F131" s="116">
        <v>299.39999999999998</v>
      </c>
      <c r="G131">
        <v>6873</v>
      </c>
      <c r="H131" s="116"/>
      <c r="I131" s="116"/>
      <c r="L131" s="170">
        <v>44294</v>
      </c>
      <c r="M131" s="116">
        <v>30.035</v>
      </c>
      <c r="N131" s="116">
        <v>30.36</v>
      </c>
      <c r="O131" s="116">
        <v>29.5</v>
      </c>
      <c r="P131" s="116">
        <v>29.535</v>
      </c>
      <c r="Q131" s="116">
        <v>300.35000000000002</v>
      </c>
      <c r="R131">
        <v>85177</v>
      </c>
    </row>
    <row r="132" spans="1:18" x14ac:dyDescent="0.25">
      <c r="A132" s="170">
        <v>44295</v>
      </c>
      <c r="B132" s="116">
        <v>31.1</v>
      </c>
      <c r="C132" s="116">
        <v>30.46</v>
      </c>
      <c r="D132" s="116">
        <v>29.844999999999999</v>
      </c>
      <c r="E132" s="116">
        <v>29.89</v>
      </c>
      <c r="F132" s="116">
        <v>304.60000000000002</v>
      </c>
      <c r="G132">
        <v>15977</v>
      </c>
      <c r="H132" s="116"/>
      <c r="I132" s="116"/>
      <c r="L132" s="170">
        <v>44295</v>
      </c>
      <c r="M132" s="116">
        <v>30.504999999999999</v>
      </c>
      <c r="N132" s="116">
        <v>31.1</v>
      </c>
      <c r="O132" s="116">
        <v>29.81</v>
      </c>
      <c r="P132" s="116">
        <v>29.9</v>
      </c>
      <c r="Q132" s="116">
        <v>305.05</v>
      </c>
      <c r="R132">
        <v>259944</v>
      </c>
    </row>
    <row r="133" spans="1:18" x14ac:dyDescent="0.25">
      <c r="A133" s="170">
        <v>44298</v>
      </c>
      <c r="B133" s="116">
        <v>30.87</v>
      </c>
      <c r="C133" s="116">
        <v>29.35</v>
      </c>
      <c r="D133" s="116">
        <v>28.21</v>
      </c>
      <c r="E133" s="116">
        <v>30.87</v>
      </c>
      <c r="F133" s="116">
        <v>293.5</v>
      </c>
      <c r="G133">
        <v>9888</v>
      </c>
      <c r="H133" s="116"/>
      <c r="I133" s="116"/>
      <c r="L133" s="170">
        <v>44298</v>
      </c>
      <c r="M133" s="116">
        <v>29.504999999999999</v>
      </c>
      <c r="N133" s="116">
        <v>30.19</v>
      </c>
      <c r="O133" s="116">
        <v>28.635000000000002</v>
      </c>
      <c r="P133" s="116">
        <v>30.19</v>
      </c>
      <c r="Q133" s="116">
        <v>295.05</v>
      </c>
      <c r="R133">
        <v>114414</v>
      </c>
    </row>
    <row r="134" spans="1:18" x14ac:dyDescent="0.25">
      <c r="A134" s="170">
        <v>44299</v>
      </c>
      <c r="B134" s="116">
        <v>29.9</v>
      </c>
      <c r="C134" s="116">
        <v>29.274999999999999</v>
      </c>
      <c r="D134" s="116">
        <v>29</v>
      </c>
      <c r="E134" s="116">
        <v>29.5</v>
      </c>
      <c r="F134" s="116">
        <v>292.75</v>
      </c>
      <c r="G134">
        <v>2444</v>
      </c>
      <c r="H134" s="116"/>
      <c r="I134" s="116"/>
      <c r="L134" s="170">
        <v>44299</v>
      </c>
      <c r="M134" s="116">
        <v>29.2</v>
      </c>
      <c r="N134" s="116">
        <v>29.895</v>
      </c>
      <c r="O134" s="116">
        <v>28.95</v>
      </c>
      <c r="P134" s="116">
        <v>29.5</v>
      </c>
      <c r="Q134" s="116">
        <v>292</v>
      </c>
      <c r="R134">
        <v>59505</v>
      </c>
    </row>
    <row r="135" spans="1:18" x14ac:dyDescent="0.25">
      <c r="A135" s="170">
        <v>44301</v>
      </c>
      <c r="B135" s="116">
        <v>29.824999999999999</v>
      </c>
      <c r="C135" s="116">
        <v>29.67</v>
      </c>
      <c r="D135" s="116">
        <v>28.605</v>
      </c>
      <c r="E135" s="116">
        <v>28.914999999999999</v>
      </c>
      <c r="F135" s="116">
        <v>296.7</v>
      </c>
      <c r="G135">
        <v>5872</v>
      </c>
      <c r="H135" s="116"/>
      <c r="I135" s="116"/>
      <c r="L135" s="170">
        <v>44301</v>
      </c>
      <c r="M135" s="116">
        <v>29.715</v>
      </c>
      <c r="N135" s="116">
        <v>29.9</v>
      </c>
      <c r="O135" s="116">
        <v>28.81</v>
      </c>
      <c r="P135" s="116">
        <v>28.81</v>
      </c>
      <c r="Q135" s="116">
        <v>297.14999999999998</v>
      </c>
      <c r="R135">
        <v>76573</v>
      </c>
    </row>
    <row r="136" spans="1:18" x14ac:dyDescent="0.25">
      <c r="A136" s="170">
        <v>44302</v>
      </c>
      <c r="B136" s="116">
        <v>33.979999999999997</v>
      </c>
      <c r="C136" s="116">
        <v>32.305</v>
      </c>
      <c r="D136" s="116">
        <v>29.9</v>
      </c>
      <c r="E136" s="116">
        <v>29.9</v>
      </c>
      <c r="F136" s="116">
        <v>323.05</v>
      </c>
      <c r="G136">
        <v>30674</v>
      </c>
      <c r="H136" s="116"/>
      <c r="I136" s="116"/>
      <c r="L136" s="170">
        <v>44302</v>
      </c>
      <c r="M136" s="116">
        <v>32.305</v>
      </c>
      <c r="N136" s="116">
        <v>34</v>
      </c>
      <c r="O136" s="116">
        <v>30.1</v>
      </c>
      <c r="P136" s="116">
        <v>30.1</v>
      </c>
      <c r="Q136" s="116">
        <v>323.05</v>
      </c>
      <c r="R136">
        <v>1139518</v>
      </c>
    </row>
    <row r="137" spans="1:18" x14ac:dyDescent="0.25">
      <c r="A137" s="170">
        <v>44305</v>
      </c>
      <c r="B137" s="116">
        <v>34.22</v>
      </c>
      <c r="C137" s="116">
        <v>33.369999999999997</v>
      </c>
      <c r="D137" s="116">
        <v>30.074999999999999</v>
      </c>
      <c r="E137" s="116">
        <v>30.1</v>
      </c>
      <c r="F137" s="116">
        <v>333.7</v>
      </c>
      <c r="G137">
        <v>32786</v>
      </c>
      <c r="H137" s="116"/>
      <c r="I137" s="116"/>
      <c r="L137" s="170">
        <v>44305</v>
      </c>
      <c r="M137" s="116">
        <v>33.284999999999997</v>
      </c>
      <c r="N137" s="116">
        <v>34.200000000000003</v>
      </c>
      <c r="O137" s="116">
        <v>30</v>
      </c>
      <c r="P137" s="116">
        <v>31</v>
      </c>
      <c r="Q137" s="116">
        <v>332.85</v>
      </c>
      <c r="R137">
        <v>600914</v>
      </c>
    </row>
    <row r="138" spans="1:18" x14ac:dyDescent="0.25">
      <c r="A138" s="170">
        <v>44306</v>
      </c>
      <c r="B138" s="116">
        <v>35.5</v>
      </c>
      <c r="C138" s="116">
        <v>33.965000000000003</v>
      </c>
      <c r="D138" s="116">
        <v>33.5</v>
      </c>
      <c r="E138" s="116">
        <v>33.604999999999997</v>
      </c>
      <c r="F138" s="116">
        <v>339.65</v>
      </c>
      <c r="G138">
        <v>73371</v>
      </c>
      <c r="H138" s="116"/>
      <c r="I138" s="116"/>
      <c r="L138" s="170">
        <v>44306</v>
      </c>
      <c r="M138" s="116">
        <v>34.03</v>
      </c>
      <c r="N138" s="116">
        <v>35.58</v>
      </c>
      <c r="O138" s="116">
        <v>33.4</v>
      </c>
      <c r="P138" s="116">
        <v>33.4</v>
      </c>
      <c r="Q138" s="116">
        <v>340.3</v>
      </c>
      <c r="R138">
        <v>1039579</v>
      </c>
    </row>
    <row r="139" spans="1:18" x14ac:dyDescent="0.25">
      <c r="A139" s="170">
        <v>44308</v>
      </c>
      <c r="B139" s="116">
        <v>36.909999999999997</v>
      </c>
      <c r="C139" s="116">
        <v>36.414999999999999</v>
      </c>
      <c r="D139" s="116">
        <v>33.865000000000002</v>
      </c>
      <c r="E139" s="116">
        <v>34.045000000000002</v>
      </c>
      <c r="F139" s="116">
        <v>364.15</v>
      </c>
      <c r="G139">
        <v>44196</v>
      </c>
      <c r="H139" s="116"/>
      <c r="I139" s="116"/>
      <c r="L139" s="170">
        <v>44308</v>
      </c>
      <c r="M139" s="116">
        <v>36.454999999999998</v>
      </c>
      <c r="N139" s="116">
        <v>36.965000000000003</v>
      </c>
      <c r="O139" s="116">
        <v>33.630000000000003</v>
      </c>
      <c r="P139" s="116">
        <v>34.03</v>
      </c>
      <c r="Q139" s="116">
        <v>364.55</v>
      </c>
      <c r="R139">
        <v>944251</v>
      </c>
    </row>
    <row r="140" spans="1:18" x14ac:dyDescent="0.25">
      <c r="A140" s="170">
        <v>44309</v>
      </c>
      <c r="B140" s="116">
        <v>37.799999999999997</v>
      </c>
      <c r="C140" s="116">
        <v>34.57</v>
      </c>
      <c r="D140" s="116">
        <v>34.299999999999997</v>
      </c>
      <c r="E140" s="116">
        <v>36.414999999999999</v>
      </c>
      <c r="F140" s="116">
        <v>345.7</v>
      </c>
      <c r="G140">
        <v>29725</v>
      </c>
      <c r="H140" s="116"/>
      <c r="I140" s="116"/>
      <c r="L140" s="170">
        <v>44309</v>
      </c>
      <c r="M140" s="116">
        <v>34.615000000000002</v>
      </c>
      <c r="N140" s="116">
        <v>37.950000000000003</v>
      </c>
      <c r="O140" s="116">
        <v>34.299999999999997</v>
      </c>
      <c r="P140" s="116">
        <v>36.25</v>
      </c>
      <c r="Q140" s="116">
        <v>346.15</v>
      </c>
      <c r="R140">
        <v>644327</v>
      </c>
    </row>
    <row r="141" spans="1:18" x14ac:dyDescent="0.25">
      <c r="A141" s="170">
        <v>44312</v>
      </c>
      <c r="B141" s="116">
        <v>37.17</v>
      </c>
      <c r="C141" s="116">
        <v>36.6</v>
      </c>
      <c r="D141" s="116">
        <v>34.695</v>
      </c>
      <c r="E141" s="116">
        <v>35.99</v>
      </c>
      <c r="F141" s="116">
        <v>366</v>
      </c>
      <c r="G141">
        <v>30212</v>
      </c>
      <c r="H141" s="116"/>
      <c r="I141" s="116"/>
      <c r="L141" s="170">
        <v>44312</v>
      </c>
      <c r="M141" s="116">
        <v>36.64</v>
      </c>
      <c r="N141" s="116">
        <v>37.18</v>
      </c>
      <c r="O141" s="116">
        <v>34.625</v>
      </c>
      <c r="P141" s="116">
        <v>35.395000000000003</v>
      </c>
      <c r="Q141" s="116">
        <v>366.4</v>
      </c>
      <c r="R141">
        <v>471212</v>
      </c>
    </row>
    <row r="142" spans="1:18" x14ac:dyDescent="0.25">
      <c r="A142" s="170">
        <v>44313</v>
      </c>
      <c r="B142" s="116">
        <v>39</v>
      </c>
      <c r="C142" s="116">
        <v>37.344999999999999</v>
      </c>
      <c r="D142" s="116">
        <v>36.575000000000003</v>
      </c>
      <c r="E142" s="116">
        <v>36.9</v>
      </c>
      <c r="F142" s="116">
        <v>373.45</v>
      </c>
      <c r="G142">
        <v>79714</v>
      </c>
      <c r="H142" s="116"/>
      <c r="I142" s="116"/>
      <c r="L142" s="170">
        <v>44313</v>
      </c>
      <c r="M142" s="116">
        <v>37.36</v>
      </c>
      <c r="N142" s="116">
        <v>38.5</v>
      </c>
      <c r="O142" s="116">
        <v>36.645000000000003</v>
      </c>
      <c r="P142" s="116">
        <v>37.39</v>
      </c>
      <c r="Q142" s="116">
        <v>373.6</v>
      </c>
      <c r="R142">
        <v>658582</v>
      </c>
    </row>
    <row r="143" spans="1:18" x14ac:dyDescent="0.25">
      <c r="A143" s="170">
        <v>44314</v>
      </c>
      <c r="B143" s="116">
        <v>38.450000000000003</v>
      </c>
      <c r="C143" s="116">
        <v>36.585000000000001</v>
      </c>
      <c r="D143" s="116">
        <v>36.33</v>
      </c>
      <c r="E143" s="116">
        <v>37.994999999999997</v>
      </c>
      <c r="F143" s="116">
        <v>365.85</v>
      </c>
      <c r="G143">
        <v>31373</v>
      </c>
      <c r="H143" s="116"/>
      <c r="I143" s="116"/>
      <c r="L143" s="170">
        <v>44314</v>
      </c>
      <c r="M143" s="116">
        <v>36.545000000000002</v>
      </c>
      <c r="N143" s="116">
        <v>38.49</v>
      </c>
      <c r="O143" s="116">
        <v>36.265000000000001</v>
      </c>
      <c r="P143" s="116">
        <v>37.5</v>
      </c>
      <c r="Q143" s="116">
        <v>365.45</v>
      </c>
      <c r="R143">
        <v>525905</v>
      </c>
    </row>
    <row r="144" spans="1:18" x14ac:dyDescent="0.25">
      <c r="A144" s="170">
        <v>44315</v>
      </c>
      <c r="B144" s="116">
        <v>37.494999999999997</v>
      </c>
      <c r="C144" s="116">
        <v>35.92</v>
      </c>
      <c r="D144" s="116">
        <v>35.6</v>
      </c>
      <c r="E144" s="116">
        <v>37.46</v>
      </c>
      <c r="F144" s="116">
        <v>359.2</v>
      </c>
      <c r="G144">
        <v>28710</v>
      </c>
      <c r="H144" s="116"/>
      <c r="I144" s="116"/>
      <c r="L144" s="170">
        <v>44315</v>
      </c>
      <c r="M144" s="116">
        <v>35.92</v>
      </c>
      <c r="N144" s="116">
        <v>37.534999999999997</v>
      </c>
      <c r="O144" s="116">
        <v>35.6</v>
      </c>
      <c r="P144" s="116">
        <v>36.704999999999998</v>
      </c>
      <c r="Q144" s="116">
        <v>359.2</v>
      </c>
      <c r="R144">
        <v>319467</v>
      </c>
    </row>
    <row r="145" spans="1:18" x14ac:dyDescent="0.25">
      <c r="A145" s="170">
        <v>44316</v>
      </c>
      <c r="B145" s="116">
        <v>37.545000000000002</v>
      </c>
      <c r="C145" s="116">
        <v>36.86</v>
      </c>
      <c r="D145" s="116">
        <v>35.479999999999997</v>
      </c>
      <c r="E145" s="116">
        <v>36.49</v>
      </c>
      <c r="F145" s="116">
        <v>368.6</v>
      </c>
      <c r="G145">
        <v>17229</v>
      </c>
      <c r="H145" s="116"/>
      <c r="I145" s="116"/>
      <c r="L145" s="170">
        <v>44316</v>
      </c>
      <c r="M145" s="116">
        <v>37.03</v>
      </c>
      <c r="N145" s="116">
        <v>37.6</v>
      </c>
      <c r="O145" s="116">
        <v>35.424999999999997</v>
      </c>
      <c r="P145" s="116">
        <v>35.89</v>
      </c>
      <c r="Q145" s="116">
        <v>370.3</v>
      </c>
      <c r="R145">
        <v>231071</v>
      </c>
    </row>
    <row r="146" spans="1:18" x14ac:dyDescent="0.25">
      <c r="A146" s="170">
        <v>44319</v>
      </c>
      <c r="B146" s="116">
        <v>38.325000000000003</v>
      </c>
      <c r="C146" s="116">
        <v>38.075000000000003</v>
      </c>
      <c r="D146" s="116">
        <v>37.145000000000003</v>
      </c>
      <c r="E146" s="116">
        <v>37.479999999999997</v>
      </c>
      <c r="F146" s="116">
        <v>380.75</v>
      </c>
      <c r="G146">
        <v>17336</v>
      </c>
      <c r="H146" s="116"/>
      <c r="I146" s="116"/>
      <c r="L146" s="170">
        <v>44319</v>
      </c>
      <c r="M146" s="116">
        <v>38.094999999999999</v>
      </c>
      <c r="N146" s="116">
        <v>38.375</v>
      </c>
      <c r="O146" s="116">
        <v>37.1</v>
      </c>
      <c r="P146" s="116">
        <v>37.1</v>
      </c>
      <c r="Q146" s="116">
        <v>380.95</v>
      </c>
      <c r="R146">
        <v>493969</v>
      </c>
    </row>
    <row r="147" spans="1:18" x14ac:dyDescent="0.25">
      <c r="A147" s="170">
        <v>44320</v>
      </c>
      <c r="B147" s="116">
        <v>45.69</v>
      </c>
      <c r="C147" s="116">
        <v>42.65</v>
      </c>
      <c r="D147" s="116">
        <v>38.700000000000003</v>
      </c>
      <c r="E147" s="116">
        <v>38.935000000000002</v>
      </c>
      <c r="F147" s="116">
        <v>426.5</v>
      </c>
      <c r="G147">
        <v>281776</v>
      </c>
      <c r="H147" s="116"/>
      <c r="I147" s="116"/>
      <c r="L147" s="170">
        <v>44320</v>
      </c>
      <c r="M147" s="116">
        <v>42.805</v>
      </c>
      <c r="N147" s="116">
        <v>45.71</v>
      </c>
      <c r="O147" s="116">
        <v>38.405000000000001</v>
      </c>
      <c r="P147" s="116">
        <v>38.46</v>
      </c>
      <c r="Q147" s="116">
        <v>428.05</v>
      </c>
      <c r="R147">
        <v>5032797</v>
      </c>
    </row>
    <row r="148" spans="1:18" x14ac:dyDescent="0.25">
      <c r="A148" s="170">
        <v>44321</v>
      </c>
      <c r="B148" s="116">
        <v>45.85</v>
      </c>
      <c r="C148" s="116">
        <v>42.36</v>
      </c>
      <c r="D148" s="116">
        <v>41</v>
      </c>
      <c r="E148" s="116">
        <v>45.64</v>
      </c>
      <c r="F148" s="116">
        <v>423.6</v>
      </c>
      <c r="G148">
        <v>199806</v>
      </c>
      <c r="H148" s="116"/>
      <c r="I148" s="116"/>
      <c r="L148" s="170">
        <v>44321</v>
      </c>
      <c r="M148" s="116">
        <v>42.685000000000002</v>
      </c>
      <c r="N148" s="116">
        <v>46</v>
      </c>
      <c r="O148" s="116">
        <v>40.664999999999999</v>
      </c>
      <c r="P148" s="116">
        <v>43.43</v>
      </c>
      <c r="Q148" s="116">
        <v>426.85</v>
      </c>
      <c r="R148">
        <v>2979183</v>
      </c>
    </row>
    <row r="149" spans="1:18" x14ac:dyDescent="0.25">
      <c r="A149" s="170">
        <v>44322</v>
      </c>
      <c r="B149" s="116">
        <v>50.83</v>
      </c>
      <c r="C149" s="116">
        <v>50.83</v>
      </c>
      <c r="D149" s="116">
        <v>43.25</v>
      </c>
      <c r="E149" s="116">
        <v>44.3</v>
      </c>
      <c r="F149" s="116">
        <v>508.3</v>
      </c>
      <c r="G149">
        <v>243184</v>
      </c>
      <c r="H149" s="116"/>
      <c r="I149" s="116"/>
      <c r="L149" s="170">
        <v>44322</v>
      </c>
      <c r="M149" s="116">
        <v>51.22</v>
      </c>
      <c r="N149" s="116">
        <v>51.22</v>
      </c>
      <c r="O149" s="116">
        <v>43.22</v>
      </c>
      <c r="P149" s="116">
        <v>44</v>
      </c>
      <c r="Q149" s="116">
        <v>512.20000000000005</v>
      </c>
      <c r="R149">
        <v>4552784</v>
      </c>
    </row>
    <row r="150" spans="1:18" x14ac:dyDescent="0.25">
      <c r="A150" s="170">
        <v>44323</v>
      </c>
      <c r="B150" s="116">
        <v>55.91</v>
      </c>
      <c r="C150" s="116">
        <v>55.685000000000002</v>
      </c>
      <c r="D150" s="116">
        <v>51.7</v>
      </c>
      <c r="E150" s="116">
        <v>54.8</v>
      </c>
      <c r="F150" s="116">
        <v>556.85</v>
      </c>
      <c r="G150">
        <v>219516</v>
      </c>
      <c r="H150" s="116"/>
      <c r="I150" s="116"/>
      <c r="L150" s="170">
        <v>44323</v>
      </c>
      <c r="M150" s="116">
        <v>56.064999999999998</v>
      </c>
      <c r="N150" s="116">
        <v>56.34</v>
      </c>
      <c r="O150" s="116">
        <v>51.655000000000001</v>
      </c>
      <c r="P150" s="116">
        <v>55</v>
      </c>
      <c r="Q150" s="116">
        <v>560.65</v>
      </c>
      <c r="R150">
        <v>3776478</v>
      </c>
    </row>
    <row r="151" spans="1:18" x14ac:dyDescent="0.25">
      <c r="A151" s="170">
        <v>44326</v>
      </c>
      <c r="B151" s="116">
        <v>61.25</v>
      </c>
      <c r="C151" s="116">
        <v>61.25</v>
      </c>
      <c r="D151" s="116">
        <v>54.284999999999997</v>
      </c>
      <c r="E151" s="116">
        <v>55.935000000000002</v>
      </c>
      <c r="F151" s="116">
        <v>612.5</v>
      </c>
      <c r="G151">
        <v>114815</v>
      </c>
      <c r="H151" s="116"/>
      <c r="I151" s="116"/>
      <c r="L151" s="170">
        <v>44326</v>
      </c>
      <c r="M151" s="116">
        <v>61.67</v>
      </c>
      <c r="N151" s="116">
        <v>61.67</v>
      </c>
      <c r="O151" s="116">
        <v>54</v>
      </c>
      <c r="P151" s="116">
        <v>56.1</v>
      </c>
      <c r="Q151" s="116">
        <v>616.70000000000005</v>
      </c>
      <c r="R151">
        <v>2491062</v>
      </c>
    </row>
    <row r="152" spans="1:18" x14ac:dyDescent="0.25">
      <c r="A152" s="170">
        <v>44327</v>
      </c>
      <c r="B152" s="116">
        <v>67.375</v>
      </c>
      <c r="C152" s="116">
        <v>66.394999999999996</v>
      </c>
      <c r="D152" s="116">
        <v>63.2</v>
      </c>
      <c r="E152" s="116">
        <v>63.3</v>
      </c>
      <c r="F152" s="116">
        <v>663.95</v>
      </c>
      <c r="G152">
        <v>184382</v>
      </c>
      <c r="H152" s="116"/>
      <c r="I152" s="116"/>
      <c r="L152" s="170">
        <v>44327</v>
      </c>
      <c r="M152" s="116">
        <v>66.415000000000006</v>
      </c>
      <c r="N152" s="116">
        <v>67.834999999999994</v>
      </c>
      <c r="O152" s="116">
        <v>63.5</v>
      </c>
      <c r="P152" s="116">
        <v>63.5</v>
      </c>
      <c r="Q152" s="116">
        <v>664.15</v>
      </c>
      <c r="R152">
        <v>3496238</v>
      </c>
    </row>
    <row r="153" spans="1:18" x14ac:dyDescent="0.25">
      <c r="A153" s="170">
        <v>44328</v>
      </c>
      <c r="B153" s="116">
        <v>68.92</v>
      </c>
      <c r="C153" s="116">
        <v>65.52</v>
      </c>
      <c r="D153" s="116">
        <v>64.22</v>
      </c>
      <c r="E153" s="116">
        <v>66.5</v>
      </c>
      <c r="F153" s="116">
        <v>655.20000000000005</v>
      </c>
      <c r="G153">
        <v>77890</v>
      </c>
      <c r="H153" s="116"/>
      <c r="I153" s="116"/>
      <c r="L153" s="170">
        <v>44328</v>
      </c>
      <c r="M153" s="116">
        <v>65.444999999999993</v>
      </c>
      <c r="N153" s="116">
        <v>69</v>
      </c>
      <c r="O153" s="116">
        <v>64.234999999999999</v>
      </c>
      <c r="P153" s="116">
        <v>66.099999999999994</v>
      </c>
      <c r="Q153" s="116">
        <v>654.45000000000005</v>
      </c>
      <c r="R153">
        <v>1423048</v>
      </c>
    </row>
    <row r="154" spans="1:18" x14ac:dyDescent="0.25">
      <c r="A154" s="170">
        <v>44330</v>
      </c>
      <c r="B154" s="116">
        <v>68.099999999999994</v>
      </c>
      <c r="C154" s="116">
        <v>65.875</v>
      </c>
      <c r="D154" s="116">
        <v>63.994999999999997</v>
      </c>
      <c r="E154" s="116">
        <v>66</v>
      </c>
      <c r="F154" s="116">
        <v>658.75</v>
      </c>
      <c r="G154">
        <v>65212</v>
      </c>
      <c r="H154" s="116"/>
      <c r="I154" s="116"/>
      <c r="L154" s="170">
        <v>44330</v>
      </c>
      <c r="M154" s="116">
        <v>65.894999999999996</v>
      </c>
      <c r="N154" s="116">
        <v>67.97</v>
      </c>
      <c r="O154" s="116">
        <v>64</v>
      </c>
      <c r="P154" s="116">
        <v>66.150000000000006</v>
      </c>
      <c r="Q154" s="116">
        <v>658.95</v>
      </c>
      <c r="R154">
        <v>669912</v>
      </c>
    </row>
    <row r="155" spans="1:18" x14ac:dyDescent="0.25">
      <c r="A155" s="170">
        <v>44333</v>
      </c>
      <c r="B155" s="116">
        <v>67.5</v>
      </c>
      <c r="C155" s="116">
        <v>65.905000000000001</v>
      </c>
      <c r="D155" s="116">
        <v>62.95</v>
      </c>
      <c r="E155" s="116">
        <v>66</v>
      </c>
      <c r="F155" s="116">
        <v>659.05</v>
      </c>
      <c r="G155">
        <v>52026</v>
      </c>
      <c r="H155" s="116"/>
      <c r="I155" s="116"/>
      <c r="L155" s="170">
        <v>44333</v>
      </c>
      <c r="M155" s="116">
        <v>65.48</v>
      </c>
      <c r="N155" s="116">
        <v>67.47</v>
      </c>
      <c r="O155" s="116">
        <v>62.94</v>
      </c>
      <c r="P155" s="116">
        <v>66.400000000000006</v>
      </c>
      <c r="Q155" s="116">
        <v>654.79999999999995</v>
      </c>
      <c r="R155">
        <v>882186</v>
      </c>
    </row>
    <row r="156" spans="1:18" x14ac:dyDescent="0.25">
      <c r="A156" s="170">
        <v>44334</v>
      </c>
      <c r="B156" s="116">
        <v>66.39</v>
      </c>
      <c r="C156" s="116">
        <v>65.215000000000003</v>
      </c>
      <c r="D156" s="116">
        <v>64.569999999999993</v>
      </c>
      <c r="E156" s="116">
        <v>65.2</v>
      </c>
      <c r="F156" s="116">
        <v>652.15</v>
      </c>
      <c r="G156">
        <v>42369</v>
      </c>
      <c r="H156" s="116"/>
      <c r="I156" s="116"/>
      <c r="L156" s="170">
        <v>44334</v>
      </c>
      <c r="M156" s="116">
        <v>65.245000000000005</v>
      </c>
      <c r="N156" s="116">
        <v>66.400000000000006</v>
      </c>
      <c r="O156" s="116">
        <v>64.5</v>
      </c>
      <c r="P156" s="116">
        <v>65.48</v>
      </c>
      <c r="Q156" s="116">
        <v>652.45000000000005</v>
      </c>
      <c r="R156">
        <v>336782</v>
      </c>
    </row>
    <row r="157" spans="1:18" x14ac:dyDescent="0.25">
      <c r="A157" s="170">
        <v>44335</v>
      </c>
      <c r="B157" s="116">
        <v>68.474999999999994</v>
      </c>
      <c r="C157" s="116">
        <v>68.474999999999994</v>
      </c>
      <c r="D157" s="116">
        <v>64.66</v>
      </c>
      <c r="E157" s="116">
        <v>67.194999999999993</v>
      </c>
      <c r="F157" s="116">
        <v>684.75</v>
      </c>
      <c r="G157">
        <v>44858</v>
      </c>
      <c r="H157" s="116"/>
      <c r="I157" s="116"/>
      <c r="L157" s="170">
        <v>44335</v>
      </c>
      <c r="M157" s="116">
        <v>68.504999999999995</v>
      </c>
      <c r="N157" s="116">
        <v>68.504999999999995</v>
      </c>
      <c r="O157" s="116">
        <v>64.665000000000006</v>
      </c>
      <c r="P157" s="116">
        <v>64.98</v>
      </c>
      <c r="Q157" s="116">
        <v>685.05</v>
      </c>
      <c r="R157">
        <v>813209</v>
      </c>
    </row>
    <row r="158" spans="1:18" x14ac:dyDescent="0.25">
      <c r="A158" s="170">
        <v>44336</v>
      </c>
      <c r="B158" s="116">
        <v>71.894999999999996</v>
      </c>
      <c r="C158" s="116">
        <v>71.894999999999996</v>
      </c>
      <c r="D158" s="116">
        <v>70.125</v>
      </c>
      <c r="E158" s="116">
        <v>70.125</v>
      </c>
      <c r="F158" s="116">
        <v>718.95</v>
      </c>
      <c r="G158">
        <v>44058</v>
      </c>
      <c r="H158" s="116"/>
      <c r="I158" s="116"/>
      <c r="L158" s="170">
        <v>44336</v>
      </c>
      <c r="M158" s="116">
        <v>71.930000000000007</v>
      </c>
      <c r="N158" s="116">
        <v>71.930000000000007</v>
      </c>
      <c r="O158" s="116">
        <v>70.2</v>
      </c>
      <c r="P158" s="116">
        <v>70.5</v>
      </c>
      <c r="Q158" s="116">
        <v>719.3</v>
      </c>
      <c r="R158">
        <v>454108</v>
      </c>
    </row>
    <row r="159" spans="1:18" x14ac:dyDescent="0.25">
      <c r="A159" s="170">
        <v>44337</v>
      </c>
      <c r="B159" s="116">
        <v>75.484999999999999</v>
      </c>
      <c r="C159" s="116">
        <v>75.14</v>
      </c>
      <c r="D159" s="116">
        <v>69.09</v>
      </c>
      <c r="E159" s="116">
        <v>75.484999999999999</v>
      </c>
      <c r="F159" s="116">
        <v>751.4</v>
      </c>
      <c r="G159">
        <v>116917</v>
      </c>
      <c r="H159" s="116"/>
      <c r="I159" s="116"/>
      <c r="L159" s="170">
        <v>44337</v>
      </c>
      <c r="M159" s="116">
        <v>74.924999999999997</v>
      </c>
      <c r="N159" s="116">
        <v>75.525000000000006</v>
      </c>
      <c r="O159" s="116">
        <v>69.11</v>
      </c>
      <c r="P159" s="116">
        <v>75.525000000000006</v>
      </c>
      <c r="Q159" s="116">
        <v>749.25</v>
      </c>
      <c r="R159">
        <v>973815</v>
      </c>
    </row>
    <row r="160" spans="1:18" x14ac:dyDescent="0.25">
      <c r="A160" s="170">
        <v>44340</v>
      </c>
      <c r="B160" s="116">
        <v>78.894999999999996</v>
      </c>
      <c r="C160" s="116">
        <v>74.924999999999997</v>
      </c>
      <c r="D160" s="116">
        <v>72.015000000000001</v>
      </c>
      <c r="E160" s="116">
        <v>76.400000000000006</v>
      </c>
      <c r="F160" s="116">
        <v>749.25</v>
      </c>
      <c r="G160">
        <v>98112</v>
      </c>
      <c r="H160" s="116"/>
      <c r="I160" s="116"/>
      <c r="L160" s="170">
        <v>44340</v>
      </c>
      <c r="M160" s="116">
        <v>75.23</v>
      </c>
      <c r="N160" s="116">
        <v>78.67</v>
      </c>
      <c r="O160" s="116">
        <v>73.655000000000001</v>
      </c>
      <c r="P160" s="116">
        <v>76.150000000000006</v>
      </c>
      <c r="Q160" s="116">
        <v>752.3</v>
      </c>
      <c r="R160">
        <v>706169</v>
      </c>
    </row>
    <row r="161" spans="1:18" x14ac:dyDescent="0.25">
      <c r="A161" s="170">
        <v>44341</v>
      </c>
      <c r="B161" s="116">
        <v>76.064999999999998</v>
      </c>
      <c r="C161" s="116">
        <v>71.180000000000007</v>
      </c>
      <c r="D161" s="116">
        <v>71.180000000000007</v>
      </c>
      <c r="E161" s="116">
        <v>76.064999999999998</v>
      </c>
      <c r="F161" s="116">
        <v>711.8</v>
      </c>
      <c r="G161">
        <v>65513</v>
      </c>
      <c r="H161" s="116"/>
      <c r="I161" s="116"/>
      <c r="L161" s="170">
        <v>44341</v>
      </c>
      <c r="M161" s="116">
        <v>71.47</v>
      </c>
      <c r="N161" s="116">
        <v>75.599999999999994</v>
      </c>
      <c r="O161" s="116">
        <v>71.47</v>
      </c>
      <c r="P161" s="116">
        <v>75</v>
      </c>
      <c r="Q161" s="116">
        <v>714.7</v>
      </c>
      <c r="R161">
        <v>482472</v>
      </c>
    </row>
    <row r="162" spans="1:18" x14ac:dyDescent="0.25">
      <c r="A162" s="170">
        <v>44342</v>
      </c>
      <c r="B162" s="116">
        <v>74.734999999999999</v>
      </c>
      <c r="C162" s="116">
        <v>74.734999999999999</v>
      </c>
      <c r="D162" s="116">
        <v>67.97</v>
      </c>
      <c r="E162" s="116">
        <v>70.790000000000006</v>
      </c>
      <c r="F162" s="116">
        <v>747.35</v>
      </c>
      <c r="G162">
        <v>39409</v>
      </c>
      <c r="H162" s="116"/>
      <c r="I162" s="116"/>
      <c r="L162" s="170">
        <v>44342</v>
      </c>
      <c r="M162" s="116">
        <v>75.040000000000006</v>
      </c>
      <c r="N162" s="116">
        <v>75.040000000000006</v>
      </c>
      <c r="O162" s="116">
        <v>67.900000000000006</v>
      </c>
      <c r="P162" s="116">
        <v>69.900000000000006</v>
      </c>
      <c r="Q162" s="116">
        <v>750.4</v>
      </c>
      <c r="R162">
        <v>623871</v>
      </c>
    </row>
    <row r="163" spans="1:18" x14ac:dyDescent="0.25">
      <c r="A163" s="170">
        <v>44343</v>
      </c>
      <c r="B163" s="116">
        <v>78.47</v>
      </c>
      <c r="C163" s="116">
        <v>73.290000000000006</v>
      </c>
      <c r="D163" s="116">
        <v>72.004999999999995</v>
      </c>
      <c r="E163" s="116">
        <v>77.995000000000005</v>
      </c>
      <c r="F163" s="116">
        <v>732.9</v>
      </c>
      <c r="G163">
        <v>59025</v>
      </c>
      <c r="H163" s="116"/>
      <c r="I163" s="116"/>
      <c r="L163" s="170">
        <v>44343</v>
      </c>
      <c r="M163" s="116">
        <v>73.260000000000005</v>
      </c>
      <c r="N163" s="116">
        <v>78.7</v>
      </c>
      <c r="O163" s="116">
        <v>72</v>
      </c>
      <c r="P163" s="116">
        <v>77.010000000000005</v>
      </c>
      <c r="Q163" s="116">
        <v>732.6</v>
      </c>
      <c r="R163">
        <v>826091</v>
      </c>
    </row>
    <row r="164" spans="1:18" x14ac:dyDescent="0.25">
      <c r="A164" s="170">
        <v>44344</v>
      </c>
      <c r="B164" s="116">
        <v>75.900000000000006</v>
      </c>
      <c r="C164" s="116">
        <v>74.555000000000007</v>
      </c>
      <c r="D164" s="116">
        <v>73.430000000000007</v>
      </c>
      <c r="E164" s="116">
        <v>75.5</v>
      </c>
      <c r="F164" s="116">
        <v>745.55</v>
      </c>
      <c r="G164">
        <v>49819</v>
      </c>
      <c r="H164" s="116"/>
      <c r="I164" s="116"/>
      <c r="L164" s="170">
        <v>44344</v>
      </c>
      <c r="M164" s="116">
        <v>74.495000000000005</v>
      </c>
      <c r="N164" s="116">
        <v>75.900000000000006</v>
      </c>
      <c r="O164" s="116">
        <v>73.459999999999994</v>
      </c>
      <c r="P164" s="116">
        <v>74.599999999999994</v>
      </c>
      <c r="Q164" s="116">
        <v>744.95</v>
      </c>
      <c r="R164">
        <v>356981</v>
      </c>
    </row>
    <row r="165" spans="1:18" x14ac:dyDescent="0.25">
      <c r="A165" s="170">
        <v>44347</v>
      </c>
      <c r="B165" s="116">
        <v>76.44</v>
      </c>
      <c r="C165" s="116">
        <v>75.75</v>
      </c>
      <c r="D165" s="116">
        <v>72.8</v>
      </c>
      <c r="E165" s="116">
        <v>73.5</v>
      </c>
      <c r="F165" s="116">
        <v>757.5</v>
      </c>
      <c r="G165">
        <v>53275</v>
      </c>
      <c r="H165" s="116"/>
      <c r="I165" s="116"/>
      <c r="L165" s="170">
        <v>44347</v>
      </c>
      <c r="M165" s="116">
        <v>75.709999999999994</v>
      </c>
      <c r="N165" s="116">
        <v>76.48</v>
      </c>
      <c r="O165" s="116">
        <v>72.66</v>
      </c>
      <c r="P165" s="116">
        <v>74.599999999999994</v>
      </c>
      <c r="Q165" s="116">
        <v>757.1</v>
      </c>
      <c r="R165">
        <v>549324</v>
      </c>
    </row>
    <row r="166" spans="1:18" x14ac:dyDescent="0.25">
      <c r="A166" s="170">
        <v>44348</v>
      </c>
      <c r="B166" s="116">
        <v>79.534999999999997</v>
      </c>
      <c r="C166" s="116">
        <v>74.680000000000007</v>
      </c>
      <c r="D166" s="116">
        <v>73.754999999999995</v>
      </c>
      <c r="E166" s="116">
        <v>76.989999999999995</v>
      </c>
      <c r="F166" s="116">
        <v>746.8</v>
      </c>
      <c r="G166">
        <v>100793</v>
      </c>
      <c r="H166" s="116"/>
      <c r="I166" s="116"/>
      <c r="L166" s="170">
        <v>44348</v>
      </c>
      <c r="M166" s="116">
        <v>74.614999999999995</v>
      </c>
      <c r="N166" s="116">
        <v>79.495000000000005</v>
      </c>
      <c r="O166" s="116">
        <v>73.754999999999995</v>
      </c>
      <c r="P166" s="116">
        <v>76</v>
      </c>
      <c r="Q166" s="116">
        <v>746.15</v>
      </c>
      <c r="R166">
        <v>1004113</v>
      </c>
    </row>
    <row r="167" spans="1:18" x14ac:dyDescent="0.25">
      <c r="A167" s="170">
        <v>44349</v>
      </c>
      <c r="B167" s="116">
        <v>77</v>
      </c>
      <c r="C167" s="116">
        <v>75.650000000000006</v>
      </c>
      <c r="D167" s="116">
        <v>73.75</v>
      </c>
      <c r="E167" s="116">
        <v>74.099999999999994</v>
      </c>
      <c r="F167" s="116">
        <v>756.5</v>
      </c>
      <c r="G167">
        <v>61419</v>
      </c>
      <c r="H167" s="116"/>
      <c r="I167" s="116"/>
      <c r="L167" s="170">
        <v>44349</v>
      </c>
      <c r="M167" s="116">
        <v>75.75</v>
      </c>
      <c r="N167" s="116">
        <v>77</v>
      </c>
      <c r="O167" s="116">
        <v>73.77</v>
      </c>
      <c r="P167" s="116">
        <v>74.599999999999994</v>
      </c>
      <c r="Q167" s="116">
        <v>757.5</v>
      </c>
      <c r="R167">
        <v>642375</v>
      </c>
    </row>
    <row r="168" spans="1:18" x14ac:dyDescent="0.25">
      <c r="A168" s="170">
        <v>44350</v>
      </c>
      <c r="B168" s="116">
        <v>79.430000000000007</v>
      </c>
      <c r="C168" s="116">
        <v>79.430000000000007</v>
      </c>
      <c r="D168" s="116">
        <v>76.094999999999999</v>
      </c>
      <c r="E168" s="116">
        <v>76.599999999999994</v>
      </c>
      <c r="F168" s="116">
        <v>794.3</v>
      </c>
      <c r="G168">
        <v>29285</v>
      </c>
      <c r="H168" s="116"/>
      <c r="I168" s="116"/>
      <c r="L168" s="170">
        <v>44350</v>
      </c>
      <c r="M168" s="116">
        <v>79.534999999999997</v>
      </c>
      <c r="N168" s="116">
        <v>79.534999999999997</v>
      </c>
      <c r="O168" s="116">
        <v>76.13</v>
      </c>
      <c r="P168" s="116">
        <v>76.3</v>
      </c>
      <c r="Q168" s="116">
        <v>795.35</v>
      </c>
      <c r="R168">
        <v>590878</v>
      </c>
    </row>
    <row r="169" spans="1:18" x14ac:dyDescent="0.25">
      <c r="A169" s="170">
        <v>44351</v>
      </c>
      <c r="B169" s="116">
        <v>83.4</v>
      </c>
      <c r="C169" s="116">
        <v>81.194999999999993</v>
      </c>
      <c r="D169" s="116">
        <v>80.344999999999999</v>
      </c>
      <c r="E169" s="116">
        <v>83.4</v>
      </c>
      <c r="F169" s="116">
        <v>811.95</v>
      </c>
      <c r="G169">
        <v>84582</v>
      </c>
      <c r="H169" s="116"/>
      <c r="I169" s="116"/>
      <c r="L169" s="170">
        <v>44351</v>
      </c>
      <c r="M169" s="116">
        <v>81.234999999999999</v>
      </c>
      <c r="N169" s="116">
        <v>83.51</v>
      </c>
      <c r="O169" s="116">
        <v>80.400000000000006</v>
      </c>
      <c r="P169" s="116">
        <v>83.51</v>
      </c>
      <c r="Q169" s="116">
        <v>812.35</v>
      </c>
      <c r="R169">
        <v>1142004</v>
      </c>
    </row>
    <row r="170" spans="1:18" x14ac:dyDescent="0.25">
      <c r="A170" s="170">
        <v>44354</v>
      </c>
      <c r="B170" s="116">
        <v>96.2</v>
      </c>
      <c r="C170" s="116">
        <v>92.704999999999998</v>
      </c>
      <c r="D170" s="116">
        <v>83.99</v>
      </c>
      <c r="E170" s="116">
        <v>85.5</v>
      </c>
      <c r="F170" s="116">
        <v>927.05</v>
      </c>
      <c r="G170">
        <v>145442</v>
      </c>
      <c r="H170" s="116"/>
      <c r="I170" s="116"/>
      <c r="L170" s="170">
        <v>44354</v>
      </c>
      <c r="M170" s="116">
        <v>92.77</v>
      </c>
      <c r="N170" s="116">
        <v>96.265000000000001</v>
      </c>
      <c r="O170" s="116">
        <v>85.215000000000003</v>
      </c>
      <c r="P170" s="116">
        <v>85.215000000000003</v>
      </c>
      <c r="Q170" s="116">
        <v>927.7</v>
      </c>
      <c r="R170">
        <v>2795768</v>
      </c>
    </row>
    <row r="171" spans="1:18" x14ac:dyDescent="0.25">
      <c r="A171" s="170">
        <v>44355</v>
      </c>
      <c r="B171" s="116">
        <v>96.394999999999996</v>
      </c>
      <c r="C171" s="116">
        <v>89.254999999999995</v>
      </c>
      <c r="D171" s="116">
        <v>88.56</v>
      </c>
      <c r="E171" s="116">
        <v>91.99</v>
      </c>
      <c r="F171" s="116">
        <v>892.55</v>
      </c>
      <c r="G171">
        <v>95255</v>
      </c>
      <c r="H171" s="116"/>
      <c r="I171" s="116"/>
      <c r="L171" s="170">
        <v>44355</v>
      </c>
      <c r="M171" s="116">
        <v>89.215000000000003</v>
      </c>
      <c r="N171" s="116">
        <v>96.5</v>
      </c>
      <c r="O171" s="116">
        <v>88.51</v>
      </c>
      <c r="P171" s="116">
        <v>91.995000000000005</v>
      </c>
      <c r="Q171" s="116">
        <v>892.15</v>
      </c>
      <c r="R171">
        <v>1656842</v>
      </c>
    </row>
    <row r="172" spans="1:18" x14ac:dyDescent="0.25">
      <c r="A172" s="170">
        <v>44356</v>
      </c>
      <c r="B172" s="116">
        <v>91.88</v>
      </c>
      <c r="C172" s="116">
        <v>84.55</v>
      </c>
      <c r="D172" s="116">
        <v>83.5</v>
      </c>
      <c r="E172" s="116">
        <v>90.3</v>
      </c>
      <c r="F172" s="116">
        <v>845.5</v>
      </c>
      <c r="G172">
        <v>86350</v>
      </c>
      <c r="H172" s="116"/>
      <c r="I172" s="116"/>
      <c r="L172" s="170">
        <v>44356</v>
      </c>
      <c r="M172" s="116">
        <v>84.77</v>
      </c>
      <c r="N172" s="116">
        <v>91.87</v>
      </c>
      <c r="O172" s="116">
        <v>83.204999999999998</v>
      </c>
      <c r="P172" s="116">
        <v>89.98</v>
      </c>
      <c r="Q172" s="116">
        <v>847.7</v>
      </c>
      <c r="R172">
        <v>715995</v>
      </c>
    </row>
    <row r="173" spans="1:18" x14ac:dyDescent="0.25">
      <c r="A173" s="170">
        <v>44357</v>
      </c>
      <c r="B173" s="116">
        <v>89.75</v>
      </c>
      <c r="C173" s="116">
        <v>88.46</v>
      </c>
      <c r="D173" s="116">
        <v>81.63</v>
      </c>
      <c r="E173" s="116">
        <v>85</v>
      </c>
      <c r="F173" s="116">
        <v>884.6</v>
      </c>
      <c r="G173">
        <v>43389</v>
      </c>
      <c r="H173" s="116"/>
      <c r="I173" s="116"/>
      <c r="L173" s="170">
        <v>44357</v>
      </c>
      <c r="M173" s="116">
        <v>88.424999999999997</v>
      </c>
      <c r="N173" s="116">
        <v>89.784999999999997</v>
      </c>
      <c r="O173" s="116">
        <v>81.569999999999993</v>
      </c>
      <c r="P173" s="116">
        <v>84.8</v>
      </c>
      <c r="Q173" s="116">
        <v>884.25</v>
      </c>
      <c r="R173">
        <v>772521</v>
      </c>
    </row>
    <row r="174" spans="1:18" x14ac:dyDescent="0.25">
      <c r="A174" s="170">
        <v>44358</v>
      </c>
      <c r="B174" s="116">
        <v>89.36</v>
      </c>
      <c r="C174" s="116">
        <v>87.325000000000003</v>
      </c>
      <c r="D174" s="116">
        <v>86.06</v>
      </c>
      <c r="E174" s="116">
        <v>88.8</v>
      </c>
      <c r="F174" s="116">
        <v>873.25</v>
      </c>
      <c r="G174">
        <v>34995</v>
      </c>
      <c r="H174" s="116"/>
      <c r="I174" s="116"/>
      <c r="L174" s="170">
        <v>44358</v>
      </c>
      <c r="M174" s="116">
        <v>87.364999999999995</v>
      </c>
      <c r="N174" s="116">
        <v>89.4</v>
      </c>
      <c r="O174" s="116">
        <v>86.01</v>
      </c>
      <c r="P174" s="116">
        <v>88.87</v>
      </c>
      <c r="Q174" s="116">
        <v>873.65</v>
      </c>
      <c r="R174">
        <v>241746</v>
      </c>
    </row>
    <row r="175" spans="1:18" x14ac:dyDescent="0.25">
      <c r="A175" s="170">
        <v>44361</v>
      </c>
      <c r="B175" s="116">
        <v>86.504999999999995</v>
      </c>
      <c r="C175" s="116">
        <v>85.28</v>
      </c>
      <c r="D175" s="116">
        <v>82.1</v>
      </c>
      <c r="E175" s="116">
        <v>82.1</v>
      </c>
      <c r="F175" s="116">
        <v>852.8</v>
      </c>
      <c r="G175">
        <v>15820</v>
      </c>
      <c r="H175" s="116"/>
      <c r="I175" s="116"/>
      <c r="L175" s="170">
        <v>44361</v>
      </c>
      <c r="M175" s="116">
        <v>85.24</v>
      </c>
      <c r="N175" s="116">
        <v>87.2</v>
      </c>
      <c r="O175" s="116">
        <v>82.13</v>
      </c>
      <c r="P175" s="116">
        <v>85.21</v>
      </c>
      <c r="Q175" s="116">
        <v>852.4</v>
      </c>
      <c r="R175">
        <v>269429</v>
      </c>
    </row>
    <row r="176" spans="1:18" x14ac:dyDescent="0.25">
      <c r="A176" s="170">
        <v>44362</v>
      </c>
      <c r="B176" s="116">
        <v>87</v>
      </c>
      <c r="C176" s="116">
        <v>85.055000000000007</v>
      </c>
      <c r="D176" s="116">
        <v>84.75</v>
      </c>
      <c r="E176" s="116">
        <v>85.734999999999999</v>
      </c>
      <c r="F176" s="116">
        <v>850.55</v>
      </c>
      <c r="G176">
        <v>26818</v>
      </c>
      <c r="H176" s="116"/>
      <c r="I176" s="116"/>
      <c r="L176" s="170">
        <v>44362</v>
      </c>
      <c r="M176" s="116">
        <v>85.12</v>
      </c>
      <c r="N176" s="116">
        <v>87.004999999999995</v>
      </c>
      <c r="O176" s="116">
        <v>84.8</v>
      </c>
      <c r="P176" s="116">
        <v>85</v>
      </c>
      <c r="Q176" s="116">
        <v>851.2</v>
      </c>
      <c r="R176">
        <v>172613</v>
      </c>
    </row>
    <row r="177" spans="1:18" x14ac:dyDescent="0.25">
      <c r="A177" s="170">
        <v>44363</v>
      </c>
      <c r="B177" s="116">
        <v>86.43</v>
      </c>
      <c r="C177" s="116">
        <v>83.01</v>
      </c>
      <c r="D177" s="116">
        <v>82</v>
      </c>
      <c r="E177" s="116">
        <v>84.7</v>
      </c>
      <c r="F177" s="116">
        <v>830.1</v>
      </c>
      <c r="G177">
        <v>16703</v>
      </c>
      <c r="H177" s="116"/>
      <c r="I177" s="116"/>
      <c r="L177" s="170">
        <v>44363</v>
      </c>
      <c r="M177" s="116">
        <v>83.275000000000006</v>
      </c>
      <c r="N177" s="116">
        <v>86.5</v>
      </c>
      <c r="O177" s="116">
        <v>82.22</v>
      </c>
      <c r="P177" s="116">
        <v>85.48</v>
      </c>
      <c r="Q177" s="116">
        <v>832.75</v>
      </c>
      <c r="R177">
        <v>268338</v>
      </c>
    </row>
    <row r="178" spans="1:18" x14ac:dyDescent="0.25">
      <c r="A178" s="170">
        <v>44364</v>
      </c>
      <c r="B178" s="116">
        <v>85.5</v>
      </c>
      <c r="C178" s="116">
        <v>82.234999999999999</v>
      </c>
      <c r="D178" s="116">
        <v>79.995000000000005</v>
      </c>
      <c r="E178" s="116">
        <v>82.9</v>
      </c>
      <c r="F178" s="116">
        <v>822.35</v>
      </c>
      <c r="G178">
        <v>20428</v>
      </c>
      <c r="H178" s="116"/>
      <c r="I178" s="116"/>
      <c r="L178" s="170">
        <v>44364</v>
      </c>
      <c r="M178" s="116">
        <v>82.69</v>
      </c>
      <c r="N178" s="116">
        <v>85.5</v>
      </c>
      <c r="O178" s="116">
        <v>79.704999999999998</v>
      </c>
      <c r="P178" s="116">
        <v>81.5</v>
      </c>
      <c r="Q178" s="116">
        <v>826.9</v>
      </c>
      <c r="R178">
        <v>271846</v>
      </c>
    </row>
    <row r="179" spans="1:18" x14ac:dyDescent="0.25">
      <c r="A179" s="170">
        <v>44365</v>
      </c>
      <c r="B179" s="116">
        <v>83.405000000000001</v>
      </c>
      <c r="C179" s="116">
        <v>79.784999999999997</v>
      </c>
      <c r="D179" s="116">
        <v>76.635000000000005</v>
      </c>
      <c r="E179" s="116">
        <v>82.894999999999996</v>
      </c>
      <c r="F179" s="116">
        <v>797.85</v>
      </c>
      <c r="G179">
        <v>24437</v>
      </c>
      <c r="H179" s="116"/>
      <c r="I179" s="116"/>
      <c r="L179" s="170">
        <v>44365</v>
      </c>
      <c r="M179" s="116">
        <v>80.084999999999994</v>
      </c>
      <c r="N179" s="116">
        <v>83.385000000000005</v>
      </c>
      <c r="O179" s="116">
        <v>76.575000000000003</v>
      </c>
      <c r="P179" s="116">
        <v>82.795000000000002</v>
      </c>
      <c r="Q179" s="116">
        <v>800.85</v>
      </c>
      <c r="R179">
        <v>377293</v>
      </c>
    </row>
    <row r="180" spans="1:18" x14ac:dyDescent="0.25">
      <c r="A180" s="170">
        <v>44368</v>
      </c>
      <c r="B180" s="116">
        <v>83.5</v>
      </c>
      <c r="C180" s="116">
        <v>80.344999999999999</v>
      </c>
      <c r="D180" s="116">
        <v>70</v>
      </c>
      <c r="E180" s="116">
        <v>83.5</v>
      </c>
      <c r="F180" s="116">
        <v>803.45</v>
      </c>
      <c r="G180">
        <v>23920</v>
      </c>
      <c r="H180" s="116"/>
      <c r="I180" s="116"/>
      <c r="L180" s="170">
        <v>44368</v>
      </c>
      <c r="M180" s="116">
        <v>80.694999999999993</v>
      </c>
      <c r="N180" s="116">
        <v>82.4</v>
      </c>
      <c r="O180" s="116">
        <v>76.805000000000007</v>
      </c>
      <c r="P180" s="116">
        <v>78.515000000000001</v>
      </c>
      <c r="Q180" s="116">
        <v>806.95</v>
      </c>
      <c r="R180">
        <v>234009</v>
      </c>
    </row>
    <row r="181" spans="1:18" x14ac:dyDescent="0.25">
      <c r="A181" s="170">
        <v>44369</v>
      </c>
      <c r="B181" s="116">
        <v>86</v>
      </c>
      <c r="C181" s="116">
        <v>82.185000000000002</v>
      </c>
      <c r="D181" s="116">
        <v>80.8</v>
      </c>
      <c r="E181" s="116">
        <v>81.95</v>
      </c>
      <c r="F181" s="116">
        <v>821.85</v>
      </c>
      <c r="G181">
        <v>27350</v>
      </c>
      <c r="H181" s="116"/>
      <c r="I181" s="116"/>
      <c r="L181" s="170">
        <v>44369</v>
      </c>
      <c r="M181" s="116">
        <v>82.174999999999997</v>
      </c>
      <c r="N181" s="116">
        <v>86</v>
      </c>
      <c r="O181" s="116">
        <v>80.7</v>
      </c>
      <c r="P181" s="116">
        <v>80.989999999999995</v>
      </c>
      <c r="Q181" s="116">
        <v>821.75</v>
      </c>
      <c r="R181">
        <v>362988</v>
      </c>
    </row>
    <row r="182" spans="1:18" x14ac:dyDescent="0.25">
      <c r="A182" s="170">
        <v>44370</v>
      </c>
      <c r="B182" s="116">
        <v>84.44</v>
      </c>
      <c r="C182" s="116">
        <v>82.19</v>
      </c>
      <c r="D182" s="116">
        <v>81.58</v>
      </c>
      <c r="E182" s="116">
        <v>83.5</v>
      </c>
      <c r="F182" s="116">
        <v>821.9</v>
      </c>
      <c r="G182">
        <v>21938</v>
      </c>
      <c r="H182" s="116"/>
      <c r="I182" s="116"/>
      <c r="L182" s="170">
        <v>44370</v>
      </c>
      <c r="M182" s="116">
        <v>82.174999999999997</v>
      </c>
      <c r="N182" s="116">
        <v>84.2</v>
      </c>
      <c r="O182" s="116">
        <v>81.5</v>
      </c>
      <c r="P182" s="116">
        <v>83.59</v>
      </c>
      <c r="Q182" s="116">
        <v>821.75</v>
      </c>
      <c r="R182">
        <v>131738</v>
      </c>
    </row>
    <row r="183" spans="1:18" x14ac:dyDescent="0.25">
      <c r="A183" s="170">
        <v>44371</v>
      </c>
      <c r="B183" s="116">
        <v>82.77</v>
      </c>
      <c r="C183" s="116">
        <v>81.584999999999994</v>
      </c>
      <c r="D183" s="116">
        <v>80.739999999999995</v>
      </c>
      <c r="E183" s="116">
        <v>82</v>
      </c>
      <c r="F183" s="116">
        <v>815.85</v>
      </c>
      <c r="G183">
        <v>18056</v>
      </c>
      <c r="H183" s="116"/>
      <c r="I183" s="116"/>
      <c r="L183" s="170">
        <v>44371</v>
      </c>
      <c r="M183" s="116">
        <v>81.555000000000007</v>
      </c>
      <c r="N183" s="116">
        <v>82.9</v>
      </c>
      <c r="O183" s="116">
        <v>80.694999999999993</v>
      </c>
      <c r="P183" s="116">
        <v>81.805000000000007</v>
      </c>
      <c r="Q183" s="116">
        <v>815.55</v>
      </c>
      <c r="R183">
        <v>98727</v>
      </c>
    </row>
    <row r="184" spans="1:18" x14ac:dyDescent="0.25">
      <c r="A184" s="170">
        <v>44372</v>
      </c>
      <c r="B184" s="116">
        <v>82.314999999999998</v>
      </c>
      <c r="C184" s="116">
        <v>80.094999999999999</v>
      </c>
      <c r="D184" s="116">
        <v>79.239999999999995</v>
      </c>
      <c r="E184" s="116">
        <v>81.834999999999994</v>
      </c>
      <c r="F184" s="116">
        <v>800.95</v>
      </c>
      <c r="G184">
        <v>19164</v>
      </c>
      <c r="H184" s="116"/>
      <c r="I184" s="116"/>
      <c r="L184" s="170">
        <v>44372</v>
      </c>
      <c r="M184" s="116">
        <v>80.2</v>
      </c>
      <c r="N184" s="116">
        <v>82.295000000000002</v>
      </c>
      <c r="O184" s="116">
        <v>79.2</v>
      </c>
      <c r="P184" s="116">
        <v>81.95</v>
      </c>
      <c r="Q184" s="116">
        <v>802</v>
      </c>
      <c r="R184">
        <v>104123</v>
      </c>
    </row>
    <row r="185" spans="1:18" x14ac:dyDescent="0.25">
      <c r="A185" s="170">
        <v>44375</v>
      </c>
      <c r="B185" s="116">
        <v>81.724999999999994</v>
      </c>
      <c r="C185" s="116">
        <v>81.16</v>
      </c>
      <c r="D185" s="116">
        <v>80.5</v>
      </c>
      <c r="E185" s="116">
        <v>80.5</v>
      </c>
      <c r="F185" s="116">
        <v>811.6</v>
      </c>
      <c r="G185">
        <v>3244</v>
      </c>
      <c r="H185" s="116"/>
      <c r="I185" s="116"/>
      <c r="L185" s="170">
        <v>44375</v>
      </c>
      <c r="M185" s="116">
        <v>81.11</v>
      </c>
      <c r="N185" s="116">
        <v>81.795000000000002</v>
      </c>
      <c r="O185" s="116">
        <v>80.5</v>
      </c>
      <c r="P185" s="116">
        <v>80.5</v>
      </c>
      <c r="Q185" s="116">
        <v>811.1</v>
      </c>
      <c r="R185">
        <v>78530</v>
      </c>
    </row>
    <row r="186" spans="1:18" x14ac:dyDescent="0.25">
      <c r="A186" s="170">
        <v>44376</v>
      </c>
      <c r="B186" s="116">
        <v>88</v>
      </c>
      <c r="C186" s="116">
        <v>85.49</v>
      </c>
      <c r="D186" s="116">
        <v>81.045000000000002</v>
      </c>
      <c r="E186" s="116">
        <v>81.88</v>
      </c>
      <c r="F186" s="116">
        <v>854.9</v>
      </c>
      <c r="G186">
        <v>86106</v>
      </c>
      <c r="H186" s="116"/>
      <c r="I186" s="116"/>
      <c r="L186" s="170">
        <v>44376</v>
      </c>
      <c r="M186" s="116">
        <v>85.56</v>
      </c>
      <c r="N186" s="116">
        <v>88</v>
      </c>
      <c r="O186" s="116">
        <v>81.099999999999994</v>
      </c>
      <c r="P186" s="116">
        <v>81.52</v>
      </c>
      <c r="Q186" s="116">
        <v>855.6</v>
      </c>
      <c r="R186">
        <v>769252</v>
      </c>
    </row>
    <row r="187" spans="1:18" x14ac:dyDescent="0.25">
      <c r="A187" s="170">
        <v>44377</v>
      </c>
      <c r="B187" s="116">
        <v>87.15</v>
      </c>
      <c r="C187" s="116">
        <v>85.61</v>
      </c>
      <c r="D187" s="116">
        <v>84.06</v>
      </c>
      <c r="E187" s="116">
        <v>86.194999999999993</v>
      </c>
      <c r="F187" s="116">
        <v>856.1</v>
      </c>
      <c r="G187">
        <v>11157</v>
      </c>
      <c r="H187" s="116"/>
      <c r="I187" s="116"/>
      <c r="L187" s="170">
        <v>44377</v>
      </c>
      <c r="M187" s="116">
        <v>85.81</v>
      </c>
      <c r="N187" s="116">
        <v>87.245000000000005</v>
      </c>
      <c r="O187" s="116">
        <v>83.905000000000001</v>
      </c>
      <c r="P187" s="116">
        <v>86.18</v>
      </c>
      <c r="Q187" s="116">
        <v>858.1</v>
      </c>
      <c r="R187">
        <v>242160</v>
      </c>
    </row>
    <row r="188" spans="1:18" x14ac:dyDescent="0.25">
      <c r="A188" s="170">
        <v>44378</v>
      </c>
      <c r="B188" s="116">
        <v>89.275000000000006</v>
      </c>
      <c r="C188" s="116">
        <v>87.39</v>
      </c>
      <c r="D188" s="116">
        <v>85.3</v>
      </c>
      <c r="E188" s="116">
        <v>86.484999999999999</v>
      </c>
      <c r="F188" s="116">
        <v>873.9</v>
      </c>
      <c r="G188">
        <v>15461</v>
      </c>
      <c r="H188" s="116"/>
      <c r="I188" s="116"/>
      <c r="L188" s="170">
        <v>44378</v>
      </c>
      <c r="M188" s="116">
        <v>87.504999999999995</v>
      </c>
      <c r="N188" s="116">
        <v>89.224999999999994</v>
      </c>
      <c r="O188" s="116">
        <v>85.21</v>
      </c>
      <c r="P188" s="116">
        <v>86.29</v>
      </c>
      <c r="Q188" s="116">
        <v>875.05</v>
      </c>
      <c r="R188">
        <v>311624</v>
      </c>
    </row>
    <row r="189" spans="1:18" x14ac:dyDescent="0.25">
      <c r="A189" s="170">
        <v>44379</v>
      </c>
      <c r="B189" s="116">
        <v>90.54</v>
      </c>
      <c r="C189" s="116">
        <v>87.7</v>
      </c>
      <c r="D189" s="116">
        <v>86.775000000000006</v>
      </c>
      <c r="E189" s="116">
        <v>87.844999999999999</v>
      </c>
      <c r="F189" s="116">
        <v>877</v>
      </c>
      <c r="G189">
        <v>12388</v>
      </c>
      <c r="H189" s="116"/>
      <c r="I189" s="116"/>
      <c r="L189" s="170">
        <v>44379</v>
      </c>
      <c r="M189" s="116">
        <v>87.704999999999998</v>
      </c>
      <c r="N189" s="116">
        <v>90.6</v>
      </c>
      <c r="O189" s="116">
        <v>86.674999999999997</v>
      </c>
      <c r="P189" s="116">
        <v>88.04</v>
      </c>
      <c r="Q189" s="116">
        <v>877.05</v>
      </c>
      <c r="R189">
        <v>288767</v>
      </c>
    </row>
    <row r="190" spans="1:18" x14ac:dyDescent="0.25">
      <c r="A190" s="170">
        <v>44382</v>
      </c>
      <c r="B190" s="116">
        <v>90.81</v>
      </c>
      <c r="C190" s="116">
        <v>88.64</v>
      </c>
      <c r="D190" s="116">
        <v>88.4</v>
      </c>
      <c r="E190" s="116">
        <v>88.4</v>
      </c>
      <c r="F190" s="116">
        <v>886.4</v>
      </c>
      <c r="G190">
        <v>13745</v>
      </c>
      <c r="H190" s="116"/>
      <c r="I190" s="116"/>
      <c r="L190" s="170">
        <v>44382</v>
      </c>
      <c r="M190" s="116">
        <v>88.62</v>
      </c>
      <c r="N190" s="116">
        <v>90.58</v>
      </c>
      <c r="O190" s="116">
        <v>88.185000000000002</v>
      </c>
      <c r="P190" s="116">
        <v>88.68</v>
      </c>
      <c r="Q190" s="116">
        <v>886.2</v>
      </c>
      <c r="R190">
        <v>415707</v>
      </c>
    </row>
    <row r="191" spans="1:18" x14ac:dyDescent="0.25">
      <c r="A191" s="170">
        <v>44383</v>
      </c>
      <c r="B191" s="116">
        <v>90.4</v>
      </c>
      <c r="C191" s="116">
        <v>89.495000000000005</v>
      </c>
      <c r="D191" s="116">
        <v>89.04</v>
      </c>
      <c r="E191" s="116">
        <v>89.8</v>
      </c>
      <c r="F191" s="116">
        <v>894.95</v>
      </c>
      <c r="G191">
        <v>30509</v>
      </c>
      <c r="H191" s="116"/>
      <c r="I191" s="116"/>
      <c r="L191" s="170">
        <v>44383</v>
      </c>
      <c r="M191" s="116">
        <v>89.55</v>
      </c>
      <c r="N191" s="116">
        <v>90.45</v>
      </c>
      <c r="O191" s="116">
        <v>89.004999999999995</v>
      </c>
      <c r="P191" s="116">
        <v>89.3</v>
      </c>
      <c r="Q191" s="116">
        <v>895.5</v>
      </c>
      <c r="R191">
        <v>279807</v>
      </c>
    </row>
    <row r="192" spans="1:18" x14ac:dyDescent="0.25">
      <c r="A192" s="170">
        <v>44384</v>
      </c>
      <c r="B192" s="116">
        <v>98.38</v>
      </c>
      <c r="C192" s="116">
        <v>93.5</v>
      </c>
      <c r="D192" s="116">
        <v>88.954999999999998</v>
      </c>
      <c r="E192" s="116">
        <v>90.39</v>
      </c>
      <c r="F192" s="116">
        <v>935</v>
      </c>
      <c r="G192">
        <v>107609</v>
      </c>
      <c r="H192" s="116"/>
      <c r="I192" s="116"/>
      <c r="L192" s="170">
        <v>44384</v>
      </c>
      <c r="M192" s="116">
        <v>93.545000000000002</v>
      </c>
      <c r="N192" s="116">
        <v>98.4</v>
      </c>
      <c r="O192" s="116">
        <v>88.8</v>
      </c>
      <c r="P192" s="116">
        <v>90.2</v>
      </c>
      <c r="Q192" s="116">
        <v>935.45</v>
      </c>
      <c r="R192">
        <v>2610455</v>
      </c>
    </row>
    <row r="193" spans="1:18" x14ac:dyDescent="0.25">
      <c r="A193" s="170">
        <v>44385</v>
      </c>
      <c r="B193" s="116">
        <v>95.66</v>
      </c>
      <c r="C193" s="116">
        <v>92.93</v>
      </c>
      <c r="D193" s="116">
        <v>92.135000000000005</v>
      </c>
      <c r="E193" s="116">
        <v>94</v>
      </c>
      <c r="F193" s="116">
        <v>929.3</v>
      </c>
      <c r="G193">
        <v>15933</v>
      </c>
      <c r="H193" s="116"/>
      <c r="I193" s="116"/>
      <c r="L193" s="170">
        <v>44385</v>
      </c>
      <c r="M193" s="116">
        <v>92.92</v>
      </c>
      <c r="N193" s="116">
        <v>95.65</v>
      </c>
      <c r="O193" s="116">
        <v>92.1</v>
      </c>
      <c r="P193" s="116">
        <v>94.1</v>
      </c>
      <c r="Q193" s="116">
        <v>929.2</v>
      </c>
      <c r="R193">
        <v>336024</v>
      </c>
    </row>
    <row r="194" spans="1:18" x14ac:dyDescent="0.25">
      <c r="A194" s="170">
        <v>44386</v>
      </c>
      <c r="B194" s="116">
        <v>98.4</v>
      </c>
      <c r="C194" s="116">
        <v>96.484999999999999</v>
      </c>
      <c r="D194" s="116">
        <v>87.6</v>
      </c>
      <c r="E194" s="116">
        <v>92.825000000000003</v>
      </c>
      <c r="F194" s="116">
        <v>964.85</v>
      </c>
      <c r="G194">
        <v>81964</v>
      </c>
      <c r="H194" s="116"/>
      <c r="I194" s="116"/>
      <c r="L194" s="170">
        <v>44386</v>
      </c>
      <c r="M194" s="116">
        <v>96.52</v>
      </c>
      <c r="N194" s="116">
        <v>98.4</v>
      </c>
      <c r="O194" s="116">
        <v>90.295000000000002</v>
      </c>
      <c r="P194" s="116">
        <v>92.885000000000005</v>
      </c>
      <c r="Q194" s="116">
        <v>965.2</v>
      </c>
      <c r="R194">
        <v>890701</v>
      </c>
    </row>
    <row r="195" spans="1:18" x14ac:dyDescent="0.25">
      <c r="A195" s="170">
        <v>44389</v>
      </c>
      <c r="B195" s="116">
        <v>104.96</v>
      </c>
      <c r="C195" s="116">
        <v>101.80500000000001</v>
      </c>
      <c r="D195" s="116">
        <v>96.905000000000001</v>
      </c>
      <c r="E195" s="116">
        <v>97.19</v>
      </c>
      <c r="F195" s="116">
        <v>1018.05</v>
      </c>
      <c r="G195">
        <v>67164</v>
      </c>
      <c r="H195" s="116"/>
      <c r="I195" s="116"/>
      <c r="L195" s="170">
        <v>44389</v>
      </c>
      <c r="M195" s="116">
        <v>101.645</v>
      </c>
      <c r="N195" s="116">
        <v>104.64</v>
      </c>
      <c r="O195" s="116">
        <v>96.8</v>
      </c>
      <c r="P195" s="116">
        <v>96.8</v>
      </c>
      <c r="Q195" s="116">
        <v>1016.45</v>
      </c>
      <c r="R195">
        <v>1150251</v>
      </c>
    </row>
    <row r="196" spans="1:18" x14ac:dyDescent="0.25">
      <c r="A196" s="170">
        <v>44390</v>
      </c>
      <c r="B196" s="116">
        <v>105</v>
      </c>
      <c r="C196" s="116">
        <v>103.605</v>
      </c>
      <c r="D196" s="116">
        <v>99.405000000000001</v>
      </c>
      <c r="E196" s="116">
        <v>103.39</v>
      </c>
      <c r="F196" s="116">
        <v>1036.05</v>
      </c>
      <c r="G196">
        <v>81349</v>
      </c>
      <c r="H196" s="116"/>
      <c r="I196" s="116"/>
      <c r="L196" s="170">
        <v>44390</v>
      </c>
      <c r="M196" s="116">
        <v>103.645</v>
      </c>
      <c r="N196" s="116">
        <v>104.8</v>
      </c>
      <c r="O196" s="116">
        <v>99.3</v>
      </c>
      <c r="P196" s="116">
        <v>103.205</v>
      </c>
      <c r="Q196" s="116">
        <v>1036.45</v>
      </c>
      <c r="R196">
        <v>685199</v>
      </c>
    </row>
    <row r="197" spans="1:18" x14ac:dyDescent="0.25">
      <c r="A197" s="170">
        <v>44391</v>
      </c>
      <c r="B197" s="116">
        <v>109.27</v>
      </c>
      <c r="C197" s="116">
        <v>106.91500000000001</v>
      </c>
      <c r="D197" s="116">
        <v>103</v>
      </c>
      <c r="E197" s="116">
        <v>105</v>
      </c>
      <c r="F197" s="116">
        <v>1069.1500000000001</v>
      </c>
      <c r="G197">
        <v>69762</v>
      </c>
      <c r="H197" s="116"/>
      <c r="I197" s="116"/>
      <c r="L197" s="170">
        <v>44391</v>
      </c>
      <c r="M197" s="116">
        <v>107.02500000000001</v>
      </c>
      <c r="N197" s="116">
        <v>109.2</v>
      </c>
      <c r="O197" s="116">
        <v>102.91</v>
      </c>
      <c r="P197" s="116">
        <v>103.8</v>
      </c>
      <c r="Q197" s="116">
        <v>1070.25</v>
      </c>
      <c r="R197">
        <v>845754</v>
      </c>
    </row>
    <row r="198" spans="1:18" x14ac:dyDescent="0.25">
      <c r="A198" s="170">
        <v>44392</v>
      </c>
      <c r="B198" s="116">
        <v>112.405</v>
      </c>
      <c r="C198" s="116">
        <v>106.205</v>
      </c>
      <c r="D198" s="116">
        <v>99.66</v>
      </c>
      <c r="E198" s="116">
        <v>108</v>
      </c>
      <c r="F198" s="116">
        <v>1062.05</v>
      </c>
      <c r="G198">
        <v>83749</v>
      </c>
      <c r="H198" s="116"/>
      <c r="I198" s="116"/>
      <c r="L198" s="170">
        <v>44392</v>
      </c>
      <c r="M198" s="116">
        <v>106.015</v>
      </c>
      <c r="N198" s="116">
        <v>112.38</v>
      </c>
      <c r="O198" s="116">
        <v>99.5</v>
      </c>
      <c r="P198" s="116">
        <v>107.95</v>
      </c>
      <c r="Q198" s="116">
        <v>1060.1500000000001</v>
      </c>
      <c r="R198">
        <v>1227889</v>
      </c>
    </row>
    <row r="199" spans="1:18" x14ac:dyDescent="0.25">
      <c r="A199" s="170">
        <v>44393</v>
      </c>
      <c r="B199" s="116">
        <v>127.44499999999999</v>
      </c>
      <c r="C199" s="116">
        <v>127.44499999999999</v>
      </c>
      <c r="D199" s="116">
        <v>110.91500000000001</v>
      </c>
      <c r="E199" s="116">
        <v>116.7</v>
      </c>
      <c r="F199" s="116">
        <v>1274.45</v>
      </c>
      <c r="G199">
        <v>238855</v>
      </c>
      <c r="H199" s="116"/>
      <c r="I199" s="116"/>
      <c r="L199" s="170">
        <v>44393</v>
      </c>
      <c r="M199" s="116">
        <v>127.215</v>
      </c>
      <c r="N199" s="116">
        <v>127.215</v>
      </c>
      <c r="O199" s="116">
        <v>111.1</v>
      </c>
      <c r="P199" s="116">
        <v>118</v>
      </c>
      <c r="Q199" s="116">
        <v>1272.1500000000001</v>
      </c>
      <c r="R199">
        <v>2238723</v>
      </c>
    </row>
    <row r="200" spans="1:18" x14ac:dyDescent="0.25">
      <c r="A200" s="170">
        <v>44396</v>
      </c>
      <c r="B200" s="116">
        <v>148.4</v>
      </c>
      <c r="C200" s="116">
        <v>135.66999999999999</v>
      </c>
      <c r="D200" s="116">
        <v>129</v>
      </c>
      <c r="E200" s="116">
        <v>132.5</v>
      </c>
      <c r="F200" s="116">
        <v>1356.7</v>
      </c>
      <c r="G200">
        <v>285714</v>
      </c>
      <c r="H200" s="116"/>
      <c r="I200" s="116"/>
      <c r="L200" s="170">
        <v>44396</v>
      </c>
      <c r="M200" s="116">
        <v>135.72499999999999</v>
      </c>
      <c r="N200" s="116">
        <v>147.5</v>
      </c>
      <c r="O200" s="116">
        <v>130.215</v>
      </c>
      <c r="P200" s="116">
        <v>131.80000000000001</v>
      </c>
      <c r="Q200" s="116">
        <v>1357.25</v>
      </c>
      <c r="R200">
        <v>3178718</v>
      </c>
    </row>
    <row r="201" spans="1:18" x14ac:dyDescent="0.25">
      <c r="A201" s="170">
        <v>44397</v>
      </c>
      <c r="B201" s="116">
        <v>142.5</v>
      </c>
      <c r="C201" s="116">
        <v>127.125</v>
      </c>
      <c r="D201" s="116">
        <v>124.8</v>
      </c>
      <c r="E201" s="116">
        <v>138.30000000000001</v>
      </c>
      <c r="F201" s="116">
        <v>1271.25</v>
      </c>
      <c r="G201">
        <v>104984</v>
      </c>
      <c r="H201" s="116"/>
      <c r="I201" s="116"/>
      <c r="L201" s="170">
        <v>44397</v>
      </c>
      <c r="M201" s="116">
        <v>127.205</v>
      </c>
      <c r="N201" s="116">
        <v>142.995</v>
      </c>
      <c r="O201" s="116">
        <v>124.7</v>
      </c>
      <c r="P201" s="116">
        <v>138.25</v>
      </c>
      <c r="Q201" s="116">
        <v>1272.05</v>
      </c>
      <c r="R201">
        <v>1351343</v>
      </c>
    </row>
    <row r="202" spans="1:18" x14ac:dyDescent="0.25">
      <c r="A202" s="170">
        <v>44399</v>
      </c>
      <c r="B202" s="116">
        <v>136.47999999999999</v>
      </c>
      <c r="C202" s="116">
        <v>133.61000000000001</v>
      </c>
      <c r="D202" s="116">
        <v>129.29499999999999</v>
      </c>
      <c r="E202" s="116">
        <v>132.49</v>
      </c>
      <c r="F202" s="116">
        <v>1336.1</v>
      </c>
      <c r="G202">
        <v>62037</v>
      </c>
      <c r="H202" s="116"/>
      <c r="I202" s="116"/>
      <c r="L202" s="170">
        <v>44399</v>
      </c>
      <c r="M202" s="116">
        <v>133.51499999999999</v>
      </c>
      <c r="N202" s="116">
        <v>136.44</v>
      </c>
      <c r="O202" s="116">
        <v>129.1</v>
      </c>
      <c r="P202" s="116">
        <v>130.20500000000001</v>
      </c>
      <c r="Q202" s="116">
        <v>1335.15</v>
      </c>
      <c r="R202">
        <v>986328</v>
      </c>
    </row>
    <row r="203" spans="1:18" x14ac:dyDescent="0.25">
      <c r="A203" s="170">
        <v>44400</v>
      </c>
      <c r="B203" s="116">
        <v>134.69999999999999</v>
      </c>
      <c r="C203" s="116">
        <v>130.48500000000001</v>
      </c>
      <c r="D203" s="116">
        <v>126</v>
      </c>
      <c r="E203" s="116">
        <v>134.69999999999999</v>
      </c>
      <c r="F203" s="116">
        <v>1304.8499999999999</v>
      </c>
      <c r="G203">
        <v>80866</v>
      </c>
      <c r="H203" s="116"/>
      <c r="I203" s="116"/>
      <c r="L203" s="170">
        <v>44400</v>
      </c>
      <c r="M203" s="116">
        <v>130.58000000000001</v>
      </c>
      <c r="N203" s="116">
        <v>134.84</v>
      </c>
      <c r="O203" s="116">
        <v>125.55500000000001</v>
      </c>
      <c r="P203" s="116">
        <v>134.63999999999999</v>
      </c>
      <c r="Q203" s="116">
        <v>1305.8</v>
      </c>
      <c r="R203">
        <v>377479</v>
      </c>
    </row>
    <row r="204" spans="1:18" x14ac:dyDescent="0.25">
      <c r="A204" s="170">
        <v>44403</v>
      </c>
      <c r="B204" s="116">
        <v>130.48500000000001</v>
      </c>
      <c r="C204" s="116">
        <v>122.86499999999999</v>
      </c>
      <c r="D204" s="116">
        <v>120.5</v>
      </c>
      <c r="E204" s="116">
        <v>130.48500000000001</v>
      </c>
      <c r="F204" s="116">
        <v>1228.6500000000001</v>
      </c>
      <c r="G204">
        <v>44008</v>
      </c>
      <c r="H204" s="116"/>
      <c r="I204" s="116"/>
      <c r="L204" s="170">
        <v>44403</v>
      </c>
      <c r="M204" s="116">
        <v>122.96</v>
      </c>
      <c r="N204" s="116">
        <v>129.88999999999999</v>
      </c>
      <c r="O204" s="116">
        <v>120.4</v>
      </c>
      <c r="P204" s="116">
        <v>129</v>
      </c>
      <c r="Q204" s="116">
        <v>1229.5999999999999</v>
      </c>
      <c r="R204">
        <v>621432</v>
      </c>
    </row>
    <row r="205" spans="1:18" x14ac:dyDescent="0.25">
      <c r="A205" s="170">
        <v>44404</v>
      </c>
      <c r="B205" s="116">
        <v>127.5</v>
      </c>
      <c r="C205" s="116">
        <v>120.38</v>
      </c>
      <c r="D205" s="116">
        <v>119.1</v>
      </c>
      <c r="E205" s="116">
        <v>123.495</v>
      </c>
      <c r="F205" s="116">
        <v>1203.8</v>
      </c>
      <c r="G205">
        <v>22833</v>
      </c>
      <c r="H205" s="116"/>
      <c r="I205" s="116"/>
      <c r="L205" s="170">
        <v>44404</v>
      </c>
      <c r="M205" s="116">
        <v>120.4</v>
      </c>
      <c r="N205" s="116">
        <v>127.49</v>
      </c>
      <c r="O205" s="116">
        <v>120</v>
      </c>
      <c r="P205" s="116">
        <v>122.705</v>
      </c>
      <c r="Q205" s="116">
        <v>1204</v>
      </c>
      <c r="R205">
        <v>424833</v>
      </c>
    </row>
    <row r="206" spans="1:18" x14ac:dyDescent="0.25">
      <c r="A206" s="170">
        <v>44405</v>
      </c>
      <c r="B206" s="116">
        <v>124.405</v>
      </c>
      <c r="C206" s="116">
        <v>121.59</v>
      </c>
      <c r="D206" s="116">
        <v>117.36499999999999</v>
      </c>
      <c r="E206" s="116">
        <v>121.7</v>
      </c>
      <c r="F206" s="116">
        <v>1215.9000000000001</v>
      </c>
      <c r="G206">
        <v>37572</v>
      </c>
      <c r="H206" s="116"/>
      <c r="I206" s="116"/>
      <c r="L206" s="170">
        <v>44405</v>
      </c>
      <c r="M206" s="116">
        <v>121.56</v>
      </c>
      <c r="N206" s="116">
        <v>124.5</v>
      </c>
      <c r="O206" s="116">
        <v>117.44</v>
      </c>
      <c r="P206" s="116">
        <v>121.405</v>
      </c>
      <c r="Q206" s="116">
        <v>1215.5999999999999</v>
      </c>
      <c r="R206">
        <v>512183</v>
      </c>
    </row>
    <row r="207" spans="1:18" x14ac:dyDescent="0.25">
      <c r="A207" s="170">
        <v>44406</v>
      </c>
      <c r="B207" s="116">
        <v>122.895</v>
      </c>
      <c r="C207" s="116">
        <v>119.005</v>
      </c>
      <c r="D207" s="116">
        <v>118</v>
      </c>
      <c r="E207" s="116">
        <v>121.995</v>
      </c>
      <c r="F207" s="116">
        <v>1190.05</v>
      </c>
      <c r="G207">
        <v>39335</v>
      </c>
      <c r="H207" s="116"/>
      <c r="I207" s="116"/>
      <c r="L207" s="170">
        <v>44406</v>
      </c>
      <c r="M207" s="116">
        <v>119.11499999999999</v>
      </c>
      <c r="N207" s="116">
        <v>122.825</v>
      </c>
      <c r="O207" s="116">
        <v>117.125</v>
      </c>
      <c r="P207" s="116">
        <v>121.5</v>
      </c>
      <c r="Q207" s="116">
        <v>1191.1500000000001</v>
      </c>
      <c r="R207">
        <v>255921</v>
      </c>
    </row>
    <row r="208" spans="1:18" x14ac:dyDescent="0.25">
      <c r="A208" s="170">
        <v>44407</v>
      </c>
      <c r="B208" s="116">
        <v>121.2</v>
      </c>
      <c r="C208" s="116">
        <v>118.685</v>
      </c>
      <c r="D208" s="116">
        <v>117.605</v>
      </c>
      <c r="E208" s="116">
        <v>119</v>
      </c>
      <c r="F208" s="116">
        <v>1186.8499999999999</v>
      </c>
      <c r="G208">
        <v>14616</v>
      </c>
      <c r="H208" s="116"/>
      <c r="I208" s="116"/>
      <c r="L208" s="170">
        <v>44407</v>
      </c>
      <c r="M208" s="116">
        <v>118.72499999999999</v>
      </c>
      <c r="N208" s="116">
        <v>121.2</v>
      </c>
      <c r="O208" s="116">
        <v>117.5</v>
      </c>
      <c r="P208" s="116">
        <v>118.5</v>
      </c>
      <c r="Q208" s="116">
        <v>1187.25</v>
      </c>
      <c r="R208">
        <v>205897</v>
      </c>
    </row>
    <row r="209" spans="1:18" x14ac:dyDescent="0.25">
      <c r="A209" s="170">
        <v>44410</v>
      </c>
      <c r="B209" s="116">
        <v>130.55000000000001</v>
      </c>
      <c r="C209" s="116">
        <v>130.55000000000001</v>
      </c>
      <c r="D209" s="116">
        <v>119</v>
      </c>
      <c r="E209" s="116">
        <v>119</v>
      </c>
      <c r="F209" s="116">
        <v>1305.5</v>
      </c>
      <c r="G209">
        <v>59257</v>
      </c>
      <c r="H209" s="116"/>
      <c r="I209" s="116"/>
      <c r="L209" s="170">
        <v>44410</v>
      </c>
      <c r="M209" s="116">
        <v>130.595</v>
      </c>
      <c r="N209" s="116">
        <v>130.595</v>
      </c>
      <c r="O209" s="116">
        <v>119.82</v>
      </c>
      <c r="P209" s="116">
        <v>120.4</v>
      </c>
      <c r="Q209" s="116">
        <v>1305.95</v>
      </c>
      <c r="R209">
        <v>1032947</v>
      </c>
    </row>
    <row r="210" spans="1:18" x14ac:dyDescent="0.25">
      <c r="A210" s="170">
        <v>44411</v>
      </c>
      <c r="B210" s="116">
        <v>139.74</v>
      </c>
      <c r="C210" s="116">
        <v>132.125</v>
      </c>
      <c r="D210" s="116">
        <v>131.22</v>
      </c>
      <c r="E210" s="116">
        <v>135.19999999999999</v>
      </c>
      <c r="F210" s="116">
        <v>1321.25</v>
      </c>
      <c r="G210">
        <v>43241</v>
      </c>
      <c r="H210" s="116"/>
      <c r="I210" s="116"/>
      <c r="L210" s="170">
        <v>44411</v>
      </c>
      <c r="M210" s="116">
        <v>132.01</v>
      </c>
      <c r="N210" s="116">
        <v>139.595</v>
      </c>
      <c r="O210" s="116">
        <v>131.11000000000001</v>
      </c>
      <c r="P210" s="116">
        <v>135.1</v>
      </c>
      <c r="Q210" s="116">
        <v>1320.1</v>
      </c>
      <c r="R210">
        <v>717973</v>
      </c>
    </row>
    <row r="211" spans="1:18" x14ac:dyDescent="0.25">
      <c r="A211" s="170">
        <v>44412</v>
      </c>
      <c r="B211" s="116">
        <v>135.69499999999999</v>
      </c>
      <c r="C211" s="116">
        <v>127.155</v>
      </c>
      <c r="D211" s="116">
        <v>125.5</v>
      </c>
      <c r="E211" s="116">
        <v>133.5</v>
      </c>
      <c r="F211" s="116">
        <v>1271.55</v>
      </c>
      <c r="G211">
        <v>52983</v>
      </c>
      <c r="H211" s="116"/>
      <c r="I211" s="116"/>
      <c r="L211" s="170">
        <v>44412</v>
      </c>
      <c r="M211" s="116">
        <v>127.355</v>
      </c>
      <c r="N211" s="116">
        <v>135.6</v>
      </c>
      <c r="O211" s="116">
        <v>124.965</v>
      </c>
      <c r="P211" s="116">
        <v>133.5</v>
      </c>
      <c r="Q211" s="116">
        <v>1273.55</v>
      </c>
      <c r="R211">
        <v>367764</v>
      </c>
    </row>
    <row r="212" spans="1:18" x14ac:dyDescent="0.25">
      <c r="A212" s="170">
        <v>44413</v>
      </c>
      <c r="B212" s="116">
        <v>133.5</v>
      </c>
      <c r="C212" s="116">
        <v>132.26</v>
      </c>
      <c r="D212" s="116">
        <v>124</v>
      </c>
      <c r="E212" s="116">
        <v>129</v>
      </c>
      <c r="F212" s="116">
        <v>1322.6</v>
      </c>
      <c r="G212">
        <v>39689</v>
      </c>
      <c r="H212" s="116"/>
      <c r="I212" s="116"/>
      <c r="L212" s="170">
        <v>44413</v>
      </c>
      <c r="M212" s="116">
        <v>131.965</v>
      </c>
      <c r="N212" s="116">
        <v>133.5</v>
      </c>
      <c r="O212" s="116">
        <v>123.7</v>
      </c>
      <c r="P212" s="116">
        <v>129</v>
      </c>
      <c r="Q212" s="116">
        <v>1319.65</v>
      </c>
      <c r="R212">
        <v>734739</v>
      </c>
    </row>
    <row r="213" spans="1:18" x14ac:dyDescent="0.25">
      <c r="A213" s="170">
        <v>44414</v>
      </c>
      <c r="B213" s="116">
        <v>133</v>
      </c>
      <c r="C213" s="116">
        <v>129.5</v>
      </c>
      <c r="D213" s="116">
        <v>127.505</v>
      </c>
      <c r="E213" s="116">
        <v>132.30000000000001</v>
      </c>
      <c r="F213" s="116">
        <v>1295</v>
      </c>
      <c r="G213">
        <v>38843</v>
      </c>
      <c r="H213" s="116"/>
      <c r="I213" s="116"/>
      <c r="L213" s="170">
        <v>44414</v>
      </c>
      <c r="M213" s="116">
        <v>129.44</v>
      </c>
      <c r="N213" s="116">
        <v>133.12</v>
      </c>
      <c r="O213" s="116">
        <v>127.5</v>
      </c>
      <c r="P213" s="116">
        <v>132.30000000000001</v>
      </c>
      <c r="Q213" s="116">
        <v>1294.4000000000001</v>
      </c>
      <c r="R213">
        <v>169373</v>
      </c>
    </row>
    <row r="214" spans="1:18" x14ac:dyDescent="0.25">
      <c r="A214" s="170">
        <v>44417</v>
      </c>
      <c r="B214" s="116">
        <v>130.07</v>
      </c>
      <c r="C214" s="116">
        <v>126.795</v>
      </c>
      <c r="D214" s="116">
        <v>126</v>
      </c>
      <c r="E214" s="116">
        <v>129</v>
      </c>
      <c r="F214" s="116">
        <v>1267.95</v>
      </c>
      <c r="G214">
        <v>26443</v>
      </c>
      <c r="H214" s="116"/>
      <c r="I214" s="116"/>
      <c r="L214" s="170">
        <v>44417</v>
      </c>
      <c r="M214" s="116">
        <v>126.99</v>
      </c>
      <c r="N214" s="116">
        <v>129.97999999999999</v>
      </c>
      <c r="O214" s="116">
        <v>126.12</v>
      </c>
      <c r="P214" s="116">
        <v>129.44</v>
      </c>
      <c r="Q214" s="116">
        <v>1269.9000000000001</v>
      </c>
      <c r="R214">
        <v>120012</v>
      </c>
    </row>
    <row r="215" spans="1:18" x14ac:dyDescent="0.25">
      <c r="A215" s="170">
        <v>44418</v>
      </c>
      <c r="B215" s="116">
        <v>129.04499999999999</v>
      </c>
      <c r="C215" s="116">
        <v>121.52500000000001</v>
      </c>
      <c r="D215" s="116">
        <v>114.5</v>
      </c>
      <c r="E215" s="116">
        <v>128.57</v>
      </c>
      <c r="F215" s="116">
        <v>1215.25</v>
      </c>
      <c r="G215">
        <v>24672</v>
      </c>
      <c r="H215" s="116"/>
      <c r="I215" s="116"/>
      <c r="L215" s="170">
        <v>44418</v>
      </c>
      <c r="M215" s="116">
        <v>121.25</v>
      </c>
      <c r="N215" s="116">
        <v>129.4</v>
      </c>
      <c r="O215" s="116">
        <v>114.3</v>
      </c>
      <c r="P215" s="116">
        <v>127.825</v>
      </c>
      <c r="Q215" s="116">
        <v>1212.5</v>
      </c>
      <c r="R215">
        <v>448516</v>
      </c>
    </row>
    <row r="216" spans="1:18" x14ac:dyDescent="0.25">
      <c r="A216" s="170">
        <v>44419</v>
      </c>
      <c r="B216" s="116">
        <v>124.96</v>
      </c>
      <c r="C216" s="116">
        <v>119.255</v>
      </c>
      <c r="D216" s="116">
        <v>112.24</v>
      </c>
      <c r="E216" s="116">
        <v>122.5</v>
      </c>
      <c r="F216" s="116">
        <v>1192.55</v>
      </c>
      <c r="G216">
        <v>70258</v>
      </c>
      <c r="H216" s="116"/>
      <c r="I216" s="116"/>
      <c r="L216" s="170">
        <v>44419</v>
      </c>
      <c r="M216" s="116">
        <v>119.045</v>
      </c>
      <c r="N216" s="116">
        <v>124.86499999999999</v>
      </c>
      <c r="O216" s="116">
        <v>112.405</v>
      </c>
      <c r="P216" s="116">
        <v>123.245</v>
      </c>
      <c r="Q216" s="116">
        <v>1190.45</v>
      </c>
      <c r="R216">
        <v>678696</v>
      </c>
    </row>
    <row r="217" spans="1:18" x14ac:dyDescent="0.25">
      <c r="A217" s="170">
        <v>44420</v>
      </c>
      <c r="B217" s="116">
        <v>125</v>
      </c>
      <c r="C217" s="116">
        <v>123.94</v>
      </c>
      <c r="D217" s="116">
        <v>119.98</v>
      </c>
      <c r="E217" s="116">
        <v>120.5</v>
      </c>
      <c r="F217" s="116">
        <v>1239.4000000000001</v>
      </c>
      <c r="G217">
        <v>37419</v>
      </c>
      <c r="H217" s="116"/>
      <c r="I217" s="116"/>
      <c r="L217" s="170">
        <v>44420</v>
      </c>
      <c r="M217" s="116">
        <v>123.99</v>
      </c>
      <c r="N217" s="116">
        <v>124.995</v>
      </c>
      <c r="O217" s="116">
        <v>119.69</v>
      </c>
      <c r="P217" s="116">
        <v>120.22499999999999</v>
      </c>
      <c r="Q217" s="116">
        <v>1239.9000000000001</v>
      </c>
      <c r="R217">
        <v>295097</v>
      </c>
    </row>
    <row r="218" spans="1:18" x14ac:dyDescent="0.25">
      <c r="A218" s="170">
        <v>44421</v>
      </c>
      <c r="B218" s="116">
        <v>125.3</v>
      </c>
      <c r="C218" s="116">
        <v>123.605</v>
      </c>
      <c r="D218" s="116">
        <v>121.58</v>
      </c>
      <c r="E218" s="116">
        <v>125.3</v>
      </c>
      <c r="F218" s="116">
        <v>1236.05</v>
      </c>
      <c r="G218">
        <v>13411</v>
      </c>
      <c r="H218" s="116"/>
      <c r="I218" s="116"/>
      <c r="L218" s="170">
        <v>44421</v>
      </c>
      <c r="M218" s="116">
        <v>123.55</v>
      </c>
      <c r="N218" s="116">
        <v>124.72</v>
      </c>
      <c r="O218" s="116">
        <v>121.505</v>
      </c>
      <c r="P218" s="116">
        <v>124.6</v>
      </c>
      <c r="Q218" s="116">
        <v>1235.5</v>
      </c>
      <c r="R218">
        <v>223752</v>
      </c>
    </row>
    <row r="219" spans="1:18" x14ac:dyDescent="0.25">
      <c r="A219" s="170">
        <v>44424</v>
      </c>
      <c r="B219" s="116">
        <v>123.27</v>
      </c>
      <c r="C219" s="116">
        <v>122.565</v>
      </c>
      <c r="D219" s="116">
        <v>120.21</v>
      </c>
      <c r="E219" s="116">
        <v>122.1</v>
      </c>
      <c r="F219" s="116">
        <v>1225.6500000000001</v>
      </c>
      <c r="G219">
        <v>18036</v>
      </c>
      <c r="H219" s="116"/>
      <c r="I219" s="116"/>
      <c r="L219" s="170">
        <v>44424</v>
      </c>
      <c r="M219" s="116">
        <v>122.55</v>
      </c>
      <c r="N219" s="116">
        <v>123.7</v>
      </c>
      <c r="O219" s="116">
        <v>120.2</v>
      </c>
      <c r="P219" s="116">
        <v>123.7</v>
      </c>
      <c r="Q219" s="116">
        <v>1225.5</v>
      </c>
      <c r="R219">
        <v>123282</v>
      </c>
    </row>
    <row r="220" spans="1:18" x14ac:dyDescent="0.25">
      <c r="A220" s="170">
        <v>44425</v>
      </c>
      <c r="B220" s="116">
        <v>124</v>
      </c>
      <c r="C220" s="116">
        <v>120.73</v>
      </c>
      <c r="D220" s="116">
        <v>119.735</v>
      </c>
      <c r="E220" s="116">
        <v>124</v>
      </c>
      <c r="F220" s="116">
        <v>1207.3</v>
      </c>
      <c r="G220">
        <v>14513</v>
      </c>
      <c r="H220" s="116"/>
      <c r="I220" s="116"/>
      <c r="L220" s="170">
        <v>44425</v>
      </c>
      <c r="M220" s="116">
        <v>120.80500000000001</v>
      </c>
      <c r="N220" s="116">
        <v>124</v>
      </c>
      <c r="O220" s="116">
        <v>119.79</v>
      </c>
      <c r="P220" s="116">
        <v>124</v>
      </c>
      <c r="Q220" s="116">
        <v>1208.05</v>
      </c>
      <c r="R220">
        <v>90431</v>
      </c>
    </row>
    <row r="221" spans="1:18" x14ac:dyDescent="0.25">
      <c r="A221" s="170">
        <v>44426</v>
      </c>
      <c r="B221" s="116">
        <v>122.9</v>
      </c>
      <c r="C221" s="116">
        <v>119.27500000000001</v>
      </c>
      <c r="D221" s="116">
        <v>118.85</v>
      </c>
      <c r="E221" s="116">
        <v>121.03</v>
      </c>
      <c r="F221" s="116">
        <v>1192.75</v>
      </c>
      <c r="G221">
        <v>5296</v>
      </c>
      <c r="H221" s="116"/>
      <c r="I221" s="116"/>
      <c r="L221" s="170">
        <v>44426</v>
      </c>
      <c r="M221" s="116">
        <v>119.61</v>
      </c>
      <c r="N221" s="116">
        <v>123</v>
      </c>
      <c r="O221" s="116">
        <v>119</v>
      </c>
      <c r="P221" s="116">
        <v>121.8</v>
      </c>
      <c r="Q221" s="116">
        <v>1196.0999999999999</v>
      </c>
      <c r="R221">
        <v>121143</v>
      </c>
    </row>
    <row r="222" spans="1:18" x14ac:dyDescent="0.25">
      <c r="A222" s="170">
        <v>44428</v>
      </c>
      <c r="B222" s="116">
        <v>120</v>
      </c>
      <c r="C222" s="116">
        <v>118.125</v>
      </c>
      <c r="D222" s="116">
        <v>115.605</v>
      </c>
      <c r="E222" s="116">
        <v>119.5</v>
      </c>
      <c r="F222" s="116">
        <v>1181.25</v>
      </c>
      <c r="G222">
        <v>13382</v>
      </c>
      <c r="H222" s="116"/>
      <c r="I222" s="116"/>
      <c r="L222" s="170">
        <v>44428</v>
      </c>
      <c r="M222" s="116">
        <v>118.38500000000001</v>
      </c>
      <c r="N222" s="116">
        <v>120</v>
      </c>
      <c r="O222" s="116">
        <v>115.7</v>
      </c>
      <c r="P222" s="116">
        <v>115.7</v>
      </c>
      <c r="Q222" s="116">
        <v>1183.8499999999999</v>
      </c>
      <c r="R222">
        <v>180308</v>
      </c>
    </row>
    <row r="223" spans="1:18" x14ac:dyDescent="0.25">
      <c r="A223" s="170">
        <v>44431</v>
      </c>
      <c r="B223" s="116">
        <v>122.495</v>
      </c>
      <c r="C223" s="116">
        <v>106.93</v>
      </c>
      <c r="D223" s="116">
        <v>106.315</v>
      </c>
      <c r="E223" s="116">
        <v>122.495</v>
      </c>
      <c r="F223" s="116">
        <v>1069.3</v>
      </c>
      <c r="G223">
        <v>44269</v>
      </c>
      <c r="H223" s="116"/>
      <c r="I223" s="116"/>
      <c r="L223" s="170">
        <v>44431</v>
      </c>
      <c r="M223" s="116">
        <v>107.22</v>
      </c>
      <c r="N223" s="116">
        <v>120.22499999999999</v>
      </c>
      <c r="O223" s="116">
        <v>106.55</v>
      </c>
      <c r="P223" s="116">
        <v>119.2</v>
      </c>
      <c r="Q223" s="116">
        <v>1072.2</v>
      </c>
      <c r="R223">
        <v>677402</v>
      </c>
    </row>
    <row r="224" spans="1:18" x14ac:dyDescent="0.25">
      <c r="A224" s="170">
        <v>44432</v>
      </c>
      <c r="B224" s="116">
        <v>112.35</v>
      </c>
      <c r="C224" s="116">
        <v>111.105</v>
      </c>
      <c r="D224" s="116">
        <v>100.89</v>
      </c>
      <c r="E224" s="116">
        <v>106.8</v>
      </c>
      <c r="F224" s="116">
        <v>1111.05</v>
      </c>
      <c r="G224">
        <v>29608</v>
      </c>
      <c r="H224" s="116"/>
      <c r="I224" s="116"/>
      <c r="L224" s="170">
        <v>44432</v>
      </c>
      <c r="M224" s="116">
        <v>111.07</v>
      </c>
      <c r="N224" s="116">
        <v>112.35</v>
      </c>
      <c r="O224" s="116">
        <v>101.4</v>
      </c>
      <c r="P224" s="116">
        <v>105.2</v>
      </c>
      <c r="Q224" s="116">
        <v>1110.7</v>
      </c>
      <c r="R224">
        <v>621617</v>
      </c>
    </row>
    <row r="225" spans="1:18" x14ac:dyDescent="0.25">
      <c r="A225" s="170">
        <v>44433</v>
      </c>
      <c r="B225" s="116">
        <v>114.995</v>
      </c>
      <c r="C225" s="116">
        <v>113.01</v>
      </c>
      <c r="D225" s="116">
        <v>110.11</v>
      </c>
      <c r="E225" s="116">
        <v>112.2</v>
      </c>
      <c r="F225" s="116">
        <v>1130.0999999999999</v>
      </c>
      <c r="G225">
        <v>29508</v>
      </c>
      <c r="H225" s="116"/>
      <c r="I225" s="116"/>
      <c r="L225" s="170">
        <v>44433</v>
      </c>
      <c r="M225" s="116">
        <v>113.035</v>
      </c>
      <c r="N225" s="116">
        <v>115</v>
      </c>
      <c r="O225" s="116">
        <v>110.235</v>
      </c>
      <c r="P225" s="116">
        <v>112.4</v>
      </c>
      <c r="Q225" s="116">
        <v>1130.3499999999999</v>
      </c>
      <c r="R225">
        <v>208418</v>
      </c>
    </row>
    <row r="226" spans="1:18" x14ac:dyDescent="0.25">
      <c r="A226" s="170">
        <v>44434</v>
      </c>
      <c r="B226" s="116">
        <v>115.2</v>
      </c>
      <c r="C226" s="116">
        <v>111.15</v>
      </c>
      <c r="D226" s="116">
        <v>109.85</v>
      </c>
      <c r="E226" s="116">
        <v>115.2</v>
      </c>
      <c r="F226" s="116">
        <v>1111.5</v>
      </c>
      <c r="G226">
        <v>7860</v>
      </c>
      <c r="H226" s="116"/>
      <c r="I226" s="116"/>
      <c r="L226" s="170">
        <v>44434</v>
      </c>
      <c r="M226" s="116">
        <v>111.03</v>
      </c>
      <c r="N226" s="116">
        <v>114.1</v>
      </c>
      <c r="O226" s="116">
        <v>109.625</v>
      </c>
      <c r="P226" s="116">
        <v>114.1</v>
      </c>
      <c r="Q226" s="116">
        <v>1110.3</v>
      </c>
      <c r="R226">
        <v>122061</v>
      </c>
    </row>
    <row r="227" spans="1:18" x14ac:dyDescent="0.25">
      <c r="A227" s="170">
        <v>44435</v>
      </c>
      <c r="B227" s="116">
        <v>111.04</v>
      </c>
      <c r="C227" s="116">
        <v>109.06</v>
      </c>
      <c r="D227" s="116">
        <v>106.705</v>
      </c>
      <c r="E227" s="116">
        <v>110.6</v>
      </c>
      <c r="F227" s="116">
        <v>1090.5999999999999</v>
      </c>
      <c r="G227">
        <v>15521</v>
      </c>
      <c r="H227" s="116"/>
      <c r="I227" s="116"/>
      <c r="L227" s="170">
        <v>44435</v>
      </c>
      <c r="M227" s="116">
        <v>109.155</v>
      </c>
      <c r="N227" s="116">
        <v>111.3</v>
      </c>
      <c r="O227" s="116">
        <v>106.745</v>
      </c>
      <c r="P227" s="116">
        <v>111.3</v>
      </c>
      <c r="Q227" s="116">
        <v>1091.55</v>
      </c>
      <c r="R227">
        <v>124332</v>
      </c>
    </row>
    <row r="228" spans="1:18" x14ac:dyDescent="0.25">
      <c r="A228" s="170">
        <v>44438</v>
      </c>
      <c r="B228" s="116">
        <v>119.965</v>
      </c>
      <c r="C228" s="116">
        <v>119.965</v>
      </c>
      <c r="D228" s="116">
        <v>109.67</v>
      </c>
      <c r="E228" s="116">
        <v>109.88500000000001</v>
      </c>
      <c r="F228" s="116">
        <v>1199.6500000000001</v>
      </c>
      <c r="G228">
        <v>38621</v>
      </c>
      <c r="H228" s="116"/>
      <c r="I228" s="116"/>
      <c r="L228" s="170">
        <v>44438</v>
      </c>
      <c r="M228" s="116">
        <v>120.07</v>
      </c>
      <c r="N228" s="116">
        <v>120.07</v>
      </c>
      <c r="O228" s="116">
        <v>109.515</v>
      </c>
      <c r="P228" s="116">
        <v>110.88</v>
      </c>
      <c r="Q228" s="116">
        <v>1200.7</v>
      </c>
      <c r="R228">
        <v>412824</v>
      </c>
    </row>
    <row r="229" spans="1:18" x14ac:dyDescent="0.25">
      <c r="A229" s="170">
        <v>44439</v>
      </c>
      <c r="B229" s="116">
        <v>124.9</v>
      </c>
      <c r="C229" s="116">
        <v>120.845</v>
      </c>
      <c r="D229" s="116">
        <v>117.96</v>
      </c>
      <c r="E229" s="116">
        <v>122.4</v>
      </c>
      <c r="F229" s="116">
        <v>1208.45</v>
      </c>
      <c r="G229">
        <v>26288</v>
      </c>
      <c r="H229" s="116"/>
      <c r="I229" s="116"/>
      <c r="L229" s="170">
        <v>44439</v>
      </c>
      <c r="M229" s="116">
        <v>120.74</v>
      </c>
      <c r="N229" s="116">
        <v>124.86499999999999</v>
      </c>
      <c r="O229" s="116">
        <v>117.73</v>
      </c>
      <c r="P229" s="116">
        <v>122.5</v>
      </c>
      <c r="Q229" s="116">
        <v>1207.4000000000001</v>
      </c>
      <c r="R229">
        <v>434719</v>
      </c>
    </row>
    <row r="230" spans="1:18" x14ac:dyDescent="0.25">
      <c r="A230" s="170">
        <v>44440</v>
      </c>
      <c r="B230" s="116">
        <v>122</v>
      </c>
      <c r="C230" s="116">
        <v>118.16</v>
      </c>
      <c r="D230" s="116">
        <v>116.1</v>
      </c>
      <c r="E230" s="116">
        <v>120.80500000000001</v>
      </c>
      <c r="F230" s="116">
        <v>1181.5999999999999</v>
      </c>
      <c r="G230">
        <v>29767</v>
      </c>
      <c r="H230" s="116"/>
      <c r="I230" s="116"/>
      <c r="L230" s="170">
        <v>44440</v>
      </c>
      <c r="M230" s="116">
        <v>117.99</v>
      </c>
      <c r="N230" s="116">
        <v>122.105</v>
      </c>
      <c r="O230" s="116">
        <v>116.02</v>
      </c>
      <c r="P230" s="116">
        <v>121</v>
      </c>
      <c r="Q230" s="116">
        <v>1179.9000000000001</v>
      </c>
      <c r="R230">
        <v>148542</v>
      </c>
    </row>
    <row r="231" spans="1:18" x14ac:dyDescent="0.25">
      <c r="A231" s="170">
        <v>44441</v>
      </c>
      <c r="B231" s="116">
        <v>120.2</v>
      </c>
      <c r="C231" s="116">
        <v>115.9</v>
      </c>
      <c r="D231" s="116">
        <v>115.505</v>
      </c>
      <c r="E231" s="116">
        <v>118.56</v>
      </c>
      <c r="F231" s="116">
        <v>1159</v>
      </c>
      <c r="G231">
        <v>18160</v>
      </c>
      <c r="H231" s="116"/>
      <c r="I231" s="116"/>
      <c r="L231" s="170">
        <v>44441</v>
      </c>
      <c r="M231" s="116">
        <v>115.94</v>
      </c>
      <c r="N231" s="116">
        <v>118.98</v>
      </c>
      <c r="O231" s="116">
        <v>115.505</v>
      </c>
      <c r="P231" s="116">
        <v>118.98</v>
      </c>
      <c r="Q231" s="116">
        <v>1159.4000000000001</v>
      </c>
      <c r="R231">
        <v>132961</v>
      </c>
    </row>
    <row r="232" spans="1:18" x14ac:dyDescent="0.25">
      <c r="A232" s="170">
        <v>44442</v>
      </c>
      <c r="B232" s="116">
        <v>125.9</v>
      </c>
      <c r="C232" s="116">
        <v>123.35</v>
      </c>
      <c r="D232" s="116">
        <v>117.44499999999999</v>
      </c>
      <c r="E232" s="116">
        <v>117.7</v>
      </c>
      <c r="F232" s="116">
        <v>1233.5</v>
      </c>
      <c r="G232">
        <v>42324</v>
      </c>
      <c r="H232" s="116"/>
      <c r="I232" s="116"/>
      <c r="L232" s="170">
        <v>44442</v>
      </c>
      <c r="M232" s="116">
        <v>123.4</v>
      </c>
      <c r="N232" s="116">
        <v>126</v>
      </c>
      <c r="O232" s="116">
        <v>116.875</v>
      </c>
      <c r="P232" s="116">
        <v>116.875</v>
      </c>
      <c r="Q232" s="116">
        <v>1234</v>
      </c>
      <c r="R232">
        <v>569454</v>
      </c>
    </row>
    <row r="233" spans="1:18" x14ac:dyDescent="0.25">
      <c r="A233" s="170">
        <v>44445</v>
      </c>
      <c r="B233" s="116">
        <v>125.315</v>
      </c>
      <c r="C233" s="116">
        <v>122.41</v>
      </c>
      <c r="D233" s="116">
        <v>120.86499999999999</v>
      </c>
      <c r="E233" s="116">
        <v>124.9</v>
      </c>
      <c r="F233" s="116">
        <v>1224.0999999999999</v>
      </c>
      <c r="G233">
        <v>17789</v>
      </c>
      <c r="H233" s="116"/>
      <c r="I233" s="116"/>
      <c r="L233" s="170">
        <v>44445</v>
      </c>
      <c r="M233" s="116">
        <v>122.35</v>
      </c>
      <c r="N233" s="116">
        <v>125.5</v>
      </c>
      <c r="O233" s="116">
        <v>120.8</v>
      </c>
      <c r="P233" s="116">
        <v>123.9</v>
      </c>
      <c r="Q233" s="116">
        <v>1223.5</v>
      </c>
      <c r="R233">
        <v>179748</v>
      </c>
    </row>
    <row r="234" spans="1:18" x14ac:dyDescent="0.25">
      <c r="A234" s="170">
        <v>44446</v>
      </c>
      <c r="B234" s="116">
        <v>124.3</v>
      </c>
      <c r="C234" s="116">
        <v>119.825</v>
      </c>
      <c r="D234" s="116">
        <v>118.72</v>
      </c>
      <c r="E234" s="116">
        <v>124.3</v>
      </c>
      <c r="F234" s="116">
        <v>1198.25</v>
      </c>
      <c r="G234">
        <v>20045</v>
      </c>
      <c r="H234" s="116"/>
      <c r="I234" s="116"/>
      <c r="L234" s="170">
        <v>44446</v>
      </c>
      <c r="M234" s="116">
        <v>119.86</v>
      </c>
      <c r="N234" s="116">
        <v>122.8</v>
      </c>
      <c r="O234" s="116">
        <v>118.8</v>
      </c>
      <c r="P234" s="116">
        <v>122.8</v>
      </c>
      <c r="Q234" s="116">
        <v>1198.5999999999999</v>
      </c>
      <c r="R234">
        <v>145903</v>
      </c>
    </row>
    <row r="235" spans="1:18" x14ac:dyDescent="0.25">
      <c r="A235" s="170">
        <v>44447</v>
      </c>
      <c r="B235" s="116">
        <v>122.53</v>
      </c>
      <c r="C235" s="116">
        <v>120.62</v>
      </c>
      <c r="D235" s="116">
        <v>117.7</v>
      </c>
      <c r="E235" s="116">
        <v>120</v>
      </c>
      <c r="F235" s="116">
        <v>1206.2</v>
      </c>
      <c r="G235">
        <v>10930</v>
      </c>
      <c r="H235" s="116"/>
      <c r="I235" s="116"/>
      <c r="L235" s="170">
        <v>44447</v>
      </c>
      <c r="M235" s="116">
        <v>120.68</v>
      </c>
      <c r="N235" s="116">
        <v>122.5</v>
      </c>
      <c r="O235" s="116">
        <v>117.505</v>
      </c>
      <c r="P235" s="116">
        <v>121.075</v>
      </c>
      <c r="Q235" s="116">
        <v>1206.8</v>
      </c>
      <c r="R235">
        <v>266205</v>
      </c>
    </row>
    <row r="236" spans="1:18" x14ac:dyDescent="0.25">
      <c r="A236" s="170">
        <v>44448</v>
      </c>
      <c r="B236" s="116">
        <v>124.6</v>
      </c>
      <c r="C236" s="116">
        <v>122.99</v>
      </c>
      <c r="D236" s="116">
        <v>120.41</v>
      </c>
      <c r="E236" s="116">
        <v>121</v>
      </c>
      <c r="F236" s="116">
        <v>1229.9000000000001</v>
      </c>
      <c r="G236">
        <v>23114</v>
      </c>
      <c r="H236" s="116"/>
      <c r="I236" s="116"/>
      <c r="L236" s="170">
        <v>44448</v>
      </c>
      <c r="M236" s="116">
        <v>122.88500000000001</v>
      </c>
      <c r="N236" s="116">
        <v>124.795</v>
      </c>
      <c r="O236" s="116">
        <v>120.3</v>
      </c>
      <c r="P236" s="116">
        <v>121.1</v>
      </c>
      <c r="Q236" s="116">
        <v>1228.8499999999999</v>
      </c>
      <c r="R236">
        <v>285773</v>
      </c>
    </row>
    <row r="237" spans="1:18" x14ac:dyDescent="0.25">
      <c r="A237" s="170">
        <v>44452</v>
      </c>
      <c r="B237" s="116">
        <v>132.52500000000001</v>
      </c>
      <c r="C237" s="116">
        <v>129.53</v>
      </c>
      <c r="D237" s="116">
        <v>123.16500000000001</v>
      </c>
      <c r="E237" s="116">
        <v>123.49</v>
      </c>
      <c r="F237" s="116">
        <v>1295.3</v>
      </c>
      <c r="G237">
        <v>119524</v>
      </c>
      <c r="H237" s="116"/>
      <c r="I237" s="116"/>
      <c r="L237" s="170">
        <v>44452</v>
      </c>
      <c r="M237" s="116">
        <v>129.56</v>
      </c>
      <c r="N237" s="116">
        <v>132.5</v>
      </c>
      <c r="O237" s="116">
        <v>122.985</v>
      </c>
      <c r="P237" s="116">
        <v>122.99</v>
      </c>
      <c r="Q237" s="116">
        <v>1295.5999999999999</v>
      </c>
      <c r="R237">
        <v>891746</v>
      </c>
    </row>
    <row r="238" spans="1:18" x14ac:dyDescent="0.25">
      <c r="A238" s="170">
        <v>44453</v>
      </c>
      <c r="B238" s="116">
        <v>133.46</v>
      </c>
      <c r="C238" s="116">
        <v>127.895</v>
      </c>
      <c r="D238" s="116">
        <v>126.72499999999999</v>
      </c>
      <c r="E238" s="116">
        <v>130.9</v>
      </c>
      <c r="F238" s="116">
        <v>1278.95</v>
      </c>
      <c r="G238">
        <v>26822</v>
      </c>
      <c r="H238" s="116"/>
      <c r="I238" s="116"/>
      <c r="L238" s="170">
        <v>44453</v>
      </c>
      <c r="M238" s="116">
        <v>127.845</v>
      </c>
      <c r="N238" s="116">
        <v>133.47999999999999</v>
      </c>
      <c r="O238" s="116">
        <v>126.515</v>
      </c>
      <c r="P238" s="116">
        <v>130.4</v>
      </c>
      <c r="Q238" s="116">
        <v>1278.45</v>
      </c>
      <c r="R238">
        <v>474872</v>
      </c>
    </row>
    <row r="239" spans="1:18" x14ac:dyDescent="0.25">
      <c r="A239" s="170">
        <v>44454</v>
      </c>
      <c r="B239" s="116">
        <v>129.5</v>
      </c>
      <c r="C239" s="116">
        <v>126.895</v>
      </c>
      <c r="D239" s="116">
        <v>126.4</v>
      </c>
      <c r="E239" s="116">
        <v>127.895</v>
      </c>
      <c r="F239" s="116">
        <v>1268.95</v>
      </c>
      <c r="G239">
        <v>40772</v>
      </c>
      <c r="H239" s="116"/>
      <c r="I239" s="116"/>
      <c r="L239" s="170">
        <v>44454</v>
      </c>
      <c r="M239" s="116">
        <v>126.98</v>
      </c>
      <c r="N239" s="116">
        <v>129.47999999999999</v>
      </c>
      <c r="O239" s="116">
        <v>126.6</v>
      </c>
      <c r="P239" s="116">
        <v>128.38</v>
      </c>
      <c r="Q239" s="116">
        <v>1269.8</v>
      </c>
      <c r="R239">
        <v>228465</v>
      </c>
    </row>
    <row r="240" spans="1:18" x14ac:dyDescent="0.25">
      <c r="A240" s="170">
        <v>44455</v>
      </c>
      <c r="B240" s="116">
        <v>130.43</v>
      </c>
      <c r="C240" s="116">
        <v>129.07</v>
      </c>
      <c r="D240" s="116">
        <v>124.76</v>
      </c>
      <c r="E240" s="116">
        <v>128.30000000000001</v>
      </c>
      <c r="F240" s="116">
        <v>1290.7</v>
      </c>
      <c r="G240">
        <v>13853</v>
      </c>
      <c r="H240" s="116"/>
      <c r="I240" s="116"/>
      <c r="L240" s="170">
        <v>44455</v>
      </c>
      <c r="M240" s="116">
        <v>129.17500000000001</v>
      </c>
      <c r="N240" s="116">
        <v>130.5</v>
      </c>
      <c r="O240" s="116">
        <v>124.815</v>
      </c>
      <c r="P240" s="116">
        <v>127.68</v>
      </c>
      <c r="Q240" s="116">
        <v>1291.75</v>
      </c>
      <c r="R240">
        <v>382164</v>
      </c>
    </row>
    <row r="241" spans="1:18" x14ac:dyDescent="0.25">
      <c r="A241" s="170">
        <v>44456</v>
      </c>
      <c r="B241" s="116">
        <v>131.995</v>
      </c>
      <c r="C241" s="116">
        <v>129.68</v>
      </c>
      <c r="D241" s="116">
        <v>127.87</v>
      </c>
      <c r="E241" s="116">
        <v>130</v>
      </c>
      <c r="F241" s="116">
        <v>1296.8</v>
      </c>
      <c r="G241">
        <v>7874</v>
      </c>
      <c r="H241" s="116"/>
      <c r="I241" s="116"/>
      <c r="L241" s="170">
        <v>44456</v>
      </c>
      <c r="M241" s="116">
        <v>129.84</v>
      </c>
      <c r="N241" s="116">
        <v>132.5</v>
      </c>
      <c r="O241" s="116">
        <v>127.7</v>
      </c>
      <c r="P241" s="116">
        <v>132</v>
      </c>
      <c r="Q241" s="116">
        <v>1298.4000000000001</v>
      </c>
      <c r="R241">
        <v>389321</v>
      </c>
    </row>
    <row r="242" spans="1:18" x14ac:dyDescent="0.25">
      <c r="A242" s="170">
        <v>44459</v>
      </c>
      <c r="B242" s="116">
        <v>129</v>
      </c>
      <c r="C242" s="116">
        <v>122.295</v>
      </c>
      <c r="D242" s="116">
        <v>117.005</v>
      </c>
      <c r="E242" s="116">
        <v>128.30000000000001</v>
      </c>
      <c r="F242" s="116">
        <v>1222.95</v>
      </c>
      <c r="G242">
        <v>20783</v>
      </c>
      <c r="H242" s="116"/>
      <c r="I242" s="116"/>
      <c r="L242" s="170">
        <v>44459</v>
      </c>
      <c r="M242" s="116">
        <v>122.62</v>
      </c>
      <c r="N242" s="116">
        <v>129</v>
      </c>
      <c r="O242" s="116">
        <v>120.23</v>
      </c>
      <c r="P242" s="116">
        <v>128</v>
      </c>
      <c r="Q242" s="116">
        <v>1226.2</v>
      </c>
      <c r="R242">
        <v>270474</v>
      </c>
    </row>
    <row r="243" spans="1:18" x14ac:dyDescent="0.25">
      <c r="A243" s="170">
        <v>44460</v>
      </c>
      <c r="B243" s="116">
        <v>124.895</v>
      </c>
      <c r="C243" s="116">
        <v>121.515</v>
      </c>
      <c r="D243" s="116">
        <v>118.955</v>
      </c>
      <c r="E243" s="116">
        <v>123.01</v>
      </c>
      <c r="F243" s="116">
        <v>1215.1500000000001</v>
      </c>
      <c r="G243">
        <v>27057</v>
      </c>
      <c r="H243" s="116"/>
      <c r="I243" s="116"/>
      <c r="L243" s="170">
        <v>44460</v>
      </c>
      <c r="M243" s="116">
        <v>121.535</v>
      </c>
      <c r="N243" s="116">
        <v>124</v>
      </c>
      <c r="O243" s="116">
        <v>118.8</v>
      </c>
      <c r="P243" s="116">
        <v>124</v>
      </c>
      <c r="Q243" s="116">
        <v>1215.3499999999999</v>
      </c>
      <c r="R243">
        <v>275607</v>
      </c>
    </row>
    <row r="244" spans="1:18" x14ac:dyDescent="0.25">
      <c r="A244" s="170">
        <v>44461</v>
      </c>
      <c r="B244" s="116">
        <v>125</v>
      </c>
      <c r="C244" s="116">
        <v>122.545</v>
      </c>
      <c r="D244" s="116">
        <v>120.255</v>
      </c>
      <c r="E244" s="116">
        <v>122.545</v>
      </c>
      <c r="F244" s="116">
        <v>1225.45</v>
      </c>
      <c r="G244">
        <v>18806</v>
      </c>
      <c r="H244" s="116"/>
      <c r="I244" s="116"/>
      <c r="L244" s="170">
        <v>44461</v>
      </c>
      <c r="M244" s="116">
        <v>122.595</v>
      </c>
      <c r="N244" s="116">
        <v>125.095</v>
      </c>
      <c r="O244" s="116">
        <v>120</v>
      </c>
      <c r="P244" s="116">
        <v>122.2</v>
      </c>
      <c r="Q244" s="116">
        <v>1225.95</v>
      </c>
      <c r="R244">
        <v>301267</v>
      </c>
    </row>
    <row r="245" spans="1:18" x14ac:dyDescent="0.25">
      <c r="A245" s="170">
        <v>44462</v>
      </c>
      <c r="B245" s="116">
        <v>129.69499999999999</v>
      </c>
      <c r="C245" s="116">
        <v>124.685</v>
      </c>
      <c r="D245" s="116">
        <v>123.64</v>
      </c>
      <c r="E245" s="116">
        <v>123.995</v>
      </c>
      <c r="F245" s="116">
        <v>1246.8499999999999</v>
      </c>
      <c r="G245">
        <v>36883</v>
      </c>
      <c r="H245" s="116"/>
      <c r="I245" s="116"/>
      <c r="L245" s="170">
        <v>44462</v>
      </c>
      <c r="M245" s="116">
        <v>124.38</v>
      </c>
      <c r="N245" s="116">
        <v>129.69999999999999</v>
      </c>
      <c r="O245" s="116">
        <v>123.2</v>
      </c>
      <c r="P245" s="116">
        <v>124</v>
      </c>
      <c r="Q245" s="116">
        <v>1243.8</v>
      </c>
      <c r="R245">
        <v>465013</v>
      </c>
    </row>
    <row r="246" spans="1:18" x14ac:dyDescent="0.25">
      <c r="A246" s="170">
        <v>44463</v>
      </c>
      <c r="B246" s="116">
        <v>128.845</v>
      </c>
      <c r="C246" s="116">
        <v>125.31</v>
      </c>
      <c r="D246" s="116">
        <v>122.905</v>
      </c>
      <c r="E246" s="116">
        <v>126.2</v>
      </c>
      <c r="F246" s="116">
        <v>1253.0999999999999</v>
      </c>
      <c r="G246">
        <v>31822</v>
      </c>
      <c r="H246" s="116"/>
      <c r="I246" s="116"/>
      <c r="L246" s="170">
        <v>44463</v>
      </c>
      <c r="M246" s="116">
        <v>125.355</v>
      </c>
      <c r="N246" s="116">
        <v>129</v>
      </c>
      <c r="O246" s="116">
        <v>122.75</v>
      </c>
      <c r="P246" s="116">
        <v>125</v>
      </c>
      <c r="Q246" s="116">
        <v>1253.55</v>
      </c>
      <c r="R246">
        <v>305576</v>
      </c>
    </row>
    <row r="247" spans="1:18" x14ac:dyDescent="0.25">
      <c r="A247" s="170">
        <v>44466</v>
      </c>
      <c r="B247" s="116">
        <v>128.97</v>
      </c>
      <c r="C247" s="116">
        <v>125.7</v>
      </c>
      <c r="D247" s="116">
        <v>125</v>
      </c>
      <c r="E247" s="116">
        <v>125.4</v>
      </c>
      <c r="F247" s="116">
        <v>1257</v>
      </c>
      <c r="G247">
        <v>11973</v>
      </c>
      <c r="H247" s="116"/>
      <c r="I247" s="116"/>
      <c r="L247" s="170">
        <v>44466</v>
      </c>
      <c r="M247" s="116">
        <v>125.86</v>
      </c>
      <c r="N247" s="116">
        <v>128.99</v>
      </c>
      <c r="O247" s="116">
        <v>124.855</v>
      </c>
      <c r="P247" s="116">
        <v>126.325</v>
      </c>
      <c r="Q247" s="116">
        <v>1258.5999999999999</v>
      </c>
      <c r="R247">
        <v>287269</v>
      </c>
    </row>
    <row r="248" spans="1:18" x14ac:dyDescent="0.25">
      <c r="A248" s="170">
        <v>44467</v>
      </c>
      <c r="B248" s="116">
        <v>134.745</v>
      </c>
      <c r="C248" s="116">
        <v>128.11500000000001</v>
      </c>
      <c r="D248" s="116">
        <v>125.22</v>
      </c>
      <c r="E248" s="116">
        <v>127</v>
      </c>
      <c r="F248" s="116">
        <v>1281.1500000000001</v>
      </c>
      <c r="G248">
        <v>51727</v>
      </c>
      <c r="H248" s="116"/>
      <c r="I248" s="116"/>
      <c r="L248" s="170">
        <v>44467</v>
      </c>
      <c r="M248" s="116">
        <v>128.215</v>
      </c>
      <c r="N248" s="116">
        <v>135</v>
      </c>
      <c r="O248" s="116">
        <v>125.05500000000001</v>
      </c>
      <c r="P248" s="116">
        <v>127.2</v>
      </c>
      <c r="Q248" s="116">
        <v>1282.1500000000001</v>
      </c>
      <c r="R248">
        <v>1030103</v>
      </c>
    </row>
    <row r="249" spans="1:18" x14ac:dyDescent="0.25">
      <c r="A249" s="170">
        <v>44468</v>
      </c>
      <c r="B249" s="116">
        <v>129.63</v>
      </c>
      <c r="C249" s="116">
        <v>127.77</v>
      </c>
      <c r="D249" s="116">
        <v>126.235</v>
      </c>
      <c r="E249" s="116">
        <v>127.015</v>
      </c>
      <c r="F249" s="116">
        <v>1277.7</v>
      </c>
      <c r="G249">
        <v>10302</v>
      </c>
      <c r="H249" s="116"/>
      <c r="I249" s="116"/>
      <c r="L249" s="170">
        <v>44468</v>
      </c>
      <c r="M249" s="116">
        <v>127.855</v>
      </c>
      <c r="N249" s="116">
        <v>129.80000000000001</v>
      </c>
      <c r="O249" s="116">
        <v>126</v>
      </c>
      <c r="P249" s="116">
        <v>127.7</v>
      </c>
      <c r="Q249" s="116">
        <v>1278.55</v>
      </c>
      <c r="R249">
        <v>222939</v>
      </c>
    </row>
    <row r="250" spans="1:18" x14ac:dyDescent="0.25">
      <c r="A250" s="170">
        <v>44469</v>
      </c>
      <c r="B250" s="116">
        <v>135</v>
      </c>
      <c r="C250" s="116">
        <v>132.21</v>
      </c>
      <c r="D250" s="116">
        <v>128.66</v>
      </c>
      <c r="E250" s="116">
        <v>129.80000000000001</v>
      </c>
      <c r="F250" s="116">
        <v>1322.1</v>
      </c>
      <c r="G250">
        <v>35448</v>
      </c>
      <c r="H250" s="116"/>
      <c r="I250" s="116"/>
      <c r="L250" s="170">
        <v>44469</v>
      </c>
      <c r="M250" s="116">
        <v>132.27500000000001</v>
      </c>
      <c r="N250" s="116">
        <v>135</v>
      </c>
      <c r="O250" s="116">
        <v>128.51</v>
      </c>
      <c r="P250" s="116">
        <v>128.875</v>
      </c>
      <c r="Q250" s="116">
        <v>1322.75</v>
      </c>
      <c r="R250">
        <v>833885</v>
      </c>
    </row>
    <row r="251" spans="1:18" x14ac:dyDescent="0.25">
      <c r="A251" s="170">
        <v>44470</v>
      </c>
      <c r="B251" s="116">
        <v>145.43</v>
      </c>
      <c r="C251" s="116">
        <v>144.37</v>
      </c>
      <c r="D251" s="116">
        <v>130.535</v>
      </c>
      <c r="E251" s="116">
        <v>132.19999999999999</v>
      </c>
      <c r="F251" s="116">
        <v>1443.7</v>
      </c>
      <c r="G251">
        <v>991812</v>
      </c>
      <c r="H251" s="116"/>
      <c r="I251" s="116"/>
      <c r="L251" s="170">
        <v>44470</v>
      </c>
      <c r="M251" s="116">
        <v>143.92500000000001</v>
      </c>
      <c r="N251" s="116">
        <v>145.5</v>
      </c>
      <c r="O251" s="116">
        <v>130.80000000000001</v>
      </c>
      <c r="P251" s="116">
        <v>131</v>
      </c>
      <c r="Q251" s="116">
        <v>1439.25</v>
      </c>
      <c r="R251">
        <v>1946393</v>
      </c>
    </row>
    <row r="252" spans="1:18" x14ac:dyDescent="0.25">
      <c r="A252" s="170">
        <v>44473</v>
      </c>
      <c r="B252" s="116">
        <v>149.4</v>
      </c>
      <c r="C252" s="116">
        <v>138.245</v>
      </c>
      <c r="D252" s="116">
        <v>135.77000000000001</v>
      </c>
      <c r="E252" s="116">
        <v>145.5</v>
      </c>
      <c r="F252" s="116">
        <v>1382.45</v>
      </c>
      <c r="G252">
        <v>100120</v>
      </c>
      <c r="H252" s="116"/>
      <c r="I252" s="116"/>
      <c r="L252" s="170">
        <v>44473</v>
      </c>
      <c r="M252" s="116">
        <v>138.47</v>
      </c>
      <c r="N252" s="116">
        <v>149.27500000000001</v>
      </c>
      <c r="O252" s="116">
        <v>137.5</v>
      </c>
      <c r="P252" s="116">
        <v>146</v>
      </c>
      <c r="Q252" s="116">
        <v>1384.7</v>
      </c>
      <c r="R252">
        <v>1259131</v>
      </c>
    </row>
    <row r="253" spans="1:18" x14ac:dyDescent="0.25">
      <c r="A253" s="170">
        <v>44474</v>
      </c>
      <c r="B253" s="116">
        <v>141.4</v>
      </c>
      <c r="C253" s="116">
        <v>137.11000000000001</v>
      </c>
      <c r="D253" s="116">
        <v>136.37</v>
      </c>
      <c r="E253" s="116">
        <v>141.4</v>
      </c>
      <c r="F253" s="116">
        <v>1371.1</v>
      </c>
      <c r="G253">
        <v>20219</v>
      </c>
      <c r="H253" s="116"/>
      <c r="I253" s="116"/>
      <c r="L253" s="170">
        <v>44474</v>
      </c>
      <c r="M253" s="116">
        <v>137.18</v>
      </c>
      <c r="N253" s="116">
        <v>141.5</v>
      </c>
      <c r="O253" s="116">
        <v>136</v>
      </c>
      <c r="P253" s="116">
        <v>140.4</v>
      </c>
      <c r="Q253" s="116">
        <v>1371.8</v>
      </c>
      <c r="R253">
        <v>516226</v>
      </c>
    </row>
    <row r="254" spans="1:18" x14ac:dyDescent="0.25">
      <c r="A254" s="170">
        <v>44475</v>
      </c>
      <c r="B254" s="116">
        <v>138.6</v>
      </c>
      <c r="C254" s="116">
        <v>133.505</v>
      </c>
      <c r="D254" s="116">
        <v>132.6</v>
      </c>
      <c r="E254" s="116">
        <v>138.6</v>
      </c>
      <c r="F254" s="116">
        <v>1335.05</v>
      </c>
      <c r="G254">
        <v>19118</v>
      </c>
      <c r="H254" s="116"/>
      <c r="I254" s="116"/>
      <c r="L254" s="170">
        <v>44475</v>
      </c>
      <c r="M254" s="116">
        <v>133.52500000000001</v>
      </c>
      <c r="N254" s="116">
        <v>138.9</v>
      </c>
      <c r="O254" s="116">
        <v>132.01499999999999</v>
      </c>
      <c r="P254" s="116">
        <v>137.9</v>
      </c>
      <c r="Q254" s="116">
        <v>1335.25</v>
      </c>
      <c r="R254">
        <v>343307</v>
      </c>
    </row>
    <row r="255" spans="1:18" x14ac:dyDescent="0.25">
      <c r="A255" s="170">
        <v>44476</v>
      </c>
      <c r="B255" s="116">
        <v>141.905</v>
      </c>
      <c r="C255" s="116">
        <v>136.215</v>
      </c>
      <c r="D255" s="116">
        <v>134.99</v>
      </c>
      <c r="E255" s="116">
        <v>136</v>
      </c>
      <c r="F255" s="116">
        <v>1362.15</v>
      </c>
      <c r="G255">
        <v>23487</v>
      </c>
      <c r="H255" s="116"/>
      <c r="I255" s="116"/>
      <c r="L255" s="170">
        <v>44476</v>
      </c>
      <c r="M255" s="116">
        <v>136.29499999999999</v>
      </c>
      <c r="N255" s="116">
        <v>141.9</v>
      </c>
      <c r="O255" s="116">
        <v>134.715</v>
      </c>
      <c r="P255" s="116">
        <v>135.91</v>
      </c>
      <c r="Q255" s="116">
        <v>1362.95</v>
      </c>
      <c r="R255">
        <v>472653</v>
      </c>
    </row>
    <row r="256" spans="1:18" x14ac:dyDescent="0.25">
      <c r="A256" s="170">
        <v>44477</v>
      </c>
      <c r="B256" s="116">
        <v>140.26499999999999</v>
      </c>
      <c r="C256" s="116">
        <v>137.495</v>
      </c>
      <c r="D256" s="116">
        <v>135.19999999999999</v>
      </c>
      <c r="E256" s="116">
        <v>137.69999999999999</v>
      </c>
      <c r="F256" s="116">
        <v>1374.95</v>
      </c>
      <c r="G256">
        <v>20212</v>
      </c>
      <c r="H256" s="116"/>
      <c r="I256" s="116"/>
      <c r="L256" s="170">
        <v>44477</v>
      </c>
      <c r="M256" s="116">
        <v>137.61000000000001</v>
      </c>
      <c r="N256" s="116">
        <v>140.375</v>
      </c>
      <c r="O256" s="116">
        <v>135.13</v>
      </c>
      <c r="P256" s="116">
        <v>137.61000000000001</v>
      </c>
      <c r="Q256" s="116">
        <v>1376.1</v>
      </c>
      <c r="R256">
        <v>436180</v>
      </c>
    </row>
    <row r="257" spans="1:18" x14ac:dyDescent="0.25">
      <c r="A257" s="170">
        <v>44480</v>
      </c>
      <c r="B257" s="116">
        <v>142.31</v>
      </c>
      <c r="C257" s="116">
        <v>137.685</v>
      </c>
      <c r="D257" s="116">
        <v>136.185</v>
      </c>
      <c r="E257" s="116">
        <v>138.4</v>
      </c>
      <c r="F257" s="116">
        <v>1376.85</v>
      </c>
      <c r="G257">
        <v>21800</v>
      </c>
      <c r="H257" s="116"/>
      <c r="I257" s="116"/>
      <c r="L257" s="170">
        <v>44480</v>
      </c>
      <c r="M257" s="116">
        <v>137.69999999999999</v>
      </c>
      <c r="N257" s="116">
        <v>142.5</v>
      </c>
      <c r="O257" s="116">
        <v>136.245</v>
      </c>
      <c r="P257" s="116">
        <v>138.1</v>
      </c>
      <c r="Q257" s="116">
        <v>1377</v>
      </c>
      <c r="R257">
        <v>529839</v>
      </c>
    </row>
    <row r="258" spans="1:18" x14ac:dyDescent="0.25">
      <c r="A258" s="170">
        <v>44481</v>
      </c>
      <c r="B258" s="116">
        <v>149.69999999999999</v>
      </c>
      <c r="C258" s="116">
        <v>144.72499999999999</v>
      </c>
      <c r="D258" s="116">
        <v>137.80500000000001</v>
      </c>
      <c r="E258" s="116">
        <v>138.88999999999999</v>
      </c>
      <c r="F258" s="116">
        <v>1447.25</v>
      </c>
      <c r="G258">
        <v>65117</v>
      </c>
      <c r="H258" s="116"/>
      <c r="I258" s="116"/>
      <c r="L258" s="170">
        <v>44481</v>
      </c>
      <c r="M258" s="116">
        <v>144.44</v>
      </c>
      <c r="N258" s="116">
        <v>149.80000000000001</v>
      </c>
      <c r="O258" s="116">
        <v>137.22</v>
      </c>
      <c r="P258" s="116">
        <v>137.88</v>
      </c>
      <c r="Q258" s="116">
        <v>1444.4</v>
      </c>
      <c r="R258">
        <v>1784364</v>
      </c>
    </row>
    <row r="259" spans="1:18" x14ac:dyDescent="0.25">
      <c r="A259" s="170">
        <v>44482</v>
      </c>
      <c r="B259" s="116">
        <v>168.93</v>
      </c>
      <c r="C259" s="116">
        <v>159.315</v>
      </c>
      <c r="D259" s="116">
        <v>145.01499999999999</v>
      </c>
      <c r="E259" s="116">
        <v>145.01499999999999</v>
      </c>
      <c r="F259" s="116">
        <v>1593.15</v>
      </c>
      <c r="G259">
        <v>330184</v>
      </c>
      <c r="H259" s="116"/>
      <c r="I259" s="116"/>
      <c r="L259" s="170">
        <v>44482</v>
      </c>
      <c r="M259" s="116">
        <v>159.32</v>
      </c>
      <c r="N259" s="116">
        <v>168.9</v>
      </c>
      <c r="O259" s="116">
        <v>145.1</v>
      </c>
      <c r="P259" s="116">
        <v>146.38999999999999</v>
      </c>
      <c r="Q259" s="116">
        <v>1593.2</v>
      </c>
      <c r="R259">
        <v>3878256</v>
      </c>
    </row>
    <row r="260" spans="1:18" x14ac:dyDescent="0.25">
      <c r="A260" s="170">
        <v>44483</v>
      </c>
      <c r="B260" s="116">
        <v>165.2</v>
      </c>
      <c r="C260" s="116">
        <v>163.89</v>
      </c>
      <c r="D260" s="116">
        <v>152.11000000000001</v>
      </c>
      <c r="E260" s="116">
        <v>161.19999999999999</v>
      </c>
      <c r="F260" s="116">
        <v>1638.9</v>
      </c>
      <c r="G260">
        <v>67944</v>
      </c>
      <c r="H260" s="116"/>
      <c r="I260" s="116"/>
      <c r="L260" s="170">
        <v>44483</v>
      </c>
      <c r="M260" s="116">
        <v>163.69999999999999</v>
      </c>
      <c r="N260" s="116">
        <v>165.32499999999999</v>
      </c>
      <c r="O260" s="116">
        <v>152.155</v>
      </c>
      <c r="P260" s="116">
        <v>160.9</v>
      </c>
      <c r="Q260" s="116">
        <v>1637</v>
      </c>
      <c r="R260">
        <v>1393419</v>
      </c>
    </row>
    <row r="261" spans="1:18" x14ac:dyDescent="0.25">
      <c r="A261" s="170">
        <v>44487</v>
      </c>
      <c r="B261" s="116">
        <v>165.42</v>
      </c>
      <c r="C261" s="116">
        <v>159.255</v>
      </c>
      <c r="D261" s="116">
        <v>158.44999999999999</v>
      </c>
      <c r="E261" s="116">
        <v>164.49</v>
      </c>
      <c r="F261" s="116">
        <v>1592.55</v>
      </c>
      <c r="G261">
        <v>72587</v>
      </c>
      <c r="H261" s="116"/>
      <c r="I261" s="116"/>
      <c r="L261" s="170">
        <v>44487</v>
      </c>
      <c r="M261" s="116">
        <v>159.36000000000001</v>
      </c>
      <c r="N261" s="116">
        <v>165.44</v>
      </c>
      <c r="O261" s="116">
        <v>158.5</v>
      </c>
      <c r="P261" s="116">
        <v>163.80000000000001</v>
      </c>
      <c r="Q261" s="116">
        <v>1593.6</v>
      </c>
      <c r="R261">
        <v>668079</v>
      </c>
    </row>
    <row r="262" spans="1:18" x14ac:dyDescent="0.25">
      <c r="A262" s="170">
        <v>44488</v>
      </c>
      <c r="B262" s="116">
        <v>161.9</v>
      </c>
      <c r="C262" s="116">
        <v>148.69999999999999</v>
      </c>
      <c r="D262" s="116">
        <v>139.12</v>
      </c>
      <c r="E262" s="116">
        <v>161.9</v>
      </c>
      <c r="F262" s="116">
        <v>1487</v>
      </c>
      <c r="G262">
        <v>50900</v>
      </c>
      <c r="H262" s="116"/>
      <c r="I262" s="116"/>
      <c r="L262" s="170">
        <v>44488</v>
      </c>
      <c r="M262" s="116">
        <v>149.86500000000001</v>
      </c>
      <c r="N262" s="116">
        <v>161.91</v>
      </c>
      <c r="O262" s="116">
        <v>140</v>
      </c>
      <c r="P262" s="116">
        <v>160.80000000000001</v>
      </c>
      <c r="Q262" s="116">
        <v>1498.65</v>
      </c>
      <c r="R262">
        <v>665641</v>
      </c>
    </row>
    <row r="263" spans="1:18" x14ac:dyDescent="0.25">
      <c r="A263" s="170">
        <v>44489</v>
      </c>
      <c r="B263" s="116">
        <v>155.9</v>
      </c>
      <c r="C263" s="116">
        <v>139.655</v>
      </c>
      <c r="D263" s="116">
        <v>135.65</v>
      </c>
      <c r="E263" s="116">
        <v>155</v>
      </c>
      <c r="F263" s="116">
        <v>1396.55</v>
      </c>
      <c r="G263">
        <v>93416</v>
      </c>
      <c r="H263" s="116"/>
      <c r="I263" s="116"/>
      <c r="L263" s="170">
        <v>44489</v>
      </c>
      <c r="M263" s="116">
        <v>139.80000000000001</v>
      </c>
      <c r="N263" s="116">
        <v>155.5</v>
      </c>
      <c r="O263" s="116">
        <v>135.25</v>
      </c>
      <c r="P263" s="116">
        <v>154.80000000000001</v>
      </c>
      <c r="Q263" s="116">
        <v>1398</v>
      </c>
      <c r="R263">
        <v>1158033</v>
      </c>
    </row>
    <row r="264" spans="1:18" x14ac:dyDescent="0.25">
      <c r="A264" s="170">
        <v>44490</v>
      </c>
      <c r="B264" s="116">
        <v>146.55000000000001</v>
      </c>
      <c r="C264" s="116">
        <v>131.1</v>
      </c>
      <c r="D264" s="116">
        <v>123.6</v>
      </c>
      <c r="E264" s="116">
        <v>144.9</v>
      </c>
      <c r="F264" s="116">
        <v>1311</v>
      </c>
      <c r="G264">
        <v>90353</v>
      </c>
      <c r="H264" s="116"/>
      <c r="I264" s="116"/>
      <c r="L264" s="170">
        <v>44490</v>
      </c>
      <c r="M264" s="116">
        <v>131.33500000000001</v>
      </c>
      <c r="N264" s="116">
        <v>146</v>
      </c>
      <c r="O264" s="116">
        <v>123.5</v>
      </c>
      <c r="P264" s="116">
        <v>143</v>
      </c>
      <c r="Q264" s="116">
        <v>1313.35</v>
      </c>
      <c r="R264">
        <v>2572669</v>
      </c>
    </row>
    <row r="265" spans="1:18" x14ac:dyDescent="0.25">
      <c r="A265" s="170">
        <v>44491</v>
      </c>
      <c r="B265" s="116">
        <v>135</v>
      </c>
      <c r="C265" s="116">
        <v>130.31</v>
      </c>
      <c r="D265" s="116">
        <v>127.7</v>
      </c>
      <c r="E265" s="116">
        <v>135</v>
      </c>
      <c r="F265" s="116">
        <v>1303.0999999999999</v>
      </c>
      <c r="G265">
        <v>30494</v>
      </c>
      <c r="H265" s="116"/>
      <c r="I265" s="116"/>
      <c r="L265" s="170">
        <v>44491</v>
      </c>
      <c r="M265" s="116">
        <v>130.28</v>
      </c>
      <c r="N265" s="116">
        <v>133</v>
      </c>
      <c r="O265" s="116">
        <v>126.39</v>
      </c>
      <c r="P265" s="116">
        <v>133</v>
      </c>
      <c r="Q265" s="116">
        <v>1302.8</v>
      </c>
      <c r="R265">
        <v>568048</v>
      </c>
    </row>
    <row r="266" spans="1:18" x14ac:dyDescent="0.25">
      <c r="A266" s="170">
        <v>44494</v>
      </c>
      <c r="B266" s="116">
        <v>131.10499999999999</v>
      </c>
      <c r="C266" s="116">
        <v>124.845</v>
      </c>
      <c r="D266" s="116">
        <v>120.1</v>
      </c>
      <c r="E266" s="116">
        <v>130.1</v>
      </c>
      <c r="F266" s="116">
        <v>1248.45</v>
      </c>
      <c r="G266">
        <v>72790</v>
      </c>
      <c r="H266" s="116"/>
      <c r="I266" s="116"/>
      <c r="L266" s="170">
        <v>44494</v>
      </c>
      <c r="M266" s="116">
        <v>124.86</v>
      </c>
      <c r="N266" s="116">
        <v>131</v>
      </c>
      <c r="O266" s="116">
        <v>122.2</v>
      </c>
      <c r="P266" s="116">
        <v>131</v>
      </c>
      <c r="Q266" s="116">
        <v>1248.5999999999999</v>
      </c>
      <c r="R266">
        <v>742376</v>
      </c>
    </row>
    <row r="267" spans="1:18" x14ac:dyDescent="0.25">
      <c r="A267" s="170">
        <v>44495</v>
      </c>
      <c r="B267" s="116">
        <v>131.16499999999999</v>
      </c>
      <c r="C267" s="116">
        <v>129.74</v>
      </c>
      <c r="D267" s="116">
        <v>125.5</v>
      </c>
      <c r="E267" s="116">
        <v>125.5</v>
      </c>
      <c r="F267" s="116">
        <v>1297.4000000000001</v>
      </c>
      <c r="G267">
        <v>17796</v>
      </c>
      <c r="H267" s="116"/>
      <c r="I267" s="116"/>
      <c r="L267" s="170">
        <v>44495</v>
      </c>
      <c r="M267" s="116">
        <v>129.26499999999999</v>
      </c>
      <c r="N267" s="116">
        <v>131.01</v>
      </c>
      <c r="O267" s="116">
        <v>125.515</v>
      </c>
      <c r="P267" s="116">
        <v>126.5</v>
      </c>
      <c r="Q267" s="116">
        <v>1292.6500000000001</v>
      </c>
      <c r="R267">
        <v>395137</v>
      </c>
    </row>
    <row r="268" spans="1:18" x14ac:dyDescent="0.25">
      <c r="A268" s="170">
        <v>44496</v>
      </c>
      <c r="B268" s="116">
        <v>131.22</v>
      </c>
      <c r="C268" s="116">
        <v>125.47</v>
      </c>
      <c r="D268" s="116">
        <v>124.61</v>
      </c>
      <c r="E268" s="116">
        <v>130</v>
      </c>
      <c r="F268" s="116">
        <v>1254.7</v>
      </c>
      <c r="G268">
        <v>36603</v>
      </c>
      <c r="H268" s="116"/>
      <c r="I268" s="116"/>
      <c r="L268" s="170">
        <v>44496</v>
      </c>
      <c r="M268" s="116">
        <v>125.6</v>
      </c>
      <c r="N268" s="116">
        <v>131.30000000000001</v>
      </c>
      <c r="O268" s="116">
        <v>124.5</v>
      </c>
      <c r="P268" s="116">
        <v>129.9</v>
      </c>
      <c r="Q268" s="116">
        <v>1256</v>
      </c>
      <c r="R268">
        <v>380430</v>
      </c>
    </row>
    <row r="269" spans="1:18" x14ac:dyDescent="0.25">
      <c r="A269" s="170">
        <v>44497</v>
      </c>
      <c r="B269" s="116">
        <v>127.745</v>
      </c>
      <c r="C269" s="116">
        <v>127.08</v>
      </c>
      <c r="D269" s="116">
        <v>123.265</v>
      </c>
      <c r="E269" s="116">
        <v>127.5</v>
      </c>
      <c r="F269" s="116">
        <v>1270.8</v>
      </c>
      <c r="G269">
        <v>19815</v>
      </c>
      <c r="H269" s="116"/>
      <c r="I269" s="116"/>
      <c r="L269" s="170">
        <v>44497</v>
      </c>
      <c r="M269" s="116">
        <v>127.13</v>
      </c>
      <c r="N269" s="116">
        <v>127.77500000000001</v>
      </c>
      <c r="O269" s="116">
        <v>123</v>
      </c>
      <c r="P269" s="116">
        <v>125.3</v>
      </c>
      <c r="Q269" s="116">
        <v>1271.3</v>
      </c>
      <c r="R269">
        <v>327474</v>
      </c>
    </row>
    <row r="270" spans="1:18" x14ac:dyDescent="0.25">
      <c r="A270" s="170">
        <v>44498</v>
      </c>
      <c r="B270" s="116">
        <v>127.8</v>
      </c>
      <c r="C270" s="116">
        <v>124.25</v>
      </c>
      <c r="D270" s="116">
        <v>122.76</v>
      </c>
      <c r="E270" s="116">
        <v>127.8</v>
      </c>
      <c r="F270" s="116">
        <v>1242.5</v>
      </c>
      <c r="G270">
        <v>41572</v>
      </c>
      <c r="H270" s="116"/>
      <c r="I270" s="116"/>
      <c r="L270" s="170">
        <v>44498</v>
      </c>
      <c r="M270" s="116">
        <v>124.35</v>
      </c>
      <c r="N270" s="116">
        <v>128</v>
      </c>
      <c r="O270" s="116">
        <v>122.5</v>
      </c>
      <c r="P270" s="116">
        <v>126.495</v>
      </c>
      <c r="Q270" s="116">
        <v>1243.5</v>
      </c>
      <c r="R270">
        <v>347914</v>
      </c>
    </row>
    <row r="271" spans="1:18" x14ac:dyDescent="0.25">
      <c r="A271" s="170">
        <v>44501</v>
      </c>
      <c r="B271" s="116">
        <v>127</v>
      </c>
      <c r="C271" s="116">
        <v>123.105</v>
      </c>
      <c r="D271" s="116">
        <v>121.21</v>
      </c>
      <c r="E271" s="116">
        <v>127</v>
      </c>
      <c r="F271" s="116">
        <v>1231.05</v>
      </c>
      <c r="G271">
        <v>22026</v>
      </c>
      <c r="H271" s="116"/>
      <c r="I271" s="116"/>
      <c r="L271" s="170">
        <v>44501</v>
      </c>
      <c r="M271" s="116">
        <v>122.995</v>
      </c>
      <c r="N271" s="116">
        <v>127</v>
      </c>
      <c r="O271" s="116">
        <v>121.1</v>
      </c>
      <c r="P271" s="116">
        <v>124.35</v>
      </c>
      <c r="Q271" s="116">
        <v>1229.95</v>
      </c>
      <c r="R271">
        <v>326765</v>
      </c>
    </row>
    <row r="272" spans="1:18" x14ac:dyDescent="0.25">
      <c r="A272" s="170">
        <v>44502</v>
      </c>
      <c r="B272" s="116">
        <v>126.1</v>
      </c>
      <c r="C272" s="116">
        <v>123.145</v>
      </c>
      <c r="D272" s="116">
        <v>122.2</v>
      </c>
      <c r="E272" s="116">
        <v>122.2</v>
      </c>
      <c r="F272" s="116">
        <v>1231.45</v>
      </c>
      <c r="G272">
        <v>30514</v>
      </c>
      <c r="H272" s="116"/>
      <c r="I272" s="116"/>
      <c r="L272" s="170">
        <v>44502</v>
      </c>
      <c r="M272" s="116">
        <v>123.1</v>
      </c>
      <c r="N272" s="116">
        <v>126.19</v>
      </c>
      <c r="O272" s="116">
        <v>122.5</v>
      </c>
      <c r="P272" s="116">
        <v>123.68</v>
      </c>
      <c r="Q272" s="116">
        <v>1231</v>
      </c>
      <c r="R272">
        <v>311803</v>
      </c>
    </row>
    <row r="273" spans="1:18" x14ac:dyDescent="0.25">
      <c r="A273" s="170">
        <v>44503</v>
      </c>
      <c r="B273" s="116">
        <v>126</v>
      </c>
      <c r="C273" s="116">
        <v>122.71</v>
      </c>
      <c r="D273" s="116">
        <v>121.6</v>
      </c>
      <c r="E273" s="116">
        <v>125</v>
      </c>
      <c r="F273" s="116">
        <v>1227.0999999999999</v>
      </c>
      <c r="G273">
        <v>28003</v>
      </c>
      <c r="H273" s="116"/>
      <c r="I273" s="116"/>
      <c r="L273" s="170">
        <v>44503</v>
      </c>
      <c r="M273" s="116">
        <v>122.515</v>
      </c>
      <c r="N273" s="116">
        <v>124.495</v>
      </c>
      <c r="O273" s="116">
        <v>121.52</v>
      </c>
      <c r="P273" s="116">
        <v>124.16</v>
      </c>
      <c r="Q273" s="116">
        <v>1225.1500000000001</v>
      </c>
      <c r="R273">
        <v>226161</v>
      </c>
    </row>
    <row r="274" spans="1:18" x14ac:dyDescent="0.25">
      <c r="A274" s="170">
        <v>44504</v>
      </c>
      <c r="B274" s="116">
        <v>126.09</v>
      </c>
      <c r="C274" s="116">
        <v>124.765</v>
      </c>
      <c r="D274" s="116">
        <v>123.3</v>
      </c>
      <c r="E274" s="116">
        <v>124.6</v>
      </c>
      <c r="F274" s="116">
        <v>1247.6500000000001</v>
      </c>
      <c r="G274">
        <v>16409</v>
      </c>
      <c r="H274" s="116"/>
      <c r="I274" s="116"/>
      <c r="L274" s="170">
        <v>44504</v>
      </c>
      <c r="M274" s="116">
        <v>124.63</v>
      </c>
      <c r="N274" s="116">
        <v>126.105</v>
      </c>
      <c r="O274" s="116">
        <v>123.3</v>
      </c>
      <c r="P274" s="116">
        <v>123.395</v>
      </c>
      <c r="Q274" s="116">
        <v>1246.3</v>
      </c>
      <c r="R274">
        <v>135738</v>
      </c>
    </row>
    <row r="275" spans="1:18" x14ac:dyDescent="0.25">
      <c r="A275" s="170">
        <v>44508</v>
      </c>
      <c r="B275" s="116">
        <v>125.15</v>
      </c>
      <c r="C275" s="116">
        <v>123.18</v>
      </c>
      <c r="D275" s="116">
        <v>120.5</v>
      </c>
      <c r="E275" s="116">
        <v>123.375</v>
      </c>
      <c r="F275" s="116">
        <v>1231.8</v>
      </c>
      <c r="G275">
        <v>33019</v>
      </c>
      <c r="H275" s="116"/>
      <c r="I275" s="116"/>
      <c r="L275" s="170">
        <v>44508</v>
      </c>
      <c r="M275" s="116">
        <v>123.23</v>
      </c>
      <c r="N275" s="116">
        <v>124.58</v>
      </c>
      <c r="O275" s="116">
        <v>122.1</v>
      </c>
      <c r="P275" s="116">
        <v>124.5</v>
      </c>
      <c r="Q275" s="116">
        <v>1232.3</v>
      </c>
      <c r="R275">
        <v>201761</v>
      </c>
    </row>
    <row r="276" spans="1:18" x14ac:dyDescent="0.25">
      <c r="A276" s="170">
        <v>44509</v>
      </c>
      <c r="B276" s="116">
        <v>126.005</v>
      </c>
      <c r="C276" s="116">
        <v>123.605</v>
      </c>
      <c r="D276" s="116">
        <v>122.75</v>
      </c>
      <c r="E276" s="116">
        <v>122.75</v>
      </c>
      <c r="F276" s="116">
        <v>1236.05</v>
      </c>
      <c r="G276">
        <v>29500</v>
      </c>
      <c r="H276" s="116"/>
      <c r="I276" s="116"/>
      <c r="L276" s="170">
        <v>44509</v>
      </c>
      <c r="M276" s="116">
        <v>123.48</v>
      </c>
      <c r="N276" s="116">
        <v>125.99</v>
      </c>
      <c r="O276" s="116">
        <v>122.9</v>
      </c>
      <c r="P276" s="116">
        <v>123.8</v>
      </c>
      <c r="Q276" s="116">
        <v>1234.8</v>
      </c>
      <c r="R276">
        <v>719987</v>
      </c>
    </row>
    <row r="277" spans="1:18" x14ac:dyDescent="0.25">
      <c r="A277" s="170">
        <v>44510</v>
      </c>
      <c r="B277" s="116">
        <v>125.2</v>
      </c>
      <c r="C277" s="116">
        <v>123.995</v>
      </c>
      <c r="D277" s="116">
        <v>122.93</v>
      </c>
      <c r="E277" s="116">
        <v>123.1</v>
      </c>
      <c r="F277" s="116">
        <v>1239.95</v>
      </c>
      <c r="G277">
        <v>38038</v>
      </c>
      <c r="H277" s="116"/>
      <c r="I277" s="116"/>
      <c r="L277" s="170">
        <v>44510</v>
      </c>
      <c r="M277" s="116">
        <v>124.06</v>
      </c>
      <c r="N277" s="116">
        <v>125.4</v>
      </c>
      <c r="O277" s="116">
        <v>123</v>
      </c>
      <c r="P277" s="116">
        <v>123.72499999999999</v>
      </c>
      <c r="Q277" s="116">
        <v>1240.5999999999999</v>
      </c>
      <c r="R277">
        <v>249388</v>
      </c>
    </row>
    <row r="278" spans="1:18" x14ac:dyDescent="0.25">
      <c r="A278" s="170">
        <v>44511</v>
      </c>
      <c r="B278" s="116">
        <v>124.7</v>
      </c>
      <c r="C278" s="116">
        <v>122.48</v>
      </c>
      <c r="D278" s="116">
        <v>121.145</v>
      </c>
      <c r="E278" s="116">
        <v>124.5</v>
      </c>
      <c r="F278" s="116">
        <v>1224.8</v>
      </c>
      <c r="G278">
        <v>13628</v>
      </c>
      <c r="H278" s="116"/>
      <c r="I278" s="116"/>
      <c r="L278" s="170">
        <v>44511</v>
      </c>
      <c r="M278" s="116">
        <v>122.52500000000001</v>
      </c>
      <c r="N278" s="116">
        <v>124.6</v>
      </c>
      <c r="O278" s="116">
        <v>122.1</v>
      </c>
      <c r="P278" s="116">
        <v>124.4</v>
      </c>
      <c r="Q278" s="116">
        <v>1225.25</v>
      </c>
      <c r="R278">
        <v>145950</v>
      </c>
    </row>
    <row r="279" spans="1:18" x14ac:dyDescent="0.25">
      <c r="A279" s="170">
        <v>44512</v>
      </c>
      <c r="B279" s="116">
        <v>124.045</v>
      </c>
      <c r="C279" s="116">
        <v>122.105</v>
      </c>
      <c r="D279" s="116">
        <v>121.005</v>
      </c>
      <c r="E279" s="116">
        <v>122.45</v>
      </c>
      <c r="F279" s="116">
        <v>1221.05</v>
      </c>
      <c r="G279">
        <v>15644</v>
      </c>
      <c r="H279" s="116"/>
      <c r="I279" s="116"/>
      <c r="L279" s="170">
        <v>44512</v>
      </c>
      <c r="M279" s="116">
        <v>121.97</v>
      </c>
      <c r="N279" s="116">
        <v>124</v>
      </c>
      <c r="O279" s="116">
        <v>121</v>
      </c>
      <c r="P279" s="116">
        <v>123</v>
      </c>
      <c r="Q279" s="116">
        <v>1219.7</v>
      </c>
      <c r="R279">
        <v>308246</v>
      </c>
    </row>
    <row r="280" spans="1:18" x14ac:dyDescent="0.25">
      <c r="A280" s="170">
        <v>44515</v>
      </c>
      <c r="B280" s="116">
        <v>123.825</v>
      </c>
      <c r="C280" s="116">
        <v>121.16</v>
      </c>
      <c r="D280" s="116">
        <v>120.1</v>
      </c>
      <c r="E280" s="116">
        <v>120.1</v>
      </c>
      <c r="F280" s="116">
        <v>1211.5999999999999</v>
      </c>
      <c r="G280">
        <v>32164</v>
      </c>
      <c r="H280" s="116"/>
      <c r="I280" s="116"/>
      <c r="L280" s="170">
        <v>44515</v>
      </c>
      <c r="M280" s="116">
        <v>121.155</v>
      </c>
      <c r="N280" s="116">
        <v>123.69</v>
      </c>
      <c r="O280" s="116">
        <v>120.405</v>
      </c>
      <c r="P280" s="116">
        <v>122.5</v>
      </c>
      <c r="Q280" s="116">
        <v>1211.55</v>
      </c>
      <c r="R280">
        <v>338705</v>
      </c>
    </row>
    <row r="281" spans="1:18" x14ac:dyDescent="0.25">
      <c r="A281" s="170">
        <v>44516</v>
      </c>
      <c r="B281" s="116">
        <v>122.95</v>
      </c>
      <c r="C281" s="116">
        <v>121.9</v>
      </c>
      <c r="D281" s="116">
        <v>121.08</v>
      </c>
      <c r="E281" s="116">
        <v>122.8</v>
      </c>
      <c r="F281" s="116">
        <v>1219</v>
      </c>
      <c r="G281">
        <v>18627</v>
      </c>
      <c r="H281" s="116"/>
      <c r="I281" s="116"/>
      <c r="L281" s="170">
        <v>44516</v>
      </c>
      <c r="M281" s="116">
        <v>122.02500000000001</v>
      </c>
      <c r="N281" s="116">
        <v>122.9</v>
      </c>
      <c r="O281" s="116">
        <v>121.3</v>
      </c>
      <c r="P281" s="116">
        <v>121.9</v>
      </c>
      <c r="Q281" s="116">
        <v>1220.25</v>
      </c>
      <c r="R281">
        <v>170027</v>
      </c>
    </row>
    <row r="282" spans="1:18" x14ac:dyDescent="0.25">
      <c r="A282" s="170">
        <v>44517</v>
      </c>
      <c r="B282" s="116">
        <v>122.44499999999999</v>
      </c>
      <c r="C282" s="116">
        <v>121.67</v>
      </c>
      <c r="D282" s="116">
        <v>120.785</v>
      </c>
      <c r="E282" s="116">
        <v>122.3</v>
      </c>
      <c r="F282" s="116">
        <v>1216.7</v>
      </c>
      <c r="G282">
        <v>4190</v>
      </c>
      <c r="H282" s="116"/>
      <c r="I282" s="116"/>
      <c r="L282" s="170">
        <v>44517</v>
      </c>
      <c r="M282" s="116">
        <v>121.71</v>
      </c>
      <c r="N282" s="116">
        <v>122.495</v>
      </c>
      <c r="O282" s="116">
        <v>120.78</v>
      </c>
      <c r="P282" s="116">
        <v>122.3</v>
      </c>
      <c r="Q282" s="116">
        <v>1217.0999999999999</v>
      </c>
      <c r="R282">
        <v>172430</v>
      </c>
    </row>
    <row r="283" spans="1:18" x14ac:dyDescent="0.25">
      <c r="A283" s="170">
        <v>44518</v>
      </c>
      <c r="B283" s="116">
        <v>122.13500000000001</v>
      </c>
      <c r="C283" s="116">
        <v>116.46</v>
      </c>
      <c r="D283" s="116">
        <v>115.005</v>
      </c>
      <c r="E283" s="116">
        <v>122.12</v>
      </c>
      <c r="F283" s="116">
        <v>1164.5999999999999</v>
      </c>
      <c r="G283">
        <v>17237</v>
      </c>
      <c r="H283" s="116"/>
      <c r="I283" s="116"/>
      <c r="L283" s="170">
        <v>44518</v>
      </c>
      <c r="M283" s="116">
        <v>116.575</v>
      </c>
      <c r="N283" s="116">
        <v>122.16</v>
      </c>
      <c r="O283" s="116">
        <v>115</v>
      </c>
      <c r="P283" s="116">
        <v>121.79</v>
      </c>
      <c r="Q283" s="116">
        <v>1165.75</v>
      </c>
      <c r="R283">
        <v>404737</v>
      </c>
    </row>
    <row r="284" spans="1:18" x14ac:dyDescent="0.25">
      <c r="A284" s="170">
        <v>44522</v>
      </c>
      <c r="B284" s="116">
        <v>116.575</v>
      </c>
      <c r="C284" s="116">
        <v>106.18</v>
      </c>
      <c r="D284" s="116">
        <v>103.325</v>
      </c>
      <c r="E284" s="116">
        <v>116.575</v>
      </c>
      <c r="F284" s="116">
        <v>1061.8</v>
      </c>
      <c r="G284">
        <v>27246</v>
      </c>
      <c r="H284" s="116"/>
      <c r="I284" s="116"/>
      <c r="L284" s="170">
        <v>44522</v>
      </c>
      <c r="M284" s="116">
        <v>106.875</v>
      </c>
      <c r="N284" s="116">
        <v>116.77</v>
      </c>
      <c r="O284" s="116">
        <v>100.69499999999999</v>
      </c>
      <c r="P284" s="116">
        <v>115.65</v>
      </c>
      <c r="Q284" s="116">
        <v>1068.75</v>
      </c>
      <c r="R284">
        <v>520417</v>
      </c>
    </row>
    <row r="285" spans="1:18" x14ac:dyDescent="0.25">
      <c r="A285" s="170">
        <v>44523</v>
      </c>
      <c r="B285" s="116">
        <v>111.77500000000001</v>
      </c>
      <c r="C285" s="116">
        <v>108.1</v>
      </c>
      <c r="D285" s="116">
        <v>102.875</v>
      </c>
      <c r="E285" s="116">
        <v>104.39</v>
      </c>
      <c r="F285" s="116">
        <v>1081</v>
      </c>
      <c r="G285">
        <v>17483</v>
      </c>
      <c r="H285" s="116"/>
      <c r="I285" s="116"/>
      <c r="L285" s="170">
        <v>44523</v>
      </c>
      <c r="M285" s="116">
        <v>108.09</v>
      </c>
      <c r="N285" s="116">
        <v>111.99</v>
      </c>
      <c r="O285" s="116">
        <v>102.705</v>
      </c>
      <c r="P285" s="116">
        <v>103.44</v>
      </c>
      <c r="Q285" s="116">
        <v>1080.9000000000001</v>
      </c>
      <c r="R285">
        <v>460454</v>
      </c>
    </row>
    <row r="286" spans="1:18" x14ac:dyDescent="0.25">
      <c r="A286" s="170">
        <v>44524</v>
      </c>
      <c r="B286" s="116">
        <v>121.72</v>
      </c>
      <c r="C286" s="116">
        <v>117.875</v>
      </c>
      <c r="D286" s="116">
        <v>108.05</v>
      </c>
      <c r="E286" s="116">
        <v>109.99</v>
      </c>
      <c r="F286" s="116">
        <v>1178.75</v>
      </c>
      <c r="G286">
        <v>84293</v>
      </c>
      <c r="H286" s="116"/>
      <c r="I286" s="116"/>
      <c r="L286" s="170">
        <v>44524</v>
      </c>
      <c r="M286" s="116">
        <v>118.03</v>
      </c>
      <c r="N286" s="116">
        <v>121.78</v>
      </c>
      <c r="O286" s="116">
        <v>109.01</v>
      </c>
      <c r="P286" s="116">
        <v>109.01</v>
      </c>
      <c r="Q286" s="116">
        <v>1180.3</v>
      </c>
      <c r="R286">
        <v>961976</v>
      </c>
    </row>
    <row r="287" spans="1:18" x14ac:dyDescent="0.25">
      <c r="A287" s="170">
        <v>44525</v>
      </c>
      <c r="B287" s="116">
        <v>120.27500000000001</v>
      </c>
      <c r="C287" s="116">
        <v>118.925</v>
      </c>
      <c r="D287" s="116">
        <v>115</v>
      </c>
      <c r="E287" s="116">
        <v>118</v>
      </c>
      <c r="F287" s="116">
        <v>1189.25</v>
      </c>
      <c r="G287">
        <v>17861</v>
      </c>
      <c r="H287" s="116"/>
      <c r="I287" s="116"/>
      <c r="L287" s="170">
        <v>44525</v>
      </c>
      <c r="M287" s="116">
        <v>119.065</v>
      </c>
      <c r="N287" s="116">
        <v>120.38</v>
      </c>
      <c r="O287" s="116">
        <v>115.015</v>
      </c>
      <c r="P287" s="116">
        <v>117.7</v>
      </c>
      <c r="Q287" s="116">
        <v>1190.6500000000001</v>
      </c>
      <c r="R287">
        <v>339420</v>
      </c>
    </row>
    <row r="288" spans="1:18" x14ac:dyDescent="0.25">
      <c r="A288" s="170">
        <v>44526</v>
      </c>
      <c r="B288" s="116">
        <v>117.9</v>
      </c>
      <c r="C288" s="116">
        <v>111.485</v>
      </c>
      <c r="D288" s="116">
        <v>110.41500000000001</v>
      </c>
      <c r="E288" s="116">
        <v>117.9</v>
      </c>
      <c r="F288" s="116">
        <v>1114.8499999999999</v>
      </c>
      <c r="G288">
        <v>15926</v>
      </c>
      <c r="H288" s="116"/>
      <c r="I288" s="116"/>
      <c r="L288" s="170">
        <v>44526</v>
      </c>
      <c r="M288" s="116">
        <v>111.52</v>
      </c>
      <c r="N288" s="116">
        <v>117.9</v>
      </c>
      <c r="O288" s="116">
        <v>110.73</v>
      </c>
      <c r="P288" s="116">
        <v>116.22</v>
      </c>
      <c r="Q288" s="116">
        <v>1115.2</v>
      </c>
      <c r="R288">
        <v>294054</v>
      </c>
    </row>
    <row r="289" spans="1:18" x14ac:dyDescent="0.25">
      <c r="A289" s="170">
        <v>44529</v>
      </c>
      <c r="B289" s="116">
        <v>111.55500000000001</v>
      </c>
      <c r="C289" s="116">
        <v>103.645</v>
      </c>
      <c r="D289" s="116">
        <v>102.83499999999999</v>
      </c>
      <c r="E289" s="116">
        <v>111.4</v>
      </c>
      <c r="F289" s="116">
        <v>1036.45</v>
      </c>
      <c r="G289">
        <v>24905</v>
      </c>
      <c r="H289" s="116"/>
      <c r="I289" s="116"/>
      <c r="L289" s="170">
        <v>44529</v>
      </c>
      <c r="M289" s="116">
        <v>103.66500000000001</v>
      </c>
      <c r="N289" s="116">
        <v>111.52</v>
      </c>
      <c r="O289" s="116">
        <v>102.79</v>
      </c>
      <c r="P289" s="116">
        <v>110</v>
      </c>
      <c r="Q289" s="116">
        <v>1036.6500000000001</v>
      </c>
      <c r="R289">
        <v>511271</v>
      </c>
    </row>
    <row r="290" spans="1:18" x14ac:dyDescent="0.25">
      <c r="A290" s="170">
        <v>44530</v>
      </c>
      <c r="B290" s="116">
        <v>108.77500000000001</v>
      </c>
      <c r="C290" s="116">
        <v>101.675</v>
      </c>
      <c r="D290" s="116">
        <v>99.2</v>
      </c>
      <c r="E290" s="116">
        <v>104.4</v>
      </c>
      <c r="F290" s="116">
        <v>1016.75</v>
      </c>
      <c r="G290">
        <v>23824</v>
      </c>
      <c r="H290" s="116"/>
      <c r="I290" s="116"/>
      <c r="L290" s="170">
        <v>44530</v>
      </c>
      <c r="M290" s="116">
        <v>101.425</v>
      </c>
      <c r="N290" s="116">
        <v>108.8</v>
      </c>
      <c r="O290" s="116">
        <v>99.05</v>
      </c>
      <c r="P290" s="116">
        <v>106.3</v>
      </c>
      <c r="Q290" s="116">
        <v>1014.25</v>
      </c>
      <c r="R290">
        <v>1094370</v>
      </c>
    </row>
    <row r="291" spans="1:18" x14ac:dyDescent="0.25">
      <c r="A291" s="170">
        <v>44531</v>
      </c>
      <c r="B291" s="116">
        <v>104.5</v>
      </c>
      <c r="C291" s="116">
        <v>103.255</v>
      </c>
      <c r="D291" s="116">
        <v>101.01</v>
      </c>
      <c r="E291" s="116">
        <v>101.8</v>
      </c>
      <c r="F291" s="116">
        <v>1032.55</v>
      </c>
      <c r="G291">
        <v>30350</v>
      </c>
      <c r="H291" s="116"/>
      <c r="I291" s="116"/>
      <c r="L291" s="170">
        <v>44531</v>
      </c>
      <c r="M291" s="116">
        <v>103.255</v>
      </c>
      <c r="N291" s="116">
        <v>105</v>
      </c>
      <c r="O291" s="116">
        <v>101</v>
      </c>
      <c r="P291" s="116">
        <v>102.295</v>
      </c>
      <c r="Q291" s="116">
        <v>1032.55</v>
      </c>
      <c r="R291">
        <v>315763</v>
      </c>
    </row>
    <row r="292" spans="1:18" x14ac:dyDescent="0.25">
      <c r="A292" s="170">
        <v>44532</v>
      </c>
      <c r="B292" s="116">
        <v>113.815</v>
      </c>
      <c r="C292" s="116">
        <v>112.535</v>
      </c>
      <c r="D292" s="116">
        <v>103.91500000000001</v>
      </c>
      <c r="E292" s="116">
        <v>106</v>
      </c>
      <c r="F292" s="116">
        <v>1125.3499999999999</v>
      </c>
      <c r="G292">
        <v>56441</v>
      </c>
      <c r="H292" s="116"/>
      <c r="I292" s="116"/>
      <c r="L292" s="170">
        <v>44532</v>
      </c>
      <c r="M292" s="116">
        <v>112.36499999999999</v>
      </c>
      <c r="N292" s="116">
        <v>113.9</v>
      </c>
      <c r="O292" s="116">
        <v>103.8</v>
      </c>
      <c r="P292" s="116">
        <v>104.9</v>
      </c>
      <c r="Q292" s="116">
        <v>1123.6500000000001</v>
      </c>
      <c r="R292">
        <v>1127876</v>
      </c>
    </row>
    <row r="293" spans="1:18" x14ac:dyDescent="0.25">
      <c r="A293" s="170">
        <v>44533</v>
      </c>
      <c r="B293" s="116">
        <v>117.5</v>
      </c>
      <c r="C293" s="116">
        <v>114.02500000000001</v>
      </c>
      <c r="D293" s="116">
        <v>112.215</v>
      </c>
      <c r="E293" s="116">
        <v>113.1</v>
      </c>
      <c r="F293" s="116">
        <v>1140.25</v>
      </c>
      <c r="G293">
        <v>98680</v>
      </c>
      <c r="H293" s="116"/>
      <c r="I293" s="116"/>
      <c r="L293" s="170">
        <v>44533</v>
      </c>
      <c r="M293" s="116">
        <v>113.905</v>
      </c>
      <c r="N293" s="116">
        <v>117.655</v>
      </c>
      <c r="O293" s="116">
        <v>112.3</v>
      </c>
      <c r="P293" s="116">
        <v>113.5</v>
      </c>
      <c r="Q293" s="116">
        <v>1139.05</v>
      </c>
      <c r="R293">
        <v>739964</v>
      </c>
    </row>
    <row r="294" spans="1:18" x14ac:dyDescent="0.25">
      <c r="A294" s="170">
        <v>44536</v>
      </c>
      <c r="B294" s="116">
        <v>115.515</v>
      </c>
      <c r="C294" s="116">
        <v>110.95</v>
      </c>
      <c r="D294" s="116">
        <v>110</v>
      </c>
      <c r="E294" s="116">
        <v>114.02500000000001</v>
      </c>
      <c r="F294" s="116">
        <v>1109.5</v>
      </c>
      <c r="G294">
        <v>40312</v>
      </c>
      <c r="H294" s="116"/>
      <c r="I294" s="116"/>
      <c r="L294" s="170">
        <v>44536</v>
      </c>
      <c r="M294" s="116">
        <v>110.905</v>
      </c>
      <c r="N294" s="116">
        <v>115.05</v>
      </c>
      <c r="O294" s="116">
        <v>108.8</v>
      </c>
      <c r="P294" s="116">
        <v>115</v>
      </c>
      <c r="Q294" s="116">
        <v>1109.05</v>
      </c>
      <c r="R294">
        <v>306769</v>
      </c>
    </row>
    <row r="295" spans="1:18" x14ac:dyDescent="0.25">
      <c r="A295" s="170">
        <v>44537</v>
      </c>
      <c r="B295" s="116">
        <v>113.63500000000001</v>
      </c>
      <c r="C295" s="116">
        <v>110.92</v>
      </c>
      <c r="D295" s="116">
        <v>109.7</v>
      </c>
      <c r="E295" s="116">
        <v>111</v>
      </c>
      <c r="F295" s="116">
        <v>1109.2</v>
      </c>
      <c r="G295">
        <v>35201</v>
      </c>
      <c r="H295" s="116"/>
      <c r="I295" s="116"/>
      <c r="L295" s="170">
        <v>44537</v>
      </c>
      <c r="M295" s="116">
        <v>111</v>
      </c>
      <c r="N295" s="116">
        <v>113.14</v>
      </c>
      <c r="O295" s="116">
        <v>109.7</v>
      </c>
      <c r="P295" s="116">
        <v>112.4</v>
      </c>
      <c r="Q295" s="116">
        <v>1110</v>
      </c>
      <c r="R295">
        <v>262359</v>
      </c>
    </row>
    <row r="296" spans="1:18" x14ac:dyDescent="0.25">
      <c r="A296" s="170">
        <v>44538</v>
      </c>
      <c r="B296" s="116">
        <v>116</v>
      </c>
      <c r="C296" s="116">
        <v>112.185</v>
      </c>
      <c r="D296" s="116">
        <v>111.68</v>
      </c>
      <c r="E296" s="116">
        <v>114.03</v>
      </c>
      <c r="F296" s="116">
        <v>1121.8499999999999</v>
      </c>
      <c r="G296">
        <v>26415</v>
      </c>
      <c r="H296" s="116"/>
      <c r="I296" s="116"/>
      <c r="L296" s="170">
        <v>44538</v>
      </c>
      <c r="M296" s="116">
        <v>112.255</v>
      </c>
      <c r="N296" s="116">
        <v>115.99</v>
      </c>
      <c r="O296" s="116">
        <v>111.5</v>
      </c>
      <c r="P296" s="116">
        <v>112.08</v>
      </c>
      <c r="Q296" s="116">
        <v>1122.55</v>
      </c>
      <c r="R296">
        <v>419244</v>
      </c>
    </row>
    <row r="297" spans="1:18" x14ac:dyDescent="0.25">
      <c r="A297" s="170">
        <v>44539</v>
      </c>
      <c r="B297" s="116">
        <v>117.08499999999999</v>
      </c>
      <c r="C297" s="116">
        <v>113.27500000000001</v>
      </c>
      <c r="D297" s="116">
        <v>111.705</v>
      </c>
      <c r="E297" s="116">
        <v>117.08499999999999</v>
      </c>
      <c r="F297" s="116">
        <v>1132.75</v>
      </c>
      <c r="G297">
        <v>16822</v>
      </c>
      <c r="H297" s="116"/>
      <c r="I297" s="116"/>
      <c r="L297" s="170">
        <v>44539</v>
      </c>
      <c r="M297" s="116">
        <v>113.07</v>
      </c>
      <c r="N297" s="116">
        <v>114.9</v>
      </c>
      <c r="O297" s="116">
        <v>112.5</v>
      </c>
      <c r="P297" s="116">
        <v>113.5</v>
      </c>
      <c r="Q297" s="116">
        <v>1130.7</v>
      </c>
      <c r="R297">
        <v>224874</v>
      </c>
    </row>
    <row r="298" spans="1:18" x14ac:dyDescent="0.25">
      <c r="A298" s="170">
        <v>44540</v>
      </c>
      <c r="B298" s="116">
        <v>113.94499999999999</v>
      </c>
      <c r="C298" s="116">
        <v>112.66</v>
      </c>
      <c r="D298" s="116">
        <v>112.5</v>
      </c>
      <c r="E298" s="116">
        <v>113.1</v>
      </c>
      <c r="F298" s="116">
        <v>1126.5999999999999</v>
      </c>
      <c r="G298">
        <v>16906</v>
      </c>
      <c r="H298" s="116"/>
      <c r="I298" s="116"/>
      <c r="L298" s="170">
        <v>44540</v>
      </c>
      <c r="M298" s="116">
        <v>112.69</v>
      </c>
      <c r="N298" s="116">
        <v>114</v>
      </c>
      <c r="O298" s="116">
        <v>112.5</v>
      </c>
      <c r="P298" s="116">
        <v>113</v>
      </c>
      <c r="Q298" s="116">
        <v>1126.9000000000001</v>
      </c>
      <c r="R298">
        <v>121471</v>
      </c>
    </row>
    <row r="299" spans="1:18" x14ac:dyDescent="0.25">
      <c r="A299" s="170">
        <v>44543</v>
      </c>
      <c r="B299" s="116">
        <v>117.89</v>
      </c>
      <c r="C299" s="116">
        <v>112.78</v>
      </c>
      <c r="D299" s="116">
        <v>111.78</v>
      </c>
      <c r="E299" s="116">
        <v>114.185</v>
      </c>
      <c r="F299" s="116">
        <v>1127.8</v>
      </c>
      <c r="G299">
        <v>21392</v>
      </c>
      <c r="H299" s="116"/>
      <c r="I299" s="116"/>
      <c r="L299" s="170">
        <v>44543</v>
      </c>
      <c r="M299" s="116">
        <v>112.78</v>
      </c>
      <c r="N299" s="116">
        <v>117.9</v>
      </c>
      <c r="O299" s="116">
        <v>111.795</v>
      </c>
      <c r="P299" s="116">
        <v>113.6</v>
      </c>
      <c r="Q299" s="116">
        <v>1127.8</v>
      </c>
      <c r="R299">
        <v>434248</v>
      </c>
    </row>
    <row r="300" spans="1:18" x14ac:dyDescent="0.25">
      <c r="A300" s="170">
        <v>44544</v>
      </c>
      <c r="B300" s="116">
        <v>120.095</v>
      </c>
      <c r="C300" s="116">
        <v>116.83499999999999</v>
      </c>
      <c r="D300" s="116">
        <v>111.185</v>
      </c>
      <c r="E300" s="116">
        <v>111.185</v>
      </c>
      <c r="F300" s="116">
        <v>1168.3499999999999</v>
      </c>
      <c r="G300">
        <v>69930</v>
      </c>
      <c r="H300" s="116"/>
      <c r="I300" s="116"/>
      <c r="L300" s="170">
        <v>44544</v>
      </c>
      <c r="M300" s="116">
        <v>116.69499999999999</v>
      </c>
      <c r="N300" s="116">
        <v>120.2</v>
      </c>
      <c r="O300" s="116">
        <v>111.565</v>
      </c>
      <c r="P300" s="116">
        <v>111.9</v>
      </c>
      <c r="Q300" s="116">
        <v>1166.95</v>
      </c>
      <c r="R300">
        <v>643953</v>
      </c>
    </row>
    <row r="301" spans="1:18" x14ac:dyDescent="0.25">
      <c r="A301" s="170">
        <v>44545</v>
      </c>
      <c r="B301" s="116">
        <v>118.37</v>
      </c>
      <c r="C301" s="116">
        <v>116.325</v>
      </c>
      <c r="D301" s="116">
        <v>115.3</v>
      </c>
      <c r="E301" s="116">
        <v>116.83499999999999</v>
      </c>
      <c r="F301" s="116">
        <v>1163.25</v>
      </c>
      <c r="G301">
        <v>36565</v>
      </c>
      <c r="H301" s="116"/>
      <c r="I301" s="116"/>
      <c r="L301" s="170">
        <v>44545</v>
      </c>
      <c r="M301" s="116">
        <v>116.51</v>
      </c>
      <c r="N301" s="116">
        <v>118.4</v>
      </c>
      <c r="O301" s="116">
        <v>115.2</v>
      </c>
      <c r="P301" s="116">
        <v>116.495</v>
      </c>
      <c r="Q301" s="116">
        <v>1165.0999999999999</v>
      </c>
      <c r="R301">
        <v>267879</v>
      </c>
    </row>
    <row r="302" spans="1:18" x14ac:dyDescent="0.25">
      <c r="A302" s="170">
        <v>44546</v>
      </c>
      <c r="B302" s="116">
        <v>118.21</v>
      </c>
      <c r="C302" s="116">
        <v>117.45</v>
      </c>
      <c r="D302" s="116">
        <v>114.595</v>
      </c>
      <c r="E302" s="116">
        <v>116.715</v>
      </c>
      <c r="F302" s="116">
        <v>1174.5</v>
      </c>
      <c r="G302">
        <v>14123</v>
      </c>
      <c r="H302" s="116"/>
      <c r="I302" s="116"/>
      <c r="L302" s="170">
        <v>44546</v>
      </c>
      <c r="M302" s="116">
        <v>117.48</v>
      </c>
      <c r="N302" s="116">
        <v>118.22499999999999</v>
      </c>
      <c r="O302" s="116">
        <v>115.55500000000001</v>
      </c>
      <c r="P302" s="116">
        <v>117.5</v>
      </c>
      <c r="Q302" s="116">
        <v>1174.8</v>
      </c>
      <c r="R302">
        <v>237119</v>
      </c>
    </row>
    <row r="303" spans="1:18" x14ac:dyDescent="0.25">
      <c r="A303" s="170">
        <v>44547</v>
      </c>
      <c r="B303" s="116">
        <v>117.58</v>
      </c>
      <c r="C303" s="116">
        <v>110.315</v>
      </c>
      <c r="D303" s="116">
        <v>109.4</v>
      </c>
      <c r="E303" s="116">
        <v>117.215</v>
      </c>
      <c r="F303" s="116">
        <v>1103.1500000000001</v>
      </c>
      <c r="G303">
        <v>25326</v>
      </c>
      <c r="H303" s="116"/>
      <c r="I303" s="116"/>
      <c r="L303" s="170">
        <v>44547</v>
      </c>
      <c r="M303" s="116">
        <v>110.705</v>
      </c>
      <c r="N303" s="116">
        <v>117.735</v>
      </c>
      <c r="O303" s="116">
        <v>109.5</v>
      </c>
      <c r="P303" s="116">
        <v>117.5</v>
      </c>
      <c r="Q303" s="116">
        <v>1107.05</v>
      </c>
      <c r="R303">
        <v>371742</v>
      </c>
    </row>
    <row r="304" spans="1:18" x14ac:dyDescent="0.25">
      <c r="A304" s="170">
        <v>44550</v>
      </c>
      <c r="B304" s="116">
        <v>115.19499999999999</v>
      </c>
      <c r="C304" s="116">
        <v>112.455</v>
      </c>
      <c r="D304" s="116">
        <v>104.815</v>
      </c>
      <c r="E304" s="116">
        <v>113.1</v>
      </c>
      <c r="F304" s="116">
        <v>1124.55</v>
      </c>
      <c r="G304">
        <v>28254</v>
      </c>
      <c r="H304" s="116"/>
      <c r="I304" s="116"/>
      <c r="L304" s="170">
        <v>44550</v>
      </c>
      <c r="M304" s="116">
        <v>112.125</v>
      </c>
      <c r="N304" s="116">
        <v>115.2</v>
      </c>
      <c r="O304" s="116">
        <v>104.25</v>
      </c>
      <c r="P304" s="116">
        <v>109.5</v>
      </c>
      <c r="Q304" s="116">
        <v>1121.25</v>
      </c>
      <c r="R304">
        <v>643755</v>
      </c>
    </row>
    <row r="305" spans="1:18" x14ac:dyDescent="0.25">
      <c r="A305" s="170">
        <v>44551</v>
      </c>
      <c r="B305" s="116">
        <v>120</v>
      </c>
      <c r="C305" s="116">
        <v>117.7</v>
      </c>
      <c r="D305" s="116">
        <v>107.83499999999999</v>
      </c>
      <c r="E305" s="116">
        <v>107.83499999999999</v>
      </c>
      <c r="F305" s="116">
        <v>1177</v>
      </c>
      <c r="G305">
        <v>90588</v>
      </c>
      <c r="H305" s="116"/>
      <c r="I305" s="116"/>
      <c r="L305" s="170">
        <v>44551</v>
      </c>
      <c r="M305" s="116">
        <v>117.875</v>
      </c>
      <c r="N305" s="116">
        <v>120.4</v>
      </c>
      <c r="O305" s="116">
        <v>113.125</v>
      </c>
      <c r="P305" s="116">
        <v>113.4</v>
      </c>
      <c r="Q305" s="116">
        <v>1178.75</v>
      </c>
      <c r="R305">
        <v>766388</v>
      </c>
    </row>
    <row r="306" spans="1:18" x14ac:dyDescent="0.25">
      <c r="A306" s="170">
        <v>44552</v>
      </c>
      <c r="B306" s="116">
        <v>120.39</v>
      </c>
      <c r="C306" s="116">
        <v>118.22</v>
      </c>
      <c r="D306" s="116">
        <v>116.785</v>
      </c>
      <c r="E306" s="116">
        <v>118.3</v>
      </c>
      <c r="F306" s="116">
        <v>1182.2</v>
      </c>
      <c r="G306">
        <v>20109</v>
      </c>
      <c r="H306" s="116"/>
      <c r="I306" s="116"/>
      <c r="L306" s="170">
        <v>44552</v>
      </c>
      <c r="M306" s="116">
        <v>118.16</v>
      </c>
      <c r="N306" s="116">
        <v>120.3</v>
      </c>
      <c r="O306" s="116">
        <v>116.855</v>
      </c>
      <c r="P306" s="116">
        <v>118.4</v>
      </c>
      <c r="Q306" s="116">
        <v>1181.5999999999999</v>
      </c>
      <c r="R306">
        <v>610309</v>
      </c>
    </row>
    <row r="307" spans="1:18" x14ac:dyDescent="0.25">
      <c r="A307" s="170">
        <v>44553</v>
      </c>
      <c r="B307" s="116">
        <v>121.2</v>
      </c>
      <c r="C307" s="116">
        <v>116.855</v>
      </c>
      <c r="D307" s="116">
        <v>116</v>
      </c>
      <c r="E307" s="116">
        <v>119.18</v>
      </c>
      <c r="F307" s="116">
        <v>1168.55</v>
      </c>
      <c r="G307">
        <v>39197</v>
      </c>
      <c r="H307" s="116"/>
      <c r="I307" s="116"/>
      <c r="L307" s="170">
        <v>44553</v>
      </c>
      <c r="M307" s="116">
        <v>116.995</v>
      </c>
      <c r="N307" s="116">
        <v>121.3</v>
      </c>
      <c r="O307" s="116">
        <v>116.205</v>
      </c>
      <c r="P307" s="116">
        <v>118.925</v>
      </c>
      <c r="Q307" s="116">
        <v>1169.95</v>
      </c>
      <c r="R307">
        <v>329555</v>
      </c>
    </row>
    <row r="308" spans="1:18" x14ac:dyDescent="0.25">
      <c r="A308" s="170">
        <v>44554</v>
      </c>
      <c r="B308" s="116">
        <v>118.22</v>
      </c>
      <c r="C308" s="116">
        <v>116.22</v>
      </c>
      <c r="D308" s="116">
        <v>114.18</v>
      </c>
      <c r="E308" s="116">
        <v>116.005</v>
      </c>
      <c r="F308" s="116">
        <v>1162.2</v>
      </c>
      <c r="G308">
        <v>18493</v>
      </c>
      <c r="H308" s="116"/>
      <c r="I308" s="116"/>
      <c r="L308" s="170">
        <v>44554</v>
      </c>
      <c r="M308" s="116">
        <v>116.03</v>
      </c>
      <c r="N308" s="116">
        <v>118.36499999999999</v>
      </c>
      <c r="O308" s="116">
        <v>114.105</v>
      </c>
      <c r="P308" s="116">
        <v>117.48</v>
      </c>
      <c r="Q308" s="116">
        <v>1160.3</v>
      </c>
      <c r="R308">
        <v>212711</v>
      </c>
    </row>
    <row r="309" spans="1:18" x14ac:dyDescent="0.25">
      <c r="A309" s="170">
        <v>44557</v>
      </c>
      <c r="B309" s="116">
        <v>115.99</v>
      </c>
      <c r="C309" s="116">
        <v>114.27</v>
      </c>
      <c r="D309" s="116">
        <v>113.095</v>
      </c>
      <c r="E309" s="116">
        <v>115.99</v>
      </c>
      <c r="F309" s="116">
        <v>1142.7</v>
      </c>
      <c r="G309">
        <v>23981</v>
      </c>
      <c r="H309" s="116"/>
      <c r="I309" s="116"/>
      <c r="L309" s="170">
        <v>44557</v>
      </c>
      <c r="M309" s="116">
        <v>114.215</v>
      </c>
      <c r="N309" s="116">
        <v>115.995</v>
      </c>
      <c r="O309" s="116">
        <v>113.07</v>
      </c>
      <c r="P309" s="116">
        <v>115.3</v>
      </c>
      <c r="Q309" s="116">
        <v>1142.1500000000001</v>
      </c>
      <c r="R309">
        <v>109751</v>
      </c>
    </row>
    <row r="310" spans="1:18" x14ac:dyDescent="0.25">
      <c r="A310" s="170">
        <v>44558</v>
      </c>
      <c r="B310" s="116">
        <v>119</v>
      </c>
      <c r="C310" s="116">
        <v>116.28</v>
      </c>
      <c r="D310" s="116">
        <v>114.5</v>
      </c>
      <c r="E310" s="116">
        <v>114.5</v>
      </c>
      <c r="F310" s="116">
        <v>1162.8</v>
      </c>
      <c r="G310">
        <v>32628</v>
      </c>
      <c r="H310" s="116"/>
      <c r="I310" s="116"/>
      <c r="L310" s="170">
        <v>44558</v>
      </c>
      <c r="M310" s="116">
        <v>116.26</v>
      </c>
      <c r="N310" s="116">
        <v>119.075</v>
      </c>
      <c r="O310" s="116">
        <v>114.83</v>
      </c>
      <c r="P310" s="116">
        <v>114.83</v>
      </c>
      <c r="Q310" s="116">
        <v>1162.5999999999999</v>
      </c>
      <c r="R310">
        <v>276726</v>
      </c>
    </row>
    <row r="311" spans="1:18" x14ac:dyDescent="0.25">
      <c r="A311" s="170">
        <v>44559</v>
      </c>
      <c r="B311" s="116">
        <v>120</v>
      </c>
      <c r="C311" s="116">
        <v>119.3</v>
      </c>
      <c r="D311" s="116">
        <v>115.03</v>
      </c>
      <c r="E311" s="116">
        <v>115.03</v>
      </c>
      <c r="F311" s="116">
        <v>1193</v>
      </c>
      <c r="G311">
        <v>38243</v>
      </c>
      <c r="H311" s="116"/>
      <c r="I311" s="116"/>
      <c r="L311" s="170">
        <v>44559</v>
      </c>
      <c r="M311" s="116">
        <v>119.33</v>
      </c>
      <c r="N311" s="116">
        <v>120.3</v>
      </c>
      <c r="O311" s="116">
        <v>116.11499999999999</v>
      </c>
      <c r="P311" s="116">
        <v>116.7</v>
      </c>
      <c r="Q311" s="116">
        <v>1193.3</v>
      </c>
      <c r="R311">
        <v>295726</v>
      </c>
    </row>
    <row r="312" spans="1:18" x14ac:dyDescent="0.25">
      <c r="A312" s="170">
        <v>44560</v>
      </c>
      <c r="B312" s="116">
        <v>120.2</v>
      </c>
      <c r="C312" s="116">
        <v>119.02500000000001</v>
      </c>
      <c r="D312" s="116">
        <v>118.15</v>
      </c>
      <c r="E312" s="116">
        <v>120.075</v>
      </c>
      <c r="F312" s="116">
        <v>1190.25</v>
      </c>
      <c r="G312">
        <v>11938</v>
      </c>
      <c r="H312" s="116"/>
      <c r="I312" s="116"/>
      <c r="L312" s="170">
        <v>44560</v>
      </c>
      <c r="M312" s="116">
        <v>119.145</v>
      </c>
      <c r="N312" s="116">
        <v>120.4</v>
      </c>
      <c r="O312" s="116">
        <v>118.14</v>
      </c>
      <c r="P312" s="116">
        <v>120.34</v>
      </c>
      <c r="Q312" s="116">
        <v>1191.45</v>
      </c>
      <c r="R312">
        <v>225079</v>
      </c>
    </row>
    <row r="313" spans="1:18" x14ac:dyDescent="0.25">
      <c r="A313" s="170">
        <v>44561</v>
      </c>
      <c r="B313" s="116">
        <v>120.04</v>
      </c>
      <c r="C313" s="116">
        <v>118.25</v>
      </c>
      <c r="D313" s="116">
        <v>117.7</v>
      </c>
      <c r="E313" s="116">
        <v>118.9</v>
      </c>
      <c r="F313" s="116">
        <v>1182.5</v>
      </c>
      <c r="G313">
        <v>8366</v>
      </c>
      <c r="H313" s="116"/>
      <c r="I313" s="116"/>
      <c r="L313" s="170">
        <v>44561</v>
      </c>
      <c r="M313" s="116">
        <v>118.205</v>
      </c>
      <c r="N313" s="116">
        <v>120.065</v>
      </c>
      <c r="O313" s="116">
        <v>117.7</v>
      </c>
      <c r="P313" s="116">
        <v>118</v>
      </c>
      <c r="Q313" s="116">
        <v>1182.05</v>
      </c>
      <c r="R313">
        <v>143995</v>
      </c>
    </row>
    <row r="314" spans="1:18" x14ac:dyDescent="0.25">
      <c r="A314" s="170">
        <v>44564</v>
      </c>
      <c r="B314" s="116">
        <v>124.37</v>
      </c>
      <c r="C314" s="116">
        <v>121.77</v>
      </c>
      <c r="D314" s="116">
        <v>118.35</v>
      </c>
      <c r="E314" s="116">
        <v>118.7</v>
      </c>
      <c r="F314" s="116">
        <v>1217.7</v>
      </c>
      <c r="G314">
        <v>37953</v>
      </c>
      <c r="H314" s="116"/>
      <c r="I314" s="116"/>
      <c r="L314" s="170">
        <v>44564</v>
      </c>
      <c r="M314" s="116">
        <v>121.66</v>
      </c>
      <c r="N314" s="116">
        <v>124.4</v>
      </c>
      <c r="O314" s="116">
        <v>118.56</v>
      </c>
      <c r="P314" s="116">
        <v>119</v>
      </c>
      <c r="Q314" s="116">
        <v>1216.5999999999999</v>
      </c>
      <c r="R314">
        <v>385970</v>
      </c>
    </row>
    <row r="315" spans="1:18" x14ac:dyDescent="0.25">
      <c r="A315" s="170">
        <v>44565</v>
      </c>
      <c r="B315" s="116">
        <v>125.9</v>
      </c>
      <c r="C315" s="116">
        <v>121.83</v>
      </c>
      <c r="D315" s="116">
        <v>120.72</v>
      </c>
      <c r="E315" s="116">
        <v>123.995</v>
      </c>
      <c r="F315" s="116">
        <v>1218.3</v>
      </c>
      <c r="G315">
        <v>75236</v>
      </c>
      <c r="H315" s="116"/>
      <c r="I315" s="116"/>
      <c r="L315" s="170">
        <v>44565</v>
      </c>
      <c r="M315" s="116">
        <v>121.935</v>
      </c>
      <c r="N315" s="116">
        <v>125.95</v>
      </c>
      <c r="O315" s="116">
        <v>120.8</v>
      </c>
      <c r="P315" s="116">
        <v>124</v>
      </c>
      <c r="Q315" s="116">
        <v>1219.3499999999999</v>
      </c>
      <c r="R315">
        <v>936612</v>
      </c>
    </row>
    <row r="316" spans="1:18" x14ac:dyDescent="0.25">
      <c r="A316" s="170">
        <v>44566</v>
      </c>
      <c r="B316" s="116">
        <v>124.61499999999999</v>
      </c>
      <c r="C316" s="116">
        <v>124.255</v>
      </c>
      <c r="D316" s="116">
        <v>120.875</v>
      </c>
      <c r="E316" s="116">
        <v>122.5</v>
      </c>
      <c r="F316" s="116">
        <v>1242.55</v>
      </c>
      <c r="G316">
        <v>26405</v>
      </c>
      <c r="H316" s="116"/>
      <c r="I316" s="116"/>
      <c r="L316" s="170">
        <v>44566</v>
      </c>
      <c r="M316" s="116">
        <v>124.23</v>
      </c>
      <c r="N316" s="116">
        <v>124.66500000000001</v>
      </c>
      <c r="O316" s="116">
        <v>120.8</v>
      </c>
      <c r="P316" s="116">
        <v>122</v>
      </c>
      <c r="Q316" s="116">
        <v>1242.3</v>
      </c>
      <c r="R316">
        <v>502200</v>
      </c>
    </row>
    <row r="317" spans="1:18" x14ac:dyDescent="0.25">
      <c r="A317" s="170">
        <v>44567</v>
      </c>
      <c r="B317" s="116">
        <v>127.08</v>
      </c>
      <c r="C317" s="116">
        <v>126.63</v>
      </c>
      <c r="D317" s="116">
        <v>121.5</v>
      </c>
      <c r="E317" s="116">
        <v>122</v>
      </c>
      <c r="F317" s="116">
        <v>1266.3</v>
      </c>
      <c r="G317">
        <v>81185</v>
      </c>
      <c r="H317" s="116"/>
      <c r="I317" s="116"/>
      <c r="L317" s="170">
        <v>44567</v>
      </c>
      <c r="M317" s="116">
        <v>126.685</v>
      </c>
      <c r="N317" s="116">
        <v>127.13</v>
      </c>
      <c r="O317" s="116">
        <v>121.625</v>
      </c>
      <c r="P317" s="116">
        <v>123.37</v>
      </c>
      <c r="Q317" s="116">
        <v>1266.8499999999999</v>
      </c>
      <c r="R317">
        <v>626297</v>
      </c>
    </row>
    <row r="318" spans="1:18" x14ac:dyDescent="0.25">
      <c r="A318" s="170">
        <v>44568</v>
      </c>
      <c r="B318" s="116">
        <v>127.8</v>
      </c>
      <c r="C318" s="116">
        <v>123.16500000000001</v>
      </c>
      <c r="D318" s="116">
        <v>121.855</v>
      </c>
      <c r="E318" s="116">
        <v>127.5</v>
      </c>
      <c r="F318" s="116">
        <v>1231.6500000000001</v>
      </c>
      <c r="G318">
        <v>40721</v>
      </c>
      <c r="H318" s="116"/>
      <c r="I318" s="116"/>
      <c r="L318" s="170">
        <v>44568</v>
      </c>
      <c r="M318" s="116">
        <v>123.16</v>
      </c>
      <c r="N318" s="116">
        <v>127.95</v>
      </c>
      <c r="O318" s="116">
        <v>121.8</v>
      </c>
      <c r="P318" s="116">
        <v>127.925</v>
      </c>
      <c r="Q318" s="116">
        <v>1231.5999999999999</v>
      </c>
      <c r="R318">
        <v>497718</v>
      </c>
    </row>
    <row r="319" spans="1:18" x14ac:dyDescent="0.25">
      <c r="A319" s="170">
        <v>44571</v>
      </c>
      <c r="B319" s="116">
        <v>128.19999999999999</v>
      </c>
      <c r="C319" s="116">
        <v>127.465</v>
      </c>
      <c r="D319" s="116">
        <v>123.74</v>
      </c>
      <c r="E319" s="116">
        <v>124.7</v>
      </c>
      <c r="F319" s="116">
        <v>1274.6500000000001</v>
      </c>
      <c r="G319">
        <v>79735</v>
      </c>
      <c r="H319" s="116"/>
      <c r="I319" s="116"/>
      <c r="L319" s="170">
        <v>44571</v>
      </c>
      <c r="M319" s="116">
        <v>127.48</v>
      </c>
      <c r="N319" s="116">
        <v>128.25</v>
      </c>
      <c r="O319" s="116">
        <v>123.5</v>
      </c>
      <c r="P319" s="116">
        <v>124.19</v>
      </c>
      <c r="Q319" s="116">
        <v>1274.8</v>
      </c>
      <c r="R319">
        <v>723125</v>
      </c>
    </row>
    <row r="320" spans="1:18" x14ac:dyDescent="0.25">
      <c r="A320" s="170">
        <v>44572</v>
      </c>
      <c r="B320" s="116">
        <v>128.08500000000001</v>
      </c>
      <c r="C320" s="116">
        <v>125.745</v>
      </c>
      <c r="D320" s="116">
        <v>125.33</v>
      </c>
      <c r="E320" s="116">
        <v>127.8</v>
      </c>
      <c r="F320" s="116">
        <v>1257.45</v>
      </c>
      <c r="G320">
        <v>10713</v>
      </c>
      <c r="H320" s="116"/>
      <c r="I320" s="116"/>
      <c r="L320" s="170">
        <v>44572</v>
      </c>
      <c r="M320" s="116">
        <v>125.79</v>
      </c>
      <c r="N320" s="116">
        <v>128.1</v>
      </c>
      <c r="O320" s="116">
        <v>125.3</v>
      </c>
      <c r="P320" s="116">
        <v>127.39</v>
      </c>
      <c r="Q320" s="116">
        <v>1257.9000000000001</v>
      </c>
      <c r="R320">
        <v>254085</v>
      </c>
    </row>
    <row r="321" spans="1:18" x14ac:dyDescent="0.25">
      <c r="A321" s="170">
        <v>44573</v>
      </c>
      <c r="B321" s="116">
        <v>128.655</v>
      </c>
      <c r="C321" s="116">
        <v>125.13</v>
      </c>
      <c r="D321" s="116">
        <v>124.63500000000001</v>
      </c>
      <c r="E321" s="116">
        <v>127.99</v>
      </c>
      <c r="F321" s="116">
        <v>1251.3</v>
      </c>
      <c r="G321">
        <v>18170</v>
      </c>
      <c r="H321" s="116"/>
      <c r="I321" s="116"/>
      <c r="L321" s="170">
        <v>44573</v>
      </c>
      <c r="M321" s="116">
        <v>124.985</v>
      </c>
      <c r="N321" s="116">
        <v>128.72999999999999</v>
      </c>
      <c r="O321" s="116">
        <v>124.46</v>
      </c>
      <c r="P321" s="116">
        <v>127</v>
      </c>
      <c r="Q321" s="116">
        <v>1249.8499999999999</v>
      </c>
      <c r="R321">
        <v>372425</v>
      </c>
    </row>
    <row r="322" spans="1:18" x14ac:dyDescent="0.25">
      <c r="A322" s="170">
        <v>44574</v>
      </c>
      <c r="B322" s="116">
        <v>129.5</v>
      </c>
      <c r="C322" s="116">
        <v>128.75</v>
      </c>
      <c r="D322" s="116">
        <v>124.33499999999999</v>
      </c>
      <c r="E322" s="116">
        <v>126.67</v>
      </c>
      <c r="F322" s="116">
        <v>1287.5</v>
      </c>
      <c r="G322">
        <v>80441</v>
      </c>
      <c r="H322" s="116"/>
      <c r="I322" s="116"/>
      <c r="L322" s="170">
        <v>44574</v>
      </c>
      <c r="M322" s="116">
        <v>128.78</v>
      </c>
      <c r="N322" s="116">
        <v>129.565</v>
      </c>
      <c r="O322" s="116">
        <v>124.31</v>
      </c>
      <c r="P322" s="116">
        <v>125.31</v>
      </c>
      <c r="Q322" s="116">
        <v>1287.8</v>
      </c>
      <c r="R322">
        <v>867016</v>
      </c>
    </row>
    <row r="323" spans="1:18" x14ac:dyDescent="0.25">
      <c r="A323" s="170">
        <v>44575</v>
      </c>
      <c r="B323" s="116">
        <v>133.785</v>
      </c>
      <c r="C323" s="116">
        <v>132.29</v>
      </c>
      <c r="D323" s="116">
        <v>127.6</v>
      </c>
      <c r="E323" s="116">
        <v>129.19999999999999</v>
      </c>
      <c r="F323" s="116">
        <v>1322.9</v>
      </c>
      <c r="G323">
        <v>141979</v>
      </c>
      <c r="H323" s="116"/>
      <c r="I323" s="116"/>
      <c r="L323" s="170">
        <v>44575</v>
      </c>
      <c r="M323" s="116">
        <v>132.20500000000001</v>
      </c>
      <c r="N323" s="116">
        <v>134</v>
      </c>
      <c r="O323" s="116">
        <v>127.55</v>
      </c>
      <c r="P323" s="116">
        <v>129</v>
      </c>
      <c r="Q323" s="116">
        <v>1322.05</v>
      </c>
      <c r="R323">
        <v>1208657</v>
      </c>
    </row>
    <row r="324" spans="1:18" x14ac:dyDescent="0.25">
      <c r="A324" s="170">
        <v>44578</v>
      </c>
      <c r="B324" s="116">
        <v>138.43</v>
      </c>
      <c r="C324" s="116">
        <v>135.69999999999999</v>
      </c>
      <c r="D324" s="116">
        <v>131.1</v>
      </c>
      <c r="E324" s="116">
        <v>133.58000000000001</v>
      </c>
      <c r="F324" s="116">
        <v>1357</v>
      </c>
      <c r="G324">
        <v>115054</v>
      </c>
      <c r="H324" s="116"/>
      <c r="I324" s="116"/>
      <c r="L324" s="170">
        <v>44578</v>
      </c>
      <c r="M324" s="116">
        <v>135.86000000000001</v>
      </c>
      <c r="N324" s="116">
        <v>138.47499999999999</v>
      </c>
      <c r="O324" s="116">
        <v>132.26499999999999</v>
      </c>
      <c r="P324" s="116">
        <v>133.30000000000001</v>
      </c>
      <c r="Q324" s="116">
        <v>1358.6</v>
      </c>
      <c r="R324">
        <v>1437919</v>
      </c>
    </row>
    <row r="325" spans="1:18" x14ac:dyDescent="0.25">
      <c r="A325" s="170">
        <v>44579</v>
      </c>
      <c r="B325" s="116">
        <v>142.715</v>
      </c>
      <c r="C325" s="116">
        <v>138.43</v>
      </c>
      <c r="D325" s="116">
        <v>136.86500000000001</v>
      </c>
      <c r="E325" s="116">
        <v>140.80000000000001</v>
      </c>
      <c r="F325" s="116">
        <v>1384.3</v>
      </c>
      <c r="G325">
        <v>159317</v>
      </c>
      <c r="H325" s="116"/>
      <c r="I325" s="116"/>
      <c r="L325" s="170">
        <v>44579</v>
      </c>
      <c r="M325" s="116">
        <v>138.38999999999999</v>
      </c>
      <c r="N325" s="116">
        <v>142.965</v>
      </c>
      <c r="O325" s="116">
        <v>136.80000000000001</v>
      </c>
      <c r="P325" s="116">
        <v>139.94</v>
      </c>
      <c r="Q325" s="116">
        <v>1383.9</v>
      </c>
      <c r="R325">
        <v>3527928</v>
      </c>
    </row>
    <row r="326" spans="1:18" x14ac:dyDescent="0.25">
      <c r="A326" s="170">
        <v>44580</v>
      </c>
      <c r="B326" s="116">
        <v>142.5</v>
      </c>
      <c r="C326" s="116">
        <v>141.97499999999999</v>
      </c>
      <c r="D326" s="116">
        <v>136.5</v>
      </c>
      <c r="E326" s="116">
        <v>139</v>
      </c>
      <c r="F326" s="116">
        <v>1419.75</v>
      </c>
      <c r="G326">
        <v>109072</v>
      </c>
      <c r="H326" s="116"/>
      <c r="I326" s="116"/>
      <c r="L326" s="170">
        <v>44580</v>
      </c>
      <c r="M326" s="116">
        <v>141.95500000000001</v>
      </c>
      <c r="N326" s="116">
        <v>142.6</v>
      </c>
      <c r="O326" s="116">
        <v>137.51</v>
      </c>
      <c r="P326" s="116">
        <v>139.495</v>
      </c>
      <c r="Q326" s="116">
        <v>1419.55</v>
      </c>
      <c r="R326">
        <v>1635000</v>
      </c>
    </row>
    <row r="327" spans="1:18" x14ac:dyDescent="0.25">
      <c r="A327" s="170">
        <v>44581</v>
      </c>
      <c r="B327" s="116">
        <v>149.80000000000001</v>
      </c>
      <c r="C327" s="116">
        <v>148.405</v>
      </c>
      <c r="D327" s="116">
        <v>142</v>
      </c>
      <c r="E327" s="116">
        <v>143.4</v>
      </c>
      <c r="F327" s="116">
        <v>1484.05</v>
      </c>
      <c r="G327">
        <v>129052</v>
      </c>
      <c r="H327" s="116"/>
      <c r="I327" s="116"/>
      <c r="L327" s="170">
        <v>44581</v>
      </c>
      <c r="M327" s="116">
        <v>148.66999999999999</v>
      </c>
      <c r="N327" s="116">
        <v>149.86500000000001</v>
      </c>
      <c r="O327" s="116">
        <v>142.13999999999999</v>
      </c>
      <c r="P327" s="116">
        <v>142.5</v>
      </c>
      <c r="Q327" s="116">
        <v>1486.7</v>
      </c>
      <c r="R327">
        <v>1767363</v>
      </c>
    </row>
    <row r="328" spans="1:18" x14ac:dyDescent="0.25">
      <c r="A328" s="170">
        <v>44582</v>
      </c>
      <c r="B328" s="116">
        <v>152.80000000000001</v>
      </c>
      <c r="C328" s="116">
        <v>151.51499999999999</v>
      </c>
      <c r="D328" s="116">
        <v>145</v>
      </c>
      <c r="E328" s="116">
        <v>148.995</v>
      </c>
      <c r="F328" s="116">
        <v>1515.15</v>
      </c>
      <c r="G328">
        <v>79131</v>
      </c>
      <c r="H328" s="116"/>
      <c r="I328" s="116"/>
      <c r="L328" s="170">
        <v>44582</v>
      </c>
      <c r="M328" s="116">
        <v>151.35</v>
      </c>
      <c r="N328" s="116">
        <v>152.78</v>
      </c>
      <c r="O328" s="116">
        <v>145</v>
      </c>
      <c r="P328" s="116">
        <v>148.96</v>
      </c>
      <c r="Q328" s="116">
        <v>1513.5</v>
      </c>
      <c r="R328">
        <v>1643321</v>
      </c>
    </row>
    <row r="329" spans="1:18" x14ac:dyDescent="0.25">
      <c r="A329" s="170">
        <v>44585</v>
      </c>
      <c r="B329" s="116">
        <v>151.5</v>
      </c>
      <c r="C329" s="116">
        <v>134.02000000000001</v>
      </c>
      <c r="D329" s="116">
        <v>124.875</v>
      </c>
      <c r="E329" s="116">
        <v>151.5</v>
      </c>
      <c r="F329" s="116">
        <v>1340.2</v>
      </c>
      <c r="G329">
        <v>200703</v>
      </c>
      <c r="H329" s="116"/>
      <c r="I329" s="116"/>
      <c r="L329" s="170">
        <v>44585</v>
      </c>
      <c r="M329" s="116">
        <v>134.535</v>
      </c>
      <c r="N329" s="116">
        <v>151.6</v>
      </c>
      <c r="O329" s="116">
        <v>126.11</v>
      </c>
      <c r="P329" s="116">
        <v>151.4</v>
      </c>
      <c r="Q329" s="116">
        <v>1345.35</v>
      </c>
      <c r="R329">
        <v>1719765</v>
      </c>
    </row>
    <row r="330" spans="1:18" x14ac:dyDescent="0.25">
      <c r="A330" s="170">
        <v>44586</v>
      </c>
      <c r="B330" s="116">
        <v>142.64500000000001</v>
      </c>
      <c r="C330" s="116">
        <v>141.73500000000001</v>
      </c>
      <c r="D330" s="116">
        <v>128.41</v>
      </c>
      <c r="E330" s="116">
        <v>133.5</v>
      </c>
      <c r="F330" s="116">
        <v>1417.35</v>
      </c>
      <c r="G330">
        <v>71616</v>
      </c>
      <c r="H330" s="116"/>
      <c r="I330" s="116"/>
      <c r="L330" s="170">
        <v>44586</v>
      </c>
      <c r="M330" s="116">
        <v>141.68</v>
      </c>
      <c r="N330" s="116">
        <v>142.83000000000001</v>
      </c>
      <c r="O330" s="116">
        <v>128.47999999999999</v>
      </c>
      <c r="P330" s="116">
        <v>132</v>
      </c>
      <c r="Q330" s="116">
        <v>1416.8</v>
      </c>
      <c r="R330">
        <v>1186553</v>
      </c>
    </row>
    <row r="331" spans="1:18" x14ac:dyDescent="0.25">
      <c r="A331" s="170">
        <v>44588</v>
      </c>
      <c r="B331" s="116">
        <v>142.82499999999999</v>
      </c>
      <c r="C331" s="116">
        <v>140.47</v>
      </c>
      <c r="D331" s="116">
        <v>137.44999999999999</v>
      </c>
      <c r="E331" s="116">
        <v>137.44999999999999</v>
      </c>
      <c r="F331" s="116">
        <v>1404.7</v>
      </c>
      <c r="G331">
        <v>57933</v>
      </c>
      <c r="H331" s="116"/>
      <c r="I331" s="116"/>
      <c r="L331" s="170">
        <v>44588</v>
      </c>
      <c r="M331" s="116">
        <v>140.5</v>
      </c>
      <c r="N331" s="116">
        <v>142.995</v>
      </c>
      <c r="O331" s="116">
        <v>137.995</v>
      </c>
      <c r="P331" s="116">
        <v>138</v>
      </c>
      <c r="Q331" s="116">
        <v>1405</v>
      </c>
      <c r="R331">
        <v>525829</v>
      </c>
    </row>
    <row r="332" spans="1:18" x14ac:dyDescent="0.25">
      <c r="A332" s="170">
        <v>44589</v>
      </c>
      <c r="B332" s="116">
        <v>142.5</v>
      </c>
      <c r="C332" s="116">
        <v>140.375</v>
      </c>
      <c r="D332" s="116">
        <v>139.5</v>
      </c>
      <c r="E332" s="116">
        <v>142.1</v>
      </c>
      <c r="F332" s="116">
        <v>1403.75</v>
      </c>
      <c r="G332">
        <v>16305</v>
      </c>
      <c r="H332" s="116"/>
      <c r="I332" s="116"/>
      <c r="L332" s="170">
        <v>44589</v>
      </c>
      <c r="M332" s="116">
        <v>140.625</v>
      </c>
      <c r="N332" s="116">
        <v>142.5</v>
      </c>
      <c r="O332" s="116">
        <v>139.43</v>
      </c>
      <c r="P332" s="116">
        <v>141.4</v>
      </c>
      <c r="Q332" s="116">
        <v>1406.25</v>
      </c>
      <c r="R332">
        <v>382318</v>
      </c>
    </row>
    <row r="333" spans="1:18" x14ac:dyDescent="0.25">
      <c r="A333" s="170">
        <v>44592</v>
      </c>
      <c r="B333" s="116">
        <v>142.155</v>
      </c>
      <c r="C333" s="116">
        <v>139.345</v>
      </c>
      <c r="D333" s="116">
        <v>138.64500000000001</v>
      </c>
      <c r="E333" s="116">
        <v>141.81</v>
      </c>
      <c r="F333" s="116">
        <v>1393.45</v>
      </c>
      <c r="G333">
        <v>15199</v>
      </c>
      <c r="H333" s="116"/>
      <c r="I333" s="116"/>
      <c r="L333" s="170">
        <v>44592</v>
      </c>
      <c r="M333" s="116">
        <v>139.49</v>
      </c>
      <c r="N333" s="116">
        <v>142</v>
      </c>
      <c r="O333" s="116">
        <v>138.595</v>
      </c>
      <c r="P333" s="116">
        <v>141.88999999999999</v>
      </c>
      <c r="Q333" s="116">
        <v>1394.9</v>
      </c>
      <c r="R333">
        <v>279518</v>
      </c>
    </row>
    <row r="334" spans="1:18" x14ac:dyDescent="0.25">
      <c r="A334" s="170">
        <v>44593</v>
      </c>
      <c r="B334" s="116">
        <v>141.5</v>
      </c>
      <c r="C334" s="116">
        <v>138.79</v>
      </c>
      <c r="D334" s="116">
        <v>134.37</v>
      </c>
      <c r="E334" s="116">
        <v>141</v>
      </c>
      <c r="F334" s="116">
        <v>1387.9</v>
      </c>
      <c r="G334">
        <v>19874</v>
      </c>
      <c r="H334" s="116"/>
      <c r="I334" s="116"/>
      <c r="L334" s="170">
        <v>44593</v>
      </c>
      <c r="M334" s="116">
        <v>138.685</v>
      </c>
      <c r="N334" s="116">
        <v>141.82499999999999</v>
      </c>
      <c r="O334" s="116">
        <v>134.315</v>
      </c>
      <c r="P334" s="116">
        <v>139.99</v>
      </c>
      <c r="Q334" s="116">
        <v>1386.85</v>
      </c>
      <c r="R334">
        <v>374599</v>
      </c>
    </row>
    <row r="335" spans="1:18" x14ac:dyDescent="0.25">
      <c r="A335" s="170">
        <v>44594</v>
      </c>
      <c r="B335" s="116">
        <v>141.4</v>
      </c>
      <c r="C335" s="116">
        <v>140.965</v>
      </c>
      <c r="D335" s="116">
        <v>136.69499999999999</v>
      </c>
      <c r="E335" s="116">
        <v>139.1</v>
      </c>
      <c r="F335" s="116">
        <v>1409.65</v>
      </c>
      <c r="G335">
        <v>39497</v>
      </c>
      <c r="H335" s="116"/>
      <c r="I335" s="116"/>
      <c r="L335" s="170">
        <v>44594</v>
      </c>
      <c r="M335" s="116">
        <v>141.03</v>
      </c>
      <c r="N335" s="116">
        <v>141.5</v>
      </c>
      <c r="O335" s="116">
        <v>139.06</v>
      </c>
      <c r="P335" s="116">
        <v>139.74</v>
      </c>
      <c r="Q335" s="116">
        <v>1410.3</v>
      </c>
      <c r="R335">
        <v>222392</v>
      </c>
    </row>
    <row r="336" spans="1:18" x14ac:dyDescent="0.25">
      <c r="A336" s="170">
        <v>44595</v>
      </c>
      <c r="B336" s="116">
        <v>142.41</v>
      </c>
      <c r="C336" s="116">
        <v>140.345</v>
      </c>
      <c r="D336" s="116">
        <v>139.6</v>
      </c>
      <c r="E336" s="116">
        <v>141.16999999999999</v>
      </c>
      <c r="F336" s="116">
        <v>1403.45</v>
      </c>
      <c r="G336">
        <v>12016</v>
      </c>
      <c r="H336" s="116"/>
      <c r="I336" s="116"/>
      <c r="L336" s="170">
        <v>44595</v>
      </c>
      <c r="M336" s="116">
        <v>140.29</v>
      </c>
      <c r="N336" s="116">
        <v>142.5</v>
      </c>
      <c r="O336" s="116">
        <v>139.6</v>
      </c>
      <c r="P336" s="116">
        <v>141.9</v>
      </c>
      <c r="Q336" s="116">
        <v>1402.9</v>
      </c>
      <c r="R336">
        <v>373633</v>
      </c>
    </row>
    <row r="337" spans="1:18" x14ac:dyDescent="0.25">
      <c r="A337" s="170">
        <v>44596</v>
      </c>
      <c r="B337" s="116">
        <v>140.51499999999999</v>
      </c>
      <c r="C337" s="116">
        <v>138.36000000000001</v>
      </c>
      <c r="D337" s="116">
        <v>137.88999999999999</v>
      </c>
      <c r="E337" s="116">
        <v>140.5</v>
      </c>
      <c r="F337" s="116">
        <v>1383.6</v>
      </c>
      <c r="G337">
        <v>22172</v>
      </c>
      <c r="H337" s="116"/>
      <c r="I337" s="116"/>
      <c r="L337" s="170">
        <v>44596</v>
      </c>
      <c r="M337" s="116">
        <v>138.42500000000001</v>
      </c>
      <c r="N337" s="116">
        <v>140.72</v>
      </c>
      <c r="O337" s="116">
        <v>138</v>
      </c>
      <c r="P337" s="116">
        <v>140</v>
      </c>
      <c r="Q337" s="116">
        <v>1384.25</v>
      </c>
      <c r="R337">
        <v>205000</v>
      </c>
    </row>
    <row r="338" spans="1:18" x14ac:dyDescent="0.25">
      <c r="A338" s="170">
        <v>44599</v>
      </c>
      <c r="B338" s="116">
        <v>138.85499999999999</v>
      </c>
      <c r="C338" s="116">
        <v>134.45500000000001</v>
      </c>
      <c r="D338" s="116">
        <v>132.95500000000001</v>
      </c>
      <c r="E338" s="116">
        <v>138.5</v>
      </c>
      <c r="F338" s="116">
        <v>1344.55</v>
      </c>
      <c r="G338">
        <v>18518</v>
      </c>
      <c r="H338" s="116"/>
      <c r="I338" s="116"/>
      <c r="L338" s="170">
        <v>44599</v>
      </c>
      <c r="M338" s="116">
        <v>134.19999999999999</v>
      </c>
      <c r="N338" s="116">
        <v>138.87</v>
      </c>
      <c r="O338" s="116">
        <v>132.5</v>
      </c>
      <c r="P338" s="116">
        <v>138.41499999999999</v>
      </c>
      <c r="Q338" s="116">
        <v>1342</v>
      </c>
      <c r="R338">
        <v>349633</v>
      </c>
    </row>
    <row r="339" spans="1:18" x14ac:dyDescent="0.25">
      <c r="A339" s="170">
        <v>44600</v>
      </c>
      <c r="B339" s="116">
        <v>136.73500000000001</v>
      </c>
      <c r="C339" s="116">
        <v>134.82</v>
      </c>
      <c r="D339" s="116">
        <v>131.81</v>
      </c>
      <c r="E339" s="116">
        <v>132.995</v>
      </c>
      <c r="F339" s="116">
        <v>1348.2</v>
      </c>
      <c r="G339">
        <v>48652</v>
      </c>
      <c r="H339" s="116"/>
      <c r="I339" s="116"/>
      <c r="L339" s="170">
        <v>44600</v>
      </c>
      <c r="M339" s="116">
        <v>134.64500000000001</v>
      </c>
      <c r="N339" s="116">
        <v>136.69999999999999</v>
      </c>
      <c r="O339" s="116">
        <v>131.5</v>
      </c>
      <c r="P339" s="116">
        <v>132</v>
      </c>
      <c r="Q339" s="116">
        <v>1346.45</v>
      </c>
      <c r="R339">
        <v>652255</v>
      </c>
    </row>
    <row r="340" spans="1:18" x14ac:dyDescent="0.25">
      <c r="A340" s="170">
        <v>44601</v>
      </c>
      <c r="B340" s="116">
        <v>138</v>
      </c>
      <c r="C340" s="116">
        <v>133.66</v>
      </c>
      <c r="D340" s="116">
        <v>132.51499999999999</v>
      </c>
      <c r="E340" s="116">
        <v>134.9</v>
      </c>
      <c r="F340" s="116">
        <v>1336.6</v>
      </c>
      <c r="G340">
        <v>28816</v>
      </c>
      <c r="H340" s="116"/>
      <c r="I340" s="116"/>
      <c r="L340" s="170">
        <v>44601</v>
      </c>
      <c r="M340" s="116">
        <v>133.70500000000001</v>
      </c>
      <c r="N340" s="116">
        <v>138</v>
      </c>
      <c r="O340" s="116">
        <v>132.5</v>
      </c>
      <c r="P340" s="116">
        <v>135.49</v>
      </c>
      <c r="Q340" s="116">
        <v>1337.05</v>
      </c>
      <c r="R340">
        <v>362687</v>
      </c>
    </row>
    <row r="341" spans="1:18" x14ac:dyDescent="0.25">
      <c r="A341" s="170">
        <v>44602</v>
      </c>
      <c r="B341" s="116">
        <v>138.51499999999999</v>
      </c>
      <c r="C341" s="116">
        <v>136.16</v>
      </c>
      <c r="D341" s="116">
        <v>132.9</v>
      </c>
      <c r="E341" s="116">
        <v>135.69999999999999</v>
      </c>
      <c r="F341" s="116">
        <v>1361.6</v>
      </c>
      <c r="G341">
        <v>45307</v>
      </c>
      <c r="H341" s="116"/>
      <c r="I341" s="116"/>
      <c r="L341" s="170">
        <v>44602</v>
      </c>
      <c r="M341" s="116">
        <v>136.35</v>
      </c>
      <c r="N341" s="116">
        <v>138.245</v>
      </c>
      <c r="O341" s="116">
        <v>132.76499999999999</v>
      </c>
      <c r="P341" s="116">
        <v>134.77500000000001</v>
      </c>
      <c r="Q341" s="116">
        <v>1363.5</v>
      </c>
      <c r="R341">
        <v>390501</v>
      </c>
    </row>
    <row r="342" spans="1:18" x14ac:dyDescent="0.25">
      <c r="A342" s="170">
        <v>44603</v>
      </c>
      <c r="B342" s="116">
        <v>136.1</v>
      </c>
      <c r="C342" s="116">
        <v>130.535</v>
      </c>
      <c r="D342" s="116">
        <v>130</v>
      </c>
      <c r="E342" s="116">
        <v>136.1</v>
      </c>
      <c r="F342" s="116">
        <v>1305.3499999999999</v>
      </c>
      <c r="G342">
        <v>25383</v>
      </c>
      <c r="H342" s="116"/>
      <c r="I342" s="116"/>
      <c r="L342" s="170">
        <v>44603</v>
      </c>
      <c r="M342" s="116">
        <v>130.69499999999999</v>
      </c>
      <c r="N342" s="116">
        <v>135.52500000000001</v>
      </c>
      <c r="O342" s="116">
        <v>130</v>
      </c>
      <c r="P342" s="116">
        <v>134.69</v>
      </c>
      <c r="Q342" s="116">
        <v>1306.95</v>
      </c>
      <c r="R342">
        <v>392989</v>
      </c>
    </row>
    <row r="343" spans="1:18" x14ac:dyDescent="0.25">
      <c r="A343" s="170">
        <v>44606</v>
      </c>
      <c r="B343" s="116">
        <v>128.69499999999999</v>
      </c>
      <c r="C343" s="116">
        <v>122.76</v>
      </c>
      <c r="D343" s="116">
        <v>120.255</v>
      </c>
      <c r="E343" s="116">
        <v>128.5</v>
      </c>
      <c r="F343" s="116">
        <v>1227.5999999999999</v>
      </c>
      <c r="G343">
        <v>24780</v>
      </c>
      <c r="H343" s="116"/>
      <c r="I343" s="116"/>
      <c r="L343" s="170">
        <v>44606</v>
      </c>
      <c r="M343" s="116">
        <v>123.04</v>
      </c>
      <c r="N343" s="116">
        <v>128.755</v>
      </c>
      <c r="O343" s="116">
        <v>120.295</v>
      </c>
      <c r="P343" s="116">
        <v>125</v>
      </c>
      <c r="Q343" s="116">
        <v>1230.4000000000001</v>
      </c>
      <c r="R343">
        <v>672985</v>
      </c>
    </row>
    <row r="344" spans="1:18" x14ac:dyDescent="0.25">
      <c r="A344" s="170">
        <v>44607</v>
      </c>
      <c r="B344" s="116">
        <v>128.56</v>
      </c>
      <c r="C344" s="116">
        <v>127.495</v>
      </c>
      <c r="D344" s="116">
        <v>118.58</v>
      </c>
      <c r="E344" s="116">
        <v>123</v>
      </c>
      <c r="F344" s="116">
        <v>1274.95</v>
      </c>
      <c r="G344">
        <v>30716</v>
      </c>
      <c r="H344" s="116"/>
      <c r="I344" s="116"/>
      <c r="L344" s="170">
        <v>44607</v>
      </c>
      <c r="M344" s="116">
        <v>127.42</v>
      </c>
      <c r="N344" s="116">
        <v>128.68</v>
      </c>
      <c r="O344" s="116">
        <v>118.04</v>
      </c>
      <c r="P344" s="116">
        <v>118.04</v>
      </c>
      <c r="Q344" s="116">
        <v>1274.2</v>
      </c>
      <c r="R344">
        <v>664919</v>
      </c>
    </row>
    <row r="345" spans="1:18" x14ac:dyDescent="0.25">
      <c r="A345" s="170">
        <v>44608</v>
      </c>
      <c r="B345" s="116">
        <v>134.30000000000001</v>
      </c>
      <c r="C345" s="116">
        <v>131.21</v>
      </c>
      <c r="D345" s="116">
        <v>128.37</v>
      </c>
      <c r="E345" s="116">
        <v>128.5</v>
      </c>
      <c r="F345" s="116">
        <v>1312.1</v>
      </c>
      <c r="G345">
        <v>32757</v>
      </c>
      <c r="H345" s="116"/>
      <c r="I345" s="116"/>
      <c r="L345" s="170">
        <v>44608</v>
      </c>
      <c r="M345" s="116">
        <v>131.11000000000001</v>
      </c>
      <c r="N345" s="116">
        <v>134.4</v>
      </c>
      <c r="O345" s="116">
        <v>128.5</v>
      </c>
      <c r="P345" s="116">
        <v>128.69499999999999</v>
      </c>
      <c r="Q345" s="116">
        <v>1311.1</v>
      </c>
      <c r="R345">
        <v>351902</v>
      </c>
    </row>
    <row r="346" spans="1:18" x14ac:dyDescent="0.25">
      <c r="A346" s="170">
        <v>44609</v>
      </c>
      <c r="B346" s="116">
        <v>132.89500000000001</v>
      </c>
      <c r="C346" s="116">
        <v>130.41</v>
      </c>
      <c r="D346" s="116">
        <v>129</v>
      </c>
      <c r="E346" s="116">
        <v>131.5</v>
      </c>
      <c r="F346" s="116">
        <v>1304.0999999999999</v>
      </c>
      <c r="G346">
        <v>24676</v>
      </c>
      <c r="H346" s="116"/>
      <c r="I346" s="116"/>
      <c r="L346" s="170">
        <v>44609</v>
      </c>
      <c r="M346" s="116">
        <v>130.745</v>
      </c>
      <c r="N346" s="116">
        <v>132.9</v>
      </c>
      <c r="O346" s="116">
        <v>130</v>
      </c>
      <c r="P346" s="116">
        <v>131.80000000000001</v>
      </c>
      <c r="Q346" s="116">
        <v>1307.45</v>
      </c>
      <c r="R346">
        <v>218464</v>
      </c>
    </row>
    <row r="347" spans="1:18" x14ac:dyDescent="0.25">
      <c r="A347" s="170">
        <v>44610</v>
      </c>
      <c r="B347" s="116">
        <v>131.26499999999999</v>
      </c>
      <c r="C347" s="116">
        <v>129.99</v>
      </c>
      <c r="D347" s="116">
        <v>129.095</v>
      </c>
      <c r="E347" s="116">
        <v>130.4</v>
      </c>
      <c r="F347" s="116">
        <v>1299.9000000000001</v>
      </c>
      <c r="G347">
        <v>8585</v>
      </c>
      <c r="H347" s="116"/>
      <c r="I347" s="116"/>
      <c r="L347" s="170">
        <v>44610</v>
      </c>
      <c r="M347" s="116">
        <v>129.905</v>
      </c>
      <c r="N347" s="116">
        <v>131.56</v>
      </c>
      <c r="O347" s="116">
        <v>129</v>
      </c>
      <c r="P347" s="116">
        <v>129</v>
      </c>
      <c r="Q347" s="116">
        <v>1299.05</v>
      </c>
      <c r="R347">
        <v>163450</v>
      </c>
    </row>
    <row r="348" spans="1:18" x14ac:dyDescent="0.25">
      <c r="A348" s="170">
        <v>44613</v>
      </c>
      <c r="B348" s="116">
        <v>133.80000000000001</v>
      </c>
      <c r="C348" s="116">
        <v>132.49</v>
      </c>
      <c r="D348" s="116">
        <v>128.12</v>
      </c>
      <c r="E348" s="116">
        <v>128.12</v>
      </c>
      <c r="F348" s="116">
        <v>1324.9</v>
      </c>
      <c r="G348">
        <v>45494</v>
      </c>
      <c r="H348" s="116"/>
      <c r="I348" s="116"/>
      <c r="L348" s="170">
        <v>44613</v>
      </c>
      <c r="M348" s="116">
        <v>132.495</v>
      </c>
      <c r="N348" s="116">
        <v>133.80500000000001</v>
      </c>
      <c r="O348" s="116">
        <v>128.79</v>
      </c>
      <c r="P348" s="116">
        <v>129.5</v>
      </c>
      <c r="Q348" s="116">
        <v>1324.95</v>
      </c>
      <c r="R348">
        <v>579478</v>
      </c>
    </row>
    <row r="349" spans="1:18" x14ac:dyDescent="0.25">
      <c r="A349" s="170">
        <v>44614</v>
      </c>
      <c r="B349" s="116">
        <v>130.52500000000001</v>
      </c>
      <c r="C349" s="116">
        <v>128.51499999999999</v>
      </c>
      <c r="D349" s="116">
        <v>127.1</v>
      </c>
      <c r="E349" s="116">
        <v>130</v>
      </c>
      <c r="F349" s="116">
        <v>1285.1500000000001</v>
      </c>
      <c r="G349">
        <v>23594</v>
      </c>
      <c r="H349" s="116"/>
      <c r="I349" s="116"/>
      <c r="L349" s="170">
        <v>44614</v>
      </c>
      <c r="M349" s="116">
        <v>128.465</v>
      </c>
      <c r="N349" s="116">
        <v>130.38499999999999</v>
      </c>
      <c r="O349" s="116">
        <v>127</v>
      </c>
      <c r="P349" s="116">
        <v>127.2</v>
      </c>
      <c r="Q349" s="116">
        <v>1284.6500000000001</v>
      </c>
      <c r="R349">
        <v>268800</v>
      </c>
    </row>
    <row r="350" spans="1:18" x14ac:dyDescent="0.25">
      <c r="A350" s="170">
        <v>44615</v>
      </c>
      <c r="B350" s="116">
        <v>133.57499999999999</v>
      </c>
      <c r="C350" s="116">
        <v>132.44</v>
      </c>
      <c r="D350" s="116">
        <v>127.11</v>
      </c>
      <c r="E350" s="116">
        <v>129.19999999999999</v>
      </c>
      <c r="F350" s="116">
        <v>1324.4</v>
      </c>
      <c r="G350">
        <v>37250</v>
      </c>
      <c r="H350" s="116"/>
      <c r="I350" s="116"/>
      <c r="L350" s="170">
        <v>44615</v>
      </c>
      <c r="M350" s="116">
        <v>132.4</v>
      </c>
      <c r="N350" s="116">
        <v>133.6</v>
      </c>
      <c r="O350" s="116">
        <v>127.2</v>
      </c>
      <c r="P350" s="116">
        <v>131.4</v>
      </c>
      <c r="Q350" s="116">
        <v>1324</v>
      </c>
      <c r="R350">
        <v>434836</v>
      </c>
    </row>
    <row r="351" spans="1:18" x14ac:dyDescent="0.25">
      <c r="A351" s="170">
        <v>44616</v>
      </c>
      <c r="B351" s="116">
        <v>130.01499999999999</v>
      </c>
      <c r="C351" s="116">
        <v>123.96</v>
      </c>
      <c r="D351" s="116">
        <v>121.3</v>
      </c>
      <c r="E351" s="116">
        <v>125.2</v>
      </c>
      <c r="F351" s="116">
        <v>1239.5999999999999</v>
      </c>
      <c r="G351">
        <v>99258</v>
      </c>
      <c r="H351" s="116"/>
      <c r="I351" s="116"/>
      <c r="L351" s="170">
        <v>44616</v>
      </c>
      <c r="M351" s="116">
        <v>123.985</v>
      </c>
      <c r="N351" s="116">
        <v>131.245</v>
      </c>
      <c r="O351" s="116">
        <v>121.31</v>
      </c>
      <c r="P351" s="116">
        <v>127</v>
      </c>
      <c r="Q351" s="116">
        <v>1239.8499999999999</v>
      </c>
      <c r="R351">
        <v>470590</v>
      </c>
    </row>
    <row r="352" spans="1:18" x14ac:dyDescent="0.25">
      <c r="A352" s="170">
        <v>44617</v>
      </c>
      <c r="B352" s="116">
        <v>137.16</v>
      </c>
      <c r="C352" s="116">
        <v>134.03</v>
      </c>
      <c r="D352" s="116">
        <v>124.5</v>
      </c>
      <c r="E352" s="116">
        <v>124.5</v>
      </c>
      <c r="F352" s="116">
        <v>1340.3</v>
      </c>
      <c r="G352">
        <v>29338</v>
      </c>
      <c r="H352" s="116"/>
      <c r="I352" s="116"/>
      <c r="L352" s="170">
        <v>44617</v>
      </c>
      <c r="M352" s="116">
        <v>133.215</v>
      </c>
      <c r="N352" s="116">
        <v>138</v>
      </c>
      <c r="O352" s="116">
        <v>126.465</v>
      </c>
      <c r="P352" s="116">
        <v>129.80000000000001</v>
      </c>
      <c r="Q352" s="116">
        <v>1332.15</v>
      </c>
      <c r="R352">
        <v>556225</v>
      </c>
    </row>
    <row r="353" spans="1:18" x14ac:dyDescent="0.25">
      <c r="A353" s="170">
        <v>44620</v>
      </c>
      <c r="B353" s="116">
        <v>136.41499999999999</v>
      </c>
      <c r="C353" s="116">
        <v>133.54</v>
      </c>
      <c r="D353" s="116">
        <v>129.995</v>
      </c>
      <c r="E353" s="116">
        <v>131.1</v>
      </c>
      <c r="F353" s="116">
        <v>1335.4</v>
      </c>
      <c r="G353">
        <v>49736</v>
      </c>
      <c r="H353" s="116"/>
      <c r="I353" s="116"/>
      <c r="L353" s="170">
        <v>44620</v>
      </c>
      <c r="M353" s="116">
        <v>133.53</v>
      </c>
      <c r="N353" s="116">
        <v>136.60499999999999</v>
      </c>
      <c r="O353" s="116">
        <v>129.965</v>
      </c>
      <c r="P353" s="116">
        <v>132.52500000000001</v>
      </c>
      <c r="Q353" s="116">
        <v>1335.3</v>
      </c>
      <c r="R353">
        <v>420705</v>
      </c>
    </row>
    <row r="354" spans="1:18" x14ac:dyDescent="0.25">
      <c r="A354" s="170">
        <v>44622</v>
      </c>
      <c r="B354" s="116">
        <v>135.215</v>
      </c>
      <c r="C354" s="116">
        <v>133.655</v>
      </c>
      <c r="D354" s="116">
        <v>130.02000000000001</v>
      </c>
      <c r="E354" s="116">
        <v>130.02000000000001</v>
      </c>
      <c r="F354" s="116">
        <v>1336.55</v>
      </c>
      <c r="G354">
        <v>34283</v>
      </c>
      <c r="H354" s="116"/>
      <c r="I354" s="116"/>
      <c r="L354" s="170">
        <v>44622</v>
      </c>
      <c r="M354" s="116">
        <v>133.465</v>
      </c>
      <c r="N354" s="116">
        <v>135.38</v>
      </c>
      <c r="O354" s="116">
        <v>131.79</v>
      </c>
      <c r="P354" s="116">
        <v>132.9</v>
      </c>
      <c r="Q354" s="116">
        <v>1334.65</v>
      </c>
      <c r="R354">
        <v>302214</v>
      </c>
    </row>
    <row r="355" spans="1:18" x14ac:dyDescent="0.25">
      <c r="A355" s="170">
        <v>44623</v>
      </c>
      <c r="B355" s="116">
        <v>137.98500000000001</v>
      </c>
      <c r="C355" s="116">
        <v>130.20500000000001</v>
      </c>
      <c r="D355" s="116">
        <v>128.1</v>
      </c>
      <c r="E355" s="116">
        <v>135.9</v>
      </c>
      <c r="F355" s="116">
        <v>1302.05</v>
      </c>
      <c r="G355">
        <v>40456</v>
      </c>
      <c r="H355" s="116"/>
      <c r="I355" s="116"/>
      <c r="L355" s="170">
        <v>44623</v>
      </c>
      <c r="M355" s="116">
        <v>130.15</v>
      </c>
      <c r="N355" s="116">
        <v>137.935</v>
      </c>
      <c r="O355" s="116">
        <v>128.80500000000001</v>
      </c>
      <c r="P355" s="116">
        <v>135.9</v>
      </c>
      <c r="Q355" s="116">
        <v>1301.5</v>
      </c>
      <c r="R355">
        <v>416411</v>
      </c>
    </row>
    <row r="356" spans="1:18" x14ac:dyDescent="0.25">
      <c r="A356" s="170">
        <v>44624</v>
      </c>
      <c r="B356" s="116">
        <v>132.47499999999999</v>
      </c>
      <c r="C356" s="116">
        <v>130.94499999999999</v>
      </c>
      <c r="D356" s="116">
        <v>127.9</v>
      </c>
      <c r="E356" s="116">
        <v>128.9</v>
      </c>
      <c r="F356" s="116">
        <v>1309.45</v>
      </c>
      <c r="G356">
        <v>32576</v>
      </c>
      <c r="H356" s="116"/>
      <c r="I356" s="116"/>
      <c r="L356" s="170">
        <v>44624</v>
      </c>
      <c r="M356" s="116">
        <v>130.97</v>
      </c>
      <c r="N356" s="116">
        <v>132.5</v>
      </c>
      <c r="O356" s="116">
        <v>128</v>
      </c>
      <c r="P356" s="116">
        <v>129.9</v>
      </c>
      <c r="Q356" s="116">
        <v>1309.7</v>
      </c>
      <c r="R356">
        <v>365791</v>
      </c>
    </row>
    <row r="357" spans="1:18" x14ac:dyDescent="0.25">
      <c r="A357" s="170">
        <v>44627</v>
      </c>
      <c r="B357" s="116">
        <v>129.99</v>
      </c>
      <c r="C357" s="116">
        <v>125.495</v>
      </c>
      <c r="D357" s="116">
        <v>125.09</v>
      </c>
      <c r="E357" s="116">
        <v>129.99</v>
      </c>
      <c r="F357" s="116">
        <v>1254.95</v>
      </c>
      <c r="G357">
        <v>19348</v>
      </c>
      <c r="H357" s="116"/>
      <c r="I357" s="116"/>
      <c r="L357" s="170">
        <v>44627</v>
      </c>
      <c r="M357" s="116">
        <v>125.55</v>
      </c>
      <c r="N357" s="116">
        <v>128.98500000000001</v>
      </c>
      <c r="O357" s="116">
        <v>125</v>
      </c>
      <c r="P357" s="116">
        <v>127</v>
      </c>
      <c r="Q357" s="116">
        <v>1255.5</v>
      </c>
      <c r="R357">
        <v>333848</v>
      </c>
    </row>
    <row r="358" spans="1:18" x14ac:dyDescent="0.25">
      <c r="A358" s="170">
        <v>44628</v>
      </c>
      <c r="B358" s="116">
        <v>128.65</v>
      </c>
      <c r="C358" s="116">
        <v>127.16500000000001</v>
      </c>
      <c r="D358" s="116">
        <v>124.81</v>
      </c>
      <c r="E358" s="116">
        <v>126.30500000000001</v>
      </c>
      <c r="F358" s="116">
        <v>1271.6500000000001</v>
      </c>
      <c r="G358">
        <v>21890</v>
      </c>
      <c r="H358" s="116"/>
      <c r="I358" s="116"/>
      <c r="L358" s="170">
        <v>44628</v>
      </c>
      <c r="M358" s="116">
        <v>126.81</v>
      </c>
      <c r="N358" s="116">
        <v>128.5</v>
      </c>
      <c r="O358" s="116">
        <v>124</v>
      </c>
      <c r="P358" s="116">
        <v>126.75</v>
      </c>
      <c r="Q358" s="116">
        <v>1268.0999999999999</v>
      </c>
      <c r="R358">
        <v>306910</v>
      </c>
    </row>
    <row r="359" spans="1:18" x14ac:dyDescent="0.25">
      <c r="A359" s="170">
        <v>44629</v>
      </c>
      <c r="B359" s="116">
        <v>129.9</v>
      </c>
      <c r="C359" s="116">
        <v>127.39</v>
      </c>
      <c r="D359" s="116">
        <v>125.625</v>
      </c>
      <c r="E359" s="116">
        <v>129.9</v>
      </c>
      <c r="F359" s="116">
        <v>1273.9000000000001</v>
      </c>
      <c r="G359">
        <v>28334</v>
      </c>
      <c r="H359" s="116"/>
      <c r="I359" s="116"/>
      <c r="L359" s="170">
        <v>44629</v>
      </c>
      <c r="M359" s="116">
        <v>127.38500000000001</v>
      </c>
      <c r="N359" s="116">
        <v>129.19499999999999</v>
      </c>
      <c r="O359" s="116">
        <v>125.6</v>
      </c>
      <c r="P359" s="116">
        <v>129.19499999999999</v>
      </c>
      <c r="Q359" s="116">
        <v>1273.8499999999999</v>
      </c>
      <c r="R359">
        <v>315586</v>
      </c>
    </row>
    <row r="360" spans="1:18" x14ac:dyDescent="0.25">
      <c r="A360" s="170">
        <v>44630</v>
      </c>
      <c r="B360" s="116">
        <v>133.36500000000001</v>
      </c>
      <c r="C360" s="116">
        <v>128.35499999999999</v>
      </c>
      <c r="D360" s="116">
        <v>127.45</v>
      </c>
      <c r="E360" s="116">
        <v>132.30000000000001</v>
      </c>
      <c r="F360" s="116">
        <v>1283.55</v>
      </c>
      <c r="G360">
        <v>69340</v>
      </c>
      <c r="H360" s="116"/>
      <c r="I360" s="116"/>
      <c r="L360" s="170">
        <v>44630</v>
      </c>
      <c r="M360" s="116">
        <v>128.48500000000001</v>
      </c>
      <c r="N360" s="116">
        <v>133.5</v>
      </c>
      <c r="O360" s="116">
        <v>127.4</v>
      </c>
      <c r="P360" s="116">
        <v>131.99</v>
      </c>
      <c r="Q360" s="116">
        <v>1284.8499999999999</v>
      </c>
      <c r="R360">
        <v>489860</v>
      </c>
    </row>
    <row r="361" spans="1:18" x14ac:dyDescent="0.25">
      <c r="A361" s="170">
        <v>44631</v>
      </c>
      <c r="B361" s="116">
        <v>132.05000000000001</v>
      </c>
      <c r="C361" s="116">
        <v>129.76</v>
      </c>
      <c r="D361" s="116">
        <v>129</v>
      </c>
      <c r="E361" s="116">
        <v>129.87</v>
      </c>
      <c r="F361" s="116">
        <v>1297.5999999999999</v>
      </c>
      <c r="G361">
        <v>14792</v>
      </c>
      <c r="H361" s="116"/>
      <c r="I361" s="116"/>
      <c r="L361" s="170">
        <v>44631</v>
      </c>
      <c r="M361" s="116">
        <v>129.6</v>
      </c>
      <c r="N361" s="116">
        <v>132.095</v>
      </c>
      <c r="O361" s="116">
        <v>128.92500000000001</v>
      </c>
      <c r="P361" s="116">
        <v>129.465</v>
      </c>
      <c r="Q361" s="116">
        <v>1296</v>
      </c>
      <c r="R361">
        <v>556778</v>
      </c>
    </row>
    <row r="362" spans="1:18" x14ac:dyDescent="0.25">
      <c r="A362" s="170">
        <v>44634</v>
      </c>
      <c r="B362" s="116">
        <v>131.66499999999999</v>
      </c>
      <c r="C362" s="116">
        <v>128.91999999999999</v>
      </c>
      <c r="D362" s="116">
        <v>125.79</v>
      </c>
      <c r="E362" s="116">
        <v>130</v>
      </c>
      <c r="F362" s="116">
        <v>1289.2</v>
      </c>
      <c r="G362">
        <v>41345</v>
      </c>
      <c r="H362" s="116"/>
      <c r="I362" s="116"/>
      <c r="L362" s="170">
        <v>44634</v>
      </c>
      <c r="M362" s="116">
        <v>128.77000000000001</v>
      </c>
      <c r="N362" s="116">
        <v>131.79</v>
      </c>
      <c r="O362" s="116">
        <v>125.81</v>
      </c>
      <c r="P362" s="116">
        <v>130.6</v>
      </c>
      <c r="Q362" s="116">
        <v>1287.7</v>
      </c>
      <c r="R362">
        <v>689130</v>
      </c>
    </row>
    <row r="363" spans="1:18" x14ac:dyDescent="0.25">
      <c r="A363" s="170">
        <v>44635</v>
      </c>
      <c r="B363" s="116">
        <v>135.4</v>
      </c>
      <c r="C363" s="116">
        <v>134.94</v>
      </c>
      <c r="D363" s="116">
        <v>129.625</v>
      </c>
      <c r="E363" s="116">
        <v>129.88999999999999</v>
      </c>
      <c r="F363" s="116">
        <v>1349.4</v>
      </c>
      <c r="G363">
        <v>44154</v>
      </c>
      <c r="H363" s="116"/>
      <c r="I363" s="116"/>
      <c r="L363" s="170">
        <v>44635</v>
      </c>
      <c r="M363" s="116">
        <v>134.94999999999999</v>
      </c>
      <c r="N363" s="116">
        <v>135.76</v>
      </c>
      <c r="O363" s="116">
        <v>129.5</v>
      </c>
      <c r="P363" s="116">
        <v>129.5</v>
      </c>
      <c r="Q363" s="116">
        <v>1349.5</v>
      </c>
      <c r="R363">
        <v>855150</v>
      </c>
    </row>
    <row r="364" spans="1:18" x14ac:dyDescent="0.25">
      <c r="A364" s="170">
        <v>44636</v>
      </c>
      <c r="B364" s="116">
        <v>145.1</v>
      </c>
      <c r="C364" s="116">
        <v>141.845</v>
      </c>
      <c r="D364" s="116">
        <v>135.69999999999999</v>
      </c>
      <c r="E364" s="116">
        <v>136.5</v>
      </c>
      <c r="F364" s="116">
        <v>1418.45</v>
      </c>
      <c r="G364">
        <v>56108</v>
      </c>
      <c r="H364" s="116"/>
      <c r="I364" s="116"/>
      <c r="L364" s="170">
        <v>44636</v>
      </c>
      <c r="M364" s="116">
        <v>141.74</v>
      </c>
      <c r="N364" s="116">
        <v>145.30000000000001</v>
      </c>
      <c r="O364" s="116">
        <v>135.6</v>
      </c>
      <c r="P364" s="116">
        <v>136</v>
      </c>
      <c r="Q364" s="116">
        <v>1417.4</v>
      </c>
      <c r="R364">
        <v>1503667</v>
      </c>
    </row>
    <row r="365" spans="1:18" x14ac:dyDescent="0.25">
      <c r="A365" s="170">
        <v>44637</v>
      </c>
      <c r="B365" s="116">
        <v>167.2</v>
      </c>
      <c r="C365" s="116">
        <v>162.715</v>
      </c>
      <c r="D365" s="116">
        <v>142.745</v>
      </c>
      <c r="E365" s="116">
        <v>143.5</v>
      </c>
      <c r="F365" s="116">
        <v>1627.15</v>
      </c>
      <c r="G365">
        <v>297509</v>
      </c>
      <c r="H365" s="116"/>
      <c r="I365" s="116"/>
      <c r="L365" s="170">
        <v>44637</v>
      </c>
      <c r="M365" s="116">
        <v>161.905</v>
      </c>
      <c r="N365" s="116">
        <v>167.18</v>
      </c>
      <c r="O365" s="116">
        <v>142.78</v>
      </c>
      <c r="P365" s="116">
        <v>143.4</v>
      </c>
      <c r="Q365" s="116">
        <v>1619.05</v>
      </c>
      <c r="R365">
        <v>6406427</v>
      </c>
    </row>
    <row r="366" spans="1:18" x14ac:dyDescent="0.25">
      <c r="A366" s="170">
        <v>44641</v>
      </c>
      <c r="B366" s="116">
        <v>171.7</v>
      </c>
      <c r="C366" s="116">
        <v>164.44</v>
      </c>
      <c r="D366" s="116">
        <v>157.27000000000001</v>
      </c>
      <c r="E366" s="116">
        <v>167.2</v>
      </c>
      <c r="F366" s="116">
        <v>1644.4</v>
      </c>
      <c r="G366">
        <v>207132</v>
      </c>
      <c r="H366" s="116"/>
      <c r="I366" s="116"/>
      <c r="L366" s="170">
        <v>44641</v>
      </c>
      <c r="M366" s="116">
        <v>164.46</v>
      </c>
      <c r="N366" s="116">
        <v>171.82</v>
      </c>
      <c r="O366" s="116">
        <v>157.30000000000001</v>
      </c>
      <c r="P366" s="116">
        <v>166.9</v>
      </c>
      <c r="Q366" s="116">
        <v>1644.6</v>
      </c>
      <c r="R366">
        <v>2798383</v>
      </c>
    </row>
    <row r="367" spans="1:18" x14ac:dyDescent="0.25">
      <c r="A367" s="170">
        <v>44642</v>
      </c>
      <c r="B367" s="116">
        <v>169.46</v>
      </c>
      <c r="C367" s="116">
        <v>161.64500000000001</v>
      </c>
      <c r="D367" s="116">
        <v>159.4</v>
      </c>
      <c r="E367" s="116">
        <v>163.05000000000001</v>
      </c>
      <c r="F367" s="116">
        <v>1616.45</v>
      </c>
      <c r="G367">
        <v>43610</v>
      </c>
      <c r="H367" s="116"/>
      <c r="I367" s="116"/>
      <c r="L367" s="170">
        <v>44642</v>
      </c>
      <c r="M367" s="116">
        <v>161.36000000000001</v>
      </c>
      <c r="N367" s="116">
        <v>169.5</v>
      </c>
      <c r="O367" s="116">
        <v>157.5</v>
      </c>
      <c r="P367" s="116">
        <v>163.995</v>
      </c>
      <c r="Q367" s="116">
        <v>1613.6</v>
      </c>
      <c r="R367">
        <v>1067419</v>
      </c>
    </row>
    <row r="368" spans="1:18" x14ac:dyDescent="0.25">
      <c r="A368" s="170">
        <v>44643</v>
      </c>
      <c r="B368" s="116">
        <v>165.02500000000001</v>
      </c>
      <c r="C368" s="116">
        <v>163.08000000000001</v>
      </c>
      <c r="D368" s="116">
        <v>160.755</v>
      </c>
      <c r="E368" s="116">
        <v>162.5</v>
      </c>
      <c r="F368" s="116">
        <v>1630.8</v>
      </c>
      <c r="G368">
        <v>41513</v>
      </c>
      <c r="H368" s="116"/>
      <c r="I368" s="116"/>
      <c r="L368" s="170">
        <v>44643</v>
      </c>
      <c r="M368" s="116">
        <v>163.20500000000001</v>
      </c>
      <c r="N368" s="116">
        <v>165</v>
      </c>
      <c r="O368" s="116">
        <v>160.68</v>
      </c>
      <c r="P368" s="116">
        <v>162.4</v>
      </c>
      <c r="Q368" s="116">
        <v>1632.05</v>
      </c>
      <c r="R368">
        <v>455412</v>
      </c>
    </row>
    <row r="369" spans="1:18" x14ac:dyDescent="0.25">
      <c r="A369" s="170">
        <v>44644</v>
      </c>
      <c r="B369" s="116">
        <v>165.995</v>
      </c>
      <c r="C369" s="116">
        <v>161.66999999999999</v>
      </c>
      <c r="D369" s="116">
        <v>159.62</v>
      </c>
      <c r="E369" s="116">
        <v>159.62</v>
      </c>
      <c r="F369" s="116">
        <v>1616.7</v>
      </c>
      <c r="G369">
        <v>21811</v>
      </c>
      <c r="H369" s="116"/>
      <c r="I369" s="116"/>
      <c r="L369" s="170">
        <v>44644</v>
      </c>
      <c r="M369" s="116">
        <v>161.51499999999999</v>
      </c>
      <c r="N369" s="116">
        <v>166</v>
      </c>
      <c r="O369" s="116">
        <v>160.63499999999999</v>
      </c>
      <c r="P369" s="116">
        <v>160.80000000000001</v>
      </c>
      <c r="Q369" s="116">
        <v>1615.15</v>
      </c>
      <c r="R369">
        <v>428232</v>
      </c>
    </row>
    <row r="370" spans="1:18" x14ac:dyDescent="0.25">
      <c r="A370" s="170">
        <v>44645</v>
      </c>
      <c r="B370" s="116">
        <v>164.095</v>
      </c>
      <c r="C370" s="116">
        <v>160.85</v>
      </c>
      <c r="D370" s="116">
        <v>160.09</v>
      </c>
      <c r="E370" s="116">
        <v>162</v>
      </c>
      <c r="F370" s="116">
        <v>1608.5</v>
      </c>
      <c r="G370">
        <v>23685</v>
      </c>
      <c r="H370" s="116"/>
      <c r="I370" s="116"/>
      <c r="L370" s="170">
        <v>44645</v>
      </c>
      <c r="M370" s="116">
        <v>160.84</v>
      </c>
      <c r="N370" s="116">
        <v>164.2</v>
      </c>
      <c r="O370" s="116">
        <v>160.12</v>
      </c>
      <c r="P370" s="116">
        <v>162.15</v>
      </c>
      <c r="Q370" s="116">
        <v>1608.4</v>
      </c>
      <c r="R370">
        <v>358147</v>
      </c>
    </row>
    <row r="371" spans="1:18" x14ac:dyDescent="0.25">
      <c r="A371" s="170">
        <v>44648</v>
      </c>
      <c r="B371" s="116">
        <v>162.38</v>
      </c>
      <c r="C371" s="116">
        <v>154.255</v>
      </c>
      <c r="D371" s="116">
        <v>152.625</v>
      </c>
      <c r="E371" s="116">
        <v>160.5</v>
      </c>
      <c r="F371" s="116">
        <v>1542.55</v>
      </c>
      <c r="G371">
        <v>40060</v>
      </c>
      <c r="H371" s="116"/>
      <c r="I371" s="116"/>
      <c r="L371" s="170">
        <v>44648</v>
      </c>
      <c r="M371" s="116">
        <v>154.30000000000001</v>
      </c>
      <c r="N371" s="116">
        <v>162.78</v>
      </c>
      <c r="O371" s="116">
        <v>152.70500000000001</v>
      </c>
      <c r="P371" s="116">
        <v>161.94999999999999</v>
      </c>
      <c r="Q371" s="116">
        <v>1543</v>
      </c>
      <c r="R371">
        <v>289006</v>
      </c>
    </row>
    <row r="372" spans="1:18" x14ac:dyDescent="0.25">
      <c r="A372" s="170">
        <v>44649</v>
      </c>
      <c r="B372" s="116">
        <v>157.01499999999999</v>
      </c>
      <c r="C372" s="116">
        <v>152.22499999999999</v>
      </c>
      <c r="D372" s="116">
        <v>148.935</v>
      </c>
      <c r="E372" s="116">
        <v>154.815</v>
      </c>
      <c r="F372" s="116">
        <v>1522.25</v>
      </c>
      <c r="G372">
        <v>44290</v>
      </c>
      <c r="H372" s="116"/>
      <c r="I372" s="116"/>
      <c r="L372" s="170">
        <v>44649</v>
      </c>
      <c r="M372" s="116">
        <v>152.41999999999999</v>
      </c>
      <c r="N372" s="116">
        <v>157.035</v>
      </c>
      <c r="O372" s="116">
        <v>149</v>
      </c>
      <c r="P372" s="116">
        <v>155.82</v>
      </c>
      <c r="Q372" s="116">
        <v>1524.2</v>
      </c>
      <c r="R372">
        <v>442958</v>
      </c>
    </row>
    <row r="373" spans="1:18" x14ac:dyDescent="0.25">
      <c r="A373" s="170">
        <v>44650</v>
      </c>
      <c r="B373" s="116">
        <v>156.5</v>
      </c>
      <c r="C373" s="116">
        <v>152.58000000000001</v>
      </c>
      <c r="D373" s="116">
        <v>150.185</v>
      </c>
      <c r="E373" s="116">
        <v>153.63</v>
      </c>
      <c r="F373" s="116">
        <v>1525.8</v>
      </c>
      <c r="G373">
        <v>28412</v>
      </c>
      <c r="H373" s="116"/>
      <c r="I373" s="116"/>
      <c r="L373" s="170">
        <v>44650</v>
      </c>
      <c r="M373" s="116">
        <v>152.49</v>
      </c>
      <c r="N373" s="116">
        <v>156.6</v>
      </c>
      <c r="O373" s="116">
        <v>150.21</v>
      </c>
      <c r="P373" s="116">
        <v>154.625</v>
      </c>
      <c r="Q373" s="116">
        <v>1524.9</v>
      </c>
      <c r="R373">
        <v>346379</v>
      </c>
    </row>
    <row r="374" spans="1:18" x14ac:dyDescent="0.25">
      <c r="A374" s="170">
        <v>44651</v>
      </c>
      <c r="B374" s="116">
        <v>156.5</v>
      </c>
      <c r="C374" s="116">
        <v>153.58500000000001</v>
      </c>
      <c r="D374" s="116">
        <v>151.14500000000001</v>
      </c>
      <c r="E374" s="116">
        <v>152.80000000000001</v>
      </c>
      <c r="F374" s="116">
        <v>1535.85</v>
      </c>
      <c r="G374">
        <v>25785</v>
      </c>
      <c r="H374" s="116"/>
      <c r="I374" s="116"/>
      <c r="L374" s="170">
        <v>44651</v>
      </c>
      <c r="M374" s="116">
        <v>153.67500000000001</v>
      </c>
      <c r="N374" s="116">
        <v>156.5</v>
      </c>
      <c r="O374" s="116">
        <v>151.13999999999999</v>
      </c>
      <c r="P374" s="116">
        <v>153.87</v>
      </c>
      <c r="Q374" s="116">
        <v>1536.75</v>
      </c>
      <c r="R374">
        <v>402106</v>
      </c>
    </row>
    <row r="375" spans="1:18" x14ac:dyDescent="0.25">
      <c r="A375" s="170">
        <v>44652</v>
      </c>
      <c r="B375" s="116">
        <v>160.56</v>
      </c>
      <c r="C375" s="116">
        <v>154.36500000000001</v>
      </c>
      <c r="D375" s="116">
        <v>153.58500000000001</v>
      </c>
      <c r="E375" s="116">
        <v>153.76499999999999</v>
      </c>
      <c r="F375" s="116">
        <v>1543.65</v>
      </c>
      <c r="G375">
        <v>19627</v>
      </c>
      <c r="H375" s="116"/>
      <c r="I375" s="116"/>
      <c r="L375" s="170">
        <v>44652</v>
      </c>
      <c r="M375" s="116">
        <v>154.285</v>
      </c>
      <c r="N375" s="116">
        <v>160.72999999999999</v>
      </c>
      <c r="O375" s="116">
        <v>153.5</v>
      </c>
      <c r="P375" s="116">
        <v>154.30000000000001</v>
      </c>
      <c r="Q375" s="116">
        <v>1542.85</v>
      </c>
      <c r="R375">
        <v>551032</v>
      </c>
    </row>
    <row r="376" spans="1:18" x14ac:dyDescent="0.25">
      <c r="A376" s="170">
        <v>44655</v>
      </c>
      <c r="B376" s="116">
        <v>164.89500000000001</v>
      </c>
      <c r="C376" s="116">
        <v>163.155</v>
      </c>
      <c r="D376" s="116">
        <v>154.80000000000001</v>
      </c>
      <c r="E376" s="116">
        <v>157</v>
      </c>
      <c r="F376" s="116">
        <v>1631.55</v>
      </c>
      <c r="G376">
        <v>72739</v>
      </c>
      <c r="H376" s="116"/>
      <c r="I376" s="116"/>
      <c r="L376" s="170">
        <v>44655</v>
      </c>
      <c r="M376" s="116">
        <v>162.99</v>
      </c>
      <c r="N376" s="116">
        <v>164.7</v>
      </c>
      <c r="O376" s="116">
        <v>154.81</v>
      </c>
      <c r="P376" s="116">
        <v>156.69999999999999</v>
      </c>
      <c r="Q376" s="116">
        <v>1629.9</v>
      </c>
      <c r="R376">
        <v>717963</v>
      </c>
    </row>
    <row r="377" spans="1:18" x14ac:dyDescent="0.25">
      <c r="A377" s="170">
        <v>44656</v>
      </c>
      <c r="B377" s="116">
        <v>169.9</v>
      </c>
      <c r="C377" s="116">
        <v>166.14500000000001</v>
      </c>
      <c r="D377" s="116">
        <v>160.11000000000001</v>
      </c>
      <c r="E377" s="116">
        <v>164.995</v>
      </c>
      <c r="F377" s="116">
        <v>1661.45</v>
      </c>
      <c r="G377">
        <v>101181</v>
      </c>
      <c r="H377" s="116"/>
      <c r="I377" s="116"/>
      <c r="L377" s="170">
        <v>44656</v>
      </c>
      <c r="M377" s="116">
        <v>166</v>
      </c>
      <c r="N377" s="116">
        <v>170</v>
      </c>
      <c r="O377" s="116">
        <v>160.1</v>
      </c>
      <c r="P377" s="116">
        <v>164.5</v>
      </c>
      <c r="Q377" s="116">
        <v>1660</v>
      </c>
      <c r="R377">
        <v>1040985</v>
      </c>
    </row>
    <row r="378" spans="1:18" x14ac:dyDescent="0.25">
      <c r="A378" s="170">
        <v>44657</v>
      </c>
      <c r="B378" s="116">
        <v>173.5</v>
      </c>
      <c r="C378" s="116">
        <v>167.01</v>
      </c>
      <c r="D378" s="116">
        <v>164.745</v>
      </c>
      <c r="E378" s="116">
        <v>164.8</v>
      </c>
      <c r="F378" s="116">
        <v>1670.1</v>
      </c>
      <c r="G378">
        <v>86316</v>
      </c>
      <c r="H378" s="116"/>
      <c r="I378" s="116"/>
      <c r="L378" s="170">
        <v>44657</v>
      </c>
      <c r="M378" s="116">
        <v>167.005</v>
      </c>
      <c r="N378" s="116">
        <v>174</v>
      </c>
      <c r="O378" s="116">
        <v>164.5</v>
      </c>
      <c r="P378" s="116">
        <v>165.8</v>
      </c>
      <c r="Q378" s="116">
        <v>1670.05</v>
      </c>
      <c r="R378">
        <v>885968</v>
      </c>
    </row>
    <row r="379" spans="1:18" x14ac:dyDescent="0.25">
      <c r="A379" s="170">
        <v>44658</v>
      </c>
      <c r="B379" s="116">
        <v>169.5</v>
      </c>
      <c r="C379" s="116">
        <v>167.61</v>
      </c>
      <c r="D379" s="116">
        <v>165.3</v>
      </c>
      <c r="E379" s="116">
        <v>168</v>
      </c>
      <c r="F379" s="116">
        <v>1676.1</v>
      </c>
      <c r="G379">
        <v>46781</v>
      </c>
      <c r="H379" s="116"/>
      <c r="I379" s="116"/>
      <c r="L379" s="170">
        <v>44658</v>
      </c>
      <c r="M379" s="116">
        <v>167.41499999999999</v>
      </c>
      <c r="N379" s="116">
        <v>169.44499999999999</v>
      </c>
      <c r="O379" s="116">
        <v>165.30500000000001</v>
      </c>
      <c r="P379" s="116">
        <v>167.68</v>
      </c>
      <c r="Q379" s="116">
        <v>1674.15</v>
      </c>
      <c r="R379">
        <v>440741</v>
      </c>
    </row>
    <row r="380" spans="1:18" x14ac:dyDescent="0.25">
      <c r="A380" s="170">
        <v>44659</v>
      </c>
      <c r="B380" s="116">
        <v>176.4</v>
      </c>
      <c r="C380" s="116">
        <v>169.98500000000001</v>
      </c>
      <c r="D380" s="116">
        <v>168.995</v>
      </c>
      <c r="E380" s="116">
        <v>169</v>
      </c>
      <c r="F380" s="116">
        <v>1699.85</v>
      </c>
      <c r="G380">
        <v>115322</v>
      </c>
      <c r="H380" s="116"/>
      <c r="I380" s="116"/>
      <c r="L380" s="170">
        <v>44659</v>
      </c>
      <c r="M380" s="116">
        <v>170.05</v>
      </c>
      <c r="N380" s="116">
        <v>176.48500000000001</v>
      </c>
      <c r="O380" s="116">
        <v>168.5</v>
      </c>
      <c r="P380" s="116">
        <v>168.78</v>
      </c>
      <c r="Q380" s="116">
        <v>1700.5</v>
      </c>
      <c r="R380">
        <v>1586633</v>
      </c>
    </row>
    <row r="381" spans="1:18" x14ac:dyDescent="0.25">
      <c r="A381" s="170">
        <v>44662</v>
      </c>
      <c r="B381" s="116">
        <v>178.215</v>
      </c>
      <c r="C381" s="116">
        <v>171.65</v>
      </c>
      <c r="D381" s="116">
        <v>169.51</v>
      </c>
      <c r="E381" s="116">
        <v>171.4</v>
      </c>
      <c r="F381" s="116">
        <v>1716.5</v>
      </c>
      <c r="G381">
        <v>58915</v>
      </c>
      <c r="H381" s="116"/>
      <c r="I381" s="116"/>
      <c r="L381" s="170">
        <v>44662</v>
      </c>
      <c r="M381" s="116">
        <v>171.875</v>
      </c>
      <c r="N381" s="116">
        <v>178.24</v>
      </c>
      <c r="O381" s="116">
        <v>169.26499999999999</v>
      </c>
      <c r="P381" s="116">
        <v>171.1</v>
      </c>
      <c r="Q381" s="116">
        <v>1718.75</v>
      </c>
      <c r="R381">
        <v>1087570</v>
      </c>
    </row>
    <row r="382" spans="1:18" x14ac:dyDescent="0.25">
      <c r="A382" s="170">
        <v>44663</v>
      </c>
      <c r="B382" s="116">
        <v>173.8</v>
      </c>
      <c r="C382" s="116">
        <v>170.35</v>
      </c>
      <c r="D382" s="116">
        <v>165.35</v>
      </c>
      <c r="E382" s="116">
        <v>171.9</v>
      </c>
      <c r="F382" s="116">
        <v>1703.5</v>
      </c>
      <c r="G382">
        <v>30196</v>
      </c>
      <c r="H382" s="116"/>
      <c r="I382" s="116"/>
      <c r="L382" s="170">
        <v>44663</v>
      </c>
      <c r="M382" s="116">
        <v>170.10499999999999</v>
      </c>
      <c r="N382" s="116">
        <v>173.89500000000001</v>
      </c>
      <c r="O382" s="116">
        <v>165.24</v>
      </c>
      <c r="P382" s="116">
        <v>171.7</v>
      </c>
      <c r="Q382" s="116">
        <v>1701.05</v>
      </c>
      <c r="R382">
        <v>653076</v>
      </c>
    </row>
    <row r="383" spans="1:18" x14ac:dyDescent="0.25">
      <c r="A383" s="170">
        <v>44664</v>
      </c>
      <c r="B383" s="116">
        <v>174.15</v>
      </c>
      <c r="C383" s="116">
        <v>168.58500000000001</v>
      </c>
      <c r="D383" s="116">
        <v>167.49</v>
      </c>
      <c r="E383" s="116">
        <v>172.09</v>
      </c>
      <c r="F383" s="116">
        <v>1685.85</v>
      </c>
      <c r="G383">
        <v>36632</v>
      </c>
      <c r="H383" s="116"/>
      <c r="I383" s="116"/>
      <c r="L383" s="170">
        <v>44664</v>
      </c>
      <c r="M383" s="116">
        <v>168.36500000000001</v>
      </c>
      <c r="N383" s="116">
        <v>174.19499999999999</v>
      </c>
      <c r="O383" s="116">
        <v>167.505</v>
      </c>
      <c r="P383" s="116">
        <v>171.495</v>
      </c>
      <c r="Q383" s="116">
        <v>1683.65</v>
      </c>
      <c r="R383">
        <v>517895</v>
      </c>
    </row>
    <row r="384" spans="1:18" x14ac:dyDescent="0.25">
      <c r="A384" s="170">
        <v>44669</v>
      </c>
      <c r="B384" s="116">
        <v>171.465</v>
      </c>
      <c r="C384" s="116">
        <v>165.30500000000001</v>
      </c>
      <c r="D384" s="116">
        <v>164.39</v>
      </c>
      <c r="E384" s="116">
        <v>167</v>
      </c>
      <c r="F384" s="116">
        <v>1653.05</v>
      </c>
      <c r="G384">
        <v>53826</v>
      </c>
      <c r="H384" s="116"/>
      <c r="I384" s="116"/>
      <c r="L384" s="170">
        <v>44669</v>
      </c>
      <c r="M384" s="116">
        <v>165.435</v>
      </c>
      <c r="N384" s="116">
        <v>171.38499999999999</v>
      </c>
      <c r="O384" s="116">
        <v>164.39500000000001</v>
      </c>
      <c r="P384" s="116">
        <v>167.8</v>
      </c>
      <c r="Q384" s="116">
        <v>1654.35</v>
      </c>
      <c r="R384">
        <v>549768</v>
      </c>
    </row>
    <row r="385" spans="1:18" x14ac:dyDescent="0.25">
      <c r="A385" s="170">
        <v>44670</v>
      </c>
      <c r="B385" s="116">
        <v>174.09</v>
      </c>
      <c r="C385" s="116">
        <v>170.41</v>
      </c>
      <c r="D385" s="116">
        <v>167.30500000000001</v>
      </c>
      <c r="E385" s="116">
        <v>168.45</v>
      </c>
      <c r="F385" s="116">
        <v>1704.1</v>
      </c>
      <c r="G385">
        <v>56676</v>
      </c>
      <c r="H385" s="116"/>
      <c r="I385" s="116"/>
      <c r="L385" s="170">
        <v>44670</v>
      </c>
      <c r="M385" s="116">
        <v>170.02500000000001</v>
      </c>
      <c r="N385" s="116">
        <v>174</v>
      </c>
      <c r="O385" s="116">
        <v>167.2</v>
      </c>
      <c r="P385" s="116">
        <v>168.08</v>
      </c>
      <c r="Q385" s="116">
        <v>1700.25</v>
      </c>
      <c r="R385">
        <v>1107718</v>
      </c>
    </row>
    <row r="386" spans="1:18" x14ac:dyDescent="0.25">
      <c r="A386" s="170">
        <v>44671</v>
      </c>
      <c r="B386" s="116">
        <v>174.9</v>
      </c>
      <c r="C386" s="116">
        <v>162.505</v>
      </c>
      <c r="D386" s="116">
        <v>160.6</v>
      </c>
      <c r="E386" s="116">
        <v>172.995</v>
      </c>
      <c r="F386" s="116">
        <v>1625.05</v>
      </c>
      <c r="G386">
        <v>125695</v>
      </c>
      <c r="H386" s="116"/>
      <c r="I386" s="116"/>
      <c r="L386" s="170">
        <v>44671</v>
      </c>
      <c r="M386" s="116">
        <v>162.41</v>
      </c>
      <c r="N386" s="116">
        <v>175</v>
      </c>
      <c r="O386" s="116">
        <v>160.70500000000001</v>
      </c>
      <c r="P386" s="116">
        <v>172.9</v>
      </c>
      <c r="Q386" s="116">
        <v>1624.1</v>
      </c>
      <c r="R386">
        <v>1043862</v>
      </c>
    </row>
    <row r="387" spans="1:18" x14ac:dyDescent="0.25">
      <c r="A387" s="170">
        <v>44672</v>
      </c>
      <c r="B387" s="116">
        <v>195.005</v>
      </c>
      <c r="C387" s="116">
        <v>191.87</v>
      </c>
      <c r="D387" s="116">
        <v>170.2</v>
      </c>
      <c r="E387" s="116">
        <v>176.3</v>
      </c>
      <c r="F387" s="116">
        <v>1918.7</v>
      </c>
      <c r="G387">
        <v>490942</v>
      </c>
      <c r="H387" s="116"/>
      <c r="I387" s="116"/>
      <c r="L387" s="170">
        <v>44672</v>
      </c>
      <c r="M387" s="116">
        <v>190.89500000000001</v>
      </c>
      <c r="N387" s="116">
        <v>194.89</v>
      </c>
      <c r="O387" s="116">
        <v>170.28</v>
      </c>
      <c r="P387" s="116">
        <v>175.03</v>
      </c>
      <c r="Q387" s="116">
        <v>1908.95</v>
      </c>
      <c r="R387">
        <v>7457184</v>
      </c>
    </row>
    <row r="388" spans="1:18" x14ac:dyDescent="0.25">
      <c r="A388" s="170">
        <v>44673</v>
      </c>
      <c r="B388" s="116">
        <v>199.14500000000001</v>
      </c>
      <c r="C388" s="116">
        <v>189.04</v>
      </c>
      <c r="D388" s="116">
        <v>186.255</v>
      </c>
      <c r="E388" s="116">
        <v>191.5</v>
      </c>
      <c r="F388" s="116">
        <v>1890.4</v>
      </c>
      <c r="G388">
        <v>348984</v>
      </c>
      <c r="H388" s="116"/>
      <c r="I388" s="116"/>
      <c r="L388" s="170">
        <v>44673</v>
      </c>
      <c r="M388" s="116">
        <v>189.505</v>
      </c>
      <c r="N388" s="116">
        <v>199.1</v>
      </c>
      <c r="O388" s="116">
        <v>186.54</v>
      </c>
      <c r="P388" s="116">
        <v>191</v>
      </c>
      <c r="Q388" s="116">
        <v>1895.05</v>
      </c>
      <c r="R388">
        <v>5657859</v>
      </c>
    </row>
    <row r="389" spans="1:18" x14ac:dyDescent="0.25">
      <c r="A389" s="170">
        <v>44676</v>
      </c>
      <c r="B389" s="116">
        <v>188.9</v>
      </c>
      <c r="C389" s="116">
        <v>183.08</v>
      </c>
      <c r="D389" s="116">
        <v>182</v>
      </c>
      <c r="E389" s="116">
        <v>187.4</v>
      </c>
      <c r="F389" s="116">
        <v>1830.8</v>
      </c>
      <c r="G389">
        <v>77829</v>
      </c>
      <c r="H389" s="116"/>
      <c r="I389" s="116"/>
      <c r="L389" s="170">
        <v>44676</v>
      </c>
      <c r="M389" s="116">
        <v>183.11</v>
      </c>
      <c r="N389" s="116">
        <v>189.26499999999999</v>
      </c>
      <c r="O389" s="116">
        <v>182</v>
      </c>
      <c r="P389" s="116">
        <v>187.4</v>
      </c>
      <c r="Q389" s="116">
        <v>1831.1</v>
      </c>
      <c r="R389">
        <v>1064444</v>
      </c>
    </row>
    <row r="390" spans="1:18" x14ac:dyDescent="0.25">
      <c r="A390" s="170">
        <v>44677</v>
      </c>
      <c r="B390" s="116">
        <v>187.23500000000001</v>
      </c>
      <c r="C390" s="116">
        <v>182.55500000000001</v>
      </c>
      <c r="D390" s="116">
        <v>181.52500000000001</v>
      </c>
      <c r="E390" s="116">
        <v>185.11</v>
      </c>
      <c r="F390" s="116">
        <v>1825.55</v>
      </c>
      <c r="G390">
        <v>51227</v>
      </c>
      <c r="H390" s="116"/>
      <c r="I390" s="116"/>
      <c r="L390" s="170">
        <v>44677</v>
      </c>
      <c r="M390" s="116">
        <v>182.48</v>
      </c>
      <c r="N390" s="116">
        <v>187.27</v>
      </c>
      <c r="O390" s="116">
        <v>181.5</v>
      </c>
      <c r="P390" s="116">
        <v>186.2</v>
      </c>
      <c r="Q390" s="116">
        <v>1824.8</v>
      </c>
      <c r="R390">
        <v>897750</v>
      </c>
    </row>
    <row r="391" spans="1:18" x14ac:dyDescent="0.25">
      <c r="A391" s="170">
        <v>44678</v>
      </c>
      <c r="B391" s="116">
        <v>186.61500000000001</v>
      </c>
      <c r="C391" s="116">
        <v>183.95</v>
      </c>
      <c r="D391" s="116">
        <v>180</v>
      </c>
      <c r="E391" s="116">
        <v>181</v>
      </c>
      <c r="F391" s="116">
        <v>1839.5</v>
      </c>
      <c r="G391">
        <v>70685</v>
      </c>
      <c r="H391" s="116"/>
      <c r="I391" s="116"/>
      <c r="L391" s="170">
        <v>44678</v>
      </c>
      <c r="M391" s="116">
        <v>183.875</v>
      </c>
      <c r="N391" s="116">
        <v>186.77</v>
      </c>
      <c r="O391" s="116">
        <v>180.02500000000001</v>
      </c>
      <c r="P391" s="116">
        <v>181.005</v>
      </c>
      <c r="Q391" s="116">
        <v>1838.75</v>
      </c>
      <c r="R391">
        <v>704605</v>
      </c>
    </row>
    <row r="392" spans="1:18" x14ac:dyDescent="0.25">
      <c r="A392" s="170">
        <v>44679</v>
      </c>
      <c r="B392" s="116">
        <v>189.1</v>
      </c>
      <c r="C392" s="116">
        <v>187.78</v>
      </c>
      <c r="D392" s="116">
        <v>182.83</v>
      </c>
      <c r="E392" s="116">
        <v>184.9</v>
      </c>
      <c r="F392" s="116">
        <v>1877.8</v>
      </c>
      <c r="G392">
        <v>69682</v>
      </c>
      <c r="H392" s="116"/>
      <c r="I392" s="116"/>
      <c r="L392" s="170">
        <v>44679</v>
      </c>
      <c r="M392" s="116">
        <v>187.73500000000001</v>
      </c>
      <c r="N392" s="116">
        <v>189.05</v>
      </c>
      <c r="O392" s="116">
        <v>182.815</v>
      </c>
      <c r="P392" s="116">
        <v>185.4</v>
      </c>
      <c r="Q392" s="116">
        <v>1877.35</v>
      </c>
      <c r="R392">
        <v>681522</v>
      </c>
    </row>
    <row r="393" spans="1:18" x14ac:dyDescent="0.25">
      <c r="A393" s="170">
        <v>44680</v>
      </c>
      <c r="B393" s="116">
        <v>202.2</v>
      </c>
      <c r="C393" s="116">
        <v>195.26499999999999</v>
      </c>
      <c r="D393" s="116">
        <v>188.29</v>
      </c>
      <c r="E393" s="116">
        <v>188.995</v>
      </c>
      <c r="F393" s="116">
        <v>1952.65</v>
      </c>
      <c r="G393">
        <v>183429</v>
      </c>
      <c r="H393" s="116"/>
      <c r="I393" s="116"/>
      <c r="L393" s="170">
        <v>44680</v>
      </c>
      <c r="M393" s="116">
        <v>194.92</v>
      </c>
      <c r="N393" s="116">
        <v>202.2</v>
      </c>
      <c r="O393" s="116">
        <v>188.2</v>
      </c>
      <c r="P393" s="116">
        <v>188.83</v>
      </c>
      <c r="Q393" s="116">
        <v>1949.2</v>
      </c>
      <c r="R393">
        <v>2775594</v>
      </c>
    </row>
    <row r="394" spans="1:18" x14ac:dyDescent="0.25">
      <c r="A394" s="170">
        <v>44683</v>
      </c>
      <c r="B394" s="116">
        <v>194.13499999999999</v>
      </c>
      <c r="C394" s="116">
        <v>181.51</v>
      </c>
      <c r="D394" s="116">
        <v>179.11500000000001</v>
      </c>
      <c r="E394" s="116">
        <v>194</v>
      </c>
      <c r="F394" s="116">
        <v>1815.1</v>
      </c>
      <c r="G394">
        <v>131759</v>
      </c>
      <c r="H394" s="116"/>
      <c r="I394" s="116"/>
      <c r="L394" s="170">
        <v>44683</v>
      </c>
      <c r="M394" s="116">
        <v>181.27</v>
      </c>
      <c r="N394" s="116">
        <v>194.41</v>
      </c>
      <c r="O394" s="116">
        <v>179.2</v>
      </c>
      <c r="P394" s="116">
        <v>193.5</v>
      </c>
      <c r="Q394" s="116">
        <v>1812.7</v>
      </c>
      <c r="R394">
        <v>1030916</v>
      </c>
    </row>
    <row r="395" spans="1:18" x14ac:dyDescent="0.25">
      <c r="A395" s="170">
        <v>44685</v>
      </c>
      <c r="B395" s="116">
        <v>183.89</v>
      </c>
      <c r="C395" s="116">
        <v>169.14</v>
      </c>
      <c r="D395" s="116">
        <v>167.9</v>
      </c>
      <c r="E395" s="116">
        <v>183.17</v>
      </c>
      <c r="F395" s="116">
        <v>1691.4</v>
      </c>
      <c r="G395">
        <v>114288</v>
      </c>
      <c r="H395" s="116"/>
      <c r="I395" s="116"/>
      <c r="L395" s="170">
        <v>44685</v>
      </c>
      <c r="M395" s="116">
        <v>168.97499999999999</v>
      </c>
      <c r="N395" s="116">
        <v>184</v>
      </c>
      <c r="O395" s="116">
        <v>168</v>
      </c>
      <c r="P395" s="116">
        <v>184</v>
      </c>
      <c r="Q395" s="116">
        <v>1689.75</v>
      </c>
      <c r="R395">
        <v>1015510</v>
      </c>
    </row>
    <row r="396" spans="1:18" x14ac:dyDescent="0.25">
      <c r="A396" s="170">
        <v>44686</v>
      </c>
      <c r="B396" s="116">
        <v>174.5</v>
      </c>
      <c r="C396" s="116">
        <v>158.13999999999999</v>
      </c>
      <c r="D396" s="116">
        <v>156.1</v>
      </c>
      <c r="E396" s="116">
        <v>171.755</v>
      </c>
      <c r="F396" s="116">
        <v>1581.4</v>
      </c>
      <c r="G396">
        <v>183711</v>
      </c>
      <c r="H396" s="116"/>
      <c r="I396" s="116"/>
      <c r="L396" s="170">
        <v>44686</v>
      </c>
      <c r="M396" s="116">
        <v>158.34</v>
      </c>
      <c r="N396" s="116">
        <v>174</v>
      </c>
      <c r="O396" s="116">
        <v>156</v>
      </c>
      <c r="P396" s="116">
        <v>174</v>
      </c>
      <c r="Q396" s="116">
        <v>1583.4</v>
      </c>
      <c r="R396">
        <v>1762584</v>
      </c>
    </row>
    <row r="397" spans="1:18" x14ac:dyDescent="0.25">
      <c r="A397" s="170">
        <v>44687</v>
      </c>
      <c r="B397" s="116">
        <v>155.4</v>
      </c>
      <c r="C397" s="116">
        <v>144.88999999999999</v>
      </c>
      <c r="D397" s="116">
        <v>133.61000000000001</v>
      </c>
      <c r="E397" s="116">
        <v>155.4</v>
      </c>
      <c r="F397" s="116">
        <v>1448.9</v>
      </c>
      <c r="G397">
        <v>197345</v>
      </c>
      <c r="H397" s="116"/>
      <c r="I397" s="116"/>
      <c r="L397" s="170">
        <v>44687</v>
      </c>
      <c r="M397" s="116">
        <v>145.25</v>
      </c>
      <c r="N397" s="116">
        <v>152.905</v>
      </c>
      <c r="O397" s="116">
        <v>133.30000000000001</v>
      </c>
      <c r="P397" s="116">
        <v>152.905</v>
      </c>
      <c r="Q397" s="116">
        <v>1452.5</v>
      </c>
      <c r="R397">
        <v>4133008</v>
      </c>
    </row>
    <row r="398" spans="1:18" x14ac:dyDescent="0.25">
      <c r="A398" s="170">
        <v>44690</v>
      </c>
      <c r="B398" s="116">
        <v>151.62</v>
      </c>
      <c r="C398" s="116">
        <v>144.465</v>
      </c>
      <c r="D398" s="116">
        <v>140.38999999999999</v>
      </c>
      <c r="E398" s="116">
        <v>141.4</v>
      </c>
      <c r="F398" s="116">
        <v>1444.65</v>
      </c>
      <c r="G398">
        <v>112143</v>
      </c>
      <c r="H398" s="116"/>
      <c r="I398" s="116"/>
      <c r="L398" s="170">
        <v>44690</v>
      </c>
      <c r="M398" s="116">
        <v>144.685</v>
      </c>
      <c r="N398" s="116">
        <v>151.60499999999999</v>
      </c>
      <c r="O398" s="116">
        <v>140.1</v>
      </c>
      <c r="P398" s="116">
        <v>140.5</v>
      </c>
      <c r="Q398" s="116">
        <v>1446.85</v>
      </c>
      <c r="R398">
        <v>2092533</v>
      </c>
    </row>
    <row r="399" spans="1:18" x14ac:dyDescent="0.25">
      <c r="A399" s="170">
        <v>44691</v>
      </c>
      <c r="B399" s="116">
        <v>148.38</v>
      </c>
      <c r="C399" s="116">
        <v>141.19499999999999</v>
      </c>
      <c r="D399" s="116">
        <v>139.55500000000001</v>
      </c>
      <c r="E399" s="116">
        <v>145.995</v>
      </c>
      <c r="F399" s="116">
        <v>1411.95</v>
      </c>
      <c r="G399">
        <v>46410</v>
      </c>
      <c r="H399" s="116"/>
      <c r="I399" s="116"/>
      <c r="L399" s="170">
        <v>44691</v>
      </c>
      <c r="M399" s="116">
        <v>141.26499999999999</v>
      </c>
      <c r="N399" s="116">
        <v>148.19999999999999</v>
      </c>
      <c r="O399" s="116">
        <v>139.53</v>
      </c>
      <c r="P399" s="116">
        <v>144.91</v>
      </c>
      <c r="Q399" s="116">
        <v>1412.65</v>
      </c>
      <c r="R399">
        <v>986438</v>
      </c>
    </row>
    <row r="400" spans="1:18" x14ac:dyDescent="0.25">
      <c r="A400" s="170">
        <v>44692</v>
      </c>
      <c r="B400" s="116">
        <v>145.5</v>
      </c>
      <c r="C400" s="116">
        <v>137.02000000000001</v>
      </c>
      <c r="D400" s="116">
        <v>134.47</v>
      </c>
      <c r="E400" s="116">
        <v>142.19999999999999</v>
      </c>
      <c r="F400" s="116">
        <v>1370.2</v>
      </c>
      <c r="G400">
        <v>42708</v>
      </c>
      <c r="H400" s="116"/>
      <c r="I400" s="116"/>
      <c r="L400" s="170">
        <v>44692</v>
      </c>
      <c r="M400" s="116">
        <v>136.97499999999999</v>
      </c>
      <c r="N400" s="116">
        <v>146</v>
      </c>
      <c r="O400" s="116">
        <v>134.33000000000001</v>
      </c>
      <c r="P400" s="116">
        <v>143.095</v>
      </c>
      <c r="Q400" s="116">
        <v>1369.75</v>
      </c>
      <c r="R400">
        <v>878368</v>
      </c>
    </row>
    <row r="401" spans="1:18" x14ac:dyDescent="0.25">
      <c r="A401" s="170">
        <v>44693</v>
      </c>
      <c r="B401" s="116">
        <v>135.625</v>
      </c>
      <c r="C401" s="116">
        <v>133.75</v>
      </c>
      <c r="D401" s="116">
        <v>131.5</v>
      </c>
      <c r="E401" s="116">
        <v>135.1</v>
      </c>
      <c r="F401" s="116">
        <v>1337.5</v>
      </c>
      <c r="G401">
        <v>44176</v>
      </c>
      <c r="H401" s="116"/>
      <c r="I401" s="116"/>
      <c r="L401" s="170">
        <v>44693</v>
      </c>
      <c r="M401" s="116">
        <v>133.69</v>
      </c>
      <c r="N401" s="116">
        <v>136.4</v>
      </c>
      <c r="O401" s="116">
        <v>131.36000000000001</v>
      </c>
      <c r="P401" s="116">
        <v>136.4</v>
      </c>
      <c r="Q401" s="116">
        <v>1336.9</v>
      </c>
      <c r="R401">
        <v>560274</v>
      </c>
    </row>
    <row r="402" spans="1:18" x14ac:dyDescent="0.25">
      <c r="A402" s="170">
        <v>44694</v>
      </c>
      <c r="B402" s="116">
        <v>140.5</v>
      </c>
      <c r="C402" s="116">
        <v>130.565</v>
      </c>
      <c r="D402" s="116">
        <v>127.19499999999999</v>
      </c>
      <c r="E402" s="116">
        <v>132.5</v>
      </c>
      <c r="F402" s="116">
        <v>1305.6500000000001</v>
      </c>
      <c r="G402">
        <v>128346</v>
      </c>
      <c r="H402" s="116"/>
      <c r="I402" s="116"/>
      <c r="L402" s="170">
        <v>44694</v>
      </c>
      <c r="M402" s="116">
        <v>131.155</v>
      </c>
      <c r="N402" s="116">
        <v>140.55500000000001</v>
      </c>
      <c r="O402" s="116">
        <v>126.7</v>
      </c>
      <c r="P402" s="116">
        <v>133</v>
      </c>
      <c r="Q402" s="116">
        <v>1311.55</v>
      </c>
      <c r="R402">
        <v>1443583</v>
      </c>
    </row>
    <row r="403" spans="1:18" x14ac:dyDescent="0.25">
      <c r="A403" s="170">
        <v>44697</v>
      </c>
      <c r="B403" s="116">
        <v>134.995</v>
      </c>
      <c r="C403" s="116">
        <v>133.22</v>
      </c>
      <c r="D403" s="116">
        <v>128.55500000000001</v>
      </c>
      <c r="E403" s="116">
        <v>130.565</v>
      </c>
      <c r="F403" s="116">
        <v>1332.2</v>
      </c>
      <c r="G403">
        <v>39371</v>
      </c>
      <c r="H403" s="116"/>
      <c r="I403" s="116"/>
      <c r="L403" s="170">
        <v>44697</v>
      </c>
      <c r="M403" s="116">
        <v>132.99</v>
      </c>
      <c r="N403" s="116">
        <v>134.97999999999999</v>
      </c>
      <c r="O403" s="116">
        <v>128.32499999999999</v>
      </c>
      <c r="P403" s="116">
        <v>130.4</v>
      </c>
      <c r="Q403" s="116">
        <v>1329.9</v>
      </c>
      <c r="R403">
        <v>654233</v>
      </c>
    </row>
    <row r="404" spans="1:18" x14ac:dyDescent="0.25">
      <c r="A404" s="170">
        <v>44698</v>
      </c>
      <c r="B404" s="116">
        <v>147</v>
      </c>
      <c r="C404" s="116">
        <v>146.11000000000001</v>
      </c>
      <c r="D404" s="116">
        <v>133.9</v>
      </c>
      <c r="E404" s="116">
        <v>134.51</v>
      </c>
      <c r="F404" s="116">
        <v>1461.1</v>
      </c>
      <c r="G404">
        <v>123102</v>
      </c>
      <c r="H404" s="116"/>
      <c r="I404" s="116"/>
      <c r="L404" s="170">
        <v>44698</v>
      </c>
      <c r="M404" s="116">
        <v>146.26</v>
      </c>
      <c r="N404" s="116">
        <v>147</v>
      </c>
      <c r="O404" s="116">
        <v>133.81</v>
      </c>
      <c r="P404" s="116">
        <v>134.99</v>
      </c>
      <c r="Q404" s="116">
        <v>1462.6</v>
      </c>
      <c r="R404">
        <v>2113063</v>
      </c>
    </row>
    <row r="405" spans="1:18" x14ac:dyDescent="0.25">
      <c r="A405" s="170">
        <v>44699</v>
      </c>
      <c r="B405" s="116">
        <v>154</v>
      </c>
      <c r="C405" s="116">
        <v>152.81</v>
      </c>
      <c r="D405" s="116">
        <v>147.505</v>
      </c>
      <c r="E405" s="116">
        <v>147.80000000000001</v>
      </c>
      <c r="F405" s="116">
        <v>1528.1</v>
      </c>
      <c r="G405">
        <v>72335</v>
      </c>
      <c r="H405" s="116"/>
      <c r="I405" s="116"/>
      <c r="L405" s="170">
        <v>44699</v>
      </c>
      <c r="M405" s="116">
        <v>152.465</v>
      </c>
      <c r="N405" s="116">
        <v>153.9</v>
      </c>
      <c r="O405" s="116">
        <v>147.505</v>
      </c>
      <c r="P405" s="116">
        <v>148</v>
      </c>
      <c r="Q405" s="116">
        <v>1524.65</v>
      </c>
      <c r="R405">
        <v>2132572</v>
      </c>
    </row>
    <row r="406" spans="1:18" x14ac:dyDescent="0.25">
      <c r="A406" s="170">
        <v>44700</v>
      </c>
      <c r="B406" s="116">
        <v>147.69</v>
      </c>
      <c r="C406" s="116">
        <v>145.005</v>
      </c>
      <c r="D406" s="116">
        <v>142.745</v>
      </c>
      <c r="E406" s="116">
        <v>144.38</v>
      </c>
      <c r="F406" s="116">
        <v>1450.05</v>
      </c>
      <c r="G406">
        <v>70979</v>
      </c>
      <c r="H406" s="116"/>
      <c r="I406" s="116"/>
      <c r="L406" s="170">
        <v>44700</v>
      </c>
      <c r="M406" s="116">
        <v>144.83500000000001</v>
      </c>
      <c r="N406" s="116">
        <v>147</v>
      </c>
      <c r="O406" s="116">
        <v>142.80000000000001</v>
      </c>
      <c r="P406" s="116">
        <v>147</v>
      </c>
      <c r="Q406" s="116">
        <v>1448.35</v>
      </c>
      <c r="R406">
        <v>880010</v>
      </c>
    </row>
    <row r="407" spans="1:18" x14ac:dyDescent="0.25">
      <c r="A407" s="170">
        <v>44701</v>
      </c>
      <c r="B407" s="116">
        <v>152.07499999999999</v>
      </c>
      <c r="C407" s="116">
        <v>143.87</v>
      </c>
      <c r="D407" s="116">
        <v>142.51</v>
      </c>
      <c r="E407" s="116">
        <v>150.19999999999999</v>
      </c>
      <c r="F407" s="116">
        <v>1438.7</v>
      </c>
      <c r="G407">
        <v>83594</v>
      </c>
      <c r="H407" s="116"/>
      <c r="I407" s="116"/>
      <c r="L407" s="170">
        <v>44701</v>
      </c>
      <c r="M407" s="116">
        <v>143.75</v>
      </c>
      <c r="N407" s="116">
        <v>152</v>
      </c>
      <c r="O407" s="116">
        <v>142.1</v>
      </c>
      <c r="P407" s="116">
        <v>151</v>
      </c>
      <c r="Q407" s="116">
        <v>1437.5</v>
      </c>
      <c r="R407">
        <v>1192210</v>
      </c>
    </row>
    <row r="408" spans="1:18" x14ac:dyDescent="0.25">
      <c r="A408" s="170">
        <v>44704</v>
      </c>
      <c r="B408" s="116">
        <v>146.24</v>
      </c>
      <c r="C408" s="116">
        <v>141.185</v>
      </c>
      <c r="D408" s="116">
        <v>140.52000000000001</v>
      </c>
      <c r="E408" s="116">
        <v>144</v>
      </c>
      <c r="F408" s="116">
        <v>1411.85</v>
      </c>
      <c r="G408">
        <v>51851</v>
      </c>
      <c r="H408" s="116"/>
      <c r="I408" s="116"/>
      <c r="L408" s="170">
        <v>44704</v>
      </c>
      <c r="M408" s="116">
        <v>141.22499999999999</v>
      </c>
      <c r="N408" s="116">
        <v>146.19499999999999</v>
      </c>
      <c r="O408" s="116">
        <v>140.19</v>
      </c>
      <c r="P408" s="116">
        <v>144.69999999999999</v>
      </c>
      <c r="Q408" s="116">
        <v>1412.25</v>
      </c>
      <c r="R408">
        <v>393910</v>
      </c>
    </row>
    <row r="409" spans="1:18" x14ac:dyDescent="0.25">
      <c r="A409" s="170">
        <v>44705</v>
      </c>
      <c r="B409" s="116">
        <v>145.63499999999999</v>
      </c>
      <c r="C409" s="116">
        <v>142.27500000000001</v>
      </c>
      <c r="D409" s="116">
        <v>140.63999999999999</v>
      </c>
      <c r="E409" s="116">
        <v>142.30000000000001</v>
      </c>
      <c r="F409" s="116">
        <v>1422.75</v>
      </c>
      <c r="G409">
        <v>21249</v>
      </c>
      <c r="H409" s="116"/>
      <c r="I409" s="116"/>
      <c r="L409" s="170">
        <v>44705</v>
      </c>
      <c r="M409" s="116">
        <v>142.18</v>
      </c>
      <c r="N409" s="116">
        <v>145.6</v>
      </c>
      <c r="O409" s="116">
        <v>140.6</v>
      </c>
      <c r="P409" s="116">
        <v>142.13999999999999</v>
      </c>
      <c r="Q409" s="116">
        <v>1421.8</v>
      </c>
      <c r="R409">
        <v>580044</v>
      </c>
    </row>
    <row r="410" spans="1:18" x14ac:dyDescent="0.25">
      <c r="A410" s="170">
        <v>44706</v>
      </c>
      <c r="B410" s="116">
        <v>143.85</v>
      </c>
      <c r="C410" s="116">
        <v>131.24</v>
      </c>
      <c r="D410" s="116">
        <v>127.34</v>
      </c>
      <c r="E410" s="116">
        <v>142.75</v>
      </c>
      <c r="F410" s="116">
        <v>1312.4</v>
      </c>
      <c r="G410">
        <v>68850</v>
      </c>
      <c r="H410" s="116"/>
      <c r="I410" s="116"/>
      <c r="L410" s="170">
        <v>44706</v>
      </c>
      <c r="M410" s="116">
        <v>131.38999999999999</v>
      </c>
      <c r="N410" s="116">
        <v>143.79</v>
      </c>
      <c r="O410" s="116">
        <v>127.2</v>
      </c>
      <c r="P410" s="116">
        <v>142.495</v>
      </c>
      <c r="Q410" s="116">
        <v>1313.9</v>
      </c>
      <c r="R410">
        <v>1123948</v>
      </c>
    </row>
    <row r="411" spans="1:18" x14ac:dyDescent="0.25">
      <c r="A411" s="170">
        <v>44707</v>
      </c>
      <c r="B411" s="116">
        <v>134.505</v>
      </c>
      <c r="C411" s="116">
        <v>130.965</v>
      </c>
      <c r="D411" s="116">
        <v>127.455</v>
      </c>
      <c r="E411" s="116">
        <v>132.1</v>
      </c>
      <c r="F411" s="116">
        <v>1309.6500000000001</v>
      </c>
      <c r="G411">
        <v>21608</v>
      </c>
      <c r="H411" s="116"/>
      <c r="I411" s="116"/>
      <c r="L411" s="170">
        <v>44707</v>
      </c>
      <c r="M411" s="116">
        <v>130.89500000000001</v>
      </c>
      <c r="N411" s="116">
        <v>134.5</v>
      </c>
      <c r="O411" s="116">
        <v>127.36499999999999</v>
      </c>
      <c r="P411" s="116">
        <v>133.4</v>
      </c>
      <c r="Q411" s="116">
        <v>1308.95</v>
      </c>
      <c r="R411">
        <v>675596</v>
      </c>
    </row>
    <row r="412" spans="1:18" x14ac:dyDescent="0.25">
      <c r="A412" s="170">
        <v>44708</v>
      </c>
      <c r="B412" s="116">
        <v>138.78</v>
      </c>
      <c r="C412" s="116">
        <v>132.76</v>
      </c>
      <c r="D412" s="116">
        <v>131.91</v>
      </c>
      <c r="E412" s="116">
        <v>133.80000000000001</v>
      </c>
      <c r="F412" s="116">
        <v>1327.6</v>
      </c>
      <c r="G412">
        <v>36782</v>
      </c>
      <c r="H412" s="116"/>
      <c r="I412" s="116"/>
      <c r="L412" s="170">
        <v>44708</v>
      </c>
      <c r="M412" s="116">
        <v>132.905</v>
      </c>
      <c r="N412" s="116">
        <v>138.75</v>
      </c>
      <c r="O412" s="116">
        <v>132.125</v>
      </c>
      <c r="P412" s="116">
        <v>133.4</v>
      </c>
      <c r="Q412" s="116">
        <v>1329.05</v>
      </c>
      <c r="R412">
        <v>790092</v>
      </c>
    </row>
    <row r="413" spans="1:18" x14ac:dyDescent="0.25">
      <c r="A413" s="170">
        <v>44711</v>
      </c>
      <c r="B413" s="116">
        <v>143</v>
      </c>
      <c r="C413" s="116">
        <v>141.75</v>
      </c>
      <c r="D413" s="116">
        <v>135.09</v>
      </c>
      <c r="E413" s="116">
        <v>136.9</v>
      </c>
      <c r="F413" s="116">
        <v>1417.5</v>
      </c>
      <c r="G413">
        <v>32830</v>
      </c>
      <c r="H413" s="116"/>
      <c r="I413" s="116"/>
      <c r="L413" s="170">
        <v>44711</v>
      </c>
      <c r="M413" s="116">
        <v>141.83500000000001</v>
      </c>
      <c r="N413" s="116">
        <v>143</v>
      </c>
      <c r="O413" s="116">
        <v>135.1</v>
      </c>
      <c r="P413" s="116">
        <v>135.80000000000001</v>
      </c>
      <c r="Q413" s="116">
        <v>1418.35</v>
      </c>
      <c r="R413">
        <v>1096347</v>
      </c>
    </row>
    <row r="414" spans="1:18" x14ac:dyDescent="0.25">
      <c r="A414" s="170">
        <v>44712</v>
      </c>
      <c r="B414" s="116">
        <v>149.97999999999999</v>
      </c>
      <c r="C414" s="116">
        <v>147.435</v>
      </c>
      <c r="D414" s="116">
        <v>140.005</v>
      </c>
      <c r="E414" s="116">
        <v>141.99</v>
      </c>
      <c r="F414" s="116">
        <v>1474.35</v>
      </c>
      <c r="G414">
        <v>41090</v>
      </c>
      <c r="H414" s="116"/>
      <c r="I414" s="116"/>
      <c r="L414" s="170">
        <v>44712</v>
      </c>
      <c r="M414" s="116">
        <v>147.55000000000001</v>
      </c>
      <c r="N414" s="116">
        <v>149.86500000000001</v>
      </c>
      <c r="O414" s="116">
        <v>140.05500000000001</v>
      </c>
      <c r="P414" s="116">
        <v>142</v>
      </c>
      <c r="Q414" s="116">
        <v>1475.5</v>
      </c>
      <c r="R414">
        <v>1262001</v>
      </c>
    </row>
    <row r="415" spans="1:18" x14ac:dyDescent="0.25">
      <c r="A415" s="170">
        <v>44713</v>
      </c>
      <c r="B415" s="116">
        <v>153.77500000000001</v>
      </c>
      <c r="C415" s="116">
        <v>149.37</v>
      </c>
      <c r="D415" s="116">
        <v>146.47</v>
      </c>
      <c r="E415" s="116">
        <v>147.9</v>
      </c>
      <c r="F415" s="116">
        <v>1493.7</v>
      </c>
      <c r="G415">
        <v>66190</v>
      </c>
      <c r="H415" s="116"/>
      <c r="I415" s="116"/>
      <c r="L415" s="170">
        <v>44713</v>
      </c>
      <c r="M415" s="116">
        <v>149.41499999999999</v>
      </c>
      <c r="N415" s="116">
        <v>153.80000000000001</v>
      </c>
      <c r="O415" s="116">
        <v>146.39500000000001</v>
      </c>
      <c r="P415" s="116">
        <v>149.02500000000001</v>
      </c>
      <c r="Q415" s="116">
        <v>1494.15</v>
      </c>
      <c r="R415">
        <v>1493347</v>
      </c>
    </row>
    <row r="416" spans="1:18" x14ac:dyDescent="0.25">
      <c r="A416" s="170">
        <v>44714</v>
      </c>
      <c r="B416" s="116">
        <v>150.745</v>
      </c>
      <c r="C416" s="116">
        <v>147.9</v>
      </c>
      <c r="D416" s="116">
        <v>146.58500000000001</v>
      </c>
      <c r="E416" s="116">
        <v>149.5</v>
      </c>
      <c r="F416" s="116">
        <v>1479</v>
      </c>
      <c r="G416">
        <v>22347</v>
      </c>
      <c r="H416" s="116"/>
      <c r="I416" s="116"/>
      <c r="L416" s="170">
        <v>44714</v>
      </c>
      <c r="M416" s="116">
        <v>147.88499999999999</v>
      </c>
      <c r="N416" s="116">
        <v>150.78</v>
      </c>
      <c r="O416" s="116">
        <v>146.58000000000001</v>
      </c>
      <c r="P416" s="116">
        <v>149.37</v>
      </c>
      <c r="Q416" s="116">
        <v>1478.85</v>
      </c>
      <c r="R416">
        <v>584244</v>
      </c>
    </row>
    <row r="417" spans="1:18" x14ac:dyDescent="0.25">
      <c r="A417" s="170">
        <v>44715</v>
      </c>
      <c r="B417" s="116">
        <v>155.56</v>
      </c>
      <c r="C417" s="116">
        <v>148.72999999999999</v>
      </c>
      <c r="D417" s="116">
        <v>147.72499999999999</v>
      </c>
      <c r="E417" s="116">
        <v>150.1</v>
      </c>
      <c r="F417" s="116">
        <v>1487.3</v>
      </c>
      <c r="G417">
        <v>58712</v>
      </c>
      <c r="H417" s="116"/>
      <c r="I417" s="116"/>
      <c r="L417" s="170">
        <v>44715</v>
      </c>
      <c r="M417" s="116">
        <v>148.76</v>
      </c>
      <c r="N417" s="116">
        <v>155.57</v>
      </c>
      <c r="O417" s="116">
        <v>148</v>
      </c>
      <c r="P417" s="116">
        <v>149.69999999999999</v>
      </c>
      <c r="Q417" s="116">
        <v>1487.6</v>
      </c>
      <c r="R417">
        <v>1021588</v>
      </c>
    </row>
    <row r="418" spans="1:18" x14ac:dyDescent="0.25">
      <c r="A418" s="170">
        <v>44718</v>
      </c>
      <c r="B418" s="116">
        <v>151.77000000000001</v>
      </c>
      <c r="C418" s="116">
        <v>145.34</v>
      </c>
      <c r="D418" s="116">
        <v>143.31</v>
      </c>
      <c r="E418" s="116">
        <v>151.77000000000001</v>
      </c>
      <c r="F418" s="116">
        <v>1453.4</v>
      </c>
      <c r="G418">
        <v>18002</v>
      </c>
      <c r="H418" s="116"/>
      <c r="I418" s="116"/>
      <c r="L418" s="170">
        <v>44718</v>
      </c>
      <c r="M418" s="116">
        <v>145.375</v>
      </c>
      <c r="N418" s="116">
        <v>148.6</v>
      </c>
      <c r="O418" s="116">
        <v>143</v>
      </c>
      <c r="P418" s="116">
        <v>148.6</v>
      </c>
      <c r="Q418" s="116">
        <v>1453.75</v>
      </c>
      <c r="R418">
        <v>405708</v>
      </c>
    </row>
    <row r="419" spans="1:18" x14ac:dyDescent="0.25">
      <c r="A419" s="170">
        <v>44719</v>
      </c>
      <c r="B419" s="116">
        <v>150.25</v>
      </c>
      <c r="C419" s="116">
        <v>147.97499999999999</v>
      </c>
      <c r="D419" s="116">
        <v>143.5</v>
      </c>
      <c r="E419" s="116">
        <v>144</v>
      </c>
      <c r="F419" s="116">
        <v>1479.75</v>
      </c>
      <c r="G419">
        <v>25156</v>
      </c>
      <c r="H419" s="116"/>
      <c r="I419" s="116"/>
      <c r="L419" s="170">
        <v>44719</v>
      </c>
      <c r="M419" s="116">
        <v>148.12</v>
      </c>
      <c r="N419" s="116">
        <v>150.4</v>
      </c>
      <c r="O419" s="116">
        <v>143.28</v>
      </c>
      <c r="P419" s="116">
        <v>143.5</v>
      </c>
      <c r="Q419" s="116">
        <v>1481.2</v>
      </c>
      <c r="R419">
        <v>684326</v>
      </c>
    </row>
    <row r="420" spans="1:18" x14ac:dyDescent="0.25">
      <c r="A420" s="170">
        <v>44720</v>
      </c>
      <c r="B420" s="116">
        <v>152.065</v>
      </c>
      <c r="C420" s="116">
        <v>147.38999999999999</v>
      </c>
      <c r="D420" s="116">
        <v>145.35</v>
      </c>
      <c r="E420" s="116">
        <v>149.07499999999999</v>
      </c>
      <c r="F420" s="116">
        <v>1473.9</v>
      </c>
      <c r="G420">
        <v>39182</v>
      </c>
      <c r="H420" s="116"/>
      <c r="I420" s="116"/>
      <c r="L420" s="170">
        <v>44720</v>
      </c>
      <c r="M420" s="116">
        <v>147.49</v>
      </c>
      <c r="N420" s="116">
        <v>152</v>
      </c>
      <c r="O420" s="116">
        <v>145.01</v>
      </c>
      <c r="P420" s="116">
        <v>149.4</v>
      </c>
      <c r="Q420" s="116">
        <v>1474.9</v>
      </c>
      <c r="R420">
        <v>756242</v>
      </c>
    </row>
    <row r="421" spans="1:18" x14ac:dyDescent="0.25">
      <c r="A421" s="170">
        <v>44721</v>
      </c>
      <c r="B421" s="116">
        <v>150.38499999999999</v>
      </c>
      <c r="C421" s="116">
        <v>147.93</v>
      </c>
      <c r="D421" s="116">
        <v>146.185</v>
      </c>
      <c r="E421" s="116">
        <v>149.80000000000001</v>
      </c>
      <c r="F421" s="116">
        <v>1479.3</v>
      </c>
      <c r="G421">
        <v>13526</v>
      </c>
      <c r="H421" s="116"/>
      <c r="I421" s="116"/>
      <c r="L421" s="170">
        <v>44721</v>
      </c>
      <c r="M421" s="116">
        <v>147.95500000000001</v>
      </c>
      <c r="N421" s="116">
        <v>150.4</v>
      </c>
      <c r="O421" s="116">
        <v>145.87</v>
      </c>
      <c r="P421" s="116">
        <v>146.5</v>
      </c>
      <c r="Q421" s="116">
        <v>1479.55</v>
      </c>
      <c r="R421">
        <v>500802</v>
      </c>
    </row>
    <row r="422" spans="1:18" x14ac:dyDescent="0.25">
      <c r="A422" s="170">
        <v>44722</v>
      </c>
      <c r="B422" s="116">
        <v>148.19</v>
      </c>
      <c r="C422" s="116">
        <v>145.25</v>
      </c>
      <c r="D422" s="116">
        <v>144.005</v>
      </c>
      <c r="E422" s="116">
        <v>147.5</v>
      </c>
      <c r="F422" s="116">
        <v>1452.5</v>
      </c>
      <c r="G422">
        <v>8605</v>
      </c>
      <c r="H422" s="116"/>
      <c r="I422" s="116"/>
      <c r="L422" s="170">
        <v>44722</v>
      </c>
      <c r="M422" s="116">
        <v>145.47</v>
      </c>
      <c r="N422" s="116">
        <v>148.19499999999999</v>
      </c>
      <c r="O422" s="116">
        <v>144</v>
      </c>
      <c r="P422" s="116">
        <v>146</v>
      </c>
      <c r="Q422" s="116">
        <v>1454.7</v>
      </c>
      <c r="R422">
        <v>320720</v>
      </c>
    </row>
    <row r="423" spans="1:18" x14ac:dyDescent="0.25">
      <c r="A423" s="170">
        <v>44725</v>
      </c>
      <c r="B423" s="116">
        <v>141</v>
      </c>
      <c r="C423" s="116">
        <v>135.5</v>
      </c>
      <c r="D423" s="116">
        <v>134.30500000000001</v>
      </c>
      <c r="E423" s="116">
        <v>141</v>
      </c>
      <c r="F423" s="116">
        <v>1355</v>
      </c>
      <c r="G423">
        <v>21060</v>
      </c>
      <c r="H423" s="116"/>
      <c r="I423" s="116"/>
      <c r="L423" s="170">
        <v>44725</v>
      </c>
      <c r="M423" s="116">
        <v>135.22</v>
      </c>
      <c r="N423" s="116">
        <v>140.88</v>
      </c>
      <c r="O423" s="116">
        <v>134.1</v>
      </c>
      <c r="P423" s="116">
        <v>140</v>
      </c>
      <c r="Q423" s="116">
        <v>1352.2</v>
      </c>
      <c r="R423">
        <v>734498</v>
      </c>
    </row>
    <row r="424" spans="1:18" x14ac:dyDescent="0.25">
      <c r="A424" s="170">
        <v>44726</v>
      </c>
      <c r="B424" s="116">
        <v>137.22499999999999</v>
      </c>
      <c r="C424" s="116">
        <v>129.26499999999999</v>
      </c>
      <c r="D424" s="116">
        <v>128.69499999999999</v>
      </c>
      <c r="E424" s="116">
        <v>135</v>
      </c>
      <c r="F424" s="116">
        <v>1292.6500000000001</v>
      </c>
      <c r="G424">
        <v>61127</v>
      </c>
      <c r="H424" s="116"/>
      <c r="I424" s="116"/>
      <c r="L424" s="170">
        <v>44726</v>
      </c>
      <c r="M424" s="116">
        <v>129.35499999999999</v>
      </c>
      <c r="N424" s="116">
        <v>137.285</v>
      </c>
      <c r="O424" s="116">
        <v>128.69</v>
      </c>
      <c r="P424" s="116">
        <v>135</v>
      </c>
      <c r="Q424" s="116">
        <v>1293.55</v>
      </c>
      <c r="R424">
        <v>700748</v>
      </c>
    </row>
    <row r="425" spans="1:18" x14ac:dyDescent="0.25">
      <c r="A425" s="170">
        <v>44727</v>
      </c>
      <c r="B425" s="116">
        <v>133.94499999999999</v>
      </c>
      <c r="C425" s="116">
        <v>126.575</v>
      </c>
      <c r="D425" s="116">
        <v>125.3</v>
      </c>
      <c r="E425" s="116">
        <v>132.495</v>
      </c>
      <c r="F425" s="116">
        <v>1265.75</v>
      </c>
      <c r="G425">
        <v>27705</v>
      </c>
      <c r="H425" s="116"/>
      <c r="I425" s="116"/>
      <c r="L425" s="170">
        <v>44727</v>
      </c>
      <c r="M425" s="116">
        <v>126.6</v>
      </c>
      <c r="N425" s="116">
        <v>134</v>
      </c>
      <c r="O425" s="116">
        <v>125.23</v>
      </c>
      <c r="P425" s="116">
        <v>131.5</v>
      </c>
      <c r="Q425" s="116">
        <v>1266</v>
      </c>
      <c r="R425">
        <v>930815</v>
      </c>
    </row>
    <row r="426" spans="1:18" x14ac:dyDescent="0.25">
      <c r="A426" s="170">
        <v>44728</v>
      </c>
      <c r="B426" s="116">
        <v>131.80000000000001</v>
      </c>
      <c r="C426" s="116">
        <v>122.16</v>
      </c>
      <c r="D426" s="116">
        <v>120.1</v>
      </c>
      <c r="E426" s="116">
        <v>129.5</v>
      </c>
      <c r="F426" s="116">
        <v>1221.5999999999999</v>
      </c>
      <c r="G426">
        <v>28978</v>
      </c>
      <c r="H426" s="116"/>
      <c r="I426" s="116"/>
      <c r="L426" s="170">
        <v>44728</v>
      </c>
      <c r="M426" s="116">
        <v>122.22</v>
      </c>
      <c r="N426" s="116">
        <v>132.9</v>
      </c>
      <c r="O426" s="116">
        <v>120</v>
      </c>
      <c r="P426" s="116">
        <v>129.4</v>
      </c>
      <c r="Q426" s="116">
        <v>1222.2</v>
      </c>
      <c r="R426">
        <v>1259273</v>
      </c>
    </row>
    <row r="427" spans="1:18" x14ac:dyDescent="0.25">
      <c r="A427" s="170">
        <v>44729</v>
      </c>
      <c r="B427" s="116">
        <v>123.61499999999999</v>
      </c>
      <c r="C427" s="116">
        <v>119.49</v>
      </c>
      <c r="D427" s="116">
        <v>117.55</v>
      </c>
      <c r="E427" s="116">
        <v>121.88</v>
      </c>
      <c r="F427" s="116">
        <v>1194.9000000000001</v>
      </c>
      <c r="G427">
        <v>19930</v>
      </c>
      <c r="H427" s="116"/>
      <c r="I427" s="116"/>
      <c r="L427" s="170">
        <v>44729</v>
      </c>
      <c r="M427" s="116">
        <v>119.565</v>
      </c>
      <c r="N427" s="116">
        <v>123.66</v>
      </c>
      <c r="O427" s="116">
        <v>117.505</v>
      </c>
      <c r="P427" s="116">
        <v>121.6</v>
      </c>
      <c r="Q427" s="116">
        <v>1195.6500000000001</v>
      </c>
      <c r="R427">
        <v>940787</v>
      </c>
    </row>
    <row r="428" spans="1:18" x14ac:dyDescent="0.25">
      <c r="A428" s="170">
        <v>44732</v>
      </c>
      <c r="B428" s="116">
        <v>123.075</v>
      </c>
      <c r="C428" s="116">
        <v>109.69</v>
      </c>
      <c r="D428" s="116">
        <v>106.58499999999999</v>
      </c>
      <c r="E428" s="116">
        <v>122.4</v>
      </c>
      <c r="F428" s="116">
        <v>1096.9000000000001</v>
      </c>
      <c r="G428">
        <v>46404</v>
      </c>
      <c r="H428" s="116"/>
      <c r="I428" s="116"/>
      <c r="L428" s="170">
        <v>44732</v>
      </c>
      <c r="M428" s="116">
        <v>109.69</v>
      </c>
      <c r="N428" s="116">
        <v>121.4</v>
      </c>
      <c r="O428" s="116">
        <v>106.6</v>
      </c>
      <c r="P428" s="116">
        <v>121.13</v>
      </c>
      <c r="Q428" s="116">
        <v>1096.9000000000001</v>
      </c>
      <c r="R428">
        <v>1402391</v>
      </c>
    </row>
    <row r="429" spans="1:18" x14ac:dyDescent="0.25">
      <c r="A429" s="170">
        <v>44733</v>
      </c>
      <c r="B429" s="116">
        <v>118.47499999999999</v>
      </c>
      <c r="C429" s="116">
        <v>116.455</v>
      </c>
      <c r="D429" s="116">
        <v>110.485</v>
      </c>
      <c r="E429" s="116">
        <v>113.9</v>
      </c>
      <c r="F429" s="116">
        <v>1164.55</v>
      </c>
      <c r="G429">
        <v>59563</v>
      </c>
      <c r="H429" s="116"/>
      <c r="I429" s="116"/>
      <c r="L429" s="170">
        <v>44733</v>
      </c>
      <c r="M429" s="116">
        <v>116.425</v>
      </c>
      <c r="N429" s="116">
        <v>118.44499999999999</v>
      </c>
      <c r="O429" s="116">
        <v>110.3</v>
      </c>
      <c r="P429" s="116">
        <v>113.7</v>
      </c>
      <c r="Q429" s="116">
        <v>1164.25</v>
      </c>
      <c r="R429">
        <v>1049168</v>
      </c>
    </row>
    <row r="430" spans="1:18" x14ac:dyDescent="0.25">
      <c r="A430" s="170">
        <v>44734</v>
      </c>
      <c r="B430" s="116">
        <v>117.31</v>
      </c>
      <c r="C430" s="116">
        <v>114.85</v>
      </c>
      <c r="D430" s="116">
        <v>110.005</v>
      </c>
      <c r="E430" s="116">
        <v>115</v>
      </c>
      <c r="F430" s="116">
        <v>1148.5</v>
      </c>
      <c r="G430">
        <v>56507</v>
      </c>
      <c r="H430" s="116"/>
      <c r="I430" s="116"/>
      <c r="L430" s="170">
        <v>44734</v>
      </c>
      <c r="M430" s="116">
        <v>114.845</v>
      </c>
      <c r="N430" s="116">
        <v>117.2</v>
      </c>
      <c r="O430" s="116">
        <v>110.005</v>
      </c>
      <c r="P430" s="116">
        <v>115.5</v>
      </c>
      <c r="Q430" s="116">
        <v>1148.45</v>
      </c>
      <c r="R430">
        <v>951940</v>
      </c>
    </row>
    <row r="431" spans="1:18" x14ac:dyDescent="0.25">
      <c r="A431" s="170">
        <v>44735</v>
      </c>
      <c r="B431" s="116">
        <v>118.37</v>
      </c>
      <c r="C431" s="116">
        <v>114.215</v>
      </c>
      <c r="D431" s="116">
        <v>113.405</v>
      </c>
      <c r="E431" s="116">
        <v>114.08</v>
      </c>
      <c r="F431" s="116">
        <v>1142.1500000000001</v>
      </c>
      <c r="G431">
        <v>42949</v>
      </c>
      <c r="H431" s="116"/>
      <c r="I431" s="116"/>
      <c r="L431" s="170">
        <v>44735</v>
      </c>
      <c r="M431" s="116">
        <v>114.24</v>
      </c>
      <c r="N431" s="116">
        <v>118.48</v>
      </c>
      <c r="O431" s="116">
        <v>113.55500000000001</v>
      </c>
      <c r="P431" s="116">
        <v>114.8</v>
      </c>
      <c r="Q431" s="116">
        <v>1142.4000000000001</v>
      </c>
      <c r="R431">
        <v>698407</v>
      </c>
    </row>
    <row r="432" spans="1:18" x14ac:dyDescent="0.25">
      <c r="A432" s="170">
        <v>44736</v>
      </c>
      <c r="B432" s="116">
        <v>118.5</v>
      </c>
      <c r="C432" s="116">
        <v>117.59</v>
      </c>
      <c r="D432" s="116">
        <v>115.2</v>
      </c>
      <c r="E432" s="116">
        <v>115.2</v>
      </c>
      <c r="F432" s="116">
        <v>1175.9000000000001</v>
      </c>
      <c r="G432">
        <v>16422</v>
      </c>
      <c r="H432" s="116"/>
      <c r="I432" s="116"/>
      <c r="L432" s="170">
        <v>44736</v>
      </c>
      <c r="M432" s="116">
        <v>117.72499999999999</v>
      </c>
      <c r="N432" s="116">
        <v>118.5</v>
      </c>
      <c r="O432" s="116">
        <v>115.2</v>
      </c>
      <c r="P432" s="116">
        <v>115.995</v>
      </c>
      <c r="Q432" s="116">
        <v>1177.25</v>
      </c>
      <c r="R432">
        <v>582921</v>
      </c>
    </row>
    <row r="433" spans="1:18" x14ac:dyDescent="0.25">
      <c r="A433" s="170">
        <v>44739</v>
      </c>
      <c r="B433" s="116">
        <v>127.33499999999999</v>
      </c>
      <c r="C433" s="116">
        <v>125.31</v>
      </c>
      <c r="D433" s="116">
        <v>120.3</v>
      </c>
      <c r="E433" s="116">
        <v>120.3</v>
      </c>
      <c r="F433" s="116">
        <v>1253.0999999999999</v>
      </c>
      <c r="G433">
        <v>48930</v>
      </c>
      <c r="H433" s="116"/>
      <c r="I433" s="116"/>
      <c r="L433" s="170">
        <v>44739</v>
      </c>
      <c r="M433" s="116">
        <v>124.625</v>
      </c>
      <c r="N433" s="116">
        <v>125.9</v>
      </c>
      <c r="O433" s="116">
        <v>120.16</v>
      </c>
      <c r="P433" s="116">
        <v>121.9</v>
      </c>
      <c r="Q433" s="116">
        <v>1246.25</v>
      </c>
      <c r="R433">
        <v>991063</v>
      </c>
    </row>
    <row r="434" spans="1:18" x14ac:dyDescent="0.25">
      <c r="A434" s="170">
        <v>44740</v>
      </c>
      <c r="B434" s="116">
        <v>124.6</v>
      </c>
      <c r="C434" s="116">
        <v>123</v>
      </c>
      <c r="D434" s="116">
        <v>121.25</v>
      </c>
      <c r="E434" s="116">
        <v>123</v>
      </c>
      <c r="F434" s="116">
        <v>1230</v>
      </c>
      <c r="G434">
        <v>62599</v>
      </c>
      <c r="H434" s="116"/>
      <c r="I434" s="116"/>
      <c r="L434" s="170">
        <v>44740</v>
      </c>
      <c r="M434" s="116">
        <v>122.995</v>
      </c>
      <c r="N434" s="116">
        <v>124.7</v>
      </c>
      <c r="O434" s="116">
        <v>120.1</v>
      </c>
      <c r="P434" s="116">
        <v>123.08</v>
      </c>
      <c r="Q434" s="116">
        <v>1229.95</v>
      </c>
      <c r="R434">
        <v>528123</v>
      </c>
    </row>
    <row r="435" spans="1:18" x14ac:dyDescent="0.25">
      <c r="A435" s="170">
        <v>44741</v>
      </c>
      <c r="B435" s="116">
        <v>122.8</v>
      </c>
      <c r="C435" s="116">
        <v>120.075</v>
      </c>
      <c r="D435" s="116">
        <v>119</v>
      </c>
      <c r="E435" s="116">
        <v>119</v>
      </c>
      <c r="F435" s="116">
        <v>1200.75</v>
      </c>
      <c r="G435">
        <v>25782</v>
      </c>
      <c r="H435" s="116"/>
      <c r="I435" s="116"/>
      <c r="L435" s="170">
        <v>44741</v>
      </c>
      <c r="M435" s="116">
        <v>120.175</v>
      </c>
      <c r="N435" s="116">
        <v>122.78</v>
      </c>
      <c r="O435" s="116">
        <v>119.1</v>
      </c>
      <c r="P435" s="116">
        <v>119.61</v>
      </c>
      <c r="Q435" s="116">
        <v>1201.75</v>
      </c>
      <c r="R435">
        <v>324179</v>
      </c>
    </row>
    <row r="436" spans="1:18" x14ac:dyDescent="0.25">
      <c r="A436" s="170">
        <v>44742</v>
      </c>
      <c r="B436" s="116">
        <v>123.595</v>
      </c>
      <c r="C436" s="116">
        <v>120.64</v>
      </c>
      <c r="D436" s="116">
        <v>120</v>
      </c>
      <c r="E436" s="116">
        <v>121.5</v>
      </c>
      <c r="F436" s="116">
        <v>1206.4000000000001</v>
      </c>
      <c r="G436">
        <v>19231</v>
      </c>
      <c r="H436" s="116"/>
      <c r="I436" s="116"/>
      <c r="L436" s="170">
        <v>44742</v>
      </c>
      <c r="M436" s="116">
        <v>120.62</v>
      </c>
      <c r="N436" s="116">
        <v>123.7</v>
      </c>
      <c r="O436" s="116">
        <v>120.005</v>
      </c>
      <c r="P436" s="116">
        <v>120.9</v>
      </c>
      <c r="Q436" s="116">
        <v>1206.2</v>
      </c>
      <c r="R436">
        <v>400754</v>
      </c>
    </row>
    <row r="437" spans="1:18" x14ac:dyDescent="0.25">
      <c r="A437" s="170">
        <v>44743</v>
      </c>
      <c r="B437" s="116">
        <v>122.8</v>
      </c>
      <c r="C437" s="116">
        <v>121.155</v>
      </c>
      <c r="D437" s="116">
        <v>118.3</v>
      </c>
      <c r="E437" s="116">
        <v>120</v>
      </c>
      <c r="F437" s="116">
        <v>1211.55</v>
      </c>
      <c r="G437">
        <v>25057</v>
      </c>
      <c r="H437" s="116"/>
      <c r="I437" s="116"/>
      <c r="L437" s="170">
        <v>44743</v>
      </c>
      <c r="M437" s="116">
        <v>121.125</v>
      </c>
      <c r="N437" s="116">
        <v>122.8</v>
      </c>
      <c r="O437" s="116">
        <v>118.5</v>
      </c>
      <c r="P437" s="116">
        <v>120.2</v>
      </c>
      <c r="Q437" s="116">
        <v>1211.25</v>
      </c>
      <c r="R437">
        <v>414524</v>
      </c>
    </row>
    <row r="438" spans="1:18" x14ac:dyDescent="0.25">
      <c r="A438" s="170">
        <v>44746</v>
      </c>
      <c r="B438" s="116">
        <v>127.5</v>
      </c>
      <c r="C438" s="116">
        <v>126.43</v>
      </c>
      <c r="D438" s="116">
        <v>121.675</v>
      </c>
      <c r="E438" s="116">
        <v>121.8</v>
      </c>
      <c r="F438" s="116">
        <v>1264.3</v>
      </c>
      <c r="G438">
        <v>63487</v>
      </c>
      <c r="H438" s="116"/>
      <c r="I438" s="116"/>
      <c r="L438" s="170">
        <v>44746</v>
      </c>
      <c r="M438" s="116">
        <v>126.35</v>
      </c>
      <c r="N438" s="116">
        <v>127.5</v>
      </c>
      <c r="O438" s="116">
        <v>121.5</v>
      </c>
      <c r="P438" s="116">
        <v>121.5</v>
      </c>
      <c r="Q438" s="116">
        <v>1263.5</v>
      </c>
      <c r="R438">
        <v>928727</v>
      </c>
    </row>
    <row r="439" spans="1:18" x14ac:dyDescent="0.25">
      <c r="A439" s="170">
        <v>44747</v>
      </c>
      <c r="B439" s="116">
        <v>130.375</v>
      </c>
      <c r="C439" s="116">
        <v>125.63500000000001</v>
      </c>
      <c r="D439" s="116">
        <v>125.2</v>
      </c>
      <c r="E439" s="116">
        <v>127.6</v>
      </c>
      <c r="F439" s="116">
        <v>1256.3499999999999</v>
      </c>
      <c r="G439">
        <v>65546</v>
      </c>
      <c r="H439" s="116"/>
      <c r="I439" s="116"/>
      <c r="L439" s="170">
        <v>44747</v>
      </c>
      <c r="M439" s="116">
        <v>125.705</v>
      </c>
      <c r="N439" s="116">
        <v>130.44999999999999</v>
      </c>
      <c r="O439" s="116">
        <v>125.2</v>
      </c>
      <c r="P439" s="116">
        <v>127.345</v>
      </c>
      <c r="Q439" s="116">
        <v>1257.05</v>
      </c>
      <c r="R439">
        <v>700245</v>
      </c>
    </row>
    <row r="440" spans="1:18" x14ac:dyDescent="0.25">
      <c r="A440" s="170">
        <v>44748</v>
      </c>
      <c r="B440" s="116">
        <v>127.44499999999999</v>
      </c>
      <c r="C440" s="116">
        <v>124.94499999999999</v>
      </c>
      <c r="D440" s="116">
        <v>122.245</v>
      </c>
      <c r="E440" s="116">
        <v>126.5</v>
      </c>
      <c r="F440" s="116">
        <v>1249.45</v>
      </c>
      <c r="G440">
        <v>25275</v>
      </c>
      <c r="H440" s="116"/>
      <c r="I440" s="116"/>
      <c r="L440" s="170">
        <v>44748</v>
      </c>
      <c r="M440" s="116">
        <v>124.845</v>
      </c>
      <c r="N440" s="116">
        <v>127.48</v>
      </c>
      <c r="O440" s="116">
        <v>122.2</v>
      </c>
      <c r="P440" s="116">
        <v>126.46</v>
      </c>
      <c r="Q440" s="116">
        <v>1248.45</v>
      </c>
      <c r="R440">
        <v>613760</v>
      </c>
    </row>
    <row r="441" spans="1:18" x14ac:dyDescent="0.25">
      <c r="A441" s="170">
        <v>44749</v>
      </c>
      <c r="B441" s="116">
        <v>131</v>
      </c>
      <c r="C441" s="116">
        <v>129.89500000000001</v>
      </c>
      <c r="D441" s="116">
        <v>124.8</v>
      </c>
      <c r="E441" s="116">
        <v>127</v>
      </c>
      <c r="F441" s="116">
        <v>1298.95</v>
      </c>
      <c r="G441">
        <v>64640</v>
      </c>
      <c r="H441" s="116"/>
      <c r="I441" s="116"/>
      <c r="L441" s="170">
        <v>44749</v>
      </c>
      <c r="M441" s="116">
        <v>130</v>
      </c>
      <c r="N441" s="116">
        <v>131</v>
      </c>
      <c r="O441" s="116">
        <v>124.745</v>
      </c>
      <c r="P441" s="116">
        <v>126.51</v>
      </c>
      <c r="Q441" s="116">
        <v>1300</v>
      </c>
      <c r="R441">
        <v>568760</v>
      </c>
    </row>
    <row r="442" spans="1:18" x14ac:dyDescent="0.25">
      <c r="A442" s="170">
        <v>44750</v>
      </c>
      <c r="B442" s="116">
        <v>132.27000000000001</v>
      </c>
      <c r="C442" s="116">
        <v>128.99</v>
      </c>
      <c r="D442" s="116">
        <v>128.53</v>
      </c>
      <c r="E442" s="116">
        <v>131.5</v>
      </c>
      <c r="F442" s="116">
        <v>1289.9000000000001</v>
      </c>
      <c r="G442">
        <v>22783</v>
      </c>
      <c r="H442" s="116"/>
      <c r="I442" s="116"/>
      <c r="L442" s="170">
        <v>44750</v>
      </c>
      <c r="M442" s="116">
        <v>128.95500000000001</v>
      </c>
      <c r="N442" s="116">
        <v>132.285</v>
      </c>
      <c r="O442" s="116">
        <v>128.51</v>
      </c>
      <c r="P442" s="116">
        <v>131.5</v>
      </c>
      <c r="Q442" s="116">
        <v>1289.55</v>
      </c>
      <c r="R442">
        <v>482277</v>
      </c>
    </row>
    <row r="443" spans="1:18" x14ac:dyDescent="0.25">
      <c r="A443" s="170">
        <v>44753</v>
      </c>
      <c r="B443" s="116">
        <v>132.30500000000001</v>
      </c>
      <c r="C443" s="116">
        <v>130.94999999999999</v>
      </c>
      <c r="D443" s="116">
        <v>127.9</v>
      </c>
      <c r="E443" s="116">
        <v>128</v>
      </c>
      <c r="F443" s="116">
        <v>1309.5</v>
      </c>
      <c r="G443">
        <v>42361</v>
      </c>
      <c r="H443" s="116"/>
      <c r="I443" s="116"/>
      <c r="L443" s="170">
        <v>44753</v>
      </c>
      <c r="M443" s="116">
        <v>130.74</v>
      </c>
      <c r="N443" s="116">
        <v>132.4</v>
      </c>
      <c r="O443" s="116">
        <v>127.9</v>
      </c>
      <c r="P443" s="116">
        <v>128.30000000000001</v>
      </c>
      <c r="Q443" s="116">
        <v>1307.4000000000001</v>
      </c>
      <c r="R443">
        <v>464350</v>
      </c>
    </row>
    <row r="444" spans="1:18" x14ac:dyDescent="0.25">
      <c r="A444" s="170">
        <v>44754</v>
      </c>
      <c r="B444" s="116">
        <v>133.47999999999999</v>
      </c>
      <c r="C444" s="116">
        <v>132.41499999999999</v>
      </c>
      <c r="D444" s="116">
        <v>129.41999999999999</v>
      </c>
      <c r="E444" s="116">
        <v>130.96</v>
      </c>
      <c r="F444" s="116">
        <v>1324.15</v>
      </c>
      <c r="G444">
        <v>56721</v>
      </c>
      <c r="H444" s="116"/>
      <c r="I444" s="116"/>
      <c r="L444" s="170">
        <v>44754</v>
      </c>
      <c r="M444" s="116">
        <v>132.48500000000001</v>
      </c>
      <c r="N444" s="116">
        <v>133.54499999999999</v>
      </c>
      <c r="O444" s="116">
        <v>129.5</v>
      </c>
      <c r="P444" s="116">
        <v>130</v>
      </c>
      <c r="Q444" s="116">
        <v>1324.85</v>
      </c>
      <c r="R444">
        <v>522324</v>
      </c>
    </row>
    <row r="445" spans="1:18" x14ac:dyDescent="0.25">
      <c r="A445" s="170">
        <v>44755</v>
      </c>
      <c r="B445" s="116">
        <v>137.13</v>
      </c>
      <c r="C445" s="116">
        <v>131.16999999999999</v>
      </c>
      <c r="D445" s="116">
        <v>130.30500000000001</v>
      </c>
      <c r="E445" s="116">
        <v>132.41499999999999</v>
      </c>
      <c r="F445" s="116">
        <v>1311.7</v>
      </c>
      <c r="G445">
        <v>47716</v>
      </c>
      <c r="H445" s="116"/>
      <c r="I445" s="116"/>
      <c r="L445" s="170">
        <v>44755</v>
      </c>
      <c r="M445" s="116">
        <v>131.04499999999999</v>
      </c>
      <c r="N445" s="116">
        <v>137.1</v>
      </c>
      <c r="O445" s="116">
        <v>130.1</v>
      </c>
      <c r="P445" s="116">
        <v>133.1</v>
      </c>
      <c r="Q445" s="116">
        <v>1310.45</v>
      </c>
      <c r="R445">
        <v>762991</v>
      </c>
    </row>
    <row r="446" spans="1:18" x14ac:dyDescent="0.25">
      <c r="A446" s="170">
        <v>44756</v>
      </c>
      <c r="B446" s="116">
        <v>133.64500000000001</v>
      </c>
      <c r="C446" s="116">
        <v>131.23500000000001</v>
      </c>
      <c r="D446" s="116">
        <v>130.02500000000001</v>
      </c>
      <c r="E446" s="116">
        <v>132.5</v>
      </c>
      <c r="F446" s="116">
        <v>1312.35</v>
      </c>
      <c r="G446">
        <v>65246</v>
      </c>
      <c r="H446" s="116"/>
      <c r="I446" s="116"/>
      <c r="L446" s="170">
        <v>44756</v>
      </c>
      <c r="M446" s="116">
        <v>131.215</v>
      </c>
      <c r="N446" s="116">
        <v>133.80000000000001</v>
      </c>
      <c r="O446" s="116">
        <v>130.19999999999999</v>
      </c>
      <c r="P446" s="116">
        <v>132.5</v>
      </c>
      <c r="Q446" s="116">
        <v>1312.15</v>
      </c>
      <c r="R446">
        <v>506394</v>
      </c>
    </row>
    <row r="447" spans="1:18" x14ac:dyDescent="0.25">
      <c r="A447" s="170">
        <v>44757</v>
      </c>
      <c r="B447" s="116">
        <v>130.785</v>
      </c>
      <c r="C447" s="116">
        <v>128.42500000000001</v>
      </c>
      <c r="D447" s="116">
        <v>125</v>
      </c>
      <c r="E447" s="116">
        <v>127.69</v>
      </c>
      <c r="F447" s="116">
        <v>1284.25</v>
      </c>
      <c r="G447">
        <v>91663</v>
      </c>
      <c r="H447" s="116"/>
      <c r="I447" s="116"/>
      <c r="L447" s="170">
        <v>44757</v>
      </c>
      <c r="M447" s="116">
        <v>128.30000000000001</v>
      </c>
      <c r="N447" s="116">
        <v>130.83500000000001</v>
      </c>
      <c r="O447" s="116">
        <v>126.02</v>
      </c>
      <c r="P447" s="116">
        <v>127.855</v>
      </c>
      <c r="Q447" s="116">
        <v>1283</v>
      </c>
      <c r="R447">
        <v>809858</v>
      </c>
    </row>
    <row r="448" spans="1:18" x14ac:dyDescent="0.25">
      <c r="A448" s="170">
        <v>44760</v>
      </c>
      <c r="B448" s="116">
        <v>131.62</v>
      </c>
      <c r="C448" s="116">
        <v>128.62</v>
      </c>
      <c r="D448" s="116">
        <v>127.825</v>
      </c>
      <c r="E448" s="116">
        <v>131.19999999999999</v>
      </c>
      <c r="F448" s="116">
        <v>1286.2</v>
      </c>
      <c r="G448">
        <v>26613</v>
      </c>
      <c r="H448" s="116"/>
      <c r="I448" s="116"/>
      <c r="L448" s="170">
        <v>44760</v>
      </c>
      <c r="M448" s="116">
        <v>128.72999999999999</v>
      </c>
      <c r="N448" s="116">
        <v>131.79499999999999</v>
      </c>
      <c r="O448" s="116">
        <v>127.905</v>
      </c>
      <c r="P448" s="116">
        <v>131.79</v>
      </c>
      <c r="Q448" s="116">
        <v>1287.3</v>
      </c>
      <c r="R448">
        <v>515212</v>
      </c>
    </row>
    <row r="449" spans="1:18" x14ac:dyDescent="0.25">
      <c r="A449" s="170">
        <v>44761</v>
      </c>
      <c r="B449" s="116">
        <v>129.6</v>
      </c>
      <c r="C449" s="116">
        <v>128.66</v>
      </c>
      <c r="D449" s="116">
        <v>126.5</v>
      </c>
      <c r="E449" s="116">
        <v>128.5</v>
      </c>
      <c r="F449" s="116">
        <v>1286.5999999999999</v>
      </c>
      <c r="G449">
        <v>16400</v>
      </c>
      <c r="H449" s="116"/>
      <c r="I449" s="116"/>
      <c r="L449" s="170">
        <v>44761</v>
      </c>
      <c r="M449" s="116">
        <v>128.36500000000001</v>
      </c>
      <c r="N449" s="116">
        <v>129.5</v>
      </c>
      <c r="O449" s="116">
        <v>126.43</v>
      </c>
      <c r="P449" s="116">
        <v>128.04</v>
      </c>
      <c r="Q449" s="116">
        <v>1283.6500000000001</v>
      </c>
      <c r="R449">
        <v>434989</v>
      </c>
    </row>
    <row r="450" spans="1:18" x14ac:dyDescent="0.25">
      <c r="A450" s="170">
        <v>44762</v>
      </c>
      <c r="B450" s="116">
        <v>136.25</v>
      </c>
      <c r="C450" s="116">
        <v>134.19499999999999</v>
      </c>
      <c r="D450" s="116">
        <v>130.33500000000001</v>
      </c>
      <c r="E450" s="116">
        <v>130.99</v>
      </c>
      <c r="F450" s="116">
        <v>1341.95</v>
      </c>
      <c r="G450">
        <v>72883</v>
      </c>
      <c r="H450" s="116"/>
      <c r="I450" s="116"/>
      <c r="L450" s="170">
        <v>44762</v>
      </c>
      <c r="M450" s="116">
        <v>134.22</v>
      </c>
      <c r="N450" s="116">
        <v>136.345</v>
      </c>
      <c r="O450" s="116">
        <v>130.01499999999999</v>
      </c>
      <c r="P450" s="116">
        <v>130.38</v>
      </c>
      <c r="Q450" s="116">
        <v>1342.2</v>
      </c>
      <c r="R450">
        <v>1263076</v>
      </c>
    </row>
    <row r="451" spans="1:18" x14ac:dyDescent="0.25">
      <c r="A451" s="170">
        <v>44763</v>
      </c>
      <c r="B451" s="116">
        <v>142.1</v>
      </c>
      <c r="C451" s="116">
        <v>138.83000000000001</v>
      </c>
      <c r="D451" s="116">
        <v>132.44499999999999</v>
      </c>
      <c r="E451" s="116">
        <v>133.5</v>
      </c>
      <c r="F451" s="116">
        <v>1388.3</v>
      </c>
      <c r="G451">
        <v>31570</v>
      </c>
      <c r="H451" s="116"/>
      <c r="I451" s="116"/>
      <c r="L451" s="170">
        <v>44763</v>
      </c>
      <c r="M451" s="116">
        <v>138.82499999999999</v>
      </c>
      <c r="N451" s="116">
        <v>141.80000000000001</v>
      </c>
      <c r="O451" s="116">
        <v>132.5</v>
      </c>
      <c r="P451" s="116">
        <v>133.4</v>
      </c>
      <c r="Q451" s="116">
        <v>1388.25</v>
      </c>
      <c r="R451">
        <v>654349</v>
      </c>
    </row>
    <row r="452" spans="1:18" x14ac:dyDescent="0.25">
      <c r="A452" s="170">
        <v>44764</v>
      </c>
      <c r="B452" s="116">
        <v>146.95500000000001</v>
      </c>
      <c r="C452" s="116">
        <v>144.99</v>
      </c>
      <c r="D452" s="116">
        <v>140.06</v>
      </c>
      <c r="E452" s="116">
        <v>140.80000000000001</v>
      </c>
      <c r="F452" s="116">
        <v>1449.9</v>
      </c>
      <c r="G452">
        <v>109299</v>
      </c>
      <c r="H452" s="116"/>
      <c r="I452" s="116"/>
      <c r="L452" s="170">
        <v>44764</v>
      </c>
      <c r="M452" s="116">
        <v>144.94</v>
      </c>
      <c r="N452" s="116">
        <v>146.9</v>
      </c>
      <c r="O452" s="116">
        <v>140</v>
      </c>
      <c r="P452" s="116">
        <v>140</v>
      </c>
      <c r="Q452" s="116">
        <v>1449.4</v>
      </c>
      <c r="R452">
        <v>1340162</v>
      </c>
    </row>
    <row r="453" spans="1:18" x14ac:dyDescent="0.25">
      <c r="A453" s="170">
        <v>44767</v>
      </c>
      <c r="B453" s="116">
        <v>145.58000000000001</v>
      </c>
      <c r="C453" s="116">
        <v>141.20500000000001</v>
      </c>
      <c r="D453" s="116">
        <v>140.22</v>
      </c>
      <c r="E453" s="116">
        <v>144.99</v>
      </c>
      <c r="F453" s="116">
        <v>1412.05</v>
      </c>
      <c r="G453">
        <v>46799</v>
      </c>
      <c r="H453" s="116"/>
      <c r="I453" s="116"/>
      <c r="L453" s="170">
        <v>44767</v>
      </c>
      <c r="M453" s="116">
        <v>141.405</v>
      </c>
      <c r="N453" s="116">
        <v>145.66499999999999</v>
      </c>
      <c r="O453" s="116">
        <v>140.16999999999999</v>
      </c>
      <c r="P453" s="116">
        <v>144.9</v>
      </c>
      <c r="Q453" s="116">
        <v>1414.05</v>
      </c>
      <c r="R453">
        <v>512962</v>
      </c>
    </row>
    <row r="454" spans="1:18" x14ac:dyDescent="0.25">
      <c r="A454" s="170">
        <v>44768</v>
      </c>
      <c r="B454" s="116">
        <v>141.88999999999999</v>
      </c>
      <c r="C454" s="116">
        <v>134.91999999999999</v>
      </c>
      <c r="D454" s="116">
        <v>133.685</v>
      </c>
      <c r="E454" s="116">
        <v>141.28</v>
      </c>
      <c r="F454" s="116">
        <v>1349.2</v>
      </c>
      <c r="G454">
        <v>29471</v>
      </c>
      <c r="H454" s="116"/>
      <c r="I454" s="116"/>
      <c r="L454" s="170">
        <v>44768</v>
      </c>
      <c r="M454" s="116">
        <v>134.935</v>
      </c>
      <c r="N454" s="116">
        <v>142.13</v>
      </c>
      <c r="O454" s="116">
        <v>133.5</v>
      </c>
      <c r="P454" s="116">
        <v>142.13</v>
      </c>
      <c r="Q454" s="116">
        <v>1349.35</v>
      </c>
      <c r="R454">
        <v>409149</v>
      </c>
    </row>
    <row r="455" spans="1:18" x14ac:dyDescent="0.25">
      <c r="A455" s="170">
        <v>44769</v>
      </c>
      <c r="B455" s="116">
        <v>135.655</v>
      </c>
      <c r="C455" s="116">
        <v>134.35</v>
      </c>
      <c r="D455" s="116">
        <v>132.30000000000001</v>
      </c>
      <c r="E455" s="116">
        <v>135.1</v>
      </c>
      <c r="F455" s="116">
        <v>1343.5</v>
      </c>
      <c r="G455">
        <v>38523</v>
      </c>
      <c r="H455" s="116"/>
      <c r="I455" s="116"/>
      <c r="L455" s="170">
        <v>44769</v>
      </c>
      <c r="M455" s="116">
        <v>134.47499999999999</v>
      </c>
      <c r="N455" s="116">
        <v>135.76</v>
      </c>
      <c r="O455" s="116">
        <v>132.25</v>
      </c>
      <c r="P455" s="116">
        <v>135</v>
      </c>
      <c r="Q455" s="116">
        <v>1344.75</v>
      </c>
      <c r="R455">
        <v>362079</v>
      </c>
    </row>
    <row r="456" spans="1:18" x14ac:dyDescent="0.25">
      <c r="A456" s="170">
        <v>44770</v>
      </c>
      <c r="B456" s="116">
        <v>138.96</v>
      </c>
      <c r="C456" s="116">
        <v>136.36500000000001</v>
      </c>
      <c r="D456" s="116">
        <v>135.67500000000001</v>
      </c>
      <c r="E456" s="116">
        <v>136.49</v>
      </c>
      <c r="F456" s="116">
        <v>1363.65</v>
      </c>
      <c r="G456">
        <v>28827</v>
      </c>
      <c r="H456" s="116"/>
      <c r="I456" s="116"/>
      <c r="L456" s="170">
        <v>44770</v>
      </c>
      <c r="M456" s="116">
        <v>136.58500000000001</v>
      </c>
      <c r="N456" s="116">
        <v>138.89500000000001</v>
      </c>
      <c r="O456" s="116">
        <v>135.505</v>
      </c>
      <c r="P456" s="116">
        <v>136.32499999999999</v>
      </c>
      <c r="Q456" s="116">
        <v>1365.85</v>
      </c>
      <c r="R456">
        <v>399078</v>
      </c>
    </row>
    <row r="457" spans="1:18" x14ac:dyDescent="0.25">
      <c r="A457" s="170">
        <v>44771</v>
      </c>
      <c r="B457" s="116">
        <v>138.995</v>
      </c>
      <c r="C457" s="116">
        <v>136.53</v>
      </c>
      <c r="D457" s="116">
        <v>135.73500000000001</v>
      </c>
      <c r="E457" s="116">
        <v>138.9</v>
      </c>
      <c r="F457" s="116">
        <v>1365.3</v>
      </c>
      <c r="G457">
        <v>18094</v>
      </c>
      <c r="H457" s="116"/>
      <c r="I457" s="116"/>
      <c r="L457" s="170">
        <v>44771</v>
      </c>
      <c r="M457" s="116">
        <v>136.68</v>
      </c>
      <c r="N457" s="116">
        <v>138.99</v>
      </c>
      <c r="O457" s="116">
        <v>135.66999999999999</v>
      </c>
      <c r="P457" s="116">
        <v>138.5</v>
      </c>
      <c r="Q457" s="116">
        <v>1366.8</v>
      </c>
      <c r="R457">
        <v>460795</v>
      </c>
    </row>
    <row r="458" spans="1:18" x14ac:dyDescent="0.25">
      <c r="A458" s="170">
        <v>44774</v>
      </c>
      <c r="B458" s="116">
        <v>138.54</v>
      </c>
      <c r="C458" s="116">
        <v>135.97999999999999</v>
      </c>
      <c r="D458" s="116">
        <v>135.32499999999999</v>
      </c>
      <c r="E458" s="116">
        <v>138.36000000000001</v>
      </c>
      <c r="F458" s="116">
        <v>1359.8</v>
      </c>
      <c r="G458">
        <v>19155</v>
      </c>
      <c r="H458" s="116"/>
      <c r="I458" s="116"/>
      <c r="L458" s="170">
        <v>44774</v>
      </c>
      <c r="M458" s="116">
        <v>135.86000000000001</v>
      </c>
      <c r="N458" s="116">
        <v>138.77000000000001</v>
      </c>
      <c r="O458" s="116">
        <v>135.10499999999999</v>
      </c>
      <c r="P458" s="116">
        <v>138</v>
      </c>
      <c r="Q458" s="116">
        <v>1358.6</v>
      </c>
      <c r="R458">
        <v>347599</v>
      </c>
    </row>
    <row r="459" spans="1:18" x14ac:dyDescent="0.25">
      <c r="A459" s="170">
        <v>44775</v>
      </c>
      <c r="B459" s="116">
        <v>136.935</v>
      </c>
      <c r="C459" s="116">
        <v>135.30500000000001</v>
      </c>
      <c r="D459" s="116">
        <v>133.61000000000001</v>
      </c>
      <c r="E459" s="116">
        <v>135.30000000000001</v>
      </c>
      <c r="F459" s="116">
        <v>1353.05</v>
      </c>
      <c r="G459">
        <v>28463</v>
      </c>
      <c r="H459" s="116"/>
      <c r="I459" s="116"/>
      <c r="L459" s="170">
        <v>44775</v>
      </c>
      <c r="M459" s="116">
        <v>135.38999999999999</v>
      </c>
      <c r="N459" s="116">
        <v>137</v>
      </c>
      <c r="O459" s="116">
        <v>133.63499999999999</v>
      </c>
      <c r="P459" s="116">
        <v>136.52500000000001</v>
      </c>
      <c r="Q459" s="116">
        <v>1353.9</v>
      </c>
      <c r="R459">
        <v>389121</v>
      </c>
    </row>
    <row r="460" spans="1:18" x14ac:dyDescent="0.25">
      <c r="A460" s="170">
        <v>44776</v>
      </c>
      <c r="B460" s="116">
        <v>137.98500000000001</v>
      </c>
      <c r="C460" s="116">
        <v>131.36500000000001</v>
      </c>
      <c r="D460" s="116">
        <v>129.05000000000001</v>
      </c>
      <c r="E460" s="116">
        <v>135.03</v>
      </c>
      <c r="F460" s="116">
        <v>1313.65</v>
      </c>
      <c r="G460">
        <v>15599</v>
      </c>
      <c r="H460" s="116"/>
      <c r="I460" s="116"/>
      <c r="L460" s="170">
        <v>44776</v>
      </c>
      <c r="M460" s="116">
        <v>131.31</v>
      </c>
      <c r="N460" s="116">
        <v>137.94999999999999</v>
      </c>
      <c r="O460" s="116">
        <v>128.89500000000001</v>
      </c>
      <c r="P460" s="116">
        <v>136.5</v>
      </c>
      <c r="Q460" s="116">
        <v>1313.1</v>
      </c>
      <c r="R460">
        <v>443072</v>
      </c>
    </row>
    <row r="461" spans="1:18" x14ac:dyDescent="0.25">
      <c r="A461" s="170">
        <v>44777</v>
      </c>
      <c r="B461" s="116">
        <v>132.98500000000001</v>
      </c>
      <c r="C461" s="116">
        <v>125.425</v>
      </c>
      <c r="D461" s="116">
        <v>124.4</v>
      </c>
      <c r="E461" s="116">
        <v>132.98500000000001</v>
      </c>
      <c r="F461" s="116">
        <v>1254.25</v>
      </c>
      <c r="G461">
        <v>86739</v>
      </c>
      <c r="H461" s="116"/>
      <c r="I461" s="116"/>
      <c r="L461" s="170">
        <v>44777</v>
      </c>
      <c r="M461" s="116">
        <v>125.32</v>
      </c>
      <c r="N461" s="116">
        <v>132.72999999999999</v>
      </c>
      <c r="O461" s="116">
        <v>124.22</v>
      </c>
      <c r="P461" s="116">
        <v>132.5</v>
      </c>
      <c r="Q461" s="116">
        <v>1253.2</v>
      </c>
      <c r="R461">
        <v>909859</v>
      </c>
    </row>
    <row r="462" spans="1:18" x14ac:dyDescent="0.25">
      <c r="A462" s="170">
        <v>44778</v>
      </c>
      <c r="B462" s="116">
        <v>128.69499999999999</v>
      </c>
      <c r="C462" s="116">
        <v>127.155</v>
      </c>
      <c r="D462" s="116">
        <v>126</v>
      </c>
      <c r="E462" s="116">
        <v>127</v>
      </c>
      <c r="F462" s="116">
        <v>1271.55</v>
      </c>
      <c r="G462">
        <v>31970</v>
      </c>
      <c r="H462" s="116"/>
      <c r="I462" s="116"/>
      <c r="L462" s="170">
        <v>44778</v>
      </c>
      <c r="M462" s="116">
        <v>127.06</v>
      </c>
      <c r="N462" s="116">
        <v>128.69999999999999</v>
      </c>
      <c r="O462" s="116">
        <v>126</v>
      </c>
      <c r="P462" s="116">
        <v>126.8</v>
      </c>
      <c r="Q462" s="116">
        <v>1270.5999999999999</v>
      </c>
      <c r="R462">
        <v>427048</v>
      </c>
    </row>
    <row r="463" spans="1:18" x14ac:dyDescent="0.25">
      <c r="A463" s="170">
        <v>44781</v>
      </c>
      <c r="B463" s="116">
        <v>129.905</v>
      </c>
      <c r="C463" s="116">
        <v>128.80500000000001</v>
      </c>
      <c r="D463" s="116">
        <v>127.29</v>
      </c>
      <c r="E463" s="116">
        <v>128.5</v>
      </c>
      <c r="F463" s="116">
        <v>1288.05</v>
      </c>
      <c r="G463">
        <v>26731</v>
      </c>
      <c r="H463" s="116"/>
      <c r="I463" s="116"/>
      <c r="L463" s="170">
        <v>44781</v>
      </c>
      <c r="M463" s="116">
        <v>128.77500000000001</v>
      </c>
      <c r="N463" s="116">
        <v>129.9</v>
      </c>
      <c r="O463" s="116">
        <v>127.3</v>
      </c>
      <c r="P463" s="116">
        <v>128.44</v>
      </c>
      <c r="Q463" s="116">
        <v>1287.75</v>
      </c>
      <c r="R463">
        <v>360949</v>
      </c>
    </row>
    <row r="464" spans="1:18" x14ac:dyDescent="0.25">
      <c r="A464" s="170">
        <v>44783</v>
      </c>
      <c r="B464" s="116">
        <v>130.07499999999999</v>
      </c>
      <c r="C464" s="116">
        <v>126.425</v>
      </c>
      <c r="D464" s="116">
        <v>125.74</v>
      </c>
      <c r="E464" s="116">
        <v>128.96</v>
      </c>
      <c r="F464" s="116">
        <v>1264.25</v>
      </c>
      <c r="G464">
        <v>25509</v>
      </c>
      <c r="H464" s="116"/>
      <c r="I464" s="116"/>
      <c r="L464" s="170">
        <v>44783</v>
      </c>
      <c r="M464" s="116">
        <v>126.41500000000001</v>
      </c>
      <c r="N464" s="116">
        <v>129.67500000000001</v>
      </c>
      <c r="O464" s="116">
        <v>125.6</v>
      </c>
      <c r="P464" s="116">
        <v>128.92500000000001</v>
      </c>
      <c r="Q464" s="116">
        <v>1264.1500000000001</v>
      </c>
      <c r="R464">
        <v>316931</v>
      </c>
    </row>
    <row r="465" spans="1:18" x14ac:dyDescent="0.25">
      <c r="A465" s="170">
        <v>44784</v>
      </c>
      <c r="B465" s="116">
        <v>131.19999999999999</v>
      </c>
      <c r="C465" s="116">
        <v>130.83000000000001</v>
      </c>
      <c r="D465" s="116">
        <v>125.9</v>
      </c>
      <c r="E465" s="116">
        <v>128</v>
      </c>
      <c r="F465" s="116">
        <v>1308.3</v>
      </c>
      <c r="G465">
        <v>61120</v>
      </c>
      <c r="H465" s="116"/>
      <c r="I465" s="116"/>
      <c r="L465" s="170">
        <v>44784</v>
      </c>
      <c r="M465" s="116">
        <v>130.85499999999999</v>
      </c>
      <c r="N465" s="116">
        <v>131.33500000000001</v>
      </c>
      <c r="O465" s="116">
        <v>125.5</v>
      </c>
      <c r="P465" s="116">
        <v>128</v>
      </c>
      <c r="Q465" s="116">
        <v>1308.55</v>
      </c>
      <c r="R465">
        <v>659984</v>
      </c>
    </row>
    <row r="466" spans="1:18" x14ac:dyDescent="0.25">
      <c r="A466" s="170">
        <v>44785</v>
      </c>
      <c r="B466" s="116">
        <v>130.655</v>
      </c>
      <c r="C466" s="116">
        <v>128.125</v>
      </c>
      <c r="D466" s="116">
        <v>127.4</v>
      </c>
      <c r="E466" s="116">
        <v>130</v>
      </c>
      <c r="F466" s="116">
        <v>1281.25</v>
      </c>
      <c r="G466">
        <v>22806</v>
      </c>
      <c r="H466" s="116"/>
      <c r="I466" s="116"/>
      <c r="L466" s="170">
        <v>44785</v>
      </c>
      <c r="M466" s="116">
        <v>128.22499999999999</v>
      </c>
      <c r="N466" s="116">
        <v>130.80000000000001</v>
      </c>
      <c r="O466" s="116">
        <v>127</v>
      </c>
      <c r="P466" s="116">
        <v>129.5</v>
      </c>
      <c r="Q466" s="116">
        <v>1282.25</v>
      </c>
      <c r="R466">
        <v>319596</v>
      </c>
    </row>
    <row r="467" spans="1:18" x14ac:dyDescent="0.25">
      <c r="A467" s="170">
        <v>44789</v>
      </c>
      <c r="B467" s="116">
        <v>130.255</v>
      </c>
      <c r="C467" s="116">
        <v>128.84</v>
      </c>
      <c r="D467" s="116">
        <v>127.3</v>
      </c>
      <c r="E467" s="116">
        <v>128.1</v>
      </c>
      <c r="F467" s="116">
        <v>1288.4000000000001</v>
      </c>
      <c r="G467">
        <v>13964</v>
      </c>
      <c r="H467" s="116"/>
      <c r="I467" s="116"/>
      <c r="L467" s="170">
        <v>44789</v>
      </c>
      <c r="M467" s="116">
        <v>128.66499999999999</v>
      </c>
      <c r="N467" s="116">
        <v>130.49</v>
      </c>
      <c r="O467" s="116">
        <v>127.19499999999999</v>
      </c>
      <c r="P467" s="116">
        <v>128.80000000000001</v>
      </c>
      <c r="Q467" s="116">
        <v>1286.6500000000001</v>
      </c>
      <c r="R467">
        <v>415090</v>
      </c>
    </row>
    <row r="468" spans="1:18" x14ac:dyDescent="0.25">
      <c r="A468" s="170">
        <v>44790</v>
      </c>
      <c r="B468" s="116">
        <v>132.5</v>
      </c>
      <c r="C468" s="116">
        <v>131.94999999999999</v>
      </c>
      <c r="D468" s="116">
        <v>128.30000000000001</v>
      </c>
      <c r="E468" s="116">
        <v>128.30000000000001</v>
      </c>
      <c r="F468" s="116">
        <v>1319.5</v>
      </c>
      <c r="G468">
        <v>54675</v>
      </c>
      <c r="H468" s="116"/>
      <c r="I468" s="116"/>
      <c r="L468" s="170">
        <v>44790</v>
      </c>
      <c r="M468" s="116">
        <v>131.94999999999999</v>
      </c>
      <c r="N468" s="116">
        <v>132.5</v>
      </c>
      <c r="O468" s="116">
        <v>128.72</v>
      </c>
      <c r="P468" s="116">
        <v>129.245</v>
      </c>
      <c r="Q468" s="116">
        <v>1319.5</v>
      </c>
      <c r="R468">
        <v>568570</v>
      </c>
    </row>
    <row r="469" spans="1:18" x14ac:dyDescent="0.25">
      <c r="A469" s="170">
        <v>44791</v>
      </c>
      <c r="B469" s="116">
        <v>135.405</v>
      </c>
      <c r="C469" s="116">
        <v>133.19</v>
      </c>
      <c r="D469" s="116">
        <v>131.01499999999999</v>
      </c>
      <c r="E469" s="116">
        <v>132.47999999999999</v>
      </c>
      <c r="F469" s="116">
        <v>1331.9</v>
      </c>
      <c r="G469">
        <v>48912</v>
      </c>
      <c r="H469" s="116"/>
      <c r="I469" s="116"/>
      <c r="L469" s="170">
        <v>44791</v>
      </c>
      <c r="M469" s="116">
        <v>133.11500000000001</v>
      </c>
      <c r="N469" s="116">
        <v>135.4</v>
      </c>
      <c r="O469" s="116">
        <v>131.08000000000001</v>
      </c>
      <c r="P469" s="116">
        <v>132.6</v>
      </c>
      <c r="Q469" s="116">
        <v>1331.15</v>
      </c>
      <c r="R469">
        <v>562139</v>
      </c>
    </row>
    <row r="470" spans="1:18" x14ac:dyDescent="0.25">
      <c r="A470" s="170">
        <v>44792</v>
      </c>
      <c r="B470" s="116">
        <v>133.935</v>
      </c>
      <c r="C470" s="116">
        <v>129.51</v>
      </c>
      <c r="D470" s="116">
        <v>128.4</v>
      </c>
      <c r="E470" s="116">
        <v>132.1</v>
      </c>
      <c r="F470" s="116">
        <v>1295.0999999999999</v>
      </c>
      <c r="G470">
        <v>53029</v>
      </c>
      <c r="H470" s="116"/>
      <c r="I470" s="116"/>
      <c r="L470" s="170">
        <v>44792</v>
      </c>
      <c r="M470" s="116">
        <v>129.505</v>
      </c>
      <c r="N470" s="116">
        <v>134</v>
      </c>
      <c r="O470" s="116">
        <v>128.505</v>
      </c>
      <c r="P470" s="116">
        <v>132.19999999999999</v>
      </c>
      <c r="Q470" s="116">
        <v>1295.05</v>
      </c>
      <c r="R470">
        <v>358052</v>
      </c>
    </row>
    <row r="471" spans="1:18" x14ac:dyDescent="0.25">
      <c r="A471" s="170">
        <v>44795</v>
      </c>
      <c r="B471" s="116">
        <v>131.22999999999999</v>
      </c>
      <c r="C471" s="116">
        <v>129.37</v>
      </c>
      <c r="D471" s="116">
        <v>127</v>
      </c>
      <c r="E471" s="116">
        <v>127</v>
      </c>
      <c r="F471" s="116">
        <v>1293.7</v>
      </c>
      <c r="G471">
        <v>37835</v>
      </c>
      <c r="H471" s="116"/>
      <c r="I471" s="116"/>
      <c r="L471" s="170">
        <v>44795</v>
      </c>
      <c r="M471" s="116">
        <v>129.30500000000001</v>
      </c>
      <c r="N471" s="116">
        <v>131.25</v>
      </c>
      <c r="O471" s="116">
        <v>127.5</v>
      </c>
      <c r="P471" s="116">
        <v>128</v>
      </c>
      <c r="Q471" s="116">
        <v>1293.05</v>
      </c>
      <c r="R471">
        <v>311406</v>
      </c>
    </row>
    <row r="472" spans="1:18" x14ac:dyDescent="0.25">
      <c r="A472" s="170">
        <v>44796</v>
      </c>
      <c r="B472" s="116">
        <v>129.69499999999999</v>
      </c>
      <c r="C472" s="116">
        <v>127.795</v>
      </c>
      <c r="D472" s="116">
        <v>126.5</v>
      </c>
      <c r="E472" s="116">
        <v>126.5</v>
      </c>
      <c r="F472" s="116">
        <v>1277.95</v>
      </c>
      <c r="G472">
        <v>40821</v>
      </c>
      <c r="H472" s="116"/>
      <c r="I472" s="116"/>
      <c r="L472" s="170">
        <v>44796</v>
      </c>
      <c r="M472" s="116">
        <v>127.89</v>
      </c>
      <c r="N472" s="116">
        <v>129.82</v>
      </c>
      <c r="O472" s="116">
        <v>126.4</v>
      </c>
      <c r="P472" s="116">
        <v>126.66</v>
      </c>
      <c r="Q472" s="116">
        <v>1278.9000000000001</v>
      </c>
      <c r="R472">
        <v>297064</v>
      </c>
    </row>
    <row r="473" spans="1:18" x14ac:dyDescent="0.25">
      <c r="A473" s="170">
        <v>44797</v>
      </c>
      <c r="B473" s="116">
        <v>130</v>
      </c>
      <c r="C473" s="116">
        <v>126.45</v>
      </c>
      <c r="D473" s="116">
        <v>125.785</v>
      </c>
      <c r="E473" s="116">
        <v>129</v>
      </c>
      <c r="F473" s="116">
        <v>1264.5</v>
      </c>
      <c r="G473">
        <v>18775</v>
      </c>
      <c r="H473" s="116"/>
      <c r="I473" s="116"/>
      <c r="L473" s="170">
        <v>44797</v>
      </c>
      <c r="M473" s="116">
        <v>126.47</v>
      </c>
      <c r="N473" s="116">
        <v>130.36000000000001</v>
      </c>
      <c r="O473" s="116">
        <v>125.815</v>
      </c>
      <c r="P473" s="116">
        <v>128.785</v>
      </c>
      <c r="Q473" s="116">
        <v>1264.7</v>
      </c>
      <c r="R473">
        <v>289299</v>
      </c>
    </row>
    <row r="474" spans="1:18" x14ac:dyDescent="0.25">
      <c r="A474" s="170">
        <v>44798</v>
      </c>
      <c r="B474" s="116">
        <v>132.91499999999999</v>
      </c>
      <c r="C474" s="116">
        <v>131.97999999999999</v>
      </c>
      <c r="D474" s="116">
        <v>127.175</v>
      </c>
      <c r="E474" s="116">
        <v>128.095</v>
      </c>
      <c r="F474" s="116">
        <v>1319.8</v>
      </c>
      <c r="G474">
        <v>32567</v>
      </c>
      <c r="H474" s="116"/>
      <c r="I474" s="116"/>
      <c r="L474" s="170">
        <v>44798</v>
      </c>
      <c r="M474" s="116">
        <v>131.85499999999999</v>
      </c>
      <c r="N474" s="116">
        <v>132.5</v>
      </c>
      <c r="O474" s="116">
        <v>127.08499999999999</v>
      </c>
      <c r="P474" s="116">
        <v>127.935</v>
      </c>
      <c r="Q474" s="116">
        <v>1318.55</v>
      </c>
      <c r="R474">
        <v>629330</v>
      </c>
    </row>
    <row r="475" spans="1:18" x14ac:dyDescent="0.25">
      <c r="A475" s="170">
        <v>44799</v>
      </c>
      <c r="B475" s="116">
        <v>136.215</v>
      </c>
      <c r="C475" s="116">
        <v>133.245</v>
      </c>
      <c r="D475" s="116">
        <v>131.75</v>
      </c>
      <c r="E475" s="116">
        <v>132</v>
      </c>
      <c r="F475" s="116">
        <v>1332.45</v>
      </c>
      <c r="G475">
        <v>65297</v>
      </c>
      <c r="H475" s="116"/>
      <c r="I475" s="116"/>
      <c r="L475" s="170">
        <v>44799</v>
      </c>
      <c r="M475" s="116">
        <v>133.29499999999999</v>
      </c>
      <c r="N475" s="116">
        <v>136.4</v>
      </c>
      <c r="O475" s="116">
        <v>132.1</v>
      </c>
      <c r="P475" s="116">
        <v>132.6</v>
      </c>
      <c r="Q475" s="116">
        <v>1332.95</v>
      </c>
      <c r="R475">
        <v>661766</v>
      </c>
    </row>
    <row r="476" spans="1:18" x14ac:dyDescent="0.25">
      <c r="A476" s="170">
        <v>44802</v>
      </c>
      <c r="B476" s="116">
        <v>130.16</v>
      </c>
      <c r="C476" s="116">
        <v>129.30500000000001</v>
      </c>
      <c r="D476" s="116">
        <v>126.6</v>
      </c>
      <c r="E476" s="116">
        <v>126.6</v>
      </c>
      <c r="F476" s="116">
        <v>1293.05</v>
      </c>
      <c r="G476">
        <v>20686</v>
      </c>
      <c r="H476" s="116"/>
      <c r="I476" s="116"/>
      <c r="L476" s="170">
        <v>44802</v>
      </c>
      <c r="M476" s="116">
        <v>129.16499999999999</v>
      </c>
      <c r="N476" s="116">
        <v>130.30000000000001</v>
      </c>
      <c r="O476" s="116">
        <v>127.235</v>
      </c>
      <c r="P476" s="116">
        <v>127.5</v>
      </c>
      <c r="Q476" s="116">
        <v>1291.6500000000001</v>
      </c>
      <c r="R476">
        <v>325791</v>
      </c>
    </row>
    <row r="477" spans="1:18" x14ac:dyDescent="0.25">
      <c r="A477" s="170">
        <v>44803</v>
      </c>
      <c r="B477" s="116">
        <v>131.97</v>
      </c>
      <c r="C477" s="116">
        <v>130.685</v>
      </c>
      <c r="D477" s="116">
        <v>129.76</v>
      </c>
      <c r="E477" s="116">
        <v>131</v>
      </c>
      <c r="F477" s="116">
        <v>1306.8499999999999</v>
      </c>
      <c r="G477">
        <v>21421</v>
      </c>
      <c r="H477" s="116"/>
      <c r="I477" s="116"/>
      <c r="L477" s="170">
        <v>44803</v>
      </c>
      <c r="M477" s="116">
        <v>130.72999999999999</v>
      </c>
      <c r="N477" s="116">
        <v>132</v>
      </c>
      <c r="O477" s="116">
        <v>129.785</v>
      </c>
      <c r="P477" s="116">
        <v>130.745</v>
      </c>
      <c r="Q477" s="116">
        <v>1307.3</v>
      </c>
      <c r="R477">
        <v>273393</v>
      </c>
    </row>
    <row r="478" spans="1:18" x14ac:dyDescent="0.25">
      <c r="A478" s="170">
        <v>44805</v>
      </c>
      <c r="B478" s="116">
        <v>133.185</v>
      </c>
      <c r="C478" s="116">
        <v>131.63</v>
      </c>
      <c r="D478" s="116">
        <v>129.99</v>
      </c>
      <c r="E478" s="116">
        <v>130</v>
      </c>
      <c r="F478" s="116">
        <v>1316.3</v>
      </c>
      <c r="G478">
        <v>11273</v>
      </c>
      <c r="H478" s="116"/>
      <c r="I478" s="116"/>
      <c r="L478" s="170">
        <v>44805</v>
      </c>
      <c r="M478" s="116">
        <v>131.63</v>
      </c>
      <c r="N478" s="116">
        <v>133.19999999999999</v>
      </c>
      <c r="O478" s="116">
        <v>129.755</v>
      </c>
      <c r="P478" s="116">
        <v>130</v>
      </c>
      <c r="Q478" s="116">
        <v>1316.3</v>
      </c>
      <c r="R478">
        <v>296307</v>
      </c>
    </row>
    <row r="479" spans="1:18" x14ac:dyDescent="0.25">
      <c r="A479" s="170">
        <v>44806</v>
      </c>
      <c r="B479" s="116">
        <v>135.755</v>
      </c>
      <c r="C479" s="116">
        <v>132.79499999999999</v>
      </c>
      <c r="D479" s="116">
        <v>131.97</v>
      </c>
      <c r="E479" s="116">
        <v>131.97</v>
      </c>
      <c r="F479" s="116">
        <v>1327.95</v>
      </c>
      <c r="G479">
        <v>19823</v>
      </c>
      <c r="H479" s="116"/>
      <c r="I479" s="116"/>
      <c r="L479" s="170">
        <v>44806</v>
      </c>
      <c r="M479" s="116">
        <v>132.71</v>
      </c>
      <c r="N479" s="116">
        <v>135.77500000000001</v>
      </c>
      <c r="O479" s="116">
        <v>132.1</v>
      </c>
      <c r="P479" s="116">
        <v>132.46</v>
      </c>
      <c r="Q479" s="116">
        <v>1327.1</v>
      </c>
      <c r="R479">
        <v>279333</v>
      </c>
    </row>
    <row r="480" spans="1:18" x14ac:dyDescent="0.25">
      <c r="A480" s="170">
        <v>44809</v>
      </c>
      <c r="B480" s="116">
        <v>136.9</v>
      </c>
      <c r="C480" s="116">
        <v>134.01</v>
      </c>
      <c r="D480" s="116">
        <v>133.44</v>
      </c>
      <c r="E480" s="116">
        <v>134.19999999999999</v>
      </c>
      <c r="F480" s="116">
        <v>1340.1</v>
      </c>
      <c r="G480">
        <v>55701</v>
      </c>
      <c r="H480" s="116"/>
      <c r="I480" s="116"/>
      <c r="L480" s="170">
        <v>44809</v>
      </c>
      <c r="M480" s="116">
        <v>134.01499999999999</v>
      </c>
      <c r="N480" s="116">
        <v>136.9</v>
      </c>
      <c r="O480" s="116">
        <v>133.19999999999999</v>
      </c>
      <c r="P480" s="116">
        <v>134</v>
      </c>
      <c r="Q480" s="116">
        <v>1340.15</v>
      </c>
      <c r="R480">
        <v>591103</v>
      </c>
    </row>
    <row r="481" spans="1:18" x14ac:dyDescent="0.25">
      <c r="A481" s="170">
        <v>44810</v>
      </c>
      <c r="B481" s="116">
        <v>143.27500000000001</v>
      </c>
      <c r="C481" s="116">
        <v>139.04499999999999</v>
      </c>
      <c r="D481" s="116">
        <v>134.5</v>
      </c>
      <c r="E481" s="116">
        <v>134.5</v>
      </c>
      <c r="F481" s="116">
        <v>1390.45</v>
      </c>
      <c r="G481">
        <v>56093</v>
      </c>
      <c r="H481" s="116"/>
      <c r="I481" s="116"/>
      <c r="L481" s="170">
        <v>44810</v>
      </c>
      <c r="M481" s="116">
        <v>138.70500000000001</v>
      </c>
      <c r="N481" s="116">
        <v>143.38</v>
      </c>
      <c r="O481" s="116">
        <v>134.76499999999999</v>
      </c>
      <c r="P481" s="116">
        <v>135.095</v>
      </c>
      <c r="Q481" s="116">
        <v>1387.05</v>
      </c>
      <c r="R481">
        <v>1283863</v>
      </c>
    </row>
    <row r="482" spans="1:18" x14ac:dyDescent="0.25">
      <c r="A482" s="170">
        <v>44811</v>
      </c>
      <c r="B482" s="116">
        <v>151.68</v>
      </c>
      <c r="C482" s="116">
        <v>148.80500000000001</v>
      </c>
      <c r="D482" s="116">
        <v>138.69499999999999</v>
      </c>
      <c r="E482" s="116">
        <v>138.9</v>
      </c>
      <c r="F482" s="116">
        <v>1488.05</v>
      </c>
      <c r="G482">
        <v>140009</v>
      </c>
      <c r="H482" s="116"/>
      <c r="I482" s="116"/>
      <c r="L482" s="170">
        <v>44811</v>
      </c>
      <c r="M482" s="116">
        <v>148.66499999999999</v>
      </c>
      <c r="N482" s="116">
        <v>151.1</v>
      </c>
      <c r="O482" s="116">
        <v>138.57</v>
      </c>
      <c r="P482" s="116">
        <v>138.845</v>
      </c>
      <c r="Q482" s="116">
        <v>1486.65</v>
      </c>
      <c r="R482">
        <v>1543679</v>
      </c>
    </row>
    <row r="483" spans="1:18" x14ac:dyDescent="0.25">
      <c r="A483" s="170">
        <v>44812</v>
      </c>
      <c r="B483" s="116">
        <v>161.15</v>
      </c>
      <c r="C483" s="116">
        <v>159.72</v>
      </c>
      <c r="D483" s="116">
        <v>149.44</v>
      </c>
      <c r="E483" s="116">
        <v>152.05500000000001</v>
      </c>
      <c r="F483" s="116">
        <v>1597.2</v>
      </c>
      <c r="G483">
        <v>181384</v>
      </c>
      <c r="H483" s="116"/>
      <c r="I483" s="116"/>
      <c r="L483" s="170">
        <v>44812</v>
      </c>
      <c r="M483" s="116">
        <v>159.47999999999999</v>
      </c>
      <c r="N483" s="116">
        <v>161.5</v>
      </c>
      <c r="O483" s="116">
        <v>149.5</v>
      </c>
      <c r="P483" s="116">
        <v>152.785</v>
      </c>
      <c r="Q483" s="116">
        <v>1594.8</v>
      </c>
      <c r="R483">
        <v>2527666</v>
      </c>
    </row>
    <row r="484" spans="1:18" x14ac:dyDescent="0.25">
      <c r="A484" s="170">
        <v>44813</v>
      </c>
      <c r="B484" s="116">
        <v>161.91999999999999</v>
      </c>
      <c r="C484" s="116">
        <v>158.19499999999999</v>
      </c>
      <c r="D484" s="116">
        <v>156.22</v>
      </c>
      <c r="E484" s="116">
        <v>161.91999999999999</v>
      </c>
      <c r="F484" s="116">
        <v>1581.95</v>
      </c>
      <c r="G484">
        <v>93589</v>
      </c>
      <c r="H484" s="116"/>
      <c r="I484" s="116"/>
      <c r="L484" s="170">
        <v>44813</v>
      </c>
      <c r="M484" s="116">
        <v>158.255</v>
      </c>
      <c r="N484" s="116">
        <v>161.52000000000001</v>
      </c>
      <c r="O484" s="116">
        <v>156.30000000000001</v>
      </c>
      <c r="P484" s="116">
        <v>161.38499999999999</v>
      </c>
      <c r="Q484" s="116">
        <v>1582.55</v>
      </c>
      <c r="R484">
        <v>1104431</v>
      </c>
    </row>
    <row r="485" spans="1:18" x14ac:dyDescent="0.25">
      <c r="A485" s="170">
        <v>44816</v>
      </c>
      <c r="B485" s="116">
        <v>160.375</v>
      </c>
      <c r="C485" s="116">
        <v>159.4</v>
      </c>
      <c r="D485" s="116">
        <v>156.47</v>
      </c>
      <c r="E485" s="116">
        <v>157.70500000000001</v>
      </c>
      <c r="F485" s="116">
        <v>1594</v>
      </c>
      <c r="G485">
        <v>25965</v>
      </c>
      <c r="H485" s="116"/>
      <c r="I485" s="116"/>
      <c r="L485" s="170">
        <v>44816</v>
      </c>
      <c r="M485" s="116">
        <v>159.4</v>
      </c>
      <c r="N485" s="116">
        <v>160.41999999999999</v>
      </c>
      <c r="O485" s="116">
        <v>156.30500000000001</v>
      </c>
      <c r="P485" s="116">
        <v>158</v>
      </c>
      <c r="Q485" s="116">
        <v>1594</v>
      </c>
      <c r="R485">
        <v>496279</v>
      </c>
    </row>
    <row r="486" spans="1:18" x14ac:dyDescent="0.25">
      <c r="A486" s="170">
        <v>44817</v>
      </c>
      <c r="B486" s="116">
        <v>160.11000000000001</v>
      </c>
      <c r="C486" s="116">
        <v>153.08000000000001</v>
      </c>
      <c r="D486" s="116">
        <v>150.41</v>
      </c>
      <c r="E486" s="116">
        <v>159</v>
      </c>
      <c r="F486" s="116">
        <v>1530.8</v>
      </c>
      <c r="G486">
        <v>51336</v>
      </c>
      <c r="H486" s="116"/>
      <c r="I486" s="116"/>
      <c r="L486" s="170">
        <v>44817</v>
      </c>
      <c r="M486" s="116">
        <v>155.08500000000001</v>
      </c>
      <c r="N486" s="116">
        <v>160.005</v>
      </c>
      <c r="O486" s="116">
        <v>153</v>
      </c>
      <c r="P486" s="116">
        <v>159.5</v>
      </c>
      <c r="Q486" s="116">
        <v>1550.85</v>
      </c>
      <c r="R486">
        <v>400732</v>
      </c>
    </row>
    <row r="487" spans="1:18" x14ac:dyDescent="0.25">
      <c r="A487" s="170">
        <v>44818</v>
      </c>
      <c r="B487" s="116">
        <v>158.26</v>
      </c>
      <c r="C487" s="116">
        <v>156.34</v>
      </c>
      <c r="D487" s="116">
        <v>151</v>
      </c>
      <c r="E487" s="116">
        <v>151</v>
      </c>
      <c r="F487" s="116">
        <v>1563.4</v>
      </c>
      <c r="G487">
        <v>23170</v>
      </c>
      <c r="H487" s="116"/>
      <c r="I487" s="116"/>
      <c r="L487" s="170">
        <v>44818</v>
      </c>
      <c r="M487" s="116">
        <v>156.30500000000001</v>
      </c>
      <c r="N487" s="116">
        <v>158.38999999999999</v>
      </c>
      <c r="O487" s="116">
        <v>150.69999999999999</v>
      </c>
      <c r="P487" s="116">
        <v>150.69999999999999</v>
      </c>
      <c r="Q487" s="116">
        <v>1563.05</v>
      </c>
      <c r="R487">
        <v>377423</v>
      </c>
    </row>
    <row r="488" spans="1:18" x14ac:dyDescent="0.25">
      <c r="A488" s="170">
        <v>44819</v>
      </c>
      <c r="B488" s="116">
        <v>163</v>
      </c>
      <c r="C488" s="116">
        <v>158.02000000000001</v>
      </c>
      <c r="D488" s="116">
        <v>155.23500000000001</v>
      </c>
      <c r="E488" s="116">
        <v>155.23500000000001</v>
      </c>
      <c r="F488" s="116">
        <v>1580.2</v>
      </c>
      <c r="G488">
        <v>46945</v>
      </c>
      <c r="H488" s="116"/>
      <c r="I488" s="116"/>
      <c r="L488" s="170">
        <v>44819</v>
      </c>
      <c r="M488" s="116">
        <v>158.36000000000001</v>
      </c>
      <c r="N488" s="116">
        <v>163.1</v>
      </c>
      <c r="O488" s="116">
        <v>157</v>
      </c>
      <c r="P488" s="116">
        <v>157.09</v>
      </c>
      <c r="Q488" s="116">
        <v>1583.6</v>
      </c>
      <c r="R488">
        <v>606694</v>
      </c>
    </row>
    <row r="489" spans="1:18" x14ac:dyDescent="0.25">
      <c r="A489" s="170">
        <v>44820</v>
      </c>
      <c r="B489" s="116">
        <v>160.07499999999999</v>
      </c>
      <c r="C489" s="116">
        <v>156.755</v>
      </c>
      <c r="D489" s="116">
        <v>153.07499999999999</v>
      </c>
      <c r="E489" s="116">
        <v>158.19</v>
      </c>
      <c r="F489" s="116">
        <v>1567.55</v>
      </c>
      <c r="G489">
        <v>36940</v>
      </c>
      <c r="H489" s="116"/>
      <c r="I489" s="116"/>
      <c r="L489" s="170">
        <v>44820</v>
      </c>
      <c r="M489" s="116">
        <v>156.75</v>
      </c>
      <c r="N489" s="116">
        <v>160.17500000000001</v>
      </c>
      <c r="O489" s="116">
        <v>153.05000000000001</v>
      </c>
      <c r="P489" s="116">
        <v>157.5</v>
      </c>
      <c r="Q489" s="116">
        <v>1567.5</v>
      </c>
      <c r="R489">
        <v>457788</v>
      </c>
    </row>
    <row r="490" spans="1:18" x14ac:dyDescent="0.25">
      <c r="A490" s="170">
        <v>44823</v>
      </c>
      <c r="B490" s="116">
        <v>160</v>
      </c>
      <c r="C490" s="116">
        <v>157.095</v>
      </c>
      <c r="D490" s="116">
        <v>153.255</v>
      </c>
      <c r="E490" s="116">
        <v>156</v>
      </c>
      <c r="F490" s="116">
        <v>1570.95</v>
      </c>
      <c r="G490">
        <v>120841</v>
      </c>
      <c r="H490" s="116"/>
      <c r="I490" s="116"/>
      <c r="L490" s="170">
        <v>44823</v>
      </c>
      <c r="M490" s="116">
        <v>157.21</v>
      </c>
      <c r="N490" s="116">
        <v>160.095</v>
      </c>
      <c r="O490" s="116">
        <v>153.21</v>
      </c>
      <c r="P490" s="116">
        <v>156.30000000000001</v>
      </c>
      <c r="Q490" s="116">
        <v>1572.1</v>
      </c>
      <c r="R490">
        <v>358025</v>
      </c>
    </row>
    <row r="491" spans="1:18" x14ac:dyDescent="0.25">
      <c r="A491" s="170">
        <v>44824</v>
      </c>
      <c r="B491" s="116">
        <v>160</v>
      </c>
      <c r="C491" s="116">
        <v>156.565</v>
      </c>
      <c r="D491" s="116">
        <v>155.625</v>
      </c>
      <c r="E491" s="116">
        <v>160</v>
      </c>
      <c r="F491" s="116">
        <v>1565.65</v>
      </c>
      <c r="G491">
        <v>12096</v>
      </c>
      <c r="H491" s="116"/>
      <c r="I491" s="116"/>
      <c r="L491" s="170">
        <v>44824</v>
      </c>
      <c r="M491" s="116">
        <v>156.66999999999999</v>
      </c>
      <c r="N491" s="116">
        <v>160</v>
      </c>
      <c r="O491" s="116">
        <v>155.6</v>
      </c>
      <c r="P491" s="116">
        <v>160</v>
      </c>
      <c r="Q491" s="116">
        <v>1566.7</v>
      </c>
      <c r="R491">
        <v>325169</v>
      </c>
    </row>
    <row r="492" spans="1:18" x14ac:dyDescent="0.25">
      <c r="A492" s="170">
        <v>44825</v>
      </c>
      <c r="B492" s="116">
        <v>157.70500000000001</v>
      </c>
      <c r="C492" s="116">
        <v>152.92500000000001</v>
      </c>
      <c r="D492" s="116">
        <v>151.71</v>
      </c>
      <c r="E492" s="116">
        <v>156</v>
      </c>
      <c r="F492" s="116">
        <v>1529.25</v>
      </c>
      <c r="G492">
        <v>16532</v>
      </c>
      <c r="H492" s="116"/>
      <c r="I492" s="116"/>
      <c r="L492" s="170">
        <v>44825</v>
      </c>
      <c r="M492" s="116">
        <v>153.01</v>
      </c>
      <c r="N492" s="116">
        <v>157.9</v>
      </c>
      <c r="O492" s="116">
        <v>151.55500000000001</v>
      </c>
      <c r="P492" s="116">
        <v>157.44</v>
      </c>
      <c r="Q492" s="116">
        <v>1530.1</v>
      </c>
      <c r="R492">
        <v>266969</v>
      </c>
    </row>
    <row r="493" spans="1:18" x14ac:dyDescent="0.25">
      <c r="A493" s="170">
        <v>44826</v>
      </c>
      <c r="B493" s="116">
        <v>153.26</v>
      </c>
      <c r="C493" s="116">
        <v>150.73500000000001</v>
      </c>
      <c r="D493" s="116">
        <v>149.61000000000001</v>
      </c>
      <c r="E493" s="116">
        <v>152.92500000000001</v>
      </c>
      <c r="F493" s="116">
        <v>1507.35</v>
      </c>
      <c r="G493">
        <v>18718</v>
      </c>
      <c r="H493" s="116"/>
      <c r="I493" s="116"/>
      <c r="L493" s="170">
        <v>44826</v>
      </c>
      <c r="M493" s="116">
        <v>150.69999999999999</v>
      </c>
      <c r="N493" s="116">
        <v>153.78</v>
      </c>
      <c r="O493" s="116">
        <v>149.51</v>
      </c>
      <c r="P493" s="116">
        <v>153.78</v>
      </c>
      <c r="Q493" s="116">
        <v>1507</v>
      </c>
      <c r="R493">
        <v>324775</v>
      </c>
    </row>
    <row r="494" spans="1:18" x14ac:dyDescent="0.25">
      <c r="A494" s="170">
        <v>44827</v>
      </c>
      <c r="B494" s="116">
        <v>152.55000000000001</v>
      </c>
      <c r="C494" s="116">
        <v>149.24</v>
      </c>
      <c r="D494" s="116">
        <v>148.80000000000001</v>
      </c>
      <c r="E494" s="116">
        <v>150.13</v>
      </c>
      <c r="F494" s="116">
        <v>1492.4</v>
      </c>
      <c r="G494">
        <v>17739</v>
      </c>
      <c r="H494" s="116"/>
      <c r="I494" s="116"/>
      <c r="L494" s="170">
        <v>44827</v>
      </c>
      <c r="M494" s="116">
        <v>149.19</v>
      </c>
      <c r="N494" s="116">
        <v>152.69</v>
      </c>
      <c r="O494" s="116">
        <v>148.80000000000001</v>
      </c>
      <c r="P494" s="116">
        <v>150.80000000000001</v>
      </c>
      <c r="Q494" s="116">
        <v>1491.9</v>
      </c>
      <c r="R494">
        <v>155282</v>
      </c>
    </row>
    <row r="495" spans="1:18" x14ac:dyDescent="0.25">
      <c r="A495" s="170">
        <v>44830</v>
      </c>
      <c r="B495" s="116">
        <v>148.37</v>
      </c>
      <c r="C495" s="116">
        <v>138.27000000000001</v>
      </c>
      <c r="D495" s="116">
        <v>135.06</v>
      </c>
      <c r="E495" s="116">
        <v>144.97</v>
      </c>
      <c r="F495" s="116">
        <v>1382.7</v>
      </c>
      <c r="G495">
        <v>70368</v>
      </c>
      <c r="H495" s="116"/>
      <c r="I495" s="116"/>
      <c r="L495" s="170">
        <v>44830</v>
      </c>
      <c r="M495" s="116">
        <v>138.28</v>
      </c>
      <c r="N495" s="116">
        <v>148.72</v>
      </c>
      <c r="O495" s="116">
        <v>135.10499999999999</v>
      </c>
      <c r="P495" s="116">
        <v>148.72</v>
      </c>
      <c r="Q495" s="116">
        <v>1382.8</v>
      </c>
      <c r="R495">
        <v>548610</v>
      </c>
    </row>
    <row r="496" spans="1:18" x14ac:dyDescent="0.25">
      <c r="A496" s="170">
        <v>44831</v>
      </c>
      <c r="B496" s="116">
        <v>141.745</v>
      </c>
      <c r="C496" s="116">
        <v>135.95500000000001</v>
      </c>
      <c r="D496" s="116">
        <v>135.39500000000001</v>
      </c>
      <c r="E496" s="116">
        <v>137.34</v>
      </c>
      <c r="F496" s="116">
        <v>1359.55</v>
      </c>
      <c r="G496">
        <v>17742</v>
      </c>
      <c r="H496" s="116"/>
      <c r="I496" s="116"/>
      <c r="L496" s="170">
        <v>44831</v>
      </c>
      <c r="M496" s="116">
        <v>136.13</v>
      </c>
      <c r="N496" s="116">
        <v>141.74</v>
      </c>
      <c r="O496" s="116">
        <v>135.30500000000001</v>
      </c>
      <c r="P496" s="116">
        <v>138.97499999999999</v>
      </c>
      <c r="Q496" s="116">
        <v>1361.3</v>
      </c>
      <c r="R496">
        <v>297874</v>
      </c>
    </row>
    <row r="497" spans="1:18" x14ac:dyDescent="0.25">
      <c r="A497" s="170">
        <v>44832</v>
      </c>
      <c r="B497" s="116">
        <v>137.995</v>
      </c>
      <c r="C497" s="116">
        <v>130.9</v>
      </c>
      <c r="D497" s="116">
        <v>130</v>
      </c>
      <c r="E497" s="116">
        <v>135.37</v>
      </c>
      <c r="F497" s="116">
        <v>1309</v>
      </c>
      <c r="G497">
        <v>23829</v>
      </c>
      <c r="H497" s="116"/>
      <c r="I497" s="116"/>
      <c r="L497" s="170">
        <v>44832</v>
      </c>
      <c r="M497" s="116">
        <v>130.82</v>
      </c>
      <c r="N497" s="116">
        <v>137.96</v>
      </c>
      <c r="O497" s="116">
        <v>130</v>
      </c>
      <c r="P497" s="116">
        <v>135</v>
      </c>
      <c r="Q497" s="116">
        <v>1308.2</v>
      </c>
      <c r="R497">
        <v>416912</v>
      </c>
    </row>
    <row r="498" spans="1:18" x14ac:dyDescent="0.25">
      <c r="A498" s="170">
        <v>44833</v>
      </c>
      <c r="B498" s="116">
        <v>135.80000000000001</v>
      </c>
      <c r="C498" s="116">
        <v>133.05500000000001</v>
      </c>
      <c r="D498" s="116">
        <v>131.535</v>
      </c>
      <c r="E498" s="116">
        <v>132.66999999999999</v>
      </c>
      <c r="F498" s="116">
        <v>1330.55</v>
      </c>
      <c r="G498">
        <v>23036</v>
      </c>
      <c r="H498" s="116"/>
      <c r="I498" s="116"/>
      <c r="L498" s="170">
        <v>44833</v>
      </c>
      <c r="M498" s="116">
        <v>132.93</v>
      </c>
      <c r="N498" s="116">
        <v>135.9</v>
      </c>
      <c r="O498" s="116">
        <v>131.55000000000001</v>
      </c>
      <c r="P498" s="116">
        <v>133.19999999999999</v>
      </c>
      <c r="Q498" s="116">
        <v>1329.3</v>
      </c>
      <c r="R498">
        <v>267681</v>
      </c>
    </row>
    <row r="499" spans="1:18" x14ac:dyDescent="0.25">
      <c r="A499" s="170">
        <v>44834</v>
      </c>
      <c r="B499" s="116">
        <v>137.995</v>
      </c>
      <c r="C499" s="116">
        <v>136.77000000000001</v>
      </c>
      <c r="D499" s="116">
        <v>130.84</v>
      </c>
      <c r="E499" s="116">
        <v>132.80500000000001</v>
      </c>
      <c r="F499" s="116">
        <v>1367.7</v>
      </c>
      <c r="G499">
        <v>31799</v>
      </c>
      <c r="H499" s="116"/>
      <c r="I499" s="116"/>
      <c r="L499" s="170">
        <v>44834</v>
      </c>
      <c r="M499" s="116">
        <v>136.19999999999999</v>
      </c>
      <c r="N499" s="116">
        <v>137.80000000000001</v>
      </c>
      <c r="O499" s="116">
        <v>130.97999999999999</v>
      </c>
      <c r="P499" s="116">
        <v>133.595</v>
      </c>
      <c r="Q499" s="116">
        <v>1362</v>
      </c>
      <c r="R499">
        <v>297023</v>
      </c>
    </row>
    <row r="500" spans="1:18" x14ac:dyDescent="0.25">
      <c r="A500" s="170">
        <v>44837</v>
      </c>
      <c r="B500" s="116">
        <v>137.9</v>
      </c>
      <c r="C500" s="116">
        <v>136.42500000000001</v>
      </c>
      <c r="D500" s="116">
        <v>133.91999999999999</v>
      </c>
      <c r="E500" s="116">
        <v>137</v>
      </c>
      <c r="F500" s="116">
        <v>1364.25</v>
      </c>
      <c r="G500">
        <v>32427</v>
      </c>
      <c r="H500" s="116"/>
      <c r="I500" s="116"/>
      <c r="L500" s="170">
        <v>44837</v>
      </c>
      <c r="M500" s="116">
        <v>136.375</v>
      </c>
      <c r="N500" s="116">
        <v>137.84</v>
      </c>
      <c r="O500" s="116">
        <v>133.935</v>
      </c>
      <c r="P500" s="116">
        <v>136.88499999999999</v>
      </c>
      <c r="Q500" s="116">
        <v>1363.75</v>
      </c>
      <c r="R500">
        <v>230234</v>
      </c>
    </row>
    <row r="501" spans="1:18" x14ac:dyDescent="0.25">
      <c r="A501" s="170">
        <v>44838</v>
      </c>
      <c r="B501" s="116">
        <v>154.9</v>
      </c>
      <c r="C501" s="116">
        <v>153.28</v>
      </c>
      <c r="D501" s="116">
        <v>142.06</v>
      </c>
      <c r="E501" s="116">
        <v>142.06</v>
      </c>
      <c r="F501" s="116">
        <v>1532.8</v>
      </c>
      <c r="G501">
        <v>151522</v>
      </c>
      <c r="H501" s="116"/>
      <c r="I501" s="116"/>
      <c r="L501" s="170">
        <v>44838</v>
      </c>
      <c r="M501" s="116">
        <v>153.215</v>
      </c>
      <c r="N501" s="116">
        <v>155</v>
      </c>
      <c r="O501" s="116">
        <v>143.07499999999999</v>
      </c>
      <c r="P501" s="116">
        <v>144.19999999999999</v>
      </c>
      <c r="Q501" s="116">
        <v>1532.15</v>
      </c>
      <c r="R501">
        <v>2699657</v>
      </c>
    </row>
    <row r="502" spans="1:18" x14ac:dyDescent="0.25">
      <c r="A502" s="170">
        <v>44840</v>
      </c>
      <c r="B502" s="116">
        <v>156.83500000000001</v>
      </c>
      <c r="C502" s="116">
        <v>153.82499999999999</v>
      </c>
      <c r="D502" s="116">
        <v>151.13</v>
      </c>
      <c r="E502" s="116">
        <v>154.4</v>
      </c>
      <c r="F502" s="116">
        <v>1538.25</v>
      </c>
      <c r="G502">
        <v>52710</v>
      </c>
      <c r="H502" s="116"/>
      <c r="I502" s="116"/>
      <c r="L502" s="170">
        <v>44840</v>
      </c>
      <c r="M502" s="116">
        <v>154.05000000000001</v>
      </c>
      <c r="N502" s="116">
        <v>156.80000000000001</v>
      </c>
      <c r="O502" s="116">
        <v>151.26</v>
      </c>
      <c r="P502" s="116">
        <v>154.745</v>
      </c>
      <c r="Q502" s="116">
        <v>1540.5</v>
      </c>
      <c r="R502">
        <v>790251</v>
      </c>
    </row>
    <row r="503" spans="1:18" x14ac:dyDescent="0.25">
      <c r="A503" s="170">
        <v>44841</v>
      </c>
      <c r="B503" s="116">
        <v>153.82499999999999</v>
      </c>
      <c r="C503" s="116">
        <v>152.67500000000001</v>
      </c>
      <c r="D503" s="116">
        <v>151.6</v>
      </c>
      <c r="E503" s="116">
        <v>153.82499999999999</v>
      </c>
      <c r="F503" s="116">
        <v>1526.75</v>
      </c>
      <c r="G503">
        <v>15493</v>
      </c>
      <c r="H503" s="116"/>
      <c r="I503" s="116"/>
      <c r="L503" s="170">
        <v>44841</v>
      </c>
      <c r="M503" s="116">
        <v>152.69499999999999</v>
      </c>
      <c r="N503" s="116">
        <v>154.05000000000001</v>
      </c>
      <c r="O503" s="116">
        <v>151.5</v>
      </c>
      <c r="P503" s="116">
        <v>154.05000000000001</v>
      </c>
      <c r="Q503" s="116">
        <v>1526.95</v>
      </c>
      <c r="R503">
        <v>326412</v>
      </c>
    </row>
    <row r="504" spans="1:18" x14ac:dyDescent="0.25">
      <c r="A504" s="170">
        <v>44844</v>
      </c>
      <c r="B504" s="116">
        <v>161.91499999999999</v>
      </c>
      <c r="C504" s="116">
        <v>161.04</v>
      </c>
      <c r="D504" s="116">
        <v>149.53</v>
      </c>
      <c r="E504" s="116">
        <v>150.20500000000001</v>
      </c>
      <c r="F504" s="116">
        <v>1610.4</v>
      </c>
      <c r="G504">
        <v>79881</v>
      </c>
      <c r="H504" s="116"/>
      <c r="I504" s="116"/>
      <c r="L504" s="170">
        <v>44844</v>
      </c>
      <c r="M504" s="116">
        <v>161.07</v>
      </c>
      <c r="N504" s="116">
        <v>161.88999999999999</v>
      </c>
      <c r="O504" s="116">
        <v>149.52000000000001</v>
      </c>
      <c r="P504" s="116">
        <v>150.80000000000001</v>
      </c>
      <c r="Q504" s="116">
        <v>1610.7</v>
      </c>
      <c r="R504">
        <v>1360171</v>
      </c>
    </row>
    <row r="505" spans="1:18" x14ac:dyDescent="0.25">
      <c r="A505" s="170">
        <v>44845</v>
      </c>
      <c r="B505" s="116">
        <v>161.505</v>
      </c>
      <c r="C505" s="116">
        <v>156.77000000000001</v>
      </c>
      <c r="D505" s="116">
        <v>156.19999999999999</v>
      </c>
      <c r="E505" s="116">
        <v>161.5</v>
      </c>
      <c r="F505" s="116">
        <v>1567.7</v>
      </c>
      <c r="G505">
        <v>108095</v>
      </c>
      <c r="H505" s="116"/>
      <c r="I505" s="116"/>
      <c r="L505" s="170">
        <v>44845</v>
      </c>
      <c r="M505" s="116">
        <v>156.79</v>
      </c>
      <c r="N505" s="116">
        <v>161.495</v>
      </c>
      <c r="O505" s="116">
        <v>156</v>
      </c>
      <c r="P505" s="116">
        <v>161.495</v>
      </c>
      <c r="Q505" s="116">
        <v>1567.9</v>
      </c>
      <c r="R505">
        <v>691870</v>
      </c>
    </row>
    <row r="506" spans="1:18" x14ac:dyDescent="0.25">
      <c r="A506" s="170">
        <v>44846</v>
      </c>
      <c r="B506" s="116">
        <v>161.19999999999999</v>
      </c>
      <c r="C506" s="116">
        <v>158.875</v>
      </c>
      <c r="D506" s="116">
        <v>157.33500000000001</v>
      </c>
      <c r="E506" s="116">
        <v>158</v>
      </c>
      <c r="F506" s="116">
        <v>1588.75</v>
      </c>
      <c r="G506">
        <v>24873</v>
      </c>
      <c r="H506" s="116"/>
      <c r="I506" s="116"/>
      <c r="L506" s="170">
        <v>44846</v>
      </c>
      <c r="M506" s="116">
        <v>158.845</v>
      </c>
      <c r="N506" s="116">
        <v>161.19999999999999</v>
      </c>
      <c r="O506" s="116">
        <v>157.24</v>
      </c>
      <c r="P506" s="116">
        <v>157.88499999999999</v>
      </c>
      <c r="Q506" s="116">
        <v>1588.45</v>
      </c>
      <c r="R506">
        <v>1118264</v>
      </c>
    </row>
    <row r="507" spans="1:18" x14ac:dyDescent="0.25">
      <c r="A507" s="170">
        <v>44847</v>
      </c>
      <c r="B507" s="116">
        <v>160.74</v>
      </c>
      <c r="C507" s="116">
        <v>158.77500000000001</v>
      </c>
      <c r="D507" s="116">
        <v>156.36000000000001</v>
      </c>
      <c r="E507" s="116">
        <v>160.4</v>
      </c>
      <c r="F507" s="116">
        <v>1587.75</v>
      </c>
      <c r="G507">
        <v>50962</v>
      </c>
      <c r="H507" s="116"/>
      <c r="I507" s="116"/>
      <c r="L507" s="170">
        <v>44847</v>
      </c>
      <c r="M507" s="116">
        <v>158.83500000000001</v>
      </c>
      <c r="N507" s="116">
        <v>160.5</v>
      </c>
      <c r="O507" s="116">
        <v>156.255</v>
      </c>
      <c r="P507" s="116">
        <v>159.34</v>
      </c>
      <c r="Q507" s="116">
        <v>1588.35</v>
      </c>
      <c r="R507">
        <v>647108</v>
      </c>
    </row>
    <row r="508" spans="1:18" x14ac:dyDescent="0.25">
      <c r="A508" s="170">
        <v>44848</v>
      </c>
      <c r="B508" s="116">
        <v>167.3</v>
      </c>
      <c r="C508" s="116">
        <v>164.87</v>
      </c>
      <c r="D508" s="116">
        <v>162.125</v>
      </c>
      <c r="E508" s="116">
        <v>164.005</v>
      </c>
      <c r="F508" s="116">
        <v>1648.7</v>
      </c>
      <c r="G508">
        <v>189186</v>
      </c>
      <c r="H508" s="116"/>
      <c r="I508" s="116"/>
      <c r="L508" s="170">
        <v>44848</v>
      </c>
      <c r="M508" s="116">
        <v>164.96</v>
      </c>
      <c r="N508" s="116">
        <v>167.4</v>
      </c>
      <c r="O508" s="116">
        <v>162.01499999999999</v>
      </c>
      <c r="P508" s="116">
        <v>164.88</v>
      </c>
      <c r="Q508" s="116">
        <v>1649.6</v>
      </c>
      <c r="R508">
        <v>3031645</v>
      </c>
    </row>
    <row r="509" spans="1:18" x14ac:dyDescent="0.25">
      <c r="A509" s="170">
        <v>44851</v>
      </c>
      <c r="B509" s="116">
        <v>164.74</v>
      </c>
      <c r="C509" s="116">
        <v>162.57</v>
      </c>
      <c r="D509" s="116">
        <v>160.35</v>
      </c>
      <c r="E509" s="116">
        <v>163.80000000000001</v>
      </c>
      <c r="F509" s="116">
        <v>1625.7</v>
      </c>
      <c r="G509">
        <v>21087</v>
      </c>
      <c r="H509" s="116"/>
      <c r="I509" s="116"/>
      <c r="L509" s="170">
        <v>44851</v>
      </c>
      <c r="M509" s="116">
        <v>162.57499999999999</v>
      </c>
      <c r="N509" s="116">
        <v>164.8</v>
      </c>
      <c r="O509" s="116">
        <v>160.11500000000001</v>
      </c>
      <c r="P509" s="116">
        <v>163.66</v>
      </c>
      <c r="Q509" s="116">
        <v>1625.75</v>
      </c>
      <c r="R509">
        <v>746808</v>
      </c>
    </row>
    <row r="510" spans="1:18" x14ac:dyDescent="0.25">
      <c r="A510" s="170">
        <v>44852</v>
      </c>
      <c r="B510" s="116">
        <v>163.83000000000001</v>
      </c>
      <c r="C510" s="116">
        <v>160.80000000000001</v>
      </c>
      <c r="D510" s="116">
        <v>154.5</v>
      </c>
      <c r="E510" s="116">
        <v>163.03</v>
      </c>
      <c r="F510" s="116">
        <v>1608</v>
      </c>
      <c r="G510">
        <v>25951</v>
      </c>
      <c r="H510" s="116"/>
      <c r="I510" s="116"/>
      <c r="L510" s="170">
        <v>44852</v>
      </c>
      <c r="M510" s="116">
        <v>160.70500000000001</v>
      </c>
      <c r="N510" s="116">
        <v>163.69499999999999</v>
      </c>
      <c r="O510" s="116">
        <v>154.35499999999999</v>
      </c>
      <c r="P510" s="116">
        <v>163.38999999999999</v>
      </c>
      <c r="Q510" s="116">
        <v>1607.05</v>
      </c>
      <c r="R510">
        <v>826157</v>
      </c>
    </row>
    <row r="511" spans="1:18" x14ac:dyDescent="0.25">
      <c r="A511" s="170">
        <v>44853</v>
      </c>
      <c r="B511" s="116">
        <v>163</v>
      </c>
      <c r="C511" s="116">
        <v>160.99</v>
      </c>
      <c r="D511" s="116">
        <v>159.08000000000001</v>
      </c>
      <c r="E511" s="116">
        <v>160.905</v>
      </c>
      <c r="F511" s="116">
        <v>1609.9</v>
      </c>
      <c r="G511">
        <v>28451</v>
      </c>
      <c r="H511" s="116"/>
      <c r="I511" s="116"/>
      <c r="L511" s="170">
        <v>44853</v>
      </c>
      <c r="M511" s="116">
        <v>161.04</v>
      </c>
      <c r="N511" s="116">
        <v>163</v>
      </c>
      <c r="O511" s="116">
        <v>159.11000000000001</v>
      </c>
      <c r="P511" s="116">
        <v>161.51</v>
      </c>
      <c r="Q511" s="116">
        <v>1610.4</v>
      </c>
      <c r="R511">
        <v>572811</v>
      </c>
    </row>
    <row r="512" spans="1:18" x14ac:dyDescent="0.25">
      <c r="A512" s="170">
        <v>44854</v>
      </c>
      <c r="B512" s="116">
        <v>161.995</v>
      </c>
      <c r="C512" s="116">
        <v>161.60499999999999</v>
      </c>
      <c r="D512" s="116">
        <v>158.17500000000001</v>
      </c>
      <c r="E512" s="116">
        <v>158.17500000000001</v>
      </c>
      <c r="F512" s="116">
        <v>1616.05</v>
      </c>
      <c r="G512">
        <v>19806</v>
      </c>
      <c r="H512" s="116"/>
      <c r="I512" s="116"/>
      <c r="L512" s="170">
        <v>44854</v>
      </c>
      <c r="M512" s="116">
        <v>161.45500000000001</v>
      </c>
      <c r="N512" s="116">
        <v>162</v>
      </c>
      <c r="O512" s="116">
        <v>158.30000000000001</v>
      </c>
      <c r="P512" s="116">
        <v>159</v>
      </c>
      <c r="Q512" s="116">
        <v>1614.55</v>
      </c>
      <c r="R512">
        <v>450075</v>
      </c>
    </row>
    <row r="513" spans="1:18" x14ac:dyDescent="0.25">
      <c r="A513" s="170">
        <v>44855</v>
      </c>
      <c r="B513" s="116">
        <v>162.22999999999999</v>
      </c>
      <c r="C513" s="116">
        <v>161.07</v>
      </c>
      <c r="D513" s="116">
        <v>159.595</v>
      </c>
      <c r="E513" s="116">
        <v>161.89500000000001</v>
      </c>
      <c r="F513" s="116">
        <v>1610.7</v>
      </c>
      <c r="G513">
        <v>20108</v>
      </c>
      <c r="H513" s="116"/>
      <c r="I513" s="116"/>
      <c r="L513" s="170">
        <v>44855</v>
      </c>
      <c r="M513" s="116">
        <v>161.035</v>
      </c>
      <c r="N513" s="116">
        <v>162.25</v>
      </c>
      <c r="O513" s="116">
        <v>159.5</v>
      </c>
      <c r="P513" s="116">
        <v>161.655</v>
      </c>
      <c r="Q513" s="116">
        <v>1610.35</v>
      </c>
      <c r="R513">
        <v>297568</v>
      </c>
    </row>
    <row r="514" spans="1:18" x14ac:dyDescent="0.25">
      <c r="A514" s="170">
        <v>44858</v>
      </c>
      <c r="B514" s="116">
        <v>162.69499999999999</v>
      </c>
      <c r="C514" s="116">
        <v>161.495</v>
      </c>
      <c r="D514" s="116">
        <v>160.54499999999999</v>
      </c>
      <c r="E514" s="116">
        <v>162.69499999999999</v>
      </c>
      <c r="F514" s="116">
        <v>1614.95</v>
      </c>
      <c r="G514">
        <v>10171</v>
      </c>
      <c r="H514" s="116"/>
      <c r="I514" s="116"/>
      <c r="L514" s="170">
        <v>44858</v>
      </c>
      <c r="M514" s="116">
        <v>161.85499999999999</v>
      </c>
      <c r="N514" s="116">
        <v>162.5</v>
      </c>
      <c r="O514" s="116">
        <v>160.69999999999999</v>
      </c>
      <c r="P514" s="116">
        <v>162</v>
      </c>
      <c r="Q514" s="116">
        <v>1618.55</v>
      </c>
      <c r="R514">
        <v>249098</v>
      </c>
    </row>
    <row r="515" spans="1:18" x14ac:dyDescent="0.25">
      <c r="A515" s="170">
        <v>44859</v>
      </c>
      <c r="B515" s="116">
        <v>162.47</v>
      </c>
      <c r="C515" s="116">
        <v>160.87</v>
      </c>
      <c r="D515" s="116">
        <v>159.38999999999999</v>
      </c>
      <c r="E515" s="116">
        <v>162.08500000000001</v>
      </c>
      <c r="F515" s="116">
        <v>1608.7</v>
      </c>
      <c r="G515">
        <v>10051</v>
      </c>
      <c r="H515" s="116"/>
      <c r="I515" s="116"/>
      <c r="L515" s="170">
        <v>44859</v>
      </c>
      <c r="M515" s="116">
        <v>160.94499999999999</v>
      </c>
      <c r="N515" s="116">
        <v>162.47999999999999</v>
      </c>
      <c r="O515" s="116">
        <v>159.315</v>
      </c>
      <c r="P515" s="116">
        <v>162.19999999999999</v>
      </c>
      <c r="Q515" s="116">
        <v>1609.45</v>
      </c>
      <c r="R515">
        <v>370393</v>
      </c>
    </row>
    <row r="516" spans="1:18" x14ac:dyDescent="0.25">
      <c r="A516" s="170">
        <v>44861</v>
      </c>
      <c r="B516" s="116">
        <v>165.405</v>
      </c>
      <c r="C516" s="116">
        <v>162.05500000000001</v>
      </c>
      <c r="D516" s="116">
        <v>160.38499999999999</v>
      </c>
      <c r="E516" s="116">
        <v>162.27500000000001</v>
      </c>
      <c r="F516" s="116">
        <v>1620.55</v>
      </c>
      <c r="G516">
        <v>16184</v>
      </c>
      <c r="H516" s="116"/>
      <c r="I516" s="116"/>
      <c r="L516" s="170">
        <v>44861</v>
      </c>
      <c r="M516" s="116">
        <v>162.12</v>
      </c>
      <c r="N516" s="116">
        <v>165.595</v>
      </c>
      <c r="O516" s="116">
        <v>160.36500000000001</v>
      </c>
      <c r="P516" s="116">
        <v>161.47999999999999</v>
      </c>
      <c r="Q516" s="116">
        <v>1621.2</v>
      </c>
      <c r="R516">
        <v>479436</v>
      </c>
    </row>
    <row r="517" spans="1:18" x14ac:dyDescent="0.25">
      <c r="A517" s="170">
        <v>44862</v>
      </c>
      <c r="B517" s="116">
        <v>164.98</v>
      </c>
      <c r="C517" s="116">
        <v>163.31</v>
      </c>
      <c r="D517" s="116">
        <v>160.245</v>
      </c>
      <c r="E517" s="116">
        <v>160.245</v>
      </c>
      <c r="F517" s="116">
        <v>1633.1</v>
      </c>
      <c r="G517">
        <v>7935</v>
      </c>
      <c r="H517" s="116"/>
      <c r="I517" s="116"/>
      <c r="L517" s="170">
        <v>44862</v>
      </c>
      <c r="M517" s="116">
        <v>163.42500000000001</v>
      </c>
      <c r="N517" s="116">
        <v>165</v>
      </c>
      <c r="O517" s="116">
        <v>161.1</v>
      </c>
      <c r="P517" s="116">
        <v>161.1</v>
      </c>
      <c r="Q517" s="116">
        <v>1634.25</v>
      </c>
      <c r="R517">
        <v>453575</v>
      </c>
    </row>
    <row r="518" spans="1:18" x14ac:dyDescent="0.25">
      <c r="A518" s="170">
        <v>44865</v>
      </c>
      <c r="B518" s="116">
        <v>163.58000000000001</v>
      </c>
      <c r="C518" s="116">
        <v>160.44499999999999</v>
      </c>
      <c r="D518" s="116">
        <v>159.35</v>
      </c>
      <c r="E518" s="116">
        <v>163.30000000000001</v>
      </c>
      <c r="F518" s="116">
        <v>1604.45</v>
      </c>
      <c r="G518">
        <v>9966</v>
      </c>
      <c r="H518" s="116"/>
      <c r="I518" s="116"/>
      <c r="L518" s="170">
        <v>44865</v>
      </c>
      <c r="M518" s="116">
        <v>160.26499999999999</v>
      </c>
      <c r="N518" s="116">
        <v>163.5</v>
      </c>
      <c r="O518" s="116">
        <v>159.4</v>
      </c>
      <c r="P518" s="116">
        <v>163.5</v>
      </c>
      <c r="Q518" s="116">
        <v>1602.65</v>
      </c>
      <c r="R518">
        <v>318009</v>
      </c>
    </row>
    <row r="519" spans="1:18" x14ac:dyDescent="0.25">
      <c r="A519" s="170">
        <v>44866</v>
      </c>
      <c r="B519" s="116">
        <v>162.03</v>
      </c>
      <c r="C519" s="116">
        <v>160.71</v>
      </c>
      <c r="D519" s="116">
        <v>160.185</v>
      </c>
      <c r="E519" s="116">
        <v>160.19</v>
      </c>
      <c r="F519" s="116">
        <v>1607.1</v>
      </c>
      <c r="G519">
        <v>15970</v>
      </c>
      <c r="H519" s="116"/>
      <c r="I519" s="116"/>
      <c r="L519" s="170">
        <v>44866</v>
      </c>
      <c r="M519" s="116">
        <v>161.03</v>
      </c>
      <c r="N519" s="116">
        <v>162</v>
      </c>
      <c r="O519" s="116">
        <v>160.20500000000001</v>
      </c>
      <c r="P519" s="116">
        <v>160.4</v>
      </c>
      <c r="Q519" s="116">
        <v>1610.3</v>
      </c>
      <c r="R519">
        <v>215128</v>
      </c>
    </row>
    <row r="520" spans="1:18" x14ac:dyDescent="0.25">
      <c r="A520" s="170">
        <v>44867</v>
      </c>
      <c r="B520" s="116">
        <v>161.88</v>
      </c>
      <c r="C520" s="116">
        <v>160.41</v>
      </c>
      <c r="D520" s="116">
        <v>159.64500000000001</v>
      </c>
      <c r="E520" s="116">
        <v>161.79499999999999</v>
      </c>
      <c r="F520" s="116">
        <v>1604.1</v>
      </c>
      <c r="G520">
        <v>10659</v>
      </c>
      <c r="H520" s="116"/>
      <c r="I520" s="116"/>
      <c r="L520" s="170">
        <v>44867</v>
      </c>
      <c r="M520" s="116">
        <v>160.17500000000001</v>
      </c>
      <c r="N520" s="116">
        <v>161.98500000000001</v>
      </c>
      <c r="O520" s="116">
        <v>159.505</v>
      </c>
      <c r="P520" s="116">
        <v>161</v>
      </c>
      <c r="Q520" s="116">
        <v>1601.75</v>
      </c>
      <c r="R520">
        <v>137902</v>
      </c>
    </row>
    <row r="521" spans="1:18" x14ac:dyDescent="0.25">
      <c r="A521" s="170">
        <v>44868</v>
      </c>
      <c r="B521" s="116">
        <v>160.30000000000001</v>
      </c>
      <c r="C521" s="116">
        <v>158.05000000000001</v>
      </c>
      <c r="D521" s="116">
        <v>156.715</v>
      </c>
      <c r="E521" s="116">
        <v>157.69999999999999</v>
      </c>
      <c r="F521" s="116">
        <v>1580.5</v>
      </c>
      <c r="G521">
        <v>31058</v>
      </c>
      <c r="H521" s="116"/>
      <c r="I521" s="116"/>
      <c r="L521" s="170">
        <v>44868</v>
      </c>
      <c r="M521" s="116">
        <v>158.30500000000001</v>
      </c>
      <c r="N521" s="116">
        <v>160.36000000000001</v>
      </c>
      <c r="O521" s="116">
        <v>156.6</v>
      </c>
      <c r="P521" s="116">
        <v>159.5</v>
      </c>
      <c r="Q521" s="116">
        <v>1583.05</v>
      </c>
      <c r="R521">
        <v>186595</v>
      </c>
    </row>
    <row r="522" spans="1:18" x14ac:dyDescent="0.25">
      <c r="A522" s="170">
        <v>44869</v>
      </c>
      <c r="B522" s="116">
        <v>158.4</v>
      </c>
      <c r="C522" s="116">
        <v>157.44999999999999</v>
      </c>
      <c r="D522" s="116">
        <v>154.69499999999999</v>
      </c>
      <c r="E522" s="116">
        <v>156.84</v>
      </c>
      <c r="F522" s="116">
        <v>1574.5</v>
      </c>
      <c r="G522">
        <v>11182</v>
      </c>
      <c r="H522" s="116"/>
      <c r="I522" s="116"/>
      <c r="L522" s="170">
        <v>44869</v>
      </c>
      <c r="M522" s="116">
        <v>157.38499999999999</v>
      </c>
      <c r="N522" s="116">
        <v>158.285</v>
      </c>
      <c r="O522" s="116">
        <v>154.685</v>
      </c>
      <c r="P522" s="116">
        <v>156</v>
      </c>
      <c r="Q522" s="116">
        <v>1573.85</v>
      </c>
      <c r="R522">
        <v>210511</v>
      </c>
    </row>
    <row r="523" spans="1:18" x14ac:dyDescent="0.25">
      <c r="A523" s="170">
        <v>44872</v>
      </c>
      <c r="B523" s="116">
        <v>159.19999999999999</v>
      </c>
      <c r="C523" s="116">
        <v>155.035</v>
      </c>
      <c r="D523" s="116">
        <v>154.38499999999999</v>
      </c>
      <c r="E523" s="116">
        <v>159.19999999999999</v>
      </c>
      <c r="F523" s="116">
        <v>1550.35</v>
      </c>
      <c r="G523">
        <v>13700</v>
      </c>
      <c r="H523" s="116"/>
      <c r="I523" s="116"/>
      <c r="L523" s="170">
        <v>44872</v>
      </c>
      <c r="M523" s="116">
        <v>155.14500000000001</v>
      </c>
      <c r="N523" s="116">
        <v>159.08000000000001</v>
      </c>
      <c r="O523" s="116">
        <v>154.44</v>
      </c>
      <c r="P523" s="116">
        <v>157.69999999999999</v>
      </c>
      <c r="Q523" s="116">
        <v>1551.45</v>
      </c>
      <c r="R523">
        <v>193064</v>
      </c>
    </row>
    <row r="524" spans="1:18" x14ac:dyDescent="0.25">
      <c r="A524" s="170">
        <v>44874</v>
      </c>
      <c r="B524" s="116">
        <v>156.82</v>
      </c>
      <c r="C524" s="116">
        <v>151.88999999999999</v>
      </c>
      <c r="D524" s="116">
        <v>151.22</v>
      </c>
      <c r="E524" s="116">
        <v>155.935</v>
      </c>
      <c r="F524" s="116">
        <v>1518.9</v>
      </c>
      <c r="G524">
        <v>10415</v>
      </c>
      <c r="H524" s="116"/>
      <c r="I524" s="116"/>
      <c r="L524" s="170">
        <v>44874</v>
      </c>
      <c r="M524" s="116">
        <v>151.875</v>
      </c>
      <c r="N524" s="116">
        <v>156.9</v>
      </c>
      <c r="O524" s="116">
        <v>151.02000000000001</v>
      </c>
      <c r="P524" s="116">
        <v>156.9</v>
      </c>
      <c r="Q524" s="116">
        <v>1518.75</v>
      </c>
      <c r="R524">
        <v>294558</v>
      </c>
    </row>
    <row r="525" spans="1:18" x14ac:dyDescent="0.25">
      <c r="A525" s="170">
        <v>44875</v>
      </c>
      <c r="B525" s="116">
        <v>151.80000000000001</v>
      </c>
      <c r="C525" s="116">
        <v>147.4</v>
      </c>
      <c r="D525" s="116">
        <v>146.55500000000001</v>
      </c>
      <c r="E525" s="116">
        <v>151.80000000000001</v>
      </c>
      <c r="F525" s="116">
        <v>1474</v>
      </c>
      <c r="G525">
        <v>24804</v>
      </c>
      <c r="H525" s="116"/>
      <c r="I525" s="116"/>
      <c r="L525" s="170">
        <v>44875</v>
      </c>
      <c r="M525" s="116">
        <v>147.55500000000001</v>
      </c>
      <c r="N525" s="116">
        <v>151.80000000000001</v>
      </c>
      <c r="O525" s="116">
        <v>146.61000000000001</v>
      </c>
      <c r="P525" s="116">
        <v>151.80000000000001</v>
      </c>
      <c r="Q525" s="116">
        <v>1475.55</v>
      </c>
      <c r="R525">
        <v>232017</v>
      </c>
    </row>
    <row r="526" spans="1:18" x14ac:dyDescent="0.25">
      <c r="A526" s="170">
        <v>44876</v>
      </c>
      <c r="B526" s="116">
        <v>151.85499999999999</v>
      </c>
      <c r="C526" s="116">
        <v>143.74</v>
      </c>
      <c r="D526" s="116">
        <v>143</v>
      </c>
      <c r="E526" s="116">
        <v>148.1</v>
      </c>
      <c r="F526" s="116">
        <v>1437.4</v>
      </c>
      <c r="G526">
        <v>14397</v>
      </c>
      <c r="H526" s="116"/>
      <c r="I526" s="116"/>
      <c r="L526" s="170">
        <v>44876</v>
      </c>
      <c r="M526" s="116">
        <v>143.61000000000001</v>
      </c>
      <c r="N526" s="116">
        <v>150.285</v>
      </c>
      <c r="O526" s="116">
        <v>143.07499999999999</v>
      </c>
      <c r="P526" s="116">
        <v>148.29499999999999</v>
      </c>
      <c r="Q526" s="116">
        <v>1436.1</v>
      </c>
      <c r="R526">
        <v>282284</v>
      </c>
    </row>
    <row r="527" spans="1:18" x14ac:dyDescent="0.25">
      <c r="A527" s="170">
        <v>44879</v>
      </c>
      <c r="B527" s="116">
        <v>152.81</v>
      </c>
      <c r="C527" s="116">
        <v>151.28</v>
      </c>
      <c r="D527" s="116">
        <v>142.505</v>
      </c>
      <c r="E527" s="116">
        <v>145.39500000000001</v>
      </c>
      <c r="F527" s="116">
        <v>1512.8</v>
      </c>
      <c r="G527">
        <v>44581</v>
      </c>
      <c r="H527" s="116"/>
      <c r="I527" s="116"/>
      <c r="L527" s="170">
        <v>44879</v>
      </c>
      <c r="M527" s="116">
        <v>151.30000000000001</v>
      </c>
      <c r="N527" s="116">
        <v>152.88999999999999</v>
      </c>
      <c r="O527" s="116">
        <v>142.52000000000001</v>
      </c>
      <c r="P527" s="116">
        <v>144.28</v>
      </c>
      <c r="Q527" s="116">
        <v>1513</v>
      </c>
      <c r="R527">
        <v>535616</v>
      </c>
    </row>
    <row r="528" spans="1:18" x14ac:dyDescent="0.25">
      <c r="A528" s="170">
        <v>44880</v>
      </c>
      <c r="B528" s="116">
        <v>155.1</v>
      </c>
      <c r="C528" s="116">
        <v>153.315</v>
      </c>
      <c r="D528" s="116">
        <v>148.9</v>
      </c>
      <c r="E528" s="116">
        <v>151.995</v>
      </c>
      <c r="F528" s="116">
        <v>1533.15</v>
      </c>
      <c r="G528">
        <v>18361</v>
      </c>
      <c r="H528" s="116"/>
      <c r="I528" s="116"/>
      <c r="L528" s="170">
        <v>44880</v>
      </c>
      <c r="M528" s="116">
        <v>153.27000000000001</v>
      </c>
      <c r="N528" s="116">
        <v>155.19499999999999</v>
      </c>
      <c r="O528" s="116">
        <v>148.80000000000001</v>
      </c>
      <c r="P528" s="116">
        <v>151.5</v>
      </c>
      <c r="Q528" s="116">
        <v>1532.7</v>
      </c>
      <c r="R528">
        <v>489455</v>
      </c>
    </row>
    <row r="529" spans="1:18" x14ac:dyDescent="0.25">
      <c r="A529" s="170">
        <v>44881</v>
      </c>
      <c r="B529" s="116">
        <v>155.21</v>
      </c>
      <c r="C529" s="116">
        <v>153.54</v>
      </c>
      <c r="D529" s="116">
        <v>150.83000000000001</v>
      </c>
      <c r="E529" s="116">
        <v>153.495</v>
      </c>
      <c r="F529" s="116">
        <v>1535.4</v>
      </c>
      <c r="G529">
        <v>26124</v>
      </c>
      <c r="H529" s="116"/>
      <c r="I529" s="116"/>
      <c r="L529" s="170">
        <v>44881</v>
      </c>
      <c r="M529" s="116">
        <v>153.57</v>
      </c>
      <c r="N529" s="116">
        <v>155.19999999999999</v>
      </c>
      <c r="O529" s="116">
        <v>150.81</v>
      </c>
      <c r="P529" s="116">
        <v>152.69999999999999</v>
      </c>
      <c r="Q529" s="116">
        <v>1535.7</v>
      </c>
      <c r="R529">
        <v>302152</v>
      </c>
    </row>
    <row r="530" spans="1:18" x14ac:dyDescent="0.25">
      <c r="A530" s="170">
        <v>44882</v>
      </c>
      <c r="B530" s="116">
        <v>154.99</v>
      </c>
      <c r="C530" s="116">
        <v>152.14500000000001</v>
      </c>
      <c r="D530" s="116">
        <v>150.94</v>
      </c>
      <c r="E530" s="116">
        <v>154.99</v>
      </c>
      <c r="F530" s="116">
        <v>1521.45</v>
      </c>
      <c r="G530">
        <v>20515</v>
      </c>
      <c r="H530" s="116"/>
      <c r="I530" s="116"/>
      <c r="L530" s="170">
        <v>44882</v>
      </c>
      <c r="M530" s="116">
        <v>151.86000000000001</v>
      </c>
      <c r="N530" s="116">
        <v>154.095</v>
      </c>
      <c r="O530" s="116">
        <v>151</v>
      </c>
      <c r="P530" s="116">
        <v>153</v>
      </c>
      <c r="Q530" s="116">
        <v>1518.6</v>
      </c>
      <c r="R530">
        <v>215867</v>
      </c>
    </row>
    <row r="531" spans="1:18" x14ac:dyDescent="0.25">
      <c r="A531" s="170">
        <v>44883</v>
      </c>
      <c r="B531" s="116">
        <v>153.97</v>
      </c>
      <c r="C531" s="116">
        <v>151.88</v>
      </c>
      <c r="D531" s="116">
        <v>151.13499999999999</v>
      </c>
      <c r="E531" s="116">
        <v>152.34</v>
      </c>
      <c r="F531" s="116">
        <v>1518.8</v>
      </c>
      <c r="G531">
        <v>27129</v>
      </c>
      <c r="H531" s="116"/>
      <c r="I531" s="116"/>
      <c r="L531" s="170">
        <v>44883</v>
      </c>
      <c r="M531" s="116">
        <v>151.755</v>
      </c>
      <c r="N531" s="116">
        <v>154</v>
      </c>
      <c r="O531" s="116">
        <v>151.12</v>
      </c>
      <c r="P531" s="116">
        <v>151.86000000000001</v>
      </c>
      <c r="Q531" s="116">
        <v>1517.55</v>
      </c>
      <c r="R531">
        <v>258809</v>
      </c>
    </row>
    <row r="532" spans="1:18" x14ac:dyDescent="0.25">
      <c r="A532" s="170">
        <v>44886</v>
      </c>
      <c r="B532" s="116">
        <v>153.995</v>
      </c>
      <c r="C532" s="116">
        <v>148.88999999999999</v>
      </c>
      <c r="D532" s="116">
        <v>147.19999999999999</v>
      </c>
      <c r="E532" s="116">
        <v>150.10499999999999</v>
      </c>
      <c r="F532" s="116">
        <v>1488.9</v>
      </c>
      <c r="G532">
        <v>26726</v>
      </c>
      <c r="H532" s="116"/>
      <c r="I532" s="116"/>
      <c r="L532" s="170">
        <v>44886</v>
      </c>
      <c r="M532" s="116">
        <v>148.52000000000001</v>
      </c>
      <c r="N532" s="116">
        <v>153.98500000000001</v>
      </c>
      <c r="O532" s="116">
        <v>147.11000000000001</v>
      </c>
      <c r="P532" s="116">
        <v>151.97999999999999</v>
      </c>
      <c r="Q532" s="116">
        <v>1485.2</v>
      </c>
      <c r="R532">
        <v>231171</v>
      </c>
    </row>
    <row r="533" spans="1:18" x14ac:dyDescent="0.25">
      <c r="A533" s="170">
        <v>44887</v>
      </c>
      <c r="B533" s="116">
        <v>151.315</v>
      </c>
      <c r="C533" s="116">
        <v>147.06</v>
      </c>
      <c r="D533" s="116">
        <v>146.16</v>
      </c>
      <c r="E533" s="116">
        <v>148.20500000000001</v>
      </c>
      <c r="F533" s="116">
        <v>1470.6</v>
      </c>
      <c r="G533">
        <v>19035</v>
      </c>
      <c r="H533" s="116"/>
      <c r="I533" s="116"/>
      <c r="L533" s="170">
        <v>44887</v>
      </c>
      <c r="M533" s="116">
        <v>147.11000000000001</v>
      </c>
      <c r="N533" s="116">
        <v>151.38499999999999</v>
      </c>
      <c r="O533" s="116">
        <v>145.715</v>
      </c>
      <c r="P533" s="116">
        <v>148.59</v>
      </c>
      <c r="Q533" s="116">
        <v>1471.1</v>
      </c>
      <c r="R533">
        <v>258774</v>
      </c>
    </row>
    <row r="534" spans="1:18" x14ac:dyDescent="0.25">
      <c r="A534" s="170">
        <v>44888</v>
      </c>
      <c r="B534" s="116">
        <v>149.495</v>
      </c>
      <c r="C534" s="116">
        <v>144.24</v>
      </c>
      <c r="D534" s="116">
        <v>143.11500000000001</v>
      </c>
      <c r="E534" s="116">
        <v>147.5</v>
      </c>
      <c r="F534" s="116">
        <v>1442.4</v>
      </c>
      <c r="G534">
        <v>14811</v>
      </c>
      <c r="H534" s="116"/>
      <c r="I534" s="116"/>
      <c r="L534" s="170">
        <v>44888</v>
      </c>
      <c r="M534" s="116">
        <v>144.19499999999999</v>
      </c>
      <c r="N534" s="116">
        <v>149.595</v>
      </c>
      <c r="O534" s="116">
        <v>143.02000000000001</v>
      </c>
      <c r="P534" s="116">
        <v>147.85</v>
      </c>
      <c r="Q534" s="116">
        <v>1441.95</v>
      </c>
      <c r="R534">
        <v>316730</v>
      </c>
    </row>
    <row r="535" spans="1:18" x14ac:dyDescent="0.25">
      <c r="A535" s="170">
        <v>44889</v>
      </c>
      <c r="B535" s="116">
        <v>150.35</v>
      </c>
      <c r="C535" s="116">
        <v>149.57</v>
      </c>
      <c r="D535" s="116">
        <v>144.82</v>
      </c>
      <c r="E535" s="116">
        <v>145.995</v>
      </c>
      <c r="F535" s="116">
        <v>1495.7</v>
      </c>
      <c r="G535">
        <v>29896</v>
      </c>
      <c r="H535" s="116"/>
      <c r="I535" s="116"/>
      <c r="L535" s="170">
        <v>44889</v>
      </c>
      <c r="M535" s="116">
        <v>149.54</v>
      </c>
      <c r="N535" s="116">
        <v>150.5</v>
      </c>
      <c r="O535" s="116">
        <v>144.9</v>
      </c>
      <c r="P535" s="116">
        <v>144.92500000000001</v>
      </c>
      <c r="Q535" s="116">
        <v>1495.4</v>
      </c>
      <c r="R535">
        <v>390826</v>
      </c>
    </row>
    <row r="536" spans="1:18" x14ac:dyDescent="0.25">
      <c r="A536" s="170">
        <v>44890</v>
      </c>
      <c r="B536" s="116">
        <v>154</v>
      </c>
      <c r="C536" s="116">
        <v>153.58000000000001</v>
      </c>
      <c r="D536" s="116">
        <v>149</v>
      </c>
      <c r="E536" s="116">
        <v>149.60499999999999</v>
      </c>
      <c r="F536" s="116">
        <v>1535.8</v>
      </c>
      <c r="G536">
        <v>36827</v>
      </c>
      <c r="H536" s="116"/>
      <c r="I536" s="116"/>
      <c r="L536" s="170">
        <v>44890</v>
      </c>
      <c r="M536" s="116">
        <v>153.66499999999999</v>
      </c>
      <c r="N536" s="116">
        <v>154</v>
      </c>
      <c r="O536" s="116">
        <v>149.1</v>
      </c>
      <c r="P536" s="116">
        <v>150.29</v>
      </c>
      <c r="Q536" s="116">
        <v>1536.65</v>
      </c>
      <c r="R536">
        <v>402419</v>
      </c>
    </row>
    <row r="537" spans="1:18" x14ac:dyDescent="0.25">
      <c r="A537" s="170">
        <v>44893</v>
      </c>
      <c r="B537" s="116">
        <v>158.4</v>
      </c>
      <c r="C537" s="116">
        <v>157.59</v>
      </c>
      <c r="D537" s="116">
        <v>153.58000000000001</v>
      </c>
      <c r="E537" s="116">
        <v>153.70500000000001</v>
      </c>
      <c r="F537" s="116">
        <v>1575.9</v>
      </c>
      <c r="G537">
        <v>16760</v>
      </c>
      <c r="H537" s="116"/>
      <c r="I537" s="116"/>
      <c r="L537" s="170">
        <v>44893</v>
      </c>
      <c r="M537" s="116">
        <v>157.745</v>
      </c>
      <c r="N537" s="116">
        <v>158.48500000000001</v>
      </c>
      <c r="O537" s="116">
        <v>153.315</v>
      </c>
      <c r="P537" s="116">
        <v>154.435</v>
      </c>
      <c r="Q537" s="116">
        <v>1577.45</v>
      </c>
      <c r="R537">
        <v>470013</v>
      </c>
    </row>
    <row r="538" spans="1:18" x14ac:dyDescent="0.25">
      <c r="A538" s="170">
        <v>44894</v>
      </c>
      <c r="B538" s="116">
        <v>161.6</v>
      </c>
      <c r="C538" s="116">
        <v>158.37</v>
      </c>
      <c r="D538" s="116">
        <v>157.9</v>
      </c>
      <c r="E538" s="116">
        <v>158.19999999999999</v>
      </c>
      <c r="F538" s="116">
        <v>1583.7</v>
      </c>
      <c r="G538">
        <v>11523</v>
      </c>
      <c r="H538" s="116"/>
      <c r="I538" s="116"/>
      <c r="L538" s="170">
        <v>44894</v>
      </c>
      <c r="M538" s="116">
        <v>158.345</v>
      </c>
      <c r="N538" s="116">
        <v>161.66999999999999</v>
      </c>
      <c r="O538" s="116">
        <v>157.85</v>
      </c>
      <c r="P538" s="116">
        <v>158.53</v>
      </c>
      <c r="Q538" s="116">
        <v>1583.45</v>
      </c>
      <c r="R538">
        <v>434709</v>
      </c>
    </row>
    <row r="539" spans="1:18" x14ac:dyDescent="0.25">
      <c r="A539" s="170">
        <v>44895</v>
      </c>
      <c r="B539" s="116">
        <v>162.35499999999999</v>
      </c>
      <c r="C539" s="116">
        <v>159.85</v>
      </c>
      <c r="D539" s="116">
        <v>158.6</v>
      </c>
      <c r="E539" s="116">
        <v>158.6</v>
      </c>
      <c r="F539" s="116">
        <v>1598.5</v>
      </c>
      <c r="G539">
        <v>25201</v>
      </c>
      <c r="H539" s="116"/>
      <c r="I539" s="116"/>
      <c r="L539" s="170">
        <v>44895</v>
      </c>
      <c r="M539" s="116">
        <v>159.715</v>
      </c>
      <c r="N539" s="116">
        <v>162.35</v>
      </c>
      <c r="O539" s="116">
        <v>158.5</v>
      </c>
      <c r="P539" s="116">
        <v>159.30000000000001</v>
      </c>
      <c r="Q539" s="116">
        <v>1597.15</v>
      </c>
      <c r="R539">
        <v>454247</v>
      </c>
    </row>
    <row r="540" spans="1:18" x14ac:dyDescent="0.25">
      <c r="A540" s="170">
        <v>44896</v>
      </c>
      <c r="B540" s="116">
        <v>162.1</v>
      </c>
      <c r="C540" s="116">
        <v>160.97499999999999</v>
      </c>
      <c r="D540" s="116">
        <v>160.5</v>
      </c>
      <c r="E540" s="116">
        <v>161.38499999999999</v>
      </c>
      <c r="F540" s="116">
        <v>1609.75</v>
      </c>
      <c r="G540">
        <v>20710</v>
      </c>
      <c r="H540" s="116"/>
      <c r="I540" s="116"/>
      <c r="L540" s="170">
        <v>44896</v>
      </c>
      <c r="M540" s="116">
        <v>160.97</v>
      </c>
      <c r="N540" s="116">
        <v>162.26499999999999</v>
      </c>
      <c r="O540" s="116">
        <v>160.19999999999999</v>
      </c>
      <c r="P540" s="116">
        <v>160.51499999999999</v>
      </c>
      <c r="Q540" s="116">
        <v>1609.7</v>
      </c>
      <c r="R540">
        <v>527797</v>
      </c>
    </row>
    <row r="541" spans="1:18" x14ac:dyDescent="0.25">
      <c r="A541" s="170">
        <v>44897</v>
      </c>
      <c r="B541" s="116">
        <v>162.10499999999999</v>
      </c>
      <c r="C541" s="116">
        <v>161.965</v>
      </c>
      <c r="D541" s="116">
        <v>159.38499999999999</v>
      </c>
      <c r="E541" s="116">
        <v>161.63</v>
      </c>
      <c r="F541" s="116">
        <v>1619.65</v>
      </c>
      <c r="G541">
        <v>23612</v>
      </c>
      <c r="H541" s="116"/>
      <c r="I541" s="116"/>
      <c r="L541" s="170">
        <v>44897</v>
      </c>
      <c r="M541" s="116">
        <v>161.91499999999999</v>
      </c>
      <c r="N541" s="116">
        <v>162.255</v>
      </c>
      <c r="O541" s="116">
        <v>159.31</v>
      </c>
      <c r="P541" s="116">
        <v>161.9</v>
      </c>
      <c r="Q541" s="116">
        <v>1619.15</v>
      </c>
      <c r="R541">
        <v>283252</v>
      </c>
    </row>
    <row r="542" spans="1:18" x14ac:dyDescent="0.25">
      <c r="A542" s="170">
        <v>44900</v>
      </c>
      <c r="B542" s="116">
        <v>160.49</v>
      </c>
      <c r="C542" s="116">
        <v>154.255</v>
      </c>
      <c r="D542" s="116">
        <v>152.6</v>
      </c>
      <c r="E542" s="116">
        <v>160.49</v>
      </c>
      <c r="F542" s="116">
        <v>1542.55</v>
      </c>
      <c r="G542">
        <v>37822</v>
      </c>
      <c r="H542" s="116"/>
      <c r="I542" s="116"/>
      <c r="L542" s="170">
        <v>44900</v>
      </c>
      <c r="M542" s="116">
        <v>154.18</v>
      </c>
      <c r="N542" s="116">
        <v>159.48500000000001</v>
      </c>
      <c r="O542" s="116">
        <v>152.5</v>
      </c>
      <c r="P542" s="116">
        <v>158.99</v>
      </c>
      <c r="Q542" s="116">
        <v>1541.8</v>
      </c>
      <c r="R542">
        <v>534338</v>
      </c>
    </row>
    <row r="543" spans="1:18" x14ac:dyDescent="0.25">
      <c r="A543" s="170">
        <v>44901</v>
      </c>
      <c r="B543" s="116">
        <v>157.49</v>
      </c>
      <c r="C543" s="116">
        <v>156.745</v>
      </c>
      <c r="D543" s="116">
        <v>153.005</v>
      </c>
      <c r="E543" s="116">
        <v>153.005</v>
      </c>
      <c r="F543" s="116">
        <v>1567.45</v>
      </c>
      <c r="G543">
        <v>24117</v>
      </c>
      <c r="H543" s="116"/>
      <c r="I543" s="116"/>
      <c r="L543" s="170">
        <v>44901</v>
      </c>
      <c r="M543" s="116">
        <v>156.785</v>
      </c>
      <c r="N543" s="116">
        <v>157.5</v>
      </c>
      <c r="O543" s="116">
        <v>153.63</v>
      </c>
      <c r="P543" s="116">
        <v>154.18</v>
      </c>
      <c r="Q543" s="116">
        <v>1567.85</v>
      </c>
      <c r="R543">
        <v>357990</v>
      </c>
    </row>
    <row r="544" spans="1:18" x14ac:dyDescent="0.25">
      <c r="A544" s="170">
        <v>44902</v>
      </c>
      <c r="B544" s="116">
        <v>157.18</v>
      </c>
      <c r="C544" s="116">
        <v>153.55500000000001</v>
      </c>
      <c r="D544" s="116">
        <v>151.91999999999999</v>
      </c>
      <c r="E544" s="116">
        <v>156.36000000000001</v>
      </c>
      <c r="F544" s="116">
        <v>1535.55</v>
      </c>
      <c r="G544">
        <v>7237</v>
      </c>
      <c r="H544" s="116"/>
      <c r="I544" s="116"/>
      <c r="L544" s="170">
        <v>44902</v>
      </c>
      <c r="M544" s="116">
        <v>153.625</v>
      </c>
      <c r="N544" s="116">
        <v>157.54499999999999</v>
      </c>
      <c r="O544" s="116">
        <v>152.5</v>
      </c>
      <c r="P544" s="116">
        <v>157</v>
      </c>
      <c r="Q544" s="116">
        <v>1536.25</v>
      </c>
      <c r="R544">
        <v>168887</v>
      </c>
    </row>
    <row r="545" spans="1:18" x14ac:dyDescent="0.25">
      <c r="A545" s="170">
        <v>44903</v>
      </c>
      <c r="B545" s="116">
        <v>154.1</v>
      </c>
      <c r="C545" s="116">
        <v>152.01</v>
      </c>
      <c r="D545" s="116">
        <v>150.81</v>
      </c>
      <c r="E545" s="116">
        <v>153.005</v>
      </c>
      <c r="F545" s="116">
        <v>1520.1</v>
      </c>
      <c r="G545">
        <v>9934</v>
      </c>
      <c r="H545" s="116"/>
      <c r="I545" s="116"/>
      <c r="L545" s="170">
        <v>44903</v>
      </c>
      <c r="M545" s="116">
        <v>151.88</v>
      </c>
      <c r="N545" s="116">
        <v>154.19999999999999</v>
      </c>
      <c r="O545" s="116">
        <v>150.71</v>
      </c>
      <c r="P545" s="116">
        <v>153.97999999999999</v>
      </c>
      <c r="Q545" s="116">
        <v>1518.8</v>
      </c>
      <c r="R545">
        <v>145887</v>
      </c>
    </row>
    <row r="546" spans="1:18" x14ac:dyDescent="0.25">
      <c r="A546" s="170">
        <v>44904</v>
      </c>
      <c r="B546" s="116">
        <v>153.495</v>
      </c>
      <c r="C546" s="116">
        <v>150.56</v>
      </c>
      <c r="D546" s="116">
        <v>149.67500000000001</v>
      </c>
      <c r="E546" s="116">
        <v>152.88999999999999</v>
      </c>
      <c r="F546" s="116">
        <v>1505.6</v>
      </c>
      <c r="G546">
        <v>19939</v>
      </c>
      <c r="H546" s="116"/>
      <c r="I546" s="116"/>
      <c r="L546" s="170">
        <v>44904</v>
      </c>
      <c r="M546" s="116">
        <v>150.6</v>
      </c>
      <c r="N546" s="116">
        <v>153.49</v>
      </c>
      <c r="O546" s="116">
        <v>149.65</v>
      </c>
      <c r="P546" s="116">
        <v>152.37</v>
      </c>
      <c r="Q546" s="116">
        <v>1506</v>
      </c>
      <c r="R546">
        <v>187019</v>
      </c>
    </row>
    <row r="547" spans="1:18" x14ac:dyDescent="0.25">
      <c r="A547" s="170">
        <v>44907</v>
      </c>
      <c r="B547" s="116">
        <v>151.44</v>
      </c>
      <c r="C547" s="116">
        <v>148.53</v>
      </c>
      <c r="D547" s="116">
        <v>147.80000000000001</v>
      </c>
      <c r="E547" s="116">
        <v>149.23500000000001</v>
      </c>
      <c r="F547" s="116">
        <v>1485.3</v>
      </c>
      <c r="G547">
        <v>9216</v>
      </c>
      <c r="H547" s="116"/>
      <c r="I547" s="116"/>
      <c r="L547" s="170">
        <v>44907</v>
      </c>
      <c r="M547" s="116">
        <v>148.28</v>
      </c>
      <c r="N547" s="116">
        <v>151.465</v>
      </c>
      <c r="O547" s="116">
        <v>147.61000000000001</v>
      </c>
      <c r="P547" s="116">
        <v>150</v>
      </c>
      <c r="Q547" s="116">
        <v>1482.8</v>
      </c>
      <c r="R547">
        <v>143487</v>
      </c>
    </row>
    <row r="548" spans="1:18" x14ac:dyDescent="0.25">
      <c r="A548" s="170">
        <v>44908</v>
      </c>
      <c r="B548" s="116">
        <v>155.32499999999999</v>
      </c>
      <c r="C548" s="116">
        <v>153.07499999999999</v>
      </c>
      <c r="D548" s="116">
        <v>148.61000000000001</v>
      </c>
      <c r="E548" s="116">
        <v>148.61000000000001</v>
      </c>
      <c r="F548" s="116">
        <v>1530.75</v>
      </c>
      <c r="G548">
        <v>34650</v>
      </c>
      <c r="H548" s="116"/>
      <c r="I548" s="116"/>
      <c r="L548" s="170">
        <v>44908</v>
      </c>
      <c r="M548" s="116">
        <v>153.07499999999999</v>
      </c>
      <c r="N548" s="116">
        <v>155.45500000000001</v>
      </c>
      <c r="O548" s="116">
        <v>148.9</v>
      </c>
      <c r="P548" s="116">
        <v>148.995</v>
      </c>
      <c r="Q548" s="116">
        <v>1530.75</v>
      </c>
      <c r="R548">
        <v>479246</v>
      </c>
    </row>
    <row r="549" spans="1:18" x14ac:dyDescent="0.25">
      <c r="A549" s="170">
        <v>44909</v>
      </c>
      <c r="B549" s="116">
        <v>154.30500000000001</v>
      </c>
      <c r="C549" s="116">
        <v>152.56</v>
      </c>
      <c r="D549" s="116">
        <v>151.065</v>
      </c>
      <c r="E549" s="116">
        <v>153.5</v>
      </c>
      <c r="F549" s="116">
        <v>1525.6</v>
      </c>
      <c r="G549">
        <v>12393</v>
      </c>
      <c r="H549" s="116"/>
      <c r="I549" s="116"/>
      <c r="L549" s="170">
        <v>44909</v>
      </c>
      <c r="M549" s="116">
        <v>152.625</v>
      </c>
      <c r="N549" s="116">
        <v>154.39500000000001</v>
      </c>
      <c r="O549" s="116">
        <v>151.1</v>
      </c>
      <c r="P549" s="116">
        <v>153.19</v>
      </c>
      <c r="Q549" s="116">
        <v>1526.25</v>
      </c>
      <c r="R549">
        <v>305659</v>
      </c>
    </row>
    <row r="550" spans="1:18" x14ac:dyDescent="0.25">
      <c r="A550" s="170">
        <v>44910</v>
      </c>
      <c r="B550" s="116">
        <v>153.28</v>
      </c>
      <c r="C550" s="116">
        <v>148.91</v>
      </c>
      <c r="D550" s="116">
        <v>148.1</v>
      </c>
      <c r="E550" s="116">
        <v>152.56</v>
      </c>
      <c r="F550" s="116">
        <v>1489.1</v>
      </c>
      <c r="G550">
        <v>13735</v>
      </c>
      <c r="H550" s="116"/>
      <c r="I550" s="116"/>
      <c r="L550" s="170">
        <v>44910</v>
      </c>
      <c r="M550" s="116">
        <v>148.67500000000001</v>
      </c>
      <c r="N550" s="116">
        <v>153.505</v>
      </c>
      <c r="O550" s="116">
        <v>148.1</v>
      </c>
      <c r="P550" s="116">
        <v>152.98500000000001</v>
      </c>
      <c r="Q550" s="116">
        <v>1486.75</v>
      </c>
      <c r="R550">
        <v>196456</v>
      </c>
    </row>
    <row r="551" spans="1:18" x14ac:dyDescent="0.25">
      <c r="A551" s="170">
        <v>44911</v>
      </c>
      <c r="B551" s="116">
        <v>149.94499999999999</v>
      </c>
      <c r="C551" s="116">
        <v>145.87</v>
      </c>
      <c r="D551" s="116">
        <v>145.47999999999999</v>
      </c>
      <c r="E551" s="116">
        <v>149.1</v>
      </c>
      <c r="F551" s="116">
        <v>1458.7</v>
      </c>
      <c r="G551">
        <v>21959</v>
      </c>
      <c r="H551" s="116"/>
      <c r="I551" s="116"/>
      <c r="L551" s="170">
        <v>44911</v>
      </c>
      <c r="M551" s="116">
        <v>145.88499999999999</v>
      </c>
      <c r="N551" s="116">
        <v>149.88999999999999</v>
      </c>
      <c r="O551" s="116">
        <v>145.55500000000001</v>
      </c>
      <c r="P551" s="116">
        <v>148.905</v>
      </c>
      <c r="Q551" s="116">
        <v>1458.85</v>
      </c>
      <c r="R551">
        <v>266558</v>
      </c>
    </row>
    <row r="552" spans="1:18" x14ac:dyDescent="0.25">
      <c r="A552" s="170">
        <v>44914</v>
      </c>
      <c r="B552" s="116">
        <v>148.83000000000001</v>
      </c>
      <c r="C552" s="116">
        <v>142.66999999999999</v>
      </c>
      <c r="D552" s="116">
        <v>142.005</v>
      </c>
      <c r="E552" s="116">
        <v>145.005</v>
      </c>
      <c r="F552" s="116">
        <v>1426.7</v>
      </c>
      <c r="G552">
        <v>17839</v>
      </c>
      <c r="H552" s="116"/>
      <c r="I552" s="116"/>
      <c r="L552" s="170">
        <v>44914</v>
      </c>
      <c r="M552" s="116">
        <v>142.6</v>
      </c>
      <c r="N552" s="116">
        <v>148.79499999999999</v>
      </c>
      <c r="O552" s="116">
        <v>142</v>
      </c>
      <c r="P552" s="116">
        <v>146.61500000000001</v>
      </c>
      <c r="Q552" s="116">
        <v>1426</v>
      </c>
      <c r="R552">
        <v>391054</v>
      </c>
    </row>
    <row r="553" spans="1:18" x14ac:dyDescent="0.25">
      <c r="A553" s="170">
        <v>44915</v>
      </c>
      <c r="B553" s="116">
        <v>143.69999999999999</v>
      </c>
      <c r="C553" s="116">
        <v>136.86500000000001</v>
      </c>
      <c r="D553" s="116">
        <v>136.19999999999999</v>
      </c>
      <c r="E553" s="116">
        <v>142.80500000000001</v>
      </c>
      <c r="F553" s="116">
        <v>1368.65</v>
      </c>
      <c r="G553">
        <v>63491</v>
      </c>
      <c r="H553" s="116"/>
      <c r="I553" s="116"/>
      <c r="L553" s="170">
        <v>44915</v>
      </c>
      <c r="M553" s="116">
        <v>136.85</v>
      </c>
      <c r="N553" s="116">
        <v>143.995</v>
      </c>
      <c r="O553" s="116">
        <v>135.99</v>
      </c>
      <c r="P553" s="116">
        <v>143.5</v>
      </c>
      <c r="Q553" s="116">
        <v>1368.5</v>
      </c>
      <c r="R553">
        <v>631774</v>
      </c>
    </row>
    <row r="554" spans="1:18" x14ac:dyDescent="0.25">
      <c r="A554" s="170">
        <v>44916</v>
      </c>
      <c r="B554" s="116">
        <v>138.34</v>
      </c>
      <c r="C554" s="116">
        <v>129.35</v>
      </c>
      <c r="D554" s="116">
        <v>127.88500000000001</v>
      </c>
      <c r="E554" s="116">
        <v>138.26</v>
      </c>
      <c r="F554" s="116">
        <v>1293.5</v>
      </c>
      <c r="G554">
        <v>68346</v>
      </c>
      <c r="H554" s="116"/>
      <c r="I554" s="116"/>
      <c r="L554" s="170">
        <v>44916</v>
      </c>
      <c r="M554" s="116">
        <v>129.16999999999999</v>
      </c>
      <c r="N554" s="116">
        <v>138.5</v>
      </c>
      <c r="O554" s="116">
        <v>127.905</v>
      </c>
      <c r="P554" s="116">
        <v>138.5</v>
      </c>
      <c r="Q554" s="116">
        <v>1291.7</v>
      </c>
      <c r="R554">
        <v>757119</v>
      </c>
    </row>
    <row r="555" spans="1:18" x14ac:dyDescent="0.25">
      <c r="A555" s="170">
        <v>44917</v>
      </c>
      <c r="B555" s="116">
        <v>134.535</v>
      </c>
      <c r="C555" s="116">
        <v>132.85</v>
      </c>
      <c r="D555" s="116">
        <v>127.605</v>
      </c>
      <c r="E555" s="116">
        <v>131.75</v>
      </c>
      <c r="F555" s="116">
        <v>1328.5</v>
      </c>
      <c r="G555">
        <v>86498</v>
      </c>
      <c r="H555" s="116"/>
      <c r="I555" s="116"/>
      <c r="L555" s="170">
        <v>44917</v>
      </c>
      <c r="M555" s="116">
        <v>132.75</v>
      </c>
      <c r="N555" s="116">
        <v>134.5</v>
      </c>
      <c r="O555" s="116">
        <v>127.63</v>
      </c>
      <c r="P555" s="116">
        <v>132.30000000000001</v>
      </c>
      <c r="Q555" s="116">
        <v>1327.5</v>
      </c>
      <c r="R555">
        <v>758450</v>
      </c>
    </row>
    <row r="556" spans="1:18" x14ac:dyDescent="0.25">
      <c r="A556" s="170">
        <v>44918</v>
      </c>
      <c r="B556" s="116">
        <v>131.005</v>
      </c>
      <c r="C556" s="116">
        <v>124.63500000000001</v>
      </c>
      <c r="D556" s="116">
        <v>123.14</v>
      </c>
      <c r="E556" s="116">
        <v>131.005</v>
      </c>
      <c r="F556" s="116">
        <v>1246.3499999999999</v>
      </c>
      <c r="G556">
        <v>66256</v>
      </c>
      <c r="H556" s="116"/>
      <c r="I556" s="116"/>
      <c r="L556" s="170">
        <v>44918</v>
      </c>
      <c r="M556" s="116">
        <v>124.56</v>
      </c>
      <c r="N556" s="116">
        <v>131.55000000000001</v>
      </c>
      <c r="O556" s="116">
        <v>123.02</v>
      </c>
      <c r="P556" s="116">
        <v>131.55000000000001</v>
      </c>
      <c r="Q556" s="116">
        <v>1245.5999999999999</v>
      </c>
      <c r="R556">
        <v>377474</v>
      </c>
    </row>
    <row r="557" spans="1:18" x14ac:dyDescent="0.25">
      <c r="A557" s="170">
        <v>44921</v>
      </c>
      <c r="B557" s="116">
        <v>130.75</v>
      </c>
      <c r="C557" s="116">
        <v>129.87</v>
      </c>
      <c r="D557" s="116">
        <v>120.005</v>
      </c>
      <c r="E557" s="116">
        <v>120.005</v>
      </c>
      <c r="F557" s="116">
        <v>1298.7</v>
      </c>
      <c r="G557">
        <v>44149</v>
      </c>
      <c r="H557" s="116"/>
      <c r="I557" s="116"/>
      <c r="L557" s="170">
        <v>44921</v>
      </c>
      <c r="M557" s="116">
        <v>129.75</v>
      </c>
      <c r="N557" s="116">
        <v>130.80000000000001</v>
      </c>
      <c r="O557" s="116">
        <v>124.2</v>
      </c>
      <c r="P557" s="116">
        <v>125.185</v>
      </c>
      <c r="Q557" s="116">
        <v>1297.5</v>
      </c>
      <c r="R557">
        <v>349857</v>
      </c>
    </row>
    <row r="558" spans="1:18" x14ac:dyDescent="0.25">
      <c r="A558" s="170">
        <v>44922</v>
      </c>
      <c r="B558" s="116">
        <v>132.62</v>
      </c>
      <c r="C558" s="116">
        <v>131.245</v>
      </c>
      <c r="D558" s="116">
        <v>130.13999999999999</v>
      </c>
      <c r="E558" s="116">
        <v>130.98500000000001</v>
      </c>
      <c r="F558" s="116">
        <v>1312.45</v>
      </c>
      <c r="G558">
        <v>20525</v>
      </c>
      <c r="H558" s="116"/>
      <c r="I558" s="116"/>
      <c r="L558" s="170">
        <v>44922</v>
      </c>
      <c r="M558" s="116">
        <v>131.24</v>
      </c>
      <c r="N558" s="116">
        <v>132.845</v>
      </c>
      <c r="O558" s="116">
        <v>130.19999999999999</v>
      </c>
      <c r="P558" s="116">
        <v>130.68</v>
      </c>
      <c r="Q558" s="116">
        <v>1312.4</v>
      </c>
      <c r="R558">
        <v>233247</v>
      </c>
    </row>
    <row r="559" spans="1:18" x14ac:dyDescent="0.25">
      <c r="A559" s="170">
        <v>44923</v>
      </c>
      <c r="B559" s="116">
        <v>131.77000000000001</v>
      </c>
      <c r="C559" s="116">
        <v>130.45500000000001</v>
      </c>
      <c r="D559" s="116">
        <v>129.69999999999999</v>
      </c>
      <c r="E559" s="116">
        <v>131</v>
      </c>
      <c r="F559" s="116">
        <v>1304.55</v>
      </c>
      <c r="G559">
        <v>19166</v>
      </c>
      <c r="H559" s="116"/>
      <c r="I559" s="116"/>
      <c r="L559" s="170">
        <v>44923</v>
      </c>
      <c r="M559" s="116">
        <v>130.345</v>
      </c>
      <c r="N559" s="116">
        <v>131.785</v>
      </c>
      <c r="O559" s="116">
        <v>129.5</v>
      </c>
      <c r="P559" s="116">
        <v>131.5</v>
      </c>
      <c r="Q559" s="116">
        <v>1303.45</v>
      </c>
      <c r="R559">
        <v>153403</v>
      </c>
    </row>
    <row r="560" spans="1:18" x14ac:dyDescent="0.25">
      <c r="A560" s="170">
        <v>44924</v>
      </c>
      <c r="B560" s="116">
        <v>133.80000000000001</v>
      </c>
      <c r="C560" s="116">
        <v>133.345</v>
      </c>
      <c r="D560" s="116">
        <v>128.69999999999999</v>
      </c>
      <c r="E560" s="116">
        <v>128.69999999999999</v>
      </c>
      <c r="F560" s="116">
        <v>1333.45</v>
      </c>
      <c r="G560">
        <v>22302</v>
      </c>
      <c r="H560" s="116"/>
      <c r="I560" s="116"/>
      <c r="L560" s="170">
        <v>44924</v>
      </c>
      <c r="M560" s="116">
        <v>133.33500000000001</v>
      </c>
      <c r="N560" s="116">
        <v>133.83500000000001</v>
      </c>
      <c r="O560" s="116">
        <v>129</v>
      </c>
      <c r="P560" s="116">
        <v>129</v>
      </c>
      <c r="Q560" s="116">
        <v>1333.35</v>
      </c>
      <c r="R560">
        <v>331425</v>
      </c>
    </row>
    <row r="561" spans="1:18" x14ac:dyDescent="0.25">
      <c r="A561" s="170">
        <v>44925</v>
      </c>
      <c r="B561" s="116">
        <v>135</v>
      </c>
      <c r="C561" s="116">
        <v>131.15</v>
      </c>
      <c r="D561" s="116">
        <v>130.48500000000001</v>
      </c>
      <c r="E561" s="116">
        <v>135</v>
      </c>
      <c r="F561" s="116">
        <v>1311.5</v>
      </c>
      <c r="G561">
        <v>21065</v>
      </c>
      <c r="H561" s="116"/>
      <c r="I561" s="116"/>
      <c r="L561" s="170">
        <v>44925</v>
      </c>
      <c r="M561" s="116">
        <v>131.13499999999999</v>
      </c>
      <c r="N561" s="116">
        <v>134.75</v>
      </c>
      <c r="O561" s="116">
        <v>130.64500000000001</v>
      </c>
      <c r="P561" s="116">
        <v>134.75</v>
      </c>
      <c r="Q561" s="116">
        <v>1311.35</v>
      </c>
      <c r="R561">
        <v>342927</v>
      </c>
    </row>
    <row r="562" spans="1:18" x14ac:dyDescent="0.25">
      <c r="A562" s="170">
        <v>44928</v>
      </c>
      <c r="B562" s="116">
        <v>132.595</v>
      </c>
      <c r="C562" s="116">
        <v>131.57499999999999</v>
      </c>
      <c r="D562" s="116">
        <v>129.44499999999999</v>
      </c>
      <c r="E562" s="116">
        <v>132.39500000000001</v>
      </c>
      <c r="F562" s="116">
        <v>1315.75</v>
      </c>
      <c r="G562">
        <v>14139</v>
      </c>
      <c r="H562" s="116"/>
      <c r="I562" s="116"/>
      <c r="L562" s="170">
        <v>44928</v>
      </c>
      <c r="M562" s="116">
        <v>131.66</v>
      </c>
      <c r="N562" s="116">
        <v>132.76499999999999</v>
      </c>
      <c r="O562" s="116">
        <v>129.30000000000001</v>
      </c>
      <c r="P562" s="116">
        <v>132.02500000000001</v>
      </c>
      <c r="Q562" s="116">
        <v>1316.6</v>
      </c>
      <c r="R562">
        <v>216569</v>
      </c>
    </row>
    <row r="563" spans="1:18" x14ac:dyDescent="0.25">
      <c r="A563" s="170">
        <v>44929</v>
      </c>
      <c r="B563" s="116">
        <v>133.01499999999999</v>
      </c>
      <c r="C563" s="116">
        <v>131.61000000000001</v>
      </c>
      <c r="D563" s="116">
        <v>131.24</v>
      </c>
      <c r="E563" s="116">
        <v>132</v>
      </c>
      <c r="F563" s="116">
        <v>1316.1</v>
      </c>
      <c r="G563">
        <v>6101</v>
      </c>
      <c r="H563" s="116"/>
      <c r="I563" s="116"/>
      <c r="L563" s="170">
        <v>44929</v>
      </c>
      <c r="M563" s="116">
        <v>131.56</v>
      </c>
      <c r="N563" s="116">
        <v>133.65</v>
      </c>
      <c r="O563" s="116">
        <v>131.19999999999999</v>
      </c>
      <c r="P563" s="116">
        <v>133</v>
      </c>
      <c r="Q563" s="116">
        <v>1315.6</v>
      </c>
      <c r="R563">
        <v>210810</v>
      </c>
    </row>
    <row r="564" spans="1:18" x14ac:dyDescent="0.25">
      <c r="A564" s="170">
        <v>44930</v>
      </c>
      <c r="B564" s="116">
        <v>136.625</v>
      </c>
      <c r="C564" s="116">
        <v>133.13499999999999</v>
      </c>
      <c r="D564" s="116">
        <v>132.22999999999999</v>
      </c>
      <c r="E564" s="116">
        <v>134.9</v>
      </c>
      <c r="F564" s="116">
        <v>1331.35</v>
      </c>
      <c r="G564">
        <v>52491</v>
      </c>
      <c r="H564" s="116"/>
      <c r="I564" s="116"/>
      <c r="L564" s="170">
        <v>44930</v>
      </c>
      <c r="M564" s="116">
        <v>133.255</v>
      </c>
      <c r="N564" s="116">
        <v>136.875</v>
      </c>
      <c r="O564" s="116">
        <v>132.19999999999999</v>
      </c>
      <c r="P564" s="116">
        <v>134.80000000000001</v>
      </c>
      <c r="Q564" s="116">
        <v>1332.55</v>
      </c>
      <c r="R564">
        <v>874907</v>
      </c>
    </row>
    <row r="565" spans="1:18" x14ac:dyDescent="0.25">
      <c r="A565" s="170">
        <v>44931</v>
      </c>
      <c r="B565" s="116">
        <v>134.69499999999999</v>
      </c>
      <c r="C565" s="116">
        <v>131.56</v>
      </c>
      <c r="D565" s="116">
        <v>129.845</v>
      </c>
      <c r="E565" s="116">
        <v>134.69499999999999</v>
      </c>
      <c r="F565" s="116">
        <v>1315.6</v>
      </c>
      <c r="G565">
        <v>13096</v>
      </c>
      <c r="H565" s="116"/>
      <c r="I565" s="116"/>
      <c r="L565" s="170">
        <v>44931</v>
      </c>
      <c r="M565" s="116">
        <v>131.15</v>
      </c>
      <c r="N565" s="116">
        <v>134.5</v>
      </c>
      <c r="O565" s="116">
        <v>129.9</v>
      </c>
      <c r="P565" s="116">
        <v>134.26</v>
      </c>
      <c r="Q565" s="116">
        <v>1311.5</v>
      </c>
      <c r="R565">
        <v>292410</v>
      </c>
    </row>
    <row r="566" spans="1:18" x14ac:dyDescent="0.25">
      <c r="A566" s="170">
        <v>44932</v>
      </c>
      <c r="B566" s="116">
        <v>132.5</v>
      </c>
      <c r="C566" s="116">
        <v>127.85</v>
      </c>
      <c r="D566" s="116">
        <v>126.9</v>
      </c>
      <c r="E566" s="116">
        <v>132.39500000000001</v>
      </c>
      <c r="F566" s="116">
        <v>1278.5</v>
      </c>
      <c r="G566">
        <v>29867</v>
      </c>
      <c r="H566" s="116"/>
      <c r="I566" s="116"/>
      <c r="L566" s="170">
        <v>44932</v>
      </c>
      <c r="M566" s="116">
        <v>128.07</v>
      </c>
      <c r="N566" s="116">
        <v>132.47</v>
      </c>
      <c r="O566" s="116">
        <v>127.5</v>
      </c>
      <c r="P566" s="116">
        <v>132</v>
      </c>
      <c r="Q566" s="116">
        <v>1280.7</v>
      </c>
      <c r="R566">
        <v>329259</v>
      </c>
    </row>
    <row r="567" spans="1:18" x14ac:dyDescent="0.25">
      <c r="A567" s="170">
        <v>44935</v>
      </c>
      <c r="B567" s="116">
        <v>130.59</v>
      </c>
      <c r="C567" s="116">
        <v>128.57</v>
      </c>
      <c r="D567" s="116">
        <v>128.125</v>
      </c>
      <c r="E567" s="116">
        <v>130.10499999999999</v>
      </c>
      <c r="F567" s="116">
        <v>1285.7</v>
      </c>
      <c r="G567">
        <v>12670</v>
      </c>
      <c r="H567" s="116"/>
      <c r="I567" s="116"/>
      <c r="L567" s="170">
        <v>44935</v>
      </c>
      <c r="M567" s="116">
        <v>128.49</v>
      </c>
      <c r="N567" s="116">
        <v>130.62</v>
      </c>
      <c r="O567" s="116">
        <v>128.1</v>
      </c>
      <c r="P567" s="116">
        <v>130.5</v>
      </c>
      <c r="Q567" s="116">
        <v>1284.9000000000001</v>
      </c>
      <c r="R567">
        <v>308628</v>
      </c>
    </row>
    <row r="568" spans="1:18" x14ac:dyDescent="0.25">
      <c r="A568" s="170">
        <v>44936</v>
      </c>
      <c r="B568" s="116">
        <v>129.91999999999999</v>
      </c>
      <c r="C568" s="116">
        <v>128.375</v>
      </c>
      <c r="D568" s="116">
        <v>127.65</v>
      </c>
      <c r="E568" s="116">
        <v>129</v>
      </c>
      <c r="F568" s="116">
        <v>1283.75</v>
      </c>
      <c r="G568">
        <v>18477</v>
      </c>
      <c r="H568" s="116"/>
      <c r="I568" s="116"/>
      <c r="L568" s="170">
        <v>44936</v>
      </c>
      <c r="M568" s="116">
        <v>128.32499999999999</v>
      </c>
      <c r="N568" s="116">
        <v>129.935</v>
      </c>
      <c r="O568" s="116">
        <v>127.6</v>
      </c>
      <c r="P568" s="116">
        <v>129.13499999999999</v>
      </c>
      <c r="Q568" s="116">
        <v>1283.25</v>
      </c>
      <c r="R568">
        <v>201747</v>
      </c>
    </row>
    <row r="569" spans="1:18" x14ac:dyDescent="0.25">
      <c r="A569" s="170">
        <v>44937</v>
      </c>
      <c r="B569" s="116">
        <v>129.69999999999999</v>
      </c>
      <c r="C569" s="116">
        <v>128.27500000000001</v>
      </c>
      <c r="D569" s="116">
        <v>128.02000000000001</v>
      </c>
      <c r="E569" s="116">
        <v>128.95500000000001</v>
      </c>
      <c r="F569" s="116">
        <v>1282.75</v>
      </c>
      <c r="G569">
        <v>13152</v>
      </c>
      <c r="H569" s="116"/>
      <c r="I569" s="116"/>
      <c r="L569" s="170">
        <v>44937</v>
      </c>
      <c r="M569" s="116">
        <v>128.30000000000001</v>
      </c>
      <c r="N569" s="116">
        <v>129.88999999999999</v>
      </c>
      <c r="O569" s="116">
        <v>128.01</v>
      </c>
      <c r="P569" s="116">
        <v>128.51</v>
      </c>
      <c r="Q569" s="116">
        <v>1283</v>
      </c>
      <c r="R569">
        <v>182110</v>
      </c>
    </row>
    <row r="570" spans="1:18" x14ac:dyDescent="0.25">
      <c r="A570" s="170">
        <v>44938</v>
      </c>
      <c r="B570" s="116">
        <v>130.55000000000001</v>
      </c>
      <c r="C570" s="116">
        <v>128.37</v>
      </c>
      <c r="D570" s="116">
        <v>127.7</v>
      </c>
      <c r="E570" s="116">
        <v>129.5</v>
      </c>
      <c r="F570" s="116">
        <v>1283.7</v>
      </c>
      <c r="G570">
        <v>13238</v>
      </c>
      <c r="H570" s="116"/>
      <c r="I570" s="116"/>
      <c r="L570" s="170">
        <v>44938</v>
      </c>
      <c r="M570" s="116">
        <v>128.27500000000001</v>
      </c>
      <c r="N570" s="116">
        <v>130.69999999999999</v>
      </c>
      <c r="O570" s="116">
        <v>127.605</v>
      </c>
      <c r="P570" s="116">
        <v>129.05500000000001</v>
      </c>
      <c r="Q570" s="116">
        <v>1282.75</v>
      </c>
      <c r="R570">
        <v>278181</v>
      </c>
    </row>
    <row r="571" spans="1:18" x14ac:dyDescent="0.25">
      <c r="A571" s="170">
        <v>44939</v>
      </c>
      <c r="B571" s="116">
        <v>131.38999999999999</v>
      </c>
      <c r="C571" s="116">
        <v>130.64500000000001</v>
      </c>
      <c r="D571" s="116">
        <v>127.6</v>
      </c>
      <c r="E571" s="116">
        <v>129.73500000000001</v>
      </c>
      <c r="F571" s="116">
        <v>1306.45</v>
      </c>
      <c r="G571">
        <v>21461</v>
      </c>
      <c r="H571" s="116"/>
      <c r="I571" s="116"/>
      <c r="L571" s="170">
        <v>44939</v>
      </c>
      <c r="M571" s="116">
        <v>130.51</v>
      </c>
      <c r="N571" s="116">
        <v>131</v>
      </c>
      <c r="O571" s="116">
        <v>127.6</v>
      </c>
      <c r="P571" s="116">
        <v>129</v>
      </c>
      <c r="Q571" s="116">
        <v>1305.0999999999999</v>
      </c>
      <c r="R571">
        <v>296204</v>
      </c>
    </row>
    <row r="572" spans="1:18" x14ac:dyDescent="0.25">
      <c r="A572" s="170">
        <v>44942</v>
      </c>
      <c r="B572" s="116">
        <v>133.07499999999999</v>
      </c>
      <c r="C572" s="116">
        <v>131.54499999999999</v>
      </c>
      <c r="D572" s="116">
        <v>130.69499999999999</v>
      </c>
      <c r="E572" s="116">
        <v>132</v>
      </c>
      <c r="F572" s="116">
        <v>1315.45</v>
      </c>
      <c r="G572">
        <v>29932</v>
      </c>
      <c r="H572" s="116"/>
      <c r="I572" s="116"/>
      <c r="L572" s="170">
        <v>44942</v>
      </c>
      <c r="M572" s="116">
        <v>131.6</v>
      </c>
      <c r="N572" s="116">
        <v>133</v>
      </c>
      <c r="O572" s="116">
        <v>130.69999999999999</v>
      </c>
      <c r="P572" s="116">
        <v>131.9</v>
      </c>
      <c r="Q572" s="116">
        <v>1316</v>
      </c>
      <c r="R572">
        <v>454919</v>
      </c>
    </row>
    <row r="573" spans="1:18" x14ac:dyDescent="0.25">
      <c r="A573" s="170">
        <v>44943</v>
      </c>
      <c r="B573" s="116">
        <v>132.995</v>
      </c>
      <c r="C573" s="116">
        <v>129.20500000000001</v>
      </c>
      <c r="D573" s="116">
        <v>128.51499999999999</v>
      </c>
      <c r="E573" s="116">
        <v>132.995</v>
      </c>
      <c r="F573" s="116">
        <v>1292.05</v>
      </c>
      <c r="G573">
        <v>24156</v>
      </c>
      <c r="H573" s="116"/>
      <c r="I573" s="116"/>
      <c r="L573" s="170">
        <v>44943</v>
      </c>
      <c r="M573" s="116">
        <v>129.29</v>
      </c>
      <c r="N573" s="116">
        <v>132.99</v>
      </c>
      <c r="O573" s="116">
        <v>128.505</v>
      </c>
      <c r="P573" s="116">
        <v>132.5</v>
      </c>
      <c r="Q573" s="116">
        <v>1292.9000000000001</v>
      </c>
      <c r="R573">
        <v>687270</v>
      </c>
    </row>
    <row r="574" spans="1:18" x14ac:dyDescent="0.25">
      <c r="A574" s="170">
        <v>44944</v>
      </c>
      <c r="B574" s="116">
        <v>129.85499999999999</v>
      </c>
      <c r="C574" s="116">
        <v>126.715</v>
      </c>
      <c r="D574" s="116">
        <v>125.565</v>
      </c>
      <c r="E574" s="116">
        <v>129.79499999999999</v>
      </c>
      <c r="F574" s="116">
        <v>1267.1500000000001</v>
      </c>
      <c r="G574">
        <v>12906</v>
      </c>
      <c r="H574" s="116"/>
      <c r="I574" s="116"/>
      <c r="L574" s="170">
        <v>44944</v>
      </c>
      <c r="M574" s="116">
        <v>126.55</v>
      </c>
      <c r="N574" s="116">
        <v>129.93</v>
      </c>
      <c r="O574" s="116">
        <v>125.425</v>
      </c>
      <c r="P574" s="116">
        <v>129.5</v>
      </c>
      <c r="Q574" s="116">
        <v>1265.5</v>
      </c>
      <c r="R574">
        <v>398469</v>
      </c>
    </row>
    <row r="575" spans="1:18" x14ac:dyDescent="0.25">
      <c r="A575" s="170">
        <v>44945</v>
      </c>
      <c r="B575" s="116">
        <v>128.04</v>
      </c>
      <c r="C575" s="116">
        <v>127.46</v>
      </c>
      <c r="D575" s="116">
        <v>126.505</v>
      </c>
      <c r="E575" s="116">
        <v>127</v>
      </c>
      <c r="F575" s="116">
        <v>1274.5999999999999</v>
      </c>
      <c r="G575">
        <v>23098</v>
      </c>
      <c r="H575" s="116"/>
      <c r="I575" s="116"/>
      <c r="L575" s="170">
        <v>44945</v>
      </c>
      <c r="M575" s="116">
        <v>127.515</v>
      </c>
      <c r="N575" s="116">
        <v>128.04499999999999</v>
      </c>
      <c r="O575" s="116">
        <v>126.55</v>
      </c>
      <c r="P575" s="116">
        <v>126.55</v>
      </c>
      <c r="Q575" s="116">
        <v>1275.1500000000001</v>
      </c>
      <c r="R575">
        <v>382075</v>
      </c>
    </row>
    <row r="576" spans="1:18" x14ac:dyDescent="0.25">
      <c r="A576" s="170">
        <v>44946</v>
      </c>
      <c r="B576" s="116">
        <v>130.55500000000001</v>
      </c>
      <c r="C576" s="116">
        <v>129.44</v>
      </c>
      <c r="D576" s="116">
        <v>127.6</v>
      </c>
      <c r="E576" s="116">
        <v>128.19999999999999</v>
      </c>
      <c r="F576" s="116">
        <v>1294.4000000000001</v>
      </c>
      <c r="G576">
        <v>8307</v>
      </c>
      <c r="H576" s="116"/>
      <c r="I576" s="116"/>
      <c r="L576" s="170">
        <v>44946</v>
      </c>
      <c r="M576" s="116">
        <v>129.55500000000001</v>
      </c>
      <c r="N576" s="116">
        <v>130.54499999999999</v>
      </c>
      <c r="O576" s="116">
        <v>127.545</v>
      </c>
      <c r="P576" s="116">
        <v>128</v>
      </c>
      <c r="Q576" s="116">
        <v>1295.55</v>
      </c>
      <c r="R576">
        <v>359867</v>
      </c>
    </row>
    <row r="577" spans="1:18" x14ac:dyDescent="0.25">
      <c r="A577" s="170">
        <v>44949</v>
      </c>
      <c r="B577" s="116">
        <v>131.56</v>
      </c>
      <c r="C577" s="116">
        <v>129.83000000000001</v>
      </c>
      <c r="D577" s="116">
        <v>129.19999999999999</v>
      </c>
      <c r="E577" s="116">
        <v>131.56</v>
      </c>
      <c r="F577" s="116">
        <v>1298.3</v>
      </c>
      <c r="G577">
        <v>7792</v>
      </c>
      <c r="H577" s="116"/>
      <c r="I577" s="116"/>
      <c r="L577" s="170">
        <v>44949</v>
      </c>
      <c r="M577" s="116">
        <v>129.72499999999999</v>
      </c>
      <c r="N577" s="116">
        <v>131.1</v>
      </c>
      <c r="O577" s="116">
        <v>129.22</v>
      </c>
      <c r="P577" s="116">
        <v>130.63</v>
      </c>
      <c r="Q577" s="116">
        <v>1297.25</v>
      </c>
      <c r="R577">
        <v>212286</v>
      </c>
    </row>
    <row r="578" spans="1:18" x14ac:dyDescent="0.25">
      <c r="A578" s="170">
        <v>44950</v>
      </c>
      <c r="B578" s="116">
        <v>130.215</v>
      </c>
      <c r="C578" s="116">
        <v>127.36499999999999</v>
      </c>
      <c r="D578" s="116">
        <v>127</v>
      </c>
      <c r="E578" s="116">
        <v>130.13999999999999</v>
      </c>
      <c r="F578" s="116">
        <v>1273.6500000000001</v>
      </c>
      <c r="G578">
        <v>18877</v>
      </c>
      <c r="H578" s="116"/>
      <c r="I578" s="116"/>
      <c r="L578" s="170">
        <v>44950</v>
      </c>
      <c r="M578" s="116">
        <v>127.31</v>
      </c>
      <c r="N578" s="116">
        <v>130.185</v>
      </c>
      <c r="O578" s="116">
        <v>127</v>
      </c>
      <c r="P578" s="116">
        <v>129.095</v>
      </c>
      <c r="Q578" s="116">
        <v>1273.0999999999999</v>
      </c>
      <c r="R578">
        <v>116098</v>
      </c>
    </row>
    <row r="579" spans="1:18" x14ac:dyDescent="0.25">
      <c r="A579" s="170">
        <v>44951</v>
      </c>
      <c r="B579" s="116">
        <v>127.995</v>
      </c>
      <c r="C579" s="116">
        <v>125.16500000000001</v>
      </c>
      <c r="D579" s="116">
        <v>124.47</v>
      </c>
      <c r="E579" s="116">
        <v>127.995</v>
      </c>
      <c r="F579" s="116">
        <v>1251.6500000000001</v>
      </c>
      <c r="G579">
        <v>19446</v>
      </c>
      <c r="H579" s="116"/>
      <c r="I579" s="116"/>
      <c r="L579" s="170">
        <v>44951</v>
      </c>
      <c r="M579" s="116">
        <v>125.16500000000001</v>
      </c>
      <c r="N579" s="116">
        <v>127.645</v>
      </c>
      <c r="O579" s="116">
        <v>124.36</v>
      </c>
      <c r="P579" s="116">
        <v>127.495</v>
      </c>
      <c r="Q579" s="116">
        <v>1251.6500000000001</v>
      </c>
      <c r="R579">
        <v>148361</v>
      </c>
    </row>
    <row r="580" spans="1:18" x14ac:dyDescent="0.25">
      <c r="A580" s="170">
        <v>44953</v>
      </c>
      <c r="B580" s="116">
        <v>124.51</v>
      </c>
      <c r="C580" s="116">
        <v>118.24</v>
      </c>
      <c r="D580" s="116">
        <v>116.5</v>
      </c>
      <c r="E580" s="116">
        <v>124.4</v>
      </c>
      <c r="F580" s="116">
        <v>1182.4000000000001</v>
      </c>
      <c r="G580">
        <v>55707</v>
      </c>
      <c r="H580" s="116"/>
      <c r="I580" s="116"/>
      <c r="L580" s="170">
        <v>44953</v>
      </c>
      <c r="M580" s="116">
        <v>118.18</v>
      </c>
      <c r="N580" s="116">
        <v>124.755</v>
      </c>
      <c r="O580" s="116">
        <v>116.465</v>
      </c>
      <c r="P580" s="116">
        <v>123.5</v>
      </c>
      <c r="Q580" s="116">
        <v>1181.8</v>
      </c>
      <c r="R580">
        <v>448833</v>
      </c>
    </row>
    <row r="581" spans="1:18" x14ac:dyDescent="0.25">
      <c r="A581" s="170">
        <v>44956</v>
      </c>
      <c r="B581" s="116">
        <v>121.82</v>
      </c>
      <c r="C581" s="116">
        <v>119.755</v>
      </c>
      <c r="D581" s="116">
        <v>117</v>
      </c>
      <c r="E581" s="116">
        <v>118.2</v>
      </c>
      <c r="F581" s="116">
        <v>1197.55</v>
      </c>
      <c r="G581">
        <v>24960</v>
      </c>
      <c r="H581" s="116"/>
      <c r="I581" s="116"/>
      <c r="L581" s="170">
        <v>44956</v>
      </c>
      <c r="M581" s="116">
        <v>119.645</v>
      </c>
      <c r="N581" s="116">
        <v>121.855</v>
      </c>
      <c r="O581" s="116">
        <v>116.81</v>
      </c>
      <c r="P581" s="116">
        <v>118.18</v>
      </c>
      <c r="Q581" s="116">
        <v>1196.45</v>
      </c>
      <c r="R581">
        <v>335447</v>
      </c>
    </row>
    <row r="582" spans="1:18" x14ac:dyDescent="0.25">
      <c r="A582" s="170">
        <v>44957</v>
      </c>
      <c r="B582" s="116">
        <v>124.4</v>
      </c>
      <c r="C582" s="116">
        <v>122.85</v>
      </c>
      <c r="D582" s="116">
        <v>119.645</v>
      </c>
      <c r="E582" s="116">
        <v>120.6</v>
      </c>
      <c r="F582" s="116">
        <v>1228.5</v>
      </c>
      <c r="G582">
        <v>35919</v>
      </c>
      <c r="H582" s="116"/>
      <c r="I582" s="116"/>
      <c r="L582" s="170">
        <v>44957</v>
      </c>
      <c r="M582" s="116">
        <v>122.76</v>
      </c>
      <c r="N582" s="116">
        <v>124.5</v>
      </c>
      <c r="O582" s="116">
        <v>119.755</v>
      </c>
      <c r="P582" s="116">
        <v>120.83</v>
      </c>
      <c r="Q582" s="116">
        <v>1227.5999999999999</v>
      </c>
      <c r="R582">
        <v>431900</v>
      </c>
    </row>
    <row r="583" spans="1:18" x14ac:dyDescent="0.25">
      <c r="A583" s="170">
        <v>44958</v>
      </c>
      <c r="B583" s="116">
        <v>126.5</v>
      </c>
      <c r="C583" s="116">
        <v>120.36499999999999</v>
      </c>
      <c r="D583" s="116">
        <v>118.795</v>
      </c>
      <c r="E583" s="116">
        <v>123.005</v>
      </c>
      <c r="F583" s="116">
        <v>1203.6500000000001</v>
      </c>
      <c r="G583">
        <v>33238</v>
      </c>
      <c r="H583" s="116"/>
      <c r="I583" s="116"/>
      <c r="L583" s="170">
        <v>44958</v>
      </c>
      <c r="M583" s="116">
        <v>120.41500000000001</v>
      </c>
      <c r="N583" s="116">
        <v>126.685</v>
      </c>
      <c r="O583" s="116">
        <v>118.7</v>
      </c>
      <c r="P583" s="116">
        <v>124.5</v>
      </c>
      <c r="Q583" s="116">
        <v>1204.1500000000001</v>
      </c>
      <c r="R583">
        <v>328247</v>
      </c>
    </row>
    <row r="584" spans="1:18" x14ac:dyDescent="0.25">
      <c r="A584" s="170">
        <v>44959</v>
      </c>
      <c r="B584" s="116">
        <v>123.51</v>
      </c>
      <c r="C584" s="116">
        <v>121.46</v>
      </c>
      <c r="D584" s="116">
        <v>119.05500000000001</v>
      </c>
      <c r="E584" s="116">
        <v>119.05500000000001</v>
      </c>
      <c r="F584" s="116">
        <v>1214.5999999999999</v>
      </c>
      <c r="G584">
        <v>6072</v>
      </c>
      <c r="H584" s="116"/>
      <c r="I584" s="116"/>
      <c r="L584" s="170">
        <v>44959</v>
      </c>
      <c r="M584" s="116">
        <v>121.3</v>
      </c>
      <c r="N584" s="116">
        <v>124</v>
      </c>
      <c r="O584" s="116">
        <v>120.2</v>
      </c>
      <c r="P584" s="116">
        <v>120.7</v>
      </c>
      <c r="Q584" s="116">
        <v>1213</v>
      </c>
      <c r="R584">
        <v>139878</v>
      </c>
    </row>
    <row r="585" spans="1:18" x14ac:dyDescent="0.25">
      <c r="A585" s="170">
        <v>44960</v>
      </c>
      <c r="B585" s="116">
        <v>123.9</v>
      </c>
      <c r="C585" s="116">
        <v>121.425</v>
      </c>
      <c r="D585" s="116">
        <v>120.295</v>
      </c>
      <c r="E585" s="116">
        <v>121.505</v>
      </c>
      <c r="F585" s="116">
        <v>1214.25</v>
      </c>
      <c r="G585">
        <v>17903</v>
      </c>
      <c r="H585" s="116"/>
      <c r="I585" s="116"/>
      <c r="L585" s="170">
        <v>44960</v>
      </c>
      <c r="M585" s="116">
        <v>121.34</v>
      </c>
      <c r="N585" s="116">
        <v>123.98</v>
      </c>
      <c r="O585" s="116">
        <v>120.27500000000001</v>
      </c>
      <c r="P585" s="116">
        <v>121.91</v>
      </c>
      <c r="Q585" s="116">
        <v>1213.4000000000001</v>
      </c>
      <c r="R585">
        <v>192530</v>
      </c>
    </row>
    <row r="586" spans="1:18" x14ac:dyDescent="0.25">
      <c r="A586" s="170">
        <v>44963</v>
      </c>
      <c r="B586" s="116">
        <v>121.185</v>
      </c>
      <c r="C586" s="116">
        <v>119.995</v>
      </c>
      <c r="D586" s="116">
        <v>119.71</v>
      </c>
      <c r="E586" s="116">
        <v>120.205</v>
      </c>
      <c r="F586" s="116">
        <v>1199.95</v>
      </c>
      <c r="G586">
        <v>11454</v>
      </c>
      <c r="H586" s="116"/>
      <c r="I586" s="116"/>
      <c r="L586" s="170">
        <v>44963</v>
      </c>
      <c r="M586" s="116">
        <v>119.905</v>
      </c>
      <c r="N586" s="116">
        <v>121.27</v>
      </c>
      <c r="O586" s="116">
        <v>119.5</v>
      </c>
      <c r="P586" s="116">
        <v>121.095</v>
      </c>
      <c r="Q586" s="116">
        <v>1199.05</v>
      </c>
      <c r="R586">
        <v>107954</v>
      </c>
    </row>
    <row r="587" spans="1:18" x14ac:dyDescent="0.25">
      <c r="A587" s="170">
        <v>44964</v>
      </c>
      <c r="B587" s="116">
        <v>120.66</v>
      </c>
      <c r="C587" s="116">
        <v>116.245</v>
      </c>
      <c r="D587" s="116">
        <v>114.52500000000001</v>
      </c>
      <c r="E587" s="116">
        <v>119.995</v>
      </c>
      <c r="F587" s="116">
        <v>1162.45</v>
      </c>
      <c r="G587">
        <v>30696</v>
      </c>
      <c r="H587" s="116"/>
      <c r="I587" s="116"/>
      <c r="L587" s="170">
        <v>44964</v>
      </c>
      <c r="M587" s="116">
        <v>116.785</v>
      </c>
      <c r="N587" s="116">
        <v>120.785</v>
      </c>
      <c r="O587" s="116">
        <v>116.5</v>
      </c>
      <c r="P587" s="116">
        <v>120.505</v>
      </c>
      <c r="Q587" s="116">
        <v>1167.8499999999999</v>
      </c>
      <c r="R587">
        <v>219615</v>
      </c>
    </row>
    <row r="588" spans="1:18" x14ac:dyDescent="0.25">
      <c r="A588" s="170">
        <v>44965</v>
      </c>
      <c r="B588" s="116">
        <v>118.175</v>
      </c>
      <c r="C588" s="116">
        <v>116</v>
      </c>
      <c r="D588" s="116">
        <v>115.705</v>
      </c>
      <c r="E588" s="116">
        <v>116.25</v>
      </c>
      <c r="F588" s="116">
        <v>1160</v>
      </c>
      <c r="G588">
        <v>10794</v>
      </c>
      <c r="H588" s="116"/>
      <c r="I588" s="116"/>
      <c r="L588" s="170">
        <v>44965</v>
      </c>
      <c r="M588" s="116">
        <v>115.99</v>
      </c>
      <c r="N588" s="116">
        <v>118.26</v>
      </c>
      <c r="O588" s="116">
        <v>115.7</v>
      </c>
      <c r="P588" s="116">
        <v>116.785</v>
      </c>
      <c r="Q588" s="116">
        <v>1159.9000000000001</v>
      </c>
      <c r="R588">
        <v>290645</v>
      </c>
    </row>
    <row r="589" spans="1:18" x14ac:dyDescent="0.25">
      <c r="A589" s="170">
        <v>44966</v>
      </c>
      <c r="B589" s="116">
        <v>117.48</v>
      </c>
      <c r="C589" s="116">
        <v>112.48</v>
      </c>
      <c r="D589" s="116">
        <v>112</v>
      </c>
      <c r="E589" s="116">
        <v>117.2</v>
      </c>
      <c r="F589" s="116">
        <v>1124.8</v>
      </c>
      <c r="G589">
        <v>33282</v>
      </c>
      <c r="H589" s="116"/>
      <c r="I589" s="116"/>
      <c r="L589" s="170">
        <v>44966</v>
      </c>
      <c r="M589" s="116">
        <v>112.455</v>
      </c>
      <c r="N589" s="116">
        <v>117.6</v>
      </c>
      <c r="O589" s="116">
        <v>112</v>
      </c>
      <c r="P589" s="116">
        <v>117.5</v>
      </c>
      <c r="Q589" s="116">
        <v>1124.55</v>
      </c>
      <c r="R589">
        <v>434915</v>
      </c>
    </row>
    <row r="590" spans="1:18" x14ac:dyDescent="0.25">
      <c r="A590" s="170">
        <v>44967</v>
      </c>
      <c r="B590" s="116">
        <v>115.88500000000001</v>
      </c>
      <c r="C590" s="116">
        <v>113.69</v>
      </c>
      <c r="D590" s="116">
        <v>112.66</v>
      </c>
      <c r="E590" s="116">
        <v>113.5</v>
      </c>
      <c r="F590" s="116">
        <v>1136.9000000000001</v>
      </c>
      <c r="G590">
        <v>38584</v>
      </c>
      <c r="H590" s="116"/>
      <c r="I590" s="116"/>
      <c r="L590" s="170">
        <v>44967</v>
      </c>
      <c r="M590" s="116">
        <v>113.67</v>
      </c>
      <c r="N590" s="116">
        <v>116</v>
      </c>
      <c r="O590" s="116">
        <v>112.5</v>
      </c>
      <c r="P590" s="116">
        <v>112.91500000000001</v>
      </c>
      <c r="Q590" s="116">
        <v>1136.7</v>
      </c>
      <c r="R590">
        <v>396062</v>
      </c>
    </row>
    <row r="591" spans="1:18" x14ac:dyDescent="0.25">
      <c r="A591" s="170">
        <v>44970</v>
      </c>
      <c r="B591" s="116">
        <v>114.545</v>
      </c>
      <c r="C591" s="116">
        <v>113.495</v>
      </c>
      <c r="D591" s="116">
        <v>112.47</v>
      </c>
      <c r="E591" s="116">
        <v>113.705</v>
      </c>
      <c r="F591" s="116">
        <v>1134.95</v>
      </c>
      <c r="G591">
        <v>18581</v>
      </c>
      <c r="H591" s="116"/>
      <c r="I591" s="116"/>
      <c r="L591" s="170">
        <v>44970</v>
      </c>
      <c r="M591" s="116">
        <v>113.485</v>
      </c>
      <c r="N591" s="116">
        <v>114.69</v>
      </c>
      <c r="O591" s="116">
        <v>112.44499999999999</v>
      </c>
      <c r="P591" s="116">
        <v>114.24</v>
      </c>
      <c r="Q591" s="116">
        <v>1134.8499999999999</v>
      </c>
      <c r="R591">
        <v>122979</v>
      </c>
    </row>
    <row r="592" spans="1:18" x14ac:dyDescent="0.25">
      <c r="A592" s="170">
        <v>44971</v>
      </c>
      <c r="B592" s="116">
        <v>114.495</v>
      </c>
      <c r="C592" s="116">
        <v>111.985</v>
      </c>
      <c r="D592" s="116">
        <v>110.94</v>
      </c>
      <c r="E592" s="116">
        <v>114.495</v>
      </c>
      <c r="F592" s="116">
        <v>1119.8499999999999</v>
      </c>
      <c r="G592">
        <v>18171</v>
      </c>
      <c r="H592" s="116"/>
      <c r="I592" s="116"/>
      <c r="L592" s="170">
        <v>44971</v>
      </c>
      <c r="M592" s="116">
        <v>111.935</v>
      </c>
      <c r="N592" s="116">
        <v>114.4</v>
      </c>
      <c r="O592" s="116">
        <v>111</v>
      </c>
      <c r="P592" s="116">
        <v>114.01</v>
      </c>
      <c r="Q592" s="116">
        <v>1119.3499999999999</v>
      </c>
      <c r="R592">
        <v>150983</v>
      </c>
    </row>
    <row r="593" spans="1:18" x14ac:dyDescent="0.25">
      <c r="A593" s="170">
        <v>44972</v>
      </c>
      <c r="B593" s="116">
        <v>113.105</v>
      </c>
      <c r="C593" s="116">
        <v>112.705</v>
      </c>
      <c r="D593" s="116">
        <v>110.92</v>
      </c>
      <c r="E593" s="116">
        <v>112.995</v>
      </c>
      <c r="F593" s="116">
        <v>1127.05</v>
      </c>
      <c r="G593">
        <v>15320</v>
      </c>
      <c r="H593" s="116"/>
      <c r="I593" s="116"/>
      <c r="L593" s="170">
        <v>44972</v>
      </c>
      <c r="M593" s="116">
        <v>112.64</v>
      </c>
      <c r="N593" s="116">
        <v>113.235</v>
      </c>
      <c r="O593" s="116">
        <v>110.97</v>
      </c>
      <c r="P593" s="116">
        <v>112</v>
      </c>
      <c r="Q593" s="116">
        <v>1126.4000000000001</v>
      </c>
      <c r="R593">
        <v>119793</v>
      </c>
    </row>
    <row r="594" spans="1:18" x14ac:dyDescent="0.25">
      <c r="A594" s="170">
        <v>44973</v>
      </c>
      <c r="B594" s="116">
        <v>114</v>
      </c>
      <c r="C594" s="116">
        <v>113.21</v>
      </c>
      <c r="D594" s="116">
        <v>112.83499999999999</v>
      </c>
      <c r="E594" s="116">
        <v>113.69499999999999</v>
      </c>
      <c r="F594" s="116">
        <v>1132.0999999999999</v>
      </c>
      <c r="G594">
        <v>14784</v>
      </c>
      <c r="H594" s="116"/>
      <c r="I594" s="116"/>
      <c r="L594" s="170">
        <v>44973</v>
      </c>
      <c r="M594" s="116">
        <v>113.23</v>
      </c>
      <c r="N594" s="116">
        <v>113.97</v>
      </c>
      <c r="O594" s="116">
        <v>112.81</v>
      </c>
      <c r="P594" s="116">
        <v>113.205</v>
      </c>
      <c r="Q594" s="116">
        <v>1132.3</v>
      </c>
      <c r="R594">
        <v>106658</v>
      </c>
    </row>
    <row r="595" spans="1:18" x14ac:dyDescent="0.25">
      <c r="A595" s="170">
        <v>44974</v>
      </c>
      <c r="B595" s="116">
        <v>112.06</v>
      </c>
      <c r="C595" s="116">
        <v>111.17</v>
      </c>
      <c r="D595" s="116">
        <v>109.65</v>
      </c>
      <c r="E595" s="116">
        <v>110.5</v>
      </c>
      <c r="F595" s="116">
        <v>1111.7</v>
      </c>
      <c r="G595">
        <v>11612</v>
      </c>
      <c r="H595" s="116"/>
      <c r="I595" s="116"/>
      <c r="L595" s="170">
        <v>44974</v>
      </c>
      <c r="M595" s="116">
        <v>111.125</v>
      </c>
      <c r="N595" s="116">
        <v>112</v>
      </c>
      <c r="O595" s="116">
        <v>109.63</v>
      </c>
      <c r="P595" s="116">
        <v>110.6</v>
      </c>
      <c r="Q595" s="116">
        <v>1111.25</v>
      </c>
      <c r="R595">
        <v>354192</v>
      </c>
    </row>
    <row r="596" spans="1:18" x14ac:dyDescent="0.25">
      <c r="A596" s="170">
        <v>44977</v>
      </c>
      <c r="B596" s="116">
        <v>111.89</v>
      </c>
      <c r="C596" s="116">
        <v>109.035</v>
      </c>
      <c r="D596" s="116">
        <v>108.5</v>
      </c>
      <c r="E596" s="116">
        <v>111.52</v>
      </c>
      <c r="F596" s="116">
        <v>1090.3499999999999</v>
      </c>
      <c r="G596">
        <v>23386</v>
      </c>
      <c r="H596" s="116"/>
      <c r="I596" s="116"/>
      <c r="L596" s="170">
        <v>44977</v>
      </c>
      <c r="M596" s="116">
        <v>109.02500000000001</v>
      </c>
      <c r="N596" s="116">
        <v>112.125</v>
      </c>
      <c r="O596" s="116">
        <v>108.5</v>
      </c>
      <c r="P596" s="116">
        <v>112.125</v>
      </c>
      <c r="Q596" s="116">
        <v>1090.25</v>
      </c>
      <c r="R596">
        <v>317277</v>
      </c>
    </row>
    <row r="597" spans="1:18" x14ac:dyDescent="0.25">
      <c r="A597" s="170">
        <v>44978</v>
      </c>
      <c r="B597" s="116">
        <v>111.12</v>
      </c>
      <c r="C597" s="116">
        <v>107.52</v>
      </c>
      <c r="D597" s="116">
        <v>107.1</v>
      </c>
      <c r="E597" s="116">
        <v>109.795</v>
      </c>
      <c r="F597" s="116">
        <v>1075.2</v>
      </c>
      <c r="G597">
        <v>34710</v>
      </c>
      <c r="H597" s="116"/>
      <c r="I597" s="116"/>
      <c r="L597" s="170">
        <v>44978</v>
      </c>
      <c r="M597" s="116">
        <v>107.52</v>
      </c>
      <c r="N597" s="116">
        <v>111.13500000000001</v>
      </c>
      <c r="O597" s="116">
        <v>106.955</v>
      </c>
      <c r="P597" s="116">
        <v>109.4</v>
      </c>
      <c r="Q597" s="116">
        <v>1075.2</v>
      </c>
      <c r="R597">
        <v>408000</v>
      </c>
    </row>
    <row r="598" spans="1:18" x14ac:dyDescent="0.25">
      <c r="A598" s="170">
        <v>44979</v>
      </c>
      <c r="B598" s="116">
        <v>108.77500000000001</v>
      </c>
      <c r="C598" s="116">
        <v>107.58</v>
      </c>
      <c r="D598" s="116">
        <v>106.845</v>
      </c>
      <c r="E598" s="116">
        <v>107.02500000000001</v>
      </c>
      <c r="F598" s="116">
        <v>1075.8</v>
      </c>
      <c r="G598">
        <v>20331</v>
      </c>
      <c r="H598" s="116"/>
      <c r="I598" s="116"/>
      <c r="L598" s="170">
        <v>44979</v>
      </c>
      <c r="M598" s="116">
        <v>107.66</v>
      </c>
      <c r="N598" s="116">
        <v>108.9</v>
      </c>
      <c r="O598" s="116">
        <v>106.905</v>
      </c>
      <c r="P598" s="116">
        <v>107.395</v>
      </c>
      <c r="Q598" s="116">
        <v>1076.5999999999999</v>
      </c>
      <c r="R598">
        <v>202023</v>
      </c>
    </row>
    <row r="599" spans="1:18" x14ac:dyDescent="0.25">
      <c r="A599" s="170">
        <v>44980</v>
      </c>
      <c r="B599" s="116">
        <v>108.4</v>
      </c>
      <c r="C599" s="116">
        <v>107.015</v>
      </c>
      <c r="D599" s="116">
        <v>104.36499999999999</v>
      </c>
      <c r="E599" s="116">
        <v>107.80500000000001</v>
      </c>
      <c r="F599" s="116">
        <v>1070.1500000000001</v>
      </c>
      <c r="G599">
        <v>14278</v>
      </c>
      <c r="H599" s="116"/>
      <c r="I599" s="116"/>
      <c r="L599" s="170">
        <v>44980</v>
      </c>
      <c r="M599" s="116">
        <v>107.12</v>
      </c>
      <c r="N599" s="116">
        <v>108.58499999999999</v>
      </c>
      <c r="O599" s="116">
        <v>104.25</v>
      </c>
      <c r="P599" s="116">
        <v>108.5</v>
      </c>
      <c r="Q599" s="116">
        <v>1071.2</v>
      </c>
      <c r="R599">
        <v>243116</v>
      </c>
    </row>
    <row r="600" spans="1:18" x14ac:dyDescent="0.25">
      <c r="A600" s="170">
        <v>44981</v>
      </c>
      <c r="B600" s="116">
        <v>109.55500000000001</v>
      </c>
      <c r="C600" s="116">
        <v>105.875</v>
      </c>
      <c r="D600" s="116">
        <v>104.32</v>
      </c>
      <c r="E600" s="116">
        <v>109.55500000000001</v>
      </c>
      <c r="F600" s="116">
        <v>1058.75</v>
      </c>
      <c r="G600">
        <v>10491</v>
      </c>
      <c r="H600" s="116"/>
      <c r="I600" s="116"/>
      <c r="L600" s="170">
        <v>44981</v>
      </c>
      <c r="M600" s="116">
        <v>105.91</v>
      </c>
      <c r="N600" s="116">
        <v>108.1</v>
      </c>
      <c r="O600" s="116">
        <v>104.24</v>
      </c>
      <c r="P600" s="116">
        <v>107.66</v>
      </c>
      <c r="Q600" s="116">
        <v>1059.0999999999999</v>
      </c>
      <c r="R600">
        <v>285211</v>
      </c>
    </row>
    <row r="601" spans="1:18" x14ac:dyDescent="0.25">
      <c r="A601" s="170">
        <v>44984</v>
      </c>
      <c r="B601" s="116">
        <v>106.995</v>
      </c>
      <c r="C601" s="116">
        <v>103.72499999999999</v>
      </c>
      <c r="D601" s="116">
        <v>102.98</v>
      </c>
      <c r="E601" s="116">
        <v>106.995</v>
      </c>
      <c r="F601" s="116">
        <v>1037.25</v>
      </c>
      <c r="G601">
        <v>5507</v>
      </c>
      <c r="H601" s="116"/>
      <c r="I601" s="116"/>
      <c r="L601" s="170">
        <v>44984</v>
      </c>
      <c r="M601" s="116">
        <v>103.645</v>
      </c>
      <c r="N601" s="116">
        <v>106.895</v>
      </c>
      <c r="O601" s="116">
        <v>102.955</v>
      </c>
      <c r="P601" s="116">
        <v>106.43</v>
      </c>
      <c r="Q601" s="116">
        <v>1036.45</v>
      </c>
      <c r="R601">
        <v>282607</v>
      </c>
    </row>
    <row r="602" spans="1:18" x14ac:dyDescent="0.25">
      <c r="A602" s="170">
        <v>44985</v>
      </c>
      <c r="B602" s="116">
        <v>103.545</v>
      </c>
      <c r="C602" s="116">
        <v>101.97</v>
      </c>
      <c r="D602" s="116">
        <v>101.11</v>
      </c>
      <c r="E602" s="116">
        <v>101.71</v>
      </c>
      <c r="F602" s="116">
        <v>1019.7</v>
      </c>
      <c r="G602">
        <v>23992</v>
      </c>
      <c r="H602" s="116"/>
      <c r="I602" s="116"/>
      <c r="L602" s="170">
        <v>44985</v>
      </c>
      <c r="M602" s="116">
        <v>101.955</v>
      </c>
      <c r="N602" s="116">
        <v>103.58</v>
      </c>
      <c r="O602" s="116">
        <v>101</v>
      </c>
      <c r="P602" s="116">
        <v>101</v>
      </c>
      <c r="Q602" s="116">
        <v>1019.55</v>
      </c>
      <c r="R602">
        <v>405670</v>
      </c>
    </row>
    <row r="603" spans="1:18" x14ac:dyDescent="0.25">
      <c r="A603" s="170">
        <v>44986</v>
      </c>
      <c r="B603" s="116">
        <v>102.53</v>
      </c>
      <c r="C603" s="116">
        <v>100.3</v>
      </c>
      <c r="D603" s="116">
        <v>100</v>
      </c>
      <c r="E603" s="116">
        <v>101.97499999999999</v>
      </c>
      <c r="F603" s="116">
        <v>1003</v>
      </c>
      <c r="G603">
        <v>42422</v>
      </c>
      <c r="H603" s="116"/>
      <c r="I603" s="116"/>
      <c r="L603" s="170">
        <v>44986</v>
      </c>
      <c r="M603" s="116">
        <v>100.285</v>
      </c>
      <c r="N603" s="116">
        <v>102.655</v>
      </c>
      <c r="O603" s="116">
        <v>99.9</v>
      </c>
      <c r="P603" s="116">
        <v>102.465</v>
      </c>
      <c r="Q603" s="116">
        <v>1002.85</v>
      </c>
      <c r="R603">
        <v>553777</v>
      </c>
    </row>
    <row r="604" spans="1:18" x14ac:dyDescent="0.25">
      <c r="A604" s="170">
        <v>44987</v>
      </c>
      <c r="B604" s="116">
        <v>109.5</v>
      </c>
      <c r="C604" s="116">
        <v>106.06</v>
      </c>
      <c r="D604" s="116">
        <v>100.735</v>
      </c>
      <c r="E604" s="116">
        <v>101.27</v>
      </c>
      <c r="F604" s="116">
        <v>1060.5999999999999</v>
      </c>
      <c r="G604">
        <v>120641</v>
      </c>
      <c r="H604" s="116"/>
      <c r="I604" s="116"/>
      <c r="L604" s="170">
        <v>44987</v>
      </c>
      <c r="M604" s="116">
        <v>106.07</v>
      </c>
      <c r="N604" s="116">
        <v>109.505</v>
      </c>
      <c r="O604" s="116">
        <v>100.65</v>
      </c>
      <c r="P604" s="116">
        <v>100.80500000000001</v>
      </c>
      <c r="Q604" s="116">
        <v>1060.7</v>
      </c>
      <c r="R604">
        <v>1557519</v>
      </c>
    </row>
    <row r="605" spans="1:18" x14ac:dyDescent="0.25">
      <c r="A605" s="170">
        <v>44988</v>
      </c>
      <c r="B605" s="116">
        <v>114.91500000000001</v>
      </c>
      <c r="C605" s="116">
        <v>112.11</v>
      </c>
      <c r="D605" s="116">
        <v>106.5</v>
      </c>
      <c r="E605" s="116">
        <v>106.5</v>
      </c>
      <c r="F605" s="116">
        <v>1121.0999999999999</v>
      </c>
      <c r="G605">
        <v>81595</v>
      </c>
      <c r="H605" s="116"/>
      <c r="I605" s="116"/>
      <c r="L605" s="170">
        <v>44988</v>
      </c>
      <c r="M605" s="116">
        <v>112.17</v>
      </c>
      <c r="N605" s="116">
        <v>114.9</v>
      </c>
      <c r="O605" s="116">
        <v>106.605</v>
      </c>
      <c r="P605" s="116">
        <v>106.605</v>
      </c>
      <c r="Q605" s="116">
        <v>1121.7</v>
      </c>
      <c r="R605">
        <v>1901929</v>
      </c>
    </row>
    <row r="606" spans="1:18" x14ac:dyDescent="0.25">
      <c r="A606" s="170">
        <v>44991</v>
      </c>
      <c r="B606" s="116">
        <v>115.8</v>
      </c>
      <c r="C606" s="116">
        <v>112.18</v>
      </c>
      <c r="D606" s="116">
        <v>111.30500000000001</v>
      </c>
      <c r="E606" s="116">
        <v>114</v>
      </c>
      <c r="F606" s="116">
        <v>1121.8</v>
      </c>
      <c r="G606">
        <v>62967</v>
      </c>
      <c r="H606" s="116"/>
      <c r="I606" s="116"/>
      <c r="L606" s="170">
        <v>44991</v>
      </c>
      <c r="M606" s="116">
        <v>112.21</v>
      </c>
      <c r="N606" s="116">
        <v>115.8</v>
      </c>
      <c r="O606" s="116">
        <v>111.1</v>
      </c>
      <c r="P606" s="116">
        <v>113</v>
      </c>
      <c r="Q606" s="116">
        <v>1122.0999999999999</v>
      </c>
      <c r="R606">
        <v>830381</v>
      </c>
    </row>
    <row r="607" spans="1:18" x14ac:dyDescent="0.25">
      <c r="A607" s="170">
        <v>44993</v>
      </c>
      <c r="B607" s="116">
        <v>114.3</v>
      </c>
      <c r="C607" s="116">
        <v>113.855</v>
      </c>
      <c r="D607" s="116">
        <v>111.5</v>
      </c>
      <c r="E607" s="116">
        <v>112.595</v>
      </c>
      <c r="F607" s="116">
        <v>1138.55</v>
      </c>
      <c r="G607">
        <v>23975</v>
      </c>
      <c r="H607" s="116"/>
      <c r="I607" s="116"/>
      <c r="L607" s="170">
        <v>44993</v>
      </c>
      <c r="M607" s="116">
        <v>113.72</v>
      </c>
      <c r="N607" s="116">
        <v>114.3</v>
      </c>
      <c r="O607" s="116">
        <v>111.435</v>
      </c>
      <c r="P607" s="116">
        <v>112.21</v>
      </c>
      <c r="Q607" s="116">
        <v>1137.2</v>
      </c>
      <c r="R607">
        <v>343984</v>
      </c>
    </row>
    <row r="608" spans="1:18" x14ac:dyDescent="0.25">
      <c r="A608" s="170">
        <v>44994</v>
      </c>
      <c r="B608" s="116">
        <v>114.5</v>
      </c>
      <c r="C608" s="116">
        <v>111.895</v>
      </c>
      <c r="D608" s="116">
        <v>111.035</v>
      </c>
      <c r="E608" s="116">
        <v>114</v>
      </c>
      <c r="F608" s="116">
        <v>1118.95</v>
      </c>
      <c r="G608">
        <v>20511</v>
      </c>
      <c r="H608" s="116"/>
      <c r="I608" s="116"/>
      <c r="L608" s="170">
        <v>44994</v>
      </c>
      <c r="M608" s="116">
        <v>112.02500000000001</v>
      </c>
      <c r="N608" s="116">
        <v>114.47499999999999</v>
      </c>
      <c r="O608" s="116">
        <v>111.1</v>
      </c>
      <c r="P608" s="116">
        <v>114.17</v>
      </c>
      <c r="Q608" s="116">
        <v>1120.25</v>
      </c>
      <c r="R608">
        <v>278567</v>
      </c>
    </row>
    <row r="609" spans="1:18" x14ac:dyDescent="0.25">
      <c r="A609" s="170">
        <v>44995</v>
      </c>
      <c r="B609" s="116">
        <v>116.6</v>
      </c>
      <c r="C609" s="116">
        <v>114.45</v>
      </c>
      <c r="D609" s="116">
        <v>110.3</v>
      </c>
      <c r="E609" s="116">
        <v>110.31</v>
      </c>
      <c r="F609" s="116">
        <v>1144.5</v>
      </c>
      <c r="G609">
        <v>42875</v>
      </c>
      <c r="H609" s="116"/>
      <c r="I609" s="116"/>
      <c r="L609" s="170">
        <v>44995</v>
      </c>
      <c r="M609" s="116">
        <v>114.295</v>
      </c>
      <c r="N609" s="116">
        <v>116.6</v>
      </c>
      <c r="O609" s="116">
        <v>110.22</v>
      </c>
      <c r="P609" s="116">
        <v>110.855</v>
      </c>
      <c r="Q609" s="116">
        <v>1142.95</v>
      </c>
      <c r="R609">
        <v>863567</v>
      </c>
    </row>
    <row r="610" spans="1:18" x14ac:dyDescent="0.25">
      <c r="A610" s="170">
        <v>44998</v>
      </c>
      <c r="B610" s="116">
        <v>114.295</v>
      </c>
      <c r="C610" s="116">
        <v>109.13500000000001</v>
      </c>
      <c r="D610" s="116">
        <v>107.6</v>
      </c>
      <c r="E610" s="116">
        <v>113</v>
      </c>
      <c r="F610" s="116">
        <v>1091.3499999999999</v>
      </c>
      <c r="G610">
        <v>55284</v>
      </c>
      <c r="H610" s="116"/>
      <c r="I610" s="116"/>
      <c r="L610" s="170">
        <v>44998</v>
      </c>
      <c r="M610" s="116">
        <v>108.80500000000001</v>
      </c>
      <c r="N610" s="116">
        <v>114.485</v>
      </c>
      <c r="O610" s="116">
        <v>107.36</v>
      </c>
      <c r="P610" s="116">
        <v>114.295</v>
      </c>
      <c r="Q610" s="116">
        <v>1088.05</v>
      </c>
      <c r="R610">
        <v>461467</v>
      </c>
    </row>
    <row r="611" spans="1:18" x14ac:dyDescent="0.25">
      <c r="A611" s="170">
        <v>44999</v>
      </c>
      <c r="B611" s="116">
        <v>109.545</v>
      </c>
      <c r="C611" s="116">
        <v>107.065</v>
      </c>
      <c r="D611" s="116">
        <v>106.11499999999999</v>
      </c>
      <c r="E611" s="116">
        <v>108.015</v>
      </c>
      <c r="F611" s="116">
        <v>1070.6500000000001</v>
      </c>
      <c r="G611">
        <v>41217</v>
      </c>
      <c r="H611" s="116"/>
      <c r="I611" s="116"/>
      <c r="L611" s="170">
        <v>44999</v>
      </c>
      <c r="M611" s="116">
        <v>107.08</v>
      </c>
      <c r="N611" s="116">
        <v>109.69499999999999</v>
      </c>
      <c r="O611" s="116">
        <v>106.1</v>
      </c>
      <c r="P611" s="116">
        <v>108.79</v>
      </c>
      <c r="Q611" s="116">
        <v>1070.8</v>
      </c>
      <c r="R611">
        <v>295199</v>
      </c>
    </row>
    <row r="612" spans="1:18" x14ac:dyDescent="0.25">
      <c r="A612" s="170">
        <v>45000</v>
      </c>
      <c r="B612" s="116">
        <v>113</v>
      </c>
      <c r="C612" s="116">
        <v>107.685</v>
      </c>
      <c r="D612" s="116">
        <v>105.86499999999999</v>
      </c>
      <c r="E612" s="116">
        <v>108.205</v>
      </c>
      <c r="F612" s="116">
        <v>1076.8499999999999</v>
      </c>
      <c r="G612">
        <v>36351</v>
      </c>
      <c r="H612" s="116"/>
      <c r="I612" s="116"/>
      <c r="L612" s="170">
        <v>45000</v>
      </c>
      <c r="M612" s="116">
        <v>107.22499999999999</v>
      </c>
      <c r="N612" s="116">
        <v>113.09</v>
      </c>
      <c r="O612" s="116">
        <v>105.765</v>
      </c>
      <c r="P612" s="116">
        <v>108.66500000000001</v>
      </c>
      <c r="Q612" s="116">
        <v>1072.25</v>
      </c>
      <c r="R612">
        <v>757224</v>
      </c>
    </row>
    <row r="613" spans="1:18" x14ac:dyDescent="0.25">
      <c r="A613" s="170">
        <v>45001</v>
      </c>
      <c r="B613" s="116">
        <v>109.095</v>
      </c>
      <c r="C613" s="116">
        <v>104.545</v>
      </c>
      <c r="D613" s="116">
        <v>104.1</v>
      </c>
      <c r="E613" s="116">
        <v>107.8</v>
      </c>
      <c r="F613" s="116">
        <v>1045.45</v>
      </c>
      <c r="G613">
        <v>34716</v>
      </c>
      <c r="H613" s="116"/>
      <c r="I613" s="116"/>
      <c r="L613" s="170">
        <v>45001</v>
      </c>
      <c r="M613" s="116">
        <v>104.52500000000001</v>
      </c>
      <c r="N613" s="116">
        <v>109</v>
      </c>
      <c r="O613" s="116">
        <v>104.075</v>
      </c>
      <c r="P613" s="116">
        <v>107.765</v>
      </c>
      <c r="Q613" s="116">
        <v>1045.25</v>
      </c>
      <c r="R613">
        <v>426301</v>
      </c>
    </row>
    <row r="614" spans="1:18" x14ac:dyDescent="0.25">
      <c r="A614" s="170">
        <v>45002</v>
      </c>
      <c r="B614" s="116">
        <v>110.5</v>
      </c>
      <c r="C614" s="116">
        <v>109.705</v>
      </c>
      <c r="D614" s="116">
        <v>105.1</v>
      </c>
      <c r="E614" s="116">
        <v>106.39</v>
      </c>
      <c r="F614" s="116">
        <v>1097.05</v>
      </c>
      <c r="G614">
        <v>36789</v>
      </c>
      <c r="H614" s="116"/>
      <c r="I614" s="116"/>
      <c r="L614" s="170">
        <v>45002</v>
      </c>
      <c r="M614" s="116">
        <v>109.715</v>
      </c>
      <c r="N614" s="116">
        <v>110.5</v>
      </c>
      <c r="O614" s="116">
        <v>105.02500000000001</v>
      </c>
      <c r="P614" s="116">
        <v>106</v>
      </c>
      <c r="Q614" s="116">
        <v>1097.1500000000001</v>
      </c>
      <c r="R614">
        <v>504174</v>
      </c>
    </row>
    <row r="615" spans="1:18" x14ac:dyDescent="0.25">
      <c r="A615" s="170">
        <v>45005</v>
      </c>
      <c r="B615" s="116">
        <v>111.8</v>
      </c>
      <c r="C615" s="116">
        <v>107.985</v>
      </c>
      <c r="D615" s="116">
        <v>105</v>
      </c>
      <c r="E615" s="116">
        <v>105</v>
      </c>
      <c r="F615" s="116">
        <v>1079.8499999999999</v>
      </c>
      <c r="G615">
        <v>10189</v>
      </c>
      <c r="H615" s="116"/>
      <c r="I615" s="116"/>
      <c r="L615" s="170">
        <v>45005</v>
      </c>
      <c r="M615" s="116">
        <v>107.93</v>
      </c>
      <c r="N615" s="116">
        <v>112.95</v>
      </c>
      <c r="O615" s="116">
        <v>101</v>
      </c>
      <c r="P615" s="116">
        <v>101</v>
      </c>
      <c r="Q615" s="116">
        <v>1079.3</v>
      </c>
      <c r="R615">
        <v>261934</v>
      </c>
    </row>
    <row r="616" spans="1:18" x14ac:dyDescent="0.25">
      <c r="A616" s="170">
        <v>45006</v>
      </c>
      <c r="B616" s="116">
        <v>110.39</v>
      </c>
      <c r="C616" s="116">
        <v>109.065</v>
      </c>
      <c r="D616" s="116">
        <v>107.125</v>
      </c>
      <c r="E616" s="116">
        <v>108.5</v>
      </c>
      <c r="F616" s="116">
        <v>1090.6500000000001</v>
      </c>
      <c r="G616">
        <v>27459</v>
      </c>
      <c r="H616" s="116"/>
      <c r="I616" s="116"/>
      <c r="L616" s="170">
        <v>45006</v>
      </c>
      <c r="M616" s="116">
        <v>109.18</v>
      </c>
      <c r="N616" s="116">
        <v>110.285</v>
      </c>
      <c r="O616" s="116">
        <v>107.2</v>
      </c>
      <c r="P616" s="116">
        <v>108.995</v>
      </c>
      <c r="Q616" s="116">
        <v>1091.8</v>
      </c>
      <c r="R616">
        <v>197883</v>
      </c>
    </row>
    <row r="617" spans="1:18" x14ac:dyDescent="0.25">
      <c r="A617" s="170">
        <v>45007</v>
      </c>
      <c r="B617" s="116">
        <v>114</v>
      </c>
      <c r="C617" s="116">
        <v>113.7</v>
      </c>
      <c r="D617" s="116">
        <v>110.245</v>
      </c>
      <c r="E617" s="116">
        <v>110.36</v>
      </c>
      <c r="F617" s="116">
        <v>1137</v>
      </c>
      <c r="G617">
        <v>16677</v>
      </c>
      <c r="H617" s="116"/>
      <c r="I617" s="116"/>
      <c r="L617" s="170">
        <v>45007</v>
      </c>
      <c r="M617" s="116">
        <v>113.72</v>
      </c>
      <c r="N617" s="116">
        <v>114.1</v>
      </c>
      <c r="O617" s="116">
        <v>110.2</v>
      </c>
      <c r="P617" s="116">
        <v>110.3</v>
      </c>
      <c r="Q617" s="116">
        <v>1137.2</v>
      </c>
      <c r="R617">
        <v>452607</v>
      </c>
    </row>
    <row r="618" spans="1:18" x14ac:dyDescent="0.25">
      <c r="A618" s="170">
        <v>45008</v>
      </c>
      <c r="B618" s="116">
        <v>119.54</v>
      </c>
      <c r="C618" s="116">
        <v>118.255</v>
      </c>
      <c r="D618" s="116">
        <v>111.78</v>
      </c>
      <c r="E618" s="116">
        <v>114</v>
      </c>
      <c r="F618" s="116">
        <v>1182.55</v>
      </c>
      <c r="G618">
        <v>39850</v>
      </c>
      <c r="H618" s="116"/>
      <c r="I618" s="116"/>
      <c r="L618" s="170">
        <v>45008</v>
      </c>
      <c r="M618" s="116">
        <v>118.19</v>
      </c>
      <c r="N618" s="116">
        <v>119.565</v>
      </c>
      <c r="O618" s="116">
        <v>111.80500000000001</v>
      </c>
      <c r="P618" s="116">
        <v>113.505</v>
      </c>
      <c r="Q618" s="116">
        <v>1181.9000000000001</v>
      </c>
      <c r="R618">
        <v>1037918</v>
      </c>
    </row>
    <row r="619" spans="1:18" x14ac:dyDescent="0.25">
      <c r="A619" s="170">
        <v>45009</v>
      </c>
      <c r="B619" s="116">
        <v>120.41500000000001</v>
      </c>
      <c r="C619" s="116">
        <v>113.41500000000001</v>
      </c>
      <c r="D619" s="116">
        <v>111.57</v>
      </c>
      <c r="E619" s="116">
        <v>117.7</v>
      </c>
      <c r="F619" s="116">
        <v>1134.1500000000001</v>
      </c>
      <c r="G619">
        <v>89676</v>
      </c>
      <c r="H619" s="116"/>
      <c r="I619" s="116"/>
      <c r="L619" s="170">
        <v>45009</v>
      </c>
      <c r="M619" s="116">
        <v>113.19499999999999</v>
      </c>
      <c r="N619" s="116">
        <v>120.5</v>
      </c>
      <c r="O619" s="116">
        <v>111.51</v>
      </c>
      <c r="P619" s="116">
        <v>118.05</v>
      </c>
      <c r="Q619" s="116">
        <v>1131.95</v>
      </c>
      <c r="R619">
        <v>1445850</v>
      </c>
    </row>
    <row r="620" spans="1:18" x14ac:dyDescent="0.25">
      <c r="A620" s="170">
        <v>45012</v>
      </c>
      <c r="B620" s="116">
        <v>113.995</v>
      </c>
      <c r="C620" s="116">
        <v>112.56</v>
      </c>
      <c r="D620" s="116">
        <v>111.30500000000001</v>
      </c>
      <c r="E620" s="116">
        <v>113.5</v>
      </c>
      <c r="F620" s="116">
        <v>1125.5999999999999</v>
      </c>
      <c r="G620">
        <v>29852</v>
      </c>
      <c r="H620" s="116"/>
      <c r="I620" s="116"/>
      <c r="L620" s="170">
        <v>45012</v>
      </c>
      <c r="M620" s="116">
        <v>112.54</v>
      </c>
      <c r="N620" s="116">
        <v>114.035</v>
      </c>
      <c r="O620" s="116">
        <v>111.425</v>
      </c>
      <c r="P620" s="116">
        <v>113.5</v>
      </c>
      <c r="Q620" s="116">
        <v>1125.4000000000001</v>
      </c>
      <c r="R620">
        <v>393607</v>
      </c>
    </row>
    <row r="621" spans="1:18" x14ac:dyDescent="0.25">
      <c r="A621" s="170">
        <v>45013</v>
      </c>
      <c r="B621" s="116">
        <v>114.97499999999999</v>
      </c>
      <c r="C621" s="116">
        <v>113.875</v>
      </c>
      <c r="D621" s="116">
        <v>112.44</v>
      </c>
      <c r="E621" s="116">
        <v>112.935</v>
      </c>
      <c r="F621" s="116">
        <v>1138.75</v>
      </c>
      <c r="G621">
        <v>29121</v>
      </c>
      <c r="H621" s="116"/>
      <c r="I621" s="116"/>
      <c r="L621" s="170">
        <v>45013</v>
      </c>
      <c r="M621" s="116">
        <v>113.88</v>
      </c>
      <c r="N621" s="116">
        <v>114.985</v>
      </c>
      <c r="O621" s="116">
        <v>112.22499999999999</v>
      </c>
      <c r="P621" s="116">
        <v>112.5</v>
      </c>
      <c r="Q621" s="116">
        <v>1138.8</v>
      </c>
      <c r="R621">
        <v>327666</v>
      </c>
    </row>
    <row r="622" spans="1:18" x14ac:dyDescent="0.25">
      <c r="A622" s="170">
        <v>45014</v>
      </c>
      <c r="B622" s="116">
        <v>117.625</v>
      </c>
      <c r="C622" s="116">
        <v>116.5</v>
      </c>
      <c r="D622" s="116">
        <v>113.43</v>
      </c>
      <c r="E622" s="116">
        <v>113.8</v>
      </c>
      <c r="F622" s="116">
        <v>1165</v>
      </c>
      <c r="G622">
        <v>14753</v>
      </c>
      <c r="H622" s="116"/>
      <c r="I622" s="116"/>
      <c r="L622" s="170">
        <v>45014</v>
      </c>
      <c r="M622" s="116">
        <v>116.325</v>
      </c>
      <c r="N622" s="116">
        <v>117.67</v>
      </c>
      <c r="O622" s="116">
        <v>113.31</v>
      </c>
      <c r="P622" s="116">
        <v>113.995</v>
      </c>
      <c r="Q622" s="116">
        <v>1163.25</v>
      </c>
      <c r="R622">
        <v>468477</v>
      </c>
    </row>
    <row r="623" spans="1:18" x14ac:dyDescent="0.25">
      <c r="A623" s="170">
        <v>45016</v>
      </c>
      <c r="B623" s="116">
        <v>118</v>
      </c>
      <c r="C623" s="116">
        <v>116.33</v>
      </c>
      <c r="D623" s="116">
        <v>115.5</v>
      </c>
      <c r="E623" s="116">
        <v>116</v>
      </c>
      <c r="F623" s="116">
        <v>1163.3</v>
      </c>
      <c r="G623">
        <v>34077</v>
      </c>
      <c r="H623" s="116"/>
      <c r="I623" s="116"/>
      <c r="L623" s="170">
        <v>45016</v>
      </c>
      <c r="M623" s="116">
        <v>116.285</v>
      </c>
      <c r="N623" s="116">
        <v>118.1</v>
      </c>
      <c r="O623" s="116">
        <v>115.52</v>
      </c>
      <c r="P623" s="116">
        <v>115.8</v>
      </c>
      <c r="Q623" s="116">
        <v>1162.8499999999999</v>
      </c>
      <c r="R623">
        <v>406105</v>
      </c>
    </row>
    <row r="624" spans="1:18" x14ac:dyDescent="0.25">
      <c r="A624" s="170">
        <v>45019</v>
      </c>
      <c r="B624" s="116">
        <v>117.5</v>
      </c>
      <c r="C624" s="116">
        <v>116.745</v>
      </c>
      <c r="D624" s="116">
        <v>115.88500000000001</v>
      </c>
      <c r="E624" s="116">
        <v>116.39</v>
      </c>
      <c r="F624" s="116">
        <v>1167.45</v>
      </c>
      <c r="G624">
        <v>20236</v>
      </c>
      <c r="H624" s="116"/>
      <c r="I624" s="116"/>
      <c r="L624" s="170">
        <v>45019</v>
      </c>
      <c r="M624" s="116">
        <v>116.82</v>
      </c>
      <c r="N624" s="116">
        <v>117.495</v>
      </c>
      <c r="O624" s="116">
        <v>115.995</v>
      </c>
      <c r="P624" s="116">
        <v>116.685</v>
      </c>
      <c r="Q624" s="116">
        <v>1168.2</v>
      </c>
      <c r="R624">
        <v>167754</v>
      </c>
    </row>
    <row r="625" spans="1:18" x14ac:dyDescent="0.25">
      <c r="A625" s="170">
        <v>45021</v>
      </c>
      <c r="B625" s="116">
        <v>119.9</v>
      </c>
      <c r="C625" s="116">
        <v>116.855</v>
      </c>
      <c r="D625" s="116">
        <v>116.38</v>
      </c>
      <c r="E625" s="116">
        <v>117.58499999999999</v>
      </c>
      <c r="F625" s="116">
        <v>1168.55</v>
      </c>
      <c r="G625">
        <v>14501</v>
      </c>
      <c r="H625" s="116"/>
      <c r="I625" s="116"/>
      <c r="L625" s="170">
        <v>45021</v>
      </c>
      <c r="M625" s="116">
        <v>116.83499999999999</v>
      </c>
      <c r="N625" s="116">
        <v>119.99</v>
      </c>
      <c r="O625" s="116">
        <v>116.4</v>
      </c>
      <c r="P625" s="116">
        <v>117.7</v>
      </c>
      <c r="Q625" s="116">
        <v>1168.3499999999999</v>
      </c>
      <c r="R625">
        <v>357140</v>
      </c>
    </row>
    <row r="626" spans="1:18" x14ac:dyDescent="0.25">
      <c r="A626" s="170">
        <v>45022</v>
      </c>
      <c r="B626" s="116">
        <v>121.375</v>
      </c>
      <c r="C626" s="116">
        <v>118.49</v>
      </c>
      <c r="D626" s="116">
        <v>117.32</v>
      </c>
      <c r="E626" s="116">
        <v>119.2</v>
      </c>
      <c r="F626" s="116">
        <v>1184.9000000000001</v>
      </c>
      <c r="G626">
        <v>33856</v>
      </c>
      <c r="H626" s="116"/>
      <c r="I626" s="116"/>
      <c r="L626" s="170">
        <v>45022</v>
      </c>
      <c r="M626" s="116">
        <v>118.56</v>
      </c>
      <c r="N626" s="116">
        <v>121.4</v>
      </c>
      <c r="O626" s="116">
        <v>117.31</v>
      </c>
      <c r="P626" s="116">
        <v>119.405</v>
      </c>
      <c r="Q626" s="116">
        <v>1185.5999999999999</v>
      </c>
      <c r="R626">
        <v>598963</v>
      </c>
    </row>
    <row r="627" spans="1:18" x14ac:dyDescent="0.25">
      <c r="A627" s="170">
        <v>45026</v>
      </c>
      <c r="B627" s="116">
        <v>122.5</v>
      </c>
      <c r="C627" s="116">
        <v>121.97499999999999</v>
      </c>
      <c r="D627" s="116">
        <v>119.205</v>
      </c>
      <c r="E627" s="116">
        <v>119.205</v>
      </c>
      <c r="F627" s="116">
        <v>1219.75</v>
      </c>
      <c r="G627">
        <v>9659</v>
      </c>
      <c r="H627" s="116"/>
      <c r="I627" s="116"/>
      <c r="L627" s="170">
        <v>45026</v>
      </c>
      <c r="M627" s="116">
        <v>122.08</v>
      </c>
      <c r="N627" s="116">
        <v>122.59</v>
      </c>
      <c r="O627" s="116">
        <v>119.6</v>
      </c>
      <c r="P627" s="116">
        <v>119.6</v>
      </c>
      <c r="Q627" s="116">
        <v>1220.8</v>
      </c>
      <c r="R627">
        <v>439565</v>
      </c>
    </row>
    <row r="628" spans="1:18" x14ac:dyDescent="0.25">
      <c r="A628" s="170">
        <v>45027</v>
      </c>
      <c r="B628" s="116">
        <v>123.82</v>
      </c>
      <c r="C628" s="116">
        <v>122.94</v>
      </c>
      <c r="D628" s="116">
        <v>121.505</v>
      </c>
      <c r="E628" s="116">
        <v>122.7</v>
      </c>
      <c r="F628" s="116">
        <v>1229.4000000000001</v>
      </c>
      <c r="G628">
        <v>14159</v>
      </c>
      <c r="H628" s="116"/>
      <c r="I628" s="116"/>
      <c r="L628" s="170">
        <v>45027</v>
      </c>
      <c r="M628" s="116">
        <v>122.875</v>
      </c>
      <c r="N628" s="116">
        <v>123.8</v>
      </c>
      <c r="O628" s="116">
        <v>121.5</v>
      </c>
      <c r="P628" s="116">
        <v>122.4</v>
      </c>
      <c r="Q628" s="116">
        <v>1228.75</v>
      </c>
      <c r="R628">
        <v>440388</v>
      </c>
    </row>
    <row r="629" spans="1:18" x14ac:dyDescent="0.25">
      <c r="A629" s="170">
        <v>45028</v>
      </c>
      <c r="B629" s="116">
        <v>125.5</v>
      </c>
      <c r="C629" s="116">
        <v>125.145</v>
      </c>
      <c r="D629" s="116">
        <v>123.075</v>
      </c>
      <c r="E629" s="116">
        <v>123.3</v>
      </c>
      <c r="F629" s="116">
        <v>1251.45</v>
      </c>
      <c r="G629">
        <v>28200</v>
      </c>
      <c r="H629" s="116"/>
      <c r="I629" s="116"/>
      <c r="L629" s="170">
        <v>45028</v>
      </c>
      <c r="M629" s="116">
        <v>125.095</v>
      </c>
      <c r="N629" s="116">
        <v>125.5</v>
      </c>
      <c r="O629" s="116">
        <v>122.78</v>
      </c>
      <c r="P629" s="116">
        <v>123.06</v>
      </c>
      <c r="Q629" s="116">
        <v>1250.95</v>
      </c>
      <c r="R629">
        <v>349683</v>
      </c>
    </row>
    <row r="630" spans="1:18" x14ac:dyDescent="0.25">
      <c r="A630" s="170">
        <v>45029</v>
      </c>
      <c r="B630" s="116">
        <v>126.825</v>
      </c>
      <c r="C630" s="116">
        <v>126.27500000000001</v>
      </c>
      <c r="D630" s="116">
        <v>125.08</v>
      </c>
      <c r="E630" s="116">
        <v>126.495</v>
      </c>
      <c r="F630" s="116">
        <v>1262.75</v>
      </c>
      <c r="G630">
        <v>22668</v>
      </c>
      <c r="H630" s="116"/>
      <c r="I630" s="116"/>
      <c r="L630" s="170">
        <v>45029</v>
      </c>
      <c r="M630" s="116">
        <v>126.37</v>
      </c>
      <c r="N630" s="116">
        <v>126.8</v>
      </c>
      <c r="O630" s="116">
        <v>125.12</v>
      </c>
      <c r="P630" s="116">
        <v>126.1</v>
      </c>
      <c r="Q630" s="116">
        <v>1263.7</v>
      </c>
      <c r="R630">
        <v>275717</v>
      </c>
    </row>
    <row r="631" spans="1:18" x14ac:dyDescent="0.25">
      <c r="A631" s="170">
        <v>45033</v>
      </c>
      <c r="B631" s="116">
        <v>128.9</v>
      </c>
      <c r="C631" s="116">
        <v>127.425</v>
      </c>
      <c r="D631" s="116">
        <v>126.065</v>
      </c>
      <c r="E631" s="116">
        <v>128.79499999999999</v>
      </c>
      <c r="F631" s="116">
        <v>1274.25</v>
      </c>
      <c r="G631">
        <v>19229</v>
      </c>
      <c r="H631" s="116"/>
      <c r="I631" s="116"/>
      <c r="L631" s="170">
        <v>45033</v>
      </c>
      <c r="M631" s="116">
        <v>127.68</v>
      </c>
      <c r="N631" s="116">
        <v>129</v>
      </c>
      <c r="O631" s="116">
        <v>126.015</v>
      </c>
      <c r="P631" s="116">
        <v>126.37</v>
      </c>
      <c r="Q631" s="116">
        <v>1276.8</v>
      </c>
      <c r="R631">
        <v>510281</v>
      </c>
    </row>
    <row r="632" spans="1:18" x14ac:dyDescent="0.25">
      <c r="A632" s="170">
        <v>45034</v>
      </c>
      <c r="B632" s="116">
        <v>135.73500000000001</v>
      </c>
      <c r="C632" s="116">
        <v>129.83500000000001</v>
      </c>
      <c r="D632" s="116">
        <v>129.01499999999999</v>
      </c>
      <c r="E632" s="116">
        <v>133.11000000000001</v>
      </c>
      <c r="F632" s="116">
        <v>1298.3499999999999</v>
      </c>
      <c r="G632">
        <v>114329</v>
      </c>
      <c r="H632" s="116"/>
      <c r="I632" s="116"/>
      <c r="L632" s="170">
        <v>45034</v>
      </c>
      <c r="M632" s="116">
        <v>129.745</v>
      </c>
      <c r="N632" s="116">
        <v>135.88499999999999</v>
      </c>
      <c r="O632" s="116">
        <v>129</v>
      </c>
      <c r="P632" s="116">
        <v>132.6</v>
      </c>
      <c r="Q632" s="116">
        <v>1297.45</v>
      </c>
      <c r="R632">
        <v>2716848</v>
      </c>
    </row>
    <row r="633" spans="1:18" x14ac:dyDescent="0.25">
      <c r="A633" s="170">
        <v>45035</v>
      </c>
      <c r="B633" s="116">
        <v>130.5</v>
      </c>
      <c r="C633" s="116">
        <v>126.11</v>
      </c>
      <c r="D633" s="116">
        <v>125.9</v>
      </c>
      <c r="E633" s="116">
        <v>129.70500000000001</v>
      </c>
      <c r="F633" s="116">
        <v>1261.0999999999999</v>
      </c>
      <c r="G633">
        <v>46124</v>
      </c>
      <c r="H633" s="116"/>
      <c r="I633" s="116"/>
      <c r="L633" s="170">
        <v>45035</v>
      </c>
      <c r="M633" s="116">
        <v>126.18</v>
      </c>
      <c r="N633" s="116">
        <v>130.5</v>
      </c>
      <c r="O633" s="116">
        <v>125.8</v>
      </c>
      <c r="P633" s="116">
        <v>130.5</v>
      </c>
      <c r="Q633" s="116">
        <v>1261.8</v>
      </c>
      <c r="R633">
        <v>608551</v>
      </c>
    </row>
    <row r="634" spans="1:18" x14ac:dyDescent="0.25">
      <c r="A634" s="170">
        <v>45036</v>
      </c>
      <c r="B634" s="116">
        <v>127.62</v>
      </c>
      <c r="C634" s="116">
        <v>123.825</v>
      </c>
      <c r="D634" s="116">
        <v>123.15</v>
      </c>
      <c r="E634" s="116">
        <v>126.935</v>
      </c>
      <c r="F634" s="116">
        <v>1238.25</v>
      </c>
      <c r="G634">
        <v>22349</v>
      </c>
      <c r="H634" s="116"/>
      <c r="I634" s="116"/>
      <c r="L634" s="170">
        <v>45036</v>
      </c>
      <c r="M634" s="116">
        <v>123.84</v>
      </c>
      <c r="N634" s="116">
        <v>127.685</v>
      </c>
      <c r="O634" s="116">
        <v>123.05500000000001</v>
      </c>
      <c r="P634" s="116">
        <v>126.545</v>
      </c>
      <c r="Q634" s="116">
        <v>1238.4000000000001</v>
      </c>
      <c r="R634">
        <v>410307</v>
      </c>
    </row>
    <row r="635" spans="1:18" x14ac:dyDescent="0.25">
      <c r="A635" s="170">
        <v>45037</v>
      </c>
      <c r="B635" s="116">
        <v>124.5</v>
      </c>
      <c r="C635" s="116">
        <v>122.24</v>
      </c>
      <c r="D635" s="116">
        <v>120.735</v>
      </c>
      <c r="E635" s="116">
        <v>124.395</v>
      </c>
      <c r="F635" s="116">
        <v>1222.4000000000001</v>
      </c>
      <c r="G635">
        <v>28446</v>
      </c>
      <c r="H635" s="116"/>
      <c r="I635" s="116"/>
      <c r="L635" s="170">
        <v>45037</v>
      </c>
      <c r="M635" s="116">
        <v>122.28</v>
      </c>
      <c r="N635" s="116">
        <v>124.7</v>
      </c>
      <c r="O635" s="116">
        <v>120.8</v>
      </c>
      <c r="P635" s="116">
        <v>124.005</v>
      </c>
      <c r="Q635" s="116">
        <v>1222.8</v>
      </c>
      <c r="R635">
        <v>426800</v>
      </c>
    </row>
    <row r="636" spans="1:18" x14ac:dyDescent="0.25">
      <c r="A636" s="170">
        <v>45040</v>
      </c>
      <c r="B636" s="116">
        <v>124.345</v>
      </c>
      <c r="C636" s="116">
        <v>123.32</v>
      </c>
      <c r="D636" s="116">
        <v>122.245</v>
      </c>
      <c r="E636" s="116">
        <v>123.735</v>
      </c>
      <c r="F636" s="116">
        <v>1233.2</v>
      </c>
      <c r="G636">
        <v>16805</v>
      </c>
      <c r="H636" s="116"/>
      <c r="I636" s="116"/>
      <c r="L636" s="170">
        <v>45040</v>
      </c>
      <c r="M636" s="116">
        <v>123.4</v>
      </c>
      <c r="N636" s="116">
        <v>124.495</v>
      </c>
      <c r="O636" s="116">
        <v>122.2</v>
      </c>
      <c r="P636" s="116">
        <v>123.2</v>
      </c>
      <c r="Q636" s="116">
        <v>1234</v>
      </c>
      <c r="R636">
        <v>346164</v>
      </c>
    </row>
    <row r="637" spans="1:18" x14ac:dyDescent="0.25">
      <c r="A637" s="170">
        <v>45041</v>
      </c>
      <c r="B637" s="116">
        <v>125.645</v>
      </c>
      <c r="C637" s="116">
        <v>122.485</v>
      </c>
      <c r="D637" s="116">
        <v>122.16500000000001</v>
      </c>
      <c r="E637" s="116">
        <v>122.505</v>
      </c>
      <c r="F637" s="116">
        <v>1224.8499999999999</v>
      </c>
      <c r="G637">
        <v>9469</v>
      </c>
      <c r="H637" s="116"/>
      <c r="I637" s="116"/>
      <c r="L637" s="170">
        <v>45041</v>
      </c>
      <c r="M637" s="116">
        <v>122.47</v>
      </c>
      <c r="N637" s="116">
        <v>125.675</v>
      </c>
      <c r="O637" s="116">
        <v>122</v>
      </c>
      <c r="P637" s="116">
        <v>123.77</v>
      </c>
      <c r="Q637" s="116">
        <v>1224.7</v>
      </c>
      <c r="R637">
        <v>304535</v>
      </c>
    </row>
    <row r="638" spans="1:18" x14ac:dyDescent="0.25">
      <c r="A638" s="170">
        <v>45042</v>
      </c>
      <c r="B638" s="116">
        <v>123.5</v>
      </c>
      <c r="C638" s="116">
        <v>122.91</v>
      </c>
      <c r="D638" s="116">
        <v>121.51</v>
      </c>
      <c r="E638" s="116">
        <v>122.625</v>
      </c>
      <c r="F638" s="116">
        <v>1229.0999999999999</v>
      </c>
      <c r="G638">
        <v>19482</v>
      </c>
      <c r="H638" s="116"/>
      <c r="I638" s="116"/>
      <c r="L638" s="170">
        <v>45042</v>
      </c>
      <c r="M638" s="116">
        <v>123.01</v>
      </c>
      <c r="N638" s="116">
        <v>123.56</v>
      </c>
      <c r="O638" s="116">
        <v>121.5</v>
      </c>
      <c r="P638" s="116">
        <v>122.6</v>
      </c>
      <c r="Q638" s="116">
        <v>1230.0999999999999</v>
      </c>
      <c r="R638">
        <v>152493</v>
      </c>
    </row>
    <row r="639" spans="1:18" x14ac:dyDescent="0.25">
      <c r="A639" s="170">
        <v>45043</v>
      </c>
      <c r="B639" s="116">
        <v>123.89</v>
      </c>
      <c r="C639" s="116">
        <v>122.955</v>
      </c>
      <c r="D639" s="116">
        <v>122</v>
      </c>
      <c r="E639" s="116">
        <v>123</v>
      </c>
      <c r="F639" s="116">
        <v>1229.55</v>
      </c>
      <c r="G639">
        <v>7794</v>
      </c>
      <c r="H639" s="116"/>
      <c r="I639" s="116"/>
      <c r="L639" s="170">
        <v>45043</v>
      </c>
      <c r="M639" s="116">
        <v>123.255</v>
      </c>
      <c r="N639" s="116">
        <v>123.855</v>
      </c>
      <c r="O639" s="116">
        <v>122</v>
      </c>
      <c r="P639" s="116">
        <v>123.01</v>
      </c>
      <c r="Q639" s="116">
        <v>1232.55</v>
      </c>
      <c r="R639">
        <v>194232</v>
      </c>
    </row>
    <row r="640" spans="1:18" x14ac:dyDescent="0.25">
      <c r="A640" s="170">
        <v>45044</v>
      </c>
      <c r="B640" s="116">
        <v>124.24</v>
      </c>
      <c r="C640" s="116">
        <v>122.935</v>
      </c>
      <c r="D640" s="116">
        <v>122.5</v>
      </c>
      <c r="E640" s="116">
        <v>123.4</v>
      </c>
      <c r="F640" s="116">
        <v>1229.3499999999999</v>
      </c>
      <c r="G640">
        <v>4897</v>
      </c>
      <c r="H640" s="116"/>
      <c r="I640" s="116"/>
      <c r="L640" s="170">
        <v>45044</v>
      </c>
      <c r="M640" s="116">
        <v>123.005</v>
      </c>
      <c r="N640" s="116">
        <v>124.235</v>
      </c>
      <c r="O640" s="116">
        <v>122.485</v>
      </c>
      <c r="P640" s="116">
        <v>123.295</v>
      </c>
      <c r="Q640" s="116">
        <v>1230.05</v>
      </c>
      <c r="R640">
        <v>147592</v>
      </c>
    </row>
    <row r="641" spans="1:18" x14ac:dyDescent="0.25">
      <c r="A641" s="170">
        <v>45048</v>
      </c>
      <c r="B641" s="116">
        <v>123.8</v>
      </c>
      <c r="C641" s="116">
        <v>122.58</v>
      </c>
      <c r="D641" s="116">
        <v>122.26</v>
      </c>
      <c r="E641" s="116">
        <v>122.94</v>
      </c>
      <c r="F641" s="116">
        <v>1225.8</v>
      </c>
      <c r="G641">
        <v>10019</v>
      </c>
      <c r="H641" s="116"/>
      <c r="I641" s="116"/>
      <c r="L641" s="170">
        <v>45048</v>
      </c>
      <c r="M641" s="116">
        <v>122.595</v>
      </c>
      <c r="N641" s="116">
        <v>124</v>
      </c>
      <c r="O641" s="116">
        <v>122.1</v>
      </c>
      <c r="P641" s="116">
        <v>123.5</v>
      </c>
      <c r="Q641" s="116">
        <v>1225.95</v>
      </c>
      <c r="R641">
        <v>213122</v>
      </c>
    </row>
    <row r="642" spans="1:18" x14ac:dyDescent="0.25">
      <c r="A642" s="170">
        <v>45049</v>
      </c>
      <c r="B642" s="116">
        <v>124.27500000000001</v>
      </c>
      <c r="C642" s="116">
        <v>122.94</v>
      </c>
      <c r="D642" s="116">
        <v>120.605</v>
      </c>
      <c r="E642" s="116">
        <v>120.605</v>
      </c>
      <c r="F642" s="116">
        <v>1229.4000000000001</v>
      </c>
      <c r="G642">
        <v>5018</v>
      </c>
      <c r="H642" s="116"/>
      <c r="I642" s="116"/>
      <c r="L642" s="170">
        <v>45049</v>
      </c>
      <c r="M642" s="116">
        <v>122.94</v>
      </c>
      <c r="N642" s="116">
        <v>124.3</v>
      </c>
      <c r="O642" s="116">
        <v>122.005</v>
      </c>
      <c r="P642" s="116">
        <v>122.595</v>
      </c>
      <c r="Q642" s="116">
        <v>1229.4000000000001</v>
      </c>
      <c r="R642">
        <v>230600</v>
      </c>
    </row>
    <row r="643" spans="1:18" x14ac:dyDescent="0.25">
      <c r="A643" s="170">
        <v>45050</v>
      </c>
      <c r="B643" s="116">
        <v>123.52500000000001</v>
      </c>
      <c r="C643" s="116">
        <v>122.23</v>
      </c>
      <c r="D643" s="116">
        <v>121.68</v>
      </c>
      <c r="E643" s="116">
        <v>123.01</v>
      </c>
      <c r="F643" s="116">
        <v>1222.3</v>
      </c>
      <c r="G643">
        <v>16697</v>
      </c>
      <c r="H643" s="116"/>
      <c r="I643" s="116"/>
      <c r="L643" s="170">
        <v>45050</v>
      </c>
      <c r="M643" s="116">
        <v>122.25</v>
      </c>
      <c r="N643" s="116">
        <v>123.48</v>
      </c>
      <c r="O643" s="116">
        <v>121.64</v>
      </c>
      <c r="P643" s="116">
        <v>122.5</v>
      </c>
      <c r="Q643" s="116">
        <v>1222.5</v>
      </c>
      <c r="R643">
        <v>173868</v>
      </c>
    </row>
    <row r="644" spans="1:18" x14ac:dyDescent="0.25">
      <c r="A644" s="170">
        <v>45051</v>
      </c>
      <c r="B644" s="116">
        <v>122.9</v>
      </c>
      <c r="C644" s="116">
        <v>122.155</v>
      </c>
      <c r="D644" s="116">
        <v>121.735</v>
      </c>
      <c r="E644" s="116">
        <v>122.1</v>
      </c>
      <c r="F644" s="116">
        <v>1221.55</v>
      </c>
      <c r="G644">
        <v>7128</v>
      </c>
      <c r="H644" s="116"/>
      <c r="I644" s="116"/>
      <c r="L644" s="170">
        <v>45051</v>
      </c>
      <c r="M644" s="116">
        <v>122.16500000000001</v>
      </c>
      <c r="N644" s="116">
        <v>122.89</v>
      </c>
      <c r="O644" s="116">
        <v>121.815</v>
      </c>
      <c r="P644" s="116">
        <v>122.255</v>
      </c>
      <c r="Q644" s="116">
        <v>1221.6500000000001</v>
      </c>
      <c r="R644">
        <v>132245</v>
      </c>
    </row>
    <row r="645" spans="1:18" x14ac:dyDescent="0.25">
      <c r="A645" s="170">
        <v>45054</v>
      </c>
      <c r="B645" s="116">
        <v>129.5</v>
      </c>
      <c r="C645" s="116">
        <v>126.92</v>
      </c>
      <c r="D645" s="116">
        <v>122</v>
      </c>
      <c r="E645" s="116">
        <v>123</v>
      </c>
      <c r="F645" s="116">
        <v>1269.2</v>
      </c>
      <c r="G645">
        <v>32866</v>
      </c>
      <c r="H645" s="116"/>
      <c r="I645" s="116"/>
      <c r="L645" s="170">
        <v>45054</v>
      </c>
      <c r="M645" s="116">
        <v>126.85</v>
      </c>
      <c r="N645" s="116">
        <v>129.54499999999999</v>
      </c>
      <c r="O645" s="116">
        <v>121.95</v>
      </c>
      <c r="P645" s="116">
        <v>122.8</v>
      </c>
      <c r="Q645" s="116">
        <v>1268.5</v>
      </c>
      <c r="R645">
        <v>911317</v>
      </c>
    </row>
    <row r="646" spans="1:18" x14ac:dyDescent="0.25">
      <c r="A646" s="170">
        <v>45055</v>
      </c>
      <c r="B646" s="116">
        <v>130.99</v>
      </c>
      <c r="C646" s="116">
        <v>130.005</v>
      </c>
      <c r="D646" s="116">
        <v>127.26</v>
      </c>
      <c r="E646" s="116">
        <v>127.99</v>
      </c>
      <c r="F646" s="116">
        <v>1300.05</v>
      </c>
      <c r="G646">
        <v>62014</v>
      </c>
      <c r="H646" s="116"/>
      <c r="I646" s="116"/>
      <c r="L646" s="170">
        <v>45055</v>
      </c>
      <c r="M646" s="116">
        <v>130.01499999999999</v>
      </c>
      <c r="N646" s="116">
        <v>131</v>
      </c>
      <c r="O646" s="116">
        <v>127.065</v>
      </c>
      <c r="P646" s="116">
        <v>127.5</v>
      </c>
      <c r="Q646" s="116">
        <v>1300.1500000000001</v>
      </c>
      <c r="R646">
        <v>606053</v>
      </c>
    </row>
    <row r="647" spans="1:18" x14ac:dyDescent="0.25">
      <c r="A647" s="170">
        <v>45056</v>
      </c>
      <c r="B647" s="116">
        <v>132.80000000000001</v>
      </c>
      <c r="C647" s="116">
        <v>132.14500000000001</v>
      </c>
      <c r="D647" s="116">
        <v>128.66</v>
      </c>
      <c r="E647" s="116">
        <v>130.01</v>
      </c>
      <c r="F647" s="116">
        <v>1321.45</v>
      </c>
      <c r="G647">
        <v>14004</v>
      </c>
      <c r="H647" s="116"/>
      <c r="I647" s="116"/>
      <c r="L647" s="170">
        <v>45056</v>
      </c>
      <c r="M647" s="116">
        <v>132.05500000000001</v>
      </c>
      <c r="N647" s="116">
        <v>132.82499999999999</v>
      </c>
      <c r="O647" s="116">
        <v>128.595</v>
      </c>
      <c r="P647" s="116">
        <v>130.4</v>
      </c>
      <c r="Q647" s="116">
        <v>1320.55</v>
      </c>
      <c r="R647">
        <v>428312</v>
      </c>
    </row>
    <row r="648" spans="1:18" x14ac:dyDescent="0.25">
      <c r="A648" s="170">
        <v>45057</v>
      </c>
      <c r="B648" s="116">
        <v>133.41999999999999</v>
      </c>
      <c r="C648" s="116">
        <v>129.79</v>
      </c>
      <c r="D648" s="116">
        <v>129.065</v>
      </c>
      <c r="E648" s="116">
        <v>132.15</v>
      </c>
      <c r="F648" s="116">
        <v>1297.9000000000001</v>
      </c>
      <c r="G648">
        <v>34657</v>
      </c>
      <c r="H648" s="116"/>
      <c r="I648" s="116"/>
      <c r="L648" s="170">
        <v>45057</v>
      </c>
      <c r="M648" s="116">
        <v>129.875</v>
      </c>
      <c r="N648" s="116">
        <v>133.48500000000001</v>
      </c>
      <c r="O648" s="116">
        <v>129.1</v>
      </c>
      <c r="P648" s="116">
        <v>132.69999999999999</v>
      </c>
      <c r="Q648" s="116">
        <v>1298.75</v>
      </c>
      <c r="R648">
        <v>273136</v>
      </c>
    </row>
    <row r="649" spans="1:18" x14ac:dyDescent="0.25">
      <c r="A649" s="170">
        <v>45058</v>
      </c>
      <c r="B649" s="116">
        <v>132.29499999999999</v>
      </c>
      <c r="C649" s="116">
        <v>131.965</v>
      </c>
      <c r="D649" s="116">
        <v>128.21</v>
      </c>
      <c r="E649" s="116">
        <v>128.21</v>
      </c>
      <c r="F649" s="116">
        <v>1319.65</v>
      </c>
      <c r="G649">
        <v>9969</v>
      </c>
      <c r="H649" s="116"/>
      <c r="I649" s="116"/>
      <c r="L649" s="170">
        <v>45058</v>
      </c>
      <c r="M649" s="116">
        <v>132.02500000000001</v>
      </c>
      <c r="N649" s="116">
        <v>132.4</v>
      </c>
      <c r="O649" s="116">
        <v>128.51499999999999</v>
      </c>
      <c r="P649" s="116">
        <v>129.5</v>
      </c>
      <c r="Q649" s="116">
        <v>1320.25</v>
      </c>
      <c r="R649">
        <v>279580</v>
      </c>
    </row>
    <row r="650" spans="1:18" x14ac:dyDescent="0.25">
      <c r="A650" s="170">
        <v>45061</v>
      </c>
      <c r="B650" s="116">
        <v>132.215</v>
      </c>
      <c r="C650" s="116">
        <v>130.655</v>
      </c>
      <c r="D650" s="116">
        <v>130.4</v>
      </c>
      <c r="E650" s="116">
        <v>130.505</v>
      </c>
      <c r="F650" s="116">
        <v>1306.55</v>
      </c>
      <c r="G650">
        <v>7257</v>
      </c>
      <c r="H650" s="116"/>
      <c r="I650" s="116"/>
      <c r="L650" s="170">
        <v>45061</v>
      </c>
      <c r="M650" s="116">
        <v>130.75</v>
      </c>
      <c r="N650" s="116">
        <v>132.215</v>
      </c>
      <c r="O650" s="116">
        <v>130.30000000000001</v>
      </c>
      <c r="P650" s="116">
        <v>131.94999999999999</v>
      </c>
      <c r="Q650" s="116">
        <v>1307.5</v>
      </c>
      <c r="R650">
        <v>156898</v>
      </c>
    </row>
    <row r="651" spans="1:18" x14ac:dyDescent="0.25">
      <c r="A651" s="170">
        <v>45062</v>
      </c>
      <c r="B651" s="116">
        <v>131.845</v>
      </c>
      <c r="C651" s="116">
        <v>129.13999999999999</v>
      </c>
      <c r="D651" s="116">
        <v>128.655</v>
      </c>
      <c r="E651" s="116">
        <v>130.505</v>
      </c>
      <c r="F651" s="116">
        <v>1291.4000000000001</v>
      </c>
      <c r="G651">
        <v>10818</v>
      </c>
      <c r="H651" s="116"/>
      <c r="I651" s="116"/>
      <c r="L651" s="170">
        <v>45062</v>
      </c>
      <c r="M651" s="116">
        <v>129.16499999999999</v>
      </c>
      <c r="N651" s="116">
        <v>131.9</v>
      </c>
      <c r="O651" s="116">
        <v>128.69999999999999</v>
      </c>
      <c r="P651" s="116">
        <v>131.38999999999999</v>
      </c>
      <c r="Q651" s="116">
        <v>1291.6500000000001</v>
      </c>
      <c r="R651">
        <v>157386</v>
      </c>
    </row>
    <row r="652" spans="1:18" x14ac:dyDescent="0.25">
      <c r="A652" s="170">
        <v>45063</v>
      </c>
      <c r="B652" s="116">
        <v>129.595</v>
      </c>
      <c r="C652" s="116">
        <v>126.925</v>
      </c>
      <c r="D652" s="116">
        <v>125.57</v>
      </c>
      <c r="E652" s="116">
        <v>129</v>
      </c>
      <c r="F652" s="116">
        <v>1269.25</v>
      </c>
      <c r="G652">
        <v>16236</v>
      </c>
      <c r="H652" s="116"/>
      <c r="I652" s="116"/>
      <c r="L652" s="170">
        <v>45063</v>
      </c>
      <c r="M652" s="116">
        <v>126.925</v>
      </c>
      <c r="N652" s="116">
        <v>129.69999999999999</v>
      </c>
      <c r="O652" s="116">
        <v>125.5</v>
      </c>
      <c r="P652" s="116">
        <v>129.1</v>
      </c>
      <c r="Q652" s="116">
        <v>1269.25</v>
      </c>
      <c r="R652">
        <v>226648</v>
      </c>
    </row>
    <row r="653" spans="1:18" x14ac:dyDescent="0.25">
      <c r="A653" s="170">
        <v>45064</v>
      </c>
      <c r="B653" s="116">
        <v>127.69499999999999</v>
      </c>
      <c r="C653" s="116">
        <v>123.485</v>
      </c>
      <c r="D653" s="116">
        <v>122.1</v>
      </c>
      <c r="E653" s="116">
        <v>127.69499999999999</v>
      </c>
      <c r="F653" s="116">
        <v>1234.8499999999999</v>
      </c>
      <c r="G653">
        <v>37386</v>
      </c>
      <c r="H653" s="116"/>
      <c r="I653" s="116"/>
      <c r="L653" s="170">
        <v>45064</v>
      </c>
      <c r="M653" s="116">
        <v>123.27500000000001</v>
      </c>
      <c r="N653" s="116">
        <v>126.9</v>
      </c>
      <c r="O653" s="116">
        <v>122.81</v>
      </c>
      <c r="P653" s="116">
        <v>126.9</v>
      </c>
      <c r="Q653" s="116">
        <v>1232.75</v>
      </c>
      <c r="R653">
        <v>375370</v>
      </c>
    </row>
    <row r="654" spans="1:18" x14ac:dyDescent="0.25">
      <c r="A654" s="170">
        <v>45065</v>
      </c>
      <c r="B654" s="116">
        <v>123.685</v>
      </c>
      <c r="C654" s="116">
        <v>119.535</v>
      </c>
      <c r="D654" s="116">
        <v>118.2</v>
      </c>
      <c r="E654" s="116">
        <v>123.5</v>
      </c>
      <c r="F654" s="116">
        <v>1195.3499999999999</v>
      </c>
      <c r="G654">
        <v>68840</v>
      </c>
      <c r="H654" s="116"/>
      <c r="I654" s="116"/>
      <c r="L654" s="170">
        <v>45065</v>
      </c>
      <c r="M654" s="116">
        <v>119.59</v>
      </c>
      <c r="N654" s="116">
        <v>123.9</v>
      </c>
      <c r="O654" s="116">
        <v>118.12</v>
      </c>
      <c r="P654" s="116">
        <v>123.9</v>
      </c>
      <c r="Q654" s="116">
        <v>1195.9000000000001</v>
      </c>
      <c r="R654">
        <v>470670</v>
      </c>
    </row>
    <row r="655" spans="1:18" x14ac:dyDescent="0.25">
      <c r="A655" s="170">
        <v>45068</v>
      </c>
      <c r="B655" s="116">
        <v>125.925</v>
      </c>
      <c r="C655" s="116">
        <v>124.935</v>
      </c>
      <c r="D655" s="116">
        <v>119.735</v>
      </c>
      <c r="E655" s="116">
        <v>119.995</v>
      </c>
      <c r="F655" s="116">
        <v>1249.3499999999999</v>
      </c>
      <c r="G655">
        <v>21280</v>
      </c>
      <c r="H655" s="116"/>
      <c r="I655" s="116"/>
      <c r="L655" s="170">
        <v>45068</v>
      </c>
      <c r="M655" s="116">
        <v>124.93</v>
      </c>
      <c r="N655" s="116">
        <v>125.99</v>
      </c>
      <c r="O655" s="116">
        <v>119.81</v>
      </c>
      <c r="P655" s="116">
        <v>120.3</v>
      </c>
      <c r="Q655" s="116">
        <v>1249.3</v>
      </c>
      <c r="R655">
        <v>396083</v>
      </c>
    </row>
    <row r="656" spans="1:18" x14ac:dyDescent="0.25">
      <c r="A656" s="170">
        <v>45069</v>
      </c>
      <c r="B656" s="116">
        <v>126.85</v>
      </c>
      <c r="C656" s="116">
        <v>120.735</v>
      </c>
      <c r="D656" s="116">
        <v>120.2</v>
      </c>
      <c r="E656" s="116">
        <v>125.005</v>
      </c>
      <c r="F656" s="116">
        <v>1207.3499999999999</v>
      </c>
      <c r="G656">
        <v>63023</v>
      </c>
      <c r="H656" s="116"/>
      <c r="I656" s="116"/>
      <c r="L656" s="170">
        <v>45069</v>
      </c>
      <c r="M656" s="116">
        <v>120.675</v>
      </c>
      <c r="N656" s="116">
        <v>126.9</v>
      </c>
      <c r="O656" s="116">
        <v>120</v>
      </c>
      <c r="P656" s="116">
        <v>125.675</v>
      </c>
      <c r="Q656" s="116">
        <v>1206.75</v>
      </c>
      <c r="R656">
        <v>531078</v>
      </c>
    </row>
    <row r="657" spans="1:18" x14ac:dyDescent="0.25">
      <c r="A657" s="170">
        <v>45070</v>
      </c>
      <c r="B657" s="116">
        <v>122.7</v>
      </c>
      <c r="C657" s="116">
        <v>121.355</v>
      </c>
      <c r="D657" s="116">
        <v>120.285</v>
      </c>
      <c r="E657" s="116">
        <v>120.75</v>
      </c>
      <c r="F657" s="116">
        <v>1213.55</v>
      </c>
      <c r="G657">
        <v>37026</v>
      </c>
      <c r="H657" s="116"/>
      <c r="I657" s="116"/>
      <c r="L657" s="170">
        <v>45070</v>
      </c>
      <c r="M657" s="116">
        <v>121.495</v>
      </c>
      <c r="N657" s="116">
        <v>122.7</v>
      </c>
      <c r="O657" s="116">
        <v>120.23</v>
      </c>
      <c r="P657" s="116">
        <v>121.11</v>
      </c>
      <c r="Q657" s="116">
        <v>1214.95</v>
      </c>
      <c r="R657">
        <v>351438</v>
      </c>
    </row>
    <row r="658" spans="1:18" x14ac:dyDescent="0.25">
      <c r="A658" s="170">
        <v>45071</v>
      </c>
      <c r="B658" s="116">
        <v>123.755</v>
      </c>
      <c r="C658" s="116">
        <v>123.245</v>
      </c>
      <c r="D658" s="116">
        <v>121.44499999999999</v>
      </c>
      <c r="E658" s="116">
        <v>122.595</v>
      </c>
      <c r="F658" s="116">
        <v>1232.45</v>
      </c>
      <c r="G658">
        <v>9578</v>
      </c>
      <c r="H658" s="116"/>
      <c r="I658" s="116"/>
      <c r="L658" s="170">
        <v>45071</v>
      </c>
      <c r="M658" s="116">
        <v>123.355</v>
      </c>
      <c r="N658" s="116">
        <v>123.85</v>
      </c>
      <c r="O658" s="116">
        <v>121.45</v>
      </c>
      <c r="P658" s="116">
        <v>122.12</v>
      </c>
      <c r="Q658" s="116">
        <v>1233.55</v>
      </c>
      <c r="R658">
        <v>314491</v>
      </c>
    </row>
    <row r="659" spans="1:18" x14ac:dyDescent="0.25">
      <c r="A659" s="170">
        <v>45072</v>
      </c>
      <c r="B659" s="116">
        <v>128.49</v>
      </c>
      <c r="C659" s="116">
        <v>127.735</v>
      </c>
      <c r="D659" s="116">
        <v>123.505</v>
      </c>
      <c r="E659" s="116">
        <v>123.505</v>
      </c>
      <c r="F659" s="116">
        <v>1277.3499999999999</v>
      </c>
      <c r="G659">
        <v>15091</v>
      </c>
      <c r="H659" s="116"/>
      <c r="I659" s="116"/>
      <c r="L659" s="170">
        <v>45072</v>
      </c>
      <c r="M659" s="116">
        <v>127.78</v>
      </c>
      <c r="N659" s="116">
        <v>128.44</v>
      </c>
      <c r="O659" s="116">
        <v>123.505</v>
      </c>
      <c r="P659" s="116">
        <v>124</v>
      </c>
      <c r="Q659" s="116">
        <v>1277.8</v>
      </c>
      <c r="R659">
        <v>375632</v>
      </c>
    </row>
    <row r="660" spans="1:18" x14ac:dyDescent="0.25">
      <c r="A660" s="170">
        <v>45075</v>
      </c>
      <c r="B660" s="116">
        <v>132.01</v>
      </c>
      <c r="C660" s="116">
        <v>131.435</v>
      </c>
      <c r="D660" s="116">
        <v>128.80000000000001</v>
      </c>
      <c r="E660" s="116">
        <v>129.035</v>
      </c>
      <c r="F660" s="116">
        <v>1314.35</v>
      </c>
      <c r="G660">
        <v>23061</v>
      </c>
      <c r="H660" s="116"/>
      <c r="I660" s="116"/>
      <c r="L660" s="170">
        <v>45075</v>
      </c>
      <c r="M660" s="116">
        <v>131.38499999999999</v>
      </c>
      <c r="N660" s="116">
        <v>132</v>
      </c>
      <c r="O660" s="116">
        <v>128.655</v>
      </c>
      <c r="P660" s="116">
        <v>129.5</v>
      </c>
      <c r="Q660" s="116">
        <v>1313.85</v>
      </c>
      <c r="R660">
        <v>571001</v>
      </c>
    </row>
    <row r="661" spans="1:18" x14ac:dyDescent="0.25">
      <c r="A661" s="170">
        <v>45076</v>
      </c>
      <c r="B661" s="116">
        <v>131.755</v>
      </c>
      <c r="C661" s="116">
        <v>130.08500000000001</v>
      </c>
      <c r="D661" s="116">
        <v>129.005</v>
      </c>
      <c r="E661" s="116">
        <v>131.5</v>
      </c>
      <c r="F661" s="116">
        <v>1300.8499999999999</v>
      </c>
      <c r="G661">
        <v>30875</v>
      </c>
      <c r="H661" s="116"/>
      <c r="I661" s="116"/>
      <c r="L661" s="170">
        <v>45076</v>
      </c>
      <c r="M661" s="116">
        <v>130.095</v>
      </c>
      <c r="N661" s="116">
        <v>131.89500000000001</v>
      </c>
      <c r="O661" s="116">
        <v>129.1</v>
      </c>
      <c r="P661" s="116">
        <v>131.69499999999999</v>
      </c>
      <c r="Q661" s="116">
        <v>1300.95</v>
      </c>
      <c r="R661">
        <v>220561</v>
      </c>
    </row>
    <row r="662" spans="1:18" x14ac:dyDescent="0.25">
      <c r="A662" s="170">
        <v>45077</v>
      </c>
      <c r="B662" s="116">
        <v>135.08000000000001</v>
      </c>
      <c r="C662" s="116">
        <v>134.51499999999999</v>
      </c>
      <c r="D662" s="116">
        <v>128.23500000000001</v>
      </c>
      <c r="E662" s="116">
        <v>130.285</v>
      </c>
      <c r="F662" s="116">
        <v>1345.15</v>
      </c>
      <c r="G662">
        <v>22869</v>
      </c>
      <c r="H662" s="116"/>
      <c r="I662" s="116"/>
      <c r="L662" s="170">
        <v>45077</v>
      </c>
      <c r="M662" s="116">
        <v>134.55000000000001</v>
      </c>
      <c r="N662" s="116">
        <v>135</v>
      </c>
      <c r="O662" s="116">
        <v>128.04499999999999</v>
      </c>
      <c r="P662" s="116">
        <v>130</v>
      </c>
      <c r="Q662" s="116">
        <v>1345.5</v>
      </c>
      <c r="R662">
        <v>744948</v>
      </c>
    </row>
    <row r="663" spans="1:18" x14ac:dyDescent="0.25">
      <c r="A663" s="170">
        <v>45078</v>
      </c>
      <c r="B663" s="116">
        <v>136.785</v>
      </c>
      <c r="C663" s="116">
        <v>134.035</v>
      </c>
      <c r="D663" s="116">
        <v>132.44499999999999</v>
      </c>
      <c r="E663" s="116">
        <v>136.785</v>
      </c>
      <c r="F663" s="116">
        <v>1340.35</v>
      </c>
      <c r="G663">
        <v>16790</v>
      </c>
      <c r="H663" s="116"/>
      <c r="I663" s="116"/>
      <c r="L663" s="170">
        <v>45078</v>
      </c>
      <c r="M663" s="116">
        <v>134.04</v>
      </c>
      <c r="N663" s="116">
        <v>136.88999999999999</v>
      </c>
      <c r="O663" s="116">
        <v>132.5</v>
      </c>
      <c r="P663" s="116">
        <v>136.5</v>
      </c>
      <c r="Q663" s="116">
        <v>1340.4</v>
      </c>
      <c r="R663">
        <v>330212</v>
      </c>
    </row>
    <row r="664" spans="1:18" x14ac:dyDescent="0.25">
      <c r="A664" s="170">
        <v>45079</v>
      </c>
      <c r="B664" s="116">
        <v>135</v>
      </c>
      <c r="C664" s="116">
        <v>131.255</v>
      </c>
      <c r="D664" s="116">
        <v>129.68</v>
      </c>
      <c r="E664" s="116">
        <v>134.715</v>
      </c>
      <c r="F664" s="116">
        <v>1312.55</v>
      </c>
      <c r="G664">
        <v>22842</v>
      </c>
      <c r="H664" s="116"/>
      <c r="I664" s="116"/>
      <c r="L664" s="170">
        <v>45079</v>
      </c>
      <c r="M664" s="116">
        <v>131.30000000000001</v>
      </c>
      <c r="N664" s="116">
        <v>134.91</v>
      </c>
      <c r="O664" s="116">
        <v>129.69999999999999</v>
      </c>
      <c r="P664" s="116">
        <v>134.6</v>
      </c>
      <c r="Q664" s="116">
        <v>1313</v>
      </c>
      <c r="R664">
        <v>577597</v>
      </c>
    </row>
    <row r="665" spans="1:18" x14ac:dyDescent="0.25">
      <c r="A665" s="170">
        <v>45082</v>
      </c>
      <c r="B665" s="116">
        <v>140.465</v>
      </c>
      <c r="C665" s="116">
        <v>138.32</v>
      </c>
      <c r="D665" s="116">
        <v>131.47499999999999</v>
      </c>
      <c r="E665" s="116">
        <v>131.56</v>
      </c>
      <c r="F665" s="116">
        <v>1383.2</v>
      </c>
      <c r="G665">
        <v>30269</v>
      </c>
      <c r="H665" s="116"/>
      <c r="I665" s="116"/>
      <c r="L665" s="170">
        <v>45082</v>
      </c>
      <c r="M665" s="116">
        <v>138.11500000000001</v>
      </c>
      <c r="N665" s="116">
        <v>140.5</v>
      </c>
      <c r="O665" s="116">
        <v>131.405</v>
      </c>
      <c r="P665" s="116">
        <v>132.13999999999999</v>
      </c>
      <c r="Q665" s="116">
        <v>1381.15</v>
      </c>
      <c r="R665">
        <v>859795</v>
      </c>
    </row>
    <row r="666" spans="1:18" x14ac:dyDescent="0.25">
      <c r="A666" s="170">
        <v>45083</v>
      </c>
      <c r="B666" s="116">
        <v>145.41999999999999</v>
      </c>
      <c r="C666" s="116">
        <v>144.66499999999999</v>
      </c>
      <c r="D666" s="116">
        <v>137.93</v>
      </c>
      <c r="E666" s="116">
        <v>138.5</v>
      </c>
      <c r="F666" s="116">
        <v>1446.65</v>
      </c>
      <c r="G666">
        <v>123149</v>
      </c>
      <c r="H666" s="116"/>
      <c r="I666" s="116"/>
      <c r="L666" s="170">
        <v>45083</v>
      </c>
      <c r="M666" s="116">
        <v>144.565</v>
      </c>
      <c r="N666" s="116">
        <v>145.5</v>
      </c>
      <c r="O666" s="116">
        <v>138.005</v>
      </c>
      <c r="P666" s="116">
        <v>139.1</v>
      </c>
      <c r="Q666" s="116">
        <v>1445.65</v>
      </c>
      <c r="R666">
        <v>1441192</v>
      </c>
    </row>
    <row r="667" spans="1:18" x14ac:dyDescent="0.25">
      <c r="A667" s="170">
        <v>45084</v>
      </c>
      <c r="B667" s="116">
        <v>148.01499999999999</v>
      </c>
      <c r="C667" s="116">
        <v>145.71</v>
      </c>
      <c r="D667" s="116">
        <v>141.375</v>
      </c>
      <c r="E667" s="116">
        <v>145.19499999999999</v>
      </c>
      <c r="F667" s="116">
        <v>1457.1</v>
      </c>
      <c r="G667">
        <v>73856</v>
      </c>
      <c r="H667" s="116"/>
      <c r="I667" s="116"/>
      <c r="L667" s="170">
        <v>45084</v>
      </c>
      <c r="M667" s="116">
        <v>145.80500000000001</v>
      </c>
      <c r="N667" s="116">
        <v>147.995</v>
      </c>
      <c r="O667" s="116">
        <v>141.55000000000001</v>
      </c>
      <c r="P667" s="116">
        <v>144.565</v>
      </c>
      <c r="Q667" s="116">
        <v>1458.05</v>
      </c>
      <c r="R667">
        <v>711071</v>
      </c>
    </row>
    <row r="668" spans="1:18" x14ac:dyDescent="0.25">
      <c r="A668" s="170">
        <v>45085</v>
      </c>
      <c r="B668" s="116">
        <v>147.66999999999999</v>
      </c>
      <c r="C668" s="116">
        <v>145.875</v>
      </c>
      <c r="D668" s="116">
        <v>142.245</v>
      </c>
      <c r="E668" s="116">
        <v>146</v>
      </c>
      <c r="F668" s="116">
        <v>1458.75</v>
      </c>
      <c r="G668">
        <v>20766</v>
      </c>
      <c r="H668" s="116"/>
      <c r="I668" s="116"/>
      <c r="L668" s="170">
        <v>45085</v>
      </c>
      <c r="M668" s="116">
        <v>146.27000000000001</v>
      </c>
      <c r="N668" s="116">
        <v>147.68</v>
      </c>
      <c r="O668" s="116">
        <v>142.19999999999999</v>
      </c>
      <c r="P668" s="116">
        <v>145.80500000000001</v>
      </c>
      <c r="Q668" s="116">
        <v>1462.7</v>
      </c>
      <c r="R668">
        <v>590709</v>
      </c>
    </row>
    <row r="669" spans="1:18" x14ac:dyDescent="0.25">
      <c r="A669" s="170">
        <v>45086</v>
      </c>
      <c r="B669" s="116">
        <v>149.47999999999999</v>
      </c>
      <c r="C669" s="116">
        <v>148.845</v>
      </c>
      <c r="D669" s="116">
        <v>143.52500000000001</v>
      </c>
      <c r="E669" s="116">
        <v>145.1</v>
      </c>
      <c r="F669" s="116">
        <v>1488.45</v>
      </c>
      <c r="G669">
        <v>12649</v>
      </c>
      <c r="H669" s="116"/>
      <c r="I669" s="116"/>
      <c r="L669" s="170">
        <v>45086</v>
      </c>
      <c r="M669" s="116">
        <v>148.94</v>
      </c>
      <c r="N669" s="116">
        <v>149.6</v>
      </c>
      <c r="O669" s="116">
        <v>143.57</v>
      </c>
      <c r="P669" s="116">
        <v>147.1</v>
      </c>
      <c r="Q669" s="116">
        <v>1489.4</v>
      </c>
      <c r="R669">
        <v>471030</v>
      </c>
    </row>
    <row r="670" spans="1:18" x14ac:dyDescent="0.25">
      <c r="A670" s="170">
        <v>45089</v>
      </c>
      <c r="B670" s="116">
        <v>150.5</v>
      </c>
      <c r="C670" s="116">
        <v>149.19499999999999</v>
      </c>
      <c r="D670" s="116">
        <v>147</v>
      </c>
      <c r="E670" s="116">
        <v>150</v>
      </c>
      <c r="F670" s="116">
        <v>1491.95</v>
      </c>
      <c r="G670">
        <v>10052</v>
      </c>
      <c r="H670" s="116"/>
      <c r="I670" s="116"/>
      <c r="L670" s="170">
        <v>45089</v>
      </c>
      <c r="M670" s="116">
        <v>149.30500000000001</v>
      </c>
      <c r="N670" s="116">
        <v>150.6</v>
      </c>
      <c r="O670" s="116">
        <v>146.93</v>
      </c>
      <c r="P670" s="116">
        <v>150.19999999999999</v>
      </c>
      <c r="Q670" s="116">
        <v>1493.05</v>
      </c>
      <c r="R670">
        <v>326237</v>
      </c>
    </row>
    <row r="671" spans="1:18" x14ac:dyDescent="0.25">
      <c r="A671" s="170">
        <v>45090</v>
      </c>
      <c r="B671" s="116">
        <v>153.13499999999999</v>
      </c>
      <c r="C671" s="116">
        <v>152.745</v>
      </c>
      <c r="D671" s="116">
        <v>148.465</v>
      </c>
      <c r="E671" s="116">
        <v>149.005</v>
      </c>
      <c r="F671" s="116">
        <v>1527.45</v>
      </c>
      <c r="G671">
        <v>19350</v>
      </c>
      <c r="H671" s="116"/>
      <c r="I671" s="116"/>
      <c r="L671" s="170">
        <v>45090</v>
      </c>
      <c r="M671" s="116">
        <v>152.83500000000001</v>
      </c>
      <c r="N671" s="116">
        <v>153.11000000000001</v>
      </c>
      <c r="O671" s="116">
        <v>148.4</v>
      </c>
      <c r="P671" s="116">
        <v>149.31</v>
      </c>
      <c r="Q671" s="116">
        <v>1528.35</v>
      </c>
      <c r="R671">
        <v>460225</v>
      </c>
    </row>
    <row r="672" spans="1:18" x14ac:dyDescent="0.25">
      <c r="A672" s="170">
        <v>45091</v>
      </c>
      <c r="B672" s="116">
        <v>154.9</v>
      </c>
      <c r="C672" s="116">
        <v>154.37</v>
      </c>
      <c r="D672" s="116">
        <v>151.61500000000001</v>
      </c>
      <c r="E672" s="116">
        <v>153.495</v>
      </c>
      <c r="F672" s="116">
        <v>1543.7</v>
      </c>
      <c r="G672">
        <v>10710</v>
      </c>
      <c r="H672" s="116"/>
      <c r="I672" s="116"/>
      <c r="L672" s="170">
        <v>45091</v>
      </c>
      <c r="M672" s="116">
        <v>154.35</v>
      </c>
      <c r="N672" s="116">
        <v>155</v>
      </c>
      <c r="O672" s="116">
        <v>151.6</v>
      </c>
      <c r="P672" s="116">
        <v>153.1</v>
      </c>
      <c r="Q672" s="116">
        <v>1543.5</v>
      </c>
      <c r="R672">
        <v>407508</v>
      </c>
    </row>
    <row r="673" spans="1:18" x14ac:dyDescent="0.25">
      <c r="A673" s="170">
        <v>45092</v>
      </c>
      <c r="B673" s="116">
        <v>157.55500000000001</v>
      </c>
      <c r="C673" s="116">
        <v>156.16999999999999</v>
      </c>
      <c r="D673" s="116">
        <v>153.005</v>
      </c>
      <c r="E673" s="116">
        <v>153.005</v>
      </c>
      <c r="F673" s="116">
        <v>1561.7</v>
      </c>
      <c r="G673">
        <v>35083</v>
      </c>
      <c r="H673" s="116"/>
      <c r="I673" s="116"/>
      <c r="L673" s="170">
        <v>45092</v>
      </c>
      <c r="M673" s="116">
        <v>156.29499999999999</v>
      </c>
      <c r="N673" s="116">
        <v>157.54</v>
      </c>
      <c r="O673" s="116">
        <v>153.505</v>
      </c>
      <c r="P673" s="116">
        <v>154.35499999999999</v>
      </c>
      <c r="Q673" s="116">
        <v>1562.95</v>
      </c>
      <c r="R673">
        <v>404812</v>
      </c>
    </row>
    <row r="674" spans="1:18" x14ac:dyDescent="0.25">
      <c r="A674" s="170">
        <v>45093</v>
      </c>
      <c r="B674" s="116">
        <v>157.5</v>
      </c>
      <c r="C674" s="116">
        <v>155.47999999999999</v>
      </c>
      <c r="D674" s="116">
        <v>154.04499999999999</v>
      </c>
      <c r="E674" s="116">
        <v>156.5</v>
      </c>
      <c r="F674" s="116">
        <v>1554.8</v>
      </c>
      <c r="G674">
        <v>9010</v>
      </c>
      <c r="H674" s="116"/>
      <c r="I674" s="116"/>
      <c r="L674" s="170">
        <v>45093</v>
      </c>
      <c r="M674" s="116">
        <v>155.58500000000001</v>
      </c>
      <c r="N674" s="116">
        <v>157.69499999999999</v>
      </c>
      <c r="O674" s="116">
        <v>154.02500000000001</v>
      </c>
      <c r="P674" s="116">
        <v>156.35</v>
      </c>
      <c r="Q674" s="116">
        <v>1555.85</v>
      </c>
      <c r="R674">
        <v>287616</v>
      </c>
    </row>
    <row r="675" spans="1:18" x14ac:dyDescent="0.25">
      <c r="A675" s="170">
        <v>45096</v>
      </c>
      <c r="B675" s="116">
        <v>156.4</v>
      </c>
      <c r="C675" s="116">
        <v>155.86500000000001</v>
      </c>
      <c r="D675" s="116">
        <v>150.9</v>
      </c>
      <c r="E675" s="116">
        <v>154.005</v>
      </c>
      <c r="F675" s="116">
        <v>1558.65</v>
      </c>
      <c r="G675">
        <v>9247</v>
      </c>
      <c r="H675" s="116"/>
      <c r="I675" s="116"/>
      <c r="L675" s="170">
        <v>45096</v>
      </c>
      <c r="M675" s="116">
        <v>155.83500000000001</v>
      </c>
      <c r="N675" s="116">
        <v>156.5</v>
      </c>
      <c r="O675" s="116">
        <v>150.81</v>
      </c>
      <c r="P675" s="116">
        <v>156.5</v>
      </c>
      <c r="Q675" s="116">
        <v>1558.35</v>
      </c>
      <c r="R675">
        <v>284510</v>
      </c>
    </row>
    <row r="676" spans="1:18" x14ac:dyDescent="0.25">
      <c r="A676" s="170">
        <v>45097</v>
      </c>
      <c r="B676" s="116">
        <v>161</v>
      </c>
      <c r="C676" s="116">
        <v>159.11500000000001</v>
      </c>
      <c r="D676" s="116">
        <v>155.69999999999999</v>
      </c>
      <c r="E676" s="116">
        <v>156.005</v>
      </c>
      <c r="F676" s="116">
        <v>1591.15</v>
      </c>
      <c r="G676">
        <v>47624</v>
      </c>
      <c r="H676" s="116"/>
      <c r="I676" s="116"/>
      <c r="L676" s="170">
        <v>45097</v>
      </c>
      <c r="M676" s="116">
        <v>159.495</v>
      </c>
      <c r="N676" s="116">
        <v>161</v>
      </c>
      <c r="O676" s="116">
        <v>157.1</v>
      </c>
      <c r="P676" s="116">
        <v>157.1</v>
      </c>
      <c r="Q676" s="116">
        <v>1594.95</v>
      </c>
      <c r="R676">
        <v>1126620</v>
      </c>
    </row>
    <row r="677" spans="1:18" x14ac:dyDescent="0.25">
      <c r="A677" s="170">
        <v>45098</v>
      </c>
      <c r="B677" s="116">
        <v>163</v>
      </c>
      <c r="C677" s="116">
        <v>162.155</v>
      </c>
      <c r="D677" s="116">
        <v>159.41499999999999</v>
      </c>
      <c r="E677" s="116">
        <v>159.55000000000001</v>
      </c>
      <c r="F677" s="116">
        <v>1621.55</v>
      </c>
      <c r="G677">
        <v>16091</v>
      </c>
      <c r="H677" s="116"/>
      <c r="I677" s="116"/>
      <c r="L677" s="170">
        <v>45098</v>
      </c>
      <c r="M677" s="116">
        <v>162.25</v>
      </c>
      <c r="N677" s="116">
        <v>163</v>
      </c>
      <c r="O677" s="116">
        <v>159.495</v>
      </c>
      <c r="P677" s="116">
        <v>159.495</v>
      </c>
      <c r="Q677" s="116">
        <v>1622.5</v>
      </c>
      <c r="R677">
        <v>738206</v>
      </c>
    </row>
    <row r="678" spans="1:18" x14ac:dyDescent="0.25">
      <c r="A678" s="170">
        <v>45099</v>
      </c>
      <c r="B678" s="116">
        <v>163.315</v>
      </c>
      <c r="C678" s="116">
        <v>156.55500000000001</v>
      </c>
      <c r="D678" s="116">
        <v>155.63999999999999</v>
      </c>
      <c r="E678" s="116">
        <v>160.905</v>
      </c>
      <c r="F678" s="116">
        <v>1565.55</v>
      </c>
      <c r="G678">
        <v>14861</v>
      </c>
      <c r="H678" s="116"/>
      <c r="I678" s="116"/>
      <c r="L678" s="170">
        <v>45099</v>
      </c>
      <c r="M678" s="116">
        <v>156.88999999999999</v>
      </c>
      <c r="N678" s="116">
        <v>163.19999999999999</v>
      </c>
      <c r="O678" s="116">
        <v>155.625</v>
      </c>
      <c r="P678" s="116">
        <v>162.495</v>
      </c>
      <c r="Q678" s="116">
        <v>1568.9</v>
      </c>
      <c r="R678">
        <v>303044</v>
      </c>
    </row>
    <row r="679" spans="1:18" x14ac:dyDescent="0.25">
      <c r="A679" s="170">
        <v>45100</v>
      </c>
      <c r="B679" s="116">
        <v>163.01</v>
      </c>
      <c r="C679" s="116">
        <v>162.1</v>
      </c>
      <c r="D679" s="116">
        <v>156.70500000000001</v>
      </c>
      <c r="E679" s="116">
        <v>156.70500000000001</v>
      </c>
      <c r="F679" s="116">
        <v>1621</v>
      </c>
      <c r="G679">
        <v>35710</v>
      </c>
      <c r="H679" s="116"/>
      <c r="I679" s="116"/>
      <c r="L679" s="170">
        <v>45100</v>
      </c>
      <c r="M679" s="116">
        <v>162.245</v>
      </c>
      <c r="N679" s="116">
        <v>163</v>
      </c>
      <c r="O679" s="116">
        <v>157.13</v>
      </c>
      <c r="P679" s="116">
        <v>157.13</v>
      </c>
      <c r="Q679" s="116">
        <v>1622.45</v>
      </c>
      <c r="R679">
        <v>964057</v>
      </c>
    </row>
    <row r="680" spans="1:18" x14ac:dyDescent="0.25">
      <c r="A680" s="170">
        <v>45103</v>
      </c>
      <c r="B680" s="116">
        <v>170</v>
      </c>
      <c r="C680" s="116">
        <v>167.72</v>
      </c>
      <c r="D680" s="116">
        <v>160.845</v>
      </c>
      <c r="E680" s="116">
        <v>161.5</v>
      </c>
      <c r="F680" s="116">
        <v>1677.2</v>
      </c>
      <c r="G680">
        <v>30379</v>
      </c>
      <c r="H680" s="116"/>
      <c r="I680" s="116"/>
      <c r="L680" s="170">
        <v>45103</v>
      </c>
      <c r="M680" s="116">
        <v>167.8</v>
      </c>
      <c r="N680" s="116">
        <v>170</v>
      </c>
      <c r="O680" s="116">
        <v>161</v>
      </c>
      <c r="P680" s="116">
        <v>161.98500000000001</v>
      </c>
      <c r="Q680" s="116">
        <v>1678</v>
      </c>
      <c r="R680">
        <v>970090</v>
      </c>
    </row>
    <row r="681" spans="1:18" x14ac:dyDescent="0.25">
      <c r="A681" s="170">
        <v>45104</v>
      </c>
      <c r="B681" s="116">
        <v>172.655</v>
      </c>
      <c r="C681" s="116">
        <v>172.35</v>
      </c>
      <c r="D681" s="116">
        <v>168.55</v>
      </c>
      <c r="E681" s="116">
        <v>168.7</v>
      </c>
      <c r="F681" s="116">
        <v>1723.5</v>
      </c>
      <c r="G681">
        <v>25212</v>
      </c>
      <c r="H681" s="116"/>
      <c r="I681" s="116"/>
      <c r="L681" s="170">
        <v>45104</v>
      </c>
      <c r="M681" s="116">
        <v>172.29499999999999</v>
      </c>
      <c r="N681" s="116">
        <v>172.7</v>
      </c>
      <c r="O681" s="116">
        <v>168.715</v>
      </c>
      <c r="P681" s="116">
        <v>168.9</v>
      </c>
      <c r="Q681" s="116">
        <v>1722.95</v>
      </c>
      <c r="R681">
        <v>851711</v>
      </c>
    </row>
    <row r="682" spans="1:18" x14ac:dyDescent="0.25">
      <c r="A682" s="170">
        <v>45105</v>
      </c>
      <c r="B682" s="116">
        <v>174.48500000000001</v>
      </c>
      <c r="C682" s="116">
        <v>171.73</v>
      </c>
      <c r="D682" s="116">
        <v>169.79499999999999</v>
      </c>
      <c r="E682" s="116">
        <v>172.35499999999999</v>
      </c>
      <c r="F682" s="116">
        <v>1717.3</v>
      </c>
      <c r="G682">
        <v>35047</v>
      </c>
      <c r="H682" s="116"/>
      <c r="I682" s="116"/>
      <c r="L682" s="170">
        <v>45105</v>
      </c>
      <c r="M682" s="116">
        <v>171.52</v>
      </c>
      <c r="N682" s="116">
        <v>174.39500000000001</v>
      </c>
      <c r="O682" s="116">
        <v>169.55</v>
      </c>
      <c r="P682" s="116">
        <v>172.69499999999999</v>
      </c>
      <c r="Q682" s="116">
        <v>1715.2</v>
      </c>
      <c r="R682">
        <v>321772</v>
      </c>
    </row>
    <row r="683" spans="1:18" x14ac:dyDescent="0.25">
      <c r="A683" s="170">
        <v>45107</v>
      </c>
      <c r="B683" s="116">
        <v>172.5</v>
      </c>
      <c r="C683" s="116">
        <v>171.86</v>
      </c>
      <c r="D683" s="116">
        <v>169.72</v>
      </c>
      <c r="E683" s="116">
        <v>171.73500000000001</v>
      </c>
      <c r="F683" s="116">
        <v>1718.6</v>
      </c>
      <c r="G683">
        <v>42473</v>
      </c>
      <c r="H683" s="116"/>
      <c r="I683" s="116"/>
      <c r="L683" s="170">
        <v>45107</v>
      </c>
      <c r="M683" s="116">
        <v>171.88</v>
      </c>
      <c r="N683" s="116">
        <v>172.5</v>
      </c>
      <c r="O683" s="116">
        <v>169.74</v>
      </c>
      <c r="P683" s="116">
        <v>172.02</v>
      </c>
      <c r="Q683" s="116">
        <v>1718.8</v>
      </c>
      <c r="R683">
        <v>260133</v>
      </c>
    </row>
    <row r="684" spans="1:18" x14ac:dyDescent="0.25">
      <c r="A684" s="170">
        <v>45110</v>
      </c>
      <c r="B684" s="116">
        <v>176.56</v>
      </c>
      <c r="C684" s="116">
        <v>174.88499999999999</v>
      </c>
      <c r="D684" s="116">
        <v>172.71</v>
      </c>
      <c r="E684" s="116">
        <v>172.71</v>
      </c>
      <c r="F684" s="116">
        <v>1748.85</v>
      </c>
      <c r="G684">
        <v>18562</v>
      </c>
      <c r="H684" s="116"/>
      <c r="I684" s="116"/>
      <c r="L684" s="170">
        <v>45110</v>
      </c>
      <c r="M684" s="116">
        <v>174.80500000000001</v>
      </c>
      <c r="N684" s="116">
        <v>176.6</v>
      </c>
      <c r="O684" s="116">
        <v>172.64500000000001</v>
      </c>
      <c r="P684" s="116">
        <v>172.9</v>
      </c>
      <c r="Q684" s="116">
        <v>1748.05</v>
      </c>
      <c r="R684">
        <v>409735</v>
      </c>
    </row>
    <row r="685" spans="1:18" x14ac:dyDescent="0.25">
      <c r="A685" s="170">
        <v>45111</v>
      </c>
      <c r="B685" s="116">
        <v>179.39500000000001</v>
      </c>
      <c r="C685" s="116">
        <v>177.43</v>
      </c>
      <c r="D685" s="116">
        <v>175.7</v>
      </c>
      <c r="E685" s="116">
        <v>176.6</v>
      </c>
      <c r="F685" s="116">
        <v>1774.3</v>
      </c>
      <c r="G685">
        <v>28442</v>
      </c>
      <c r="H685" s="116"/>
      <c r="I685" s="116"/>
      <c r="L685" s="170">
        <v>45111</v>
      </c>
      <c r="M685" s="116">
        <v>177.44</v>
      </c>
      <c r="N685" s="116">
        <v>179.37</v>
      </c>
      <c r="O685" s="116">
        <v>175.245</v>
      </c>
      <c r="P685" s="116">
        <v>176.535</v>
      </c>
      <c r="Q685" s="116">
        <v>1774.4</v>
      </c>
      <c r="R685">
        <v>524820</v>
      </c>
    </row>
    <row r="686" spans="1:18" x14ac:dyDescent="0.25">
      <c r="A686" s="170">
        <v>45112</v>
      </c>
      <c r="B686" s="116">
        <v>180.13499999999999</v>
      </c>
      <c r="C686" s="116">
        <v>179.92500000000001</v>
      </c>
      <c r="D686" s="116">
        <v>176.33</v>
      </c>
      <c r="E686" s="116">
        <v>179</v>
      </c>
      <c r="F686" s="116">
        <v>1799.25</v>
      </c>
      <c r="G686">
        <v>13608</v>
      </c>
      <c r="H686" s="116"/>
      <c r="I686" s="116"/>
      <c r="L686" s="170">
        <v>45112</v>
      </c>
      <c r="M686" s="116">
        <v>179.82499999999999</v>
      </c>
      <c r="N686" s="116">
        <v>180.11500000000001</v>
      </c>
      <c r="O686" s="116">
        <v>176.4</v>
      </c>
      <c r="P686" s="116">
        <v>179</v>
      </c>
      <c r="Q686" s="116">
        <v>1798.25</v>
      </c>
      <c r="R686">
        <v>499497</v>
      </c>
    </row>
    <row r="687" spans="1:18" x14ac:dyDescent="0.25">
      <c r="A687" s="170">
        <v>45113</v>
      </c>
      <c r="B687" s="116">
        <v>179.92</v>
      </c>
      <c r="C687" s="116">
        <v>176.33</v>
      </c>
      <c r="D687" s="116">
        <v>175.1</v>
      </c>
      <c r="E687" s="116">
        <v>179.92</v>
      </c>
      <c r="F687" s="116">
        <v>1763.3</v>
      </c>
      <c r="G687">
        <v>34175</v>
      </c>
      <c r="H687" s="116"/>
      <c r="I687" s="116"/>
      <c r="L687" s="170">
        <v>45113</v>
      </c>
      <c r="M687" s="116">
        <v>176.31</v>
      </c>
      <c r="N687" s="116">
        <v>179.505</v>
      </c>
      <c r="O687" s="116">
        <v>175.16</v>
      </c>
      <c r="P687" s="116">
        <v>179.505</v>
      </c>
      <c r="Q687" s="116">
        <v>1763.1</v>
      </c>
      <c r="R687">
        <v>249473</v>
      </c>
    </row>
    <row r="688" spans="1:18" x14ac:dyDescent="0.25">
      <c r="A688" s="170">
        <v>45114</v>
      </c>
      <c r="B688" s="116">
        <v>178.17</v>
      </c>
      <c r="C688" s="116">
        <v>171.11</v>
      </c>
      <c r="D688" s="116">
        <v>170.41499999999999</v>
      </c>
      <c r="E688" s="116">
        <v>176.3</v>
      </c>
      <c r="F688" s="116">
        <v>1711.1</v>
      </c>
      <c r="G688">
        <v>40841</v>
      </c>
      <c r="H688" s="116"/>
      <c r="I688" s="116"/>
      <c r="L688" s="170">
        <v>45114</v>
      </c>
      <c r="M688" s="116">
        <v>171.215</v>
      </c>
      <c r="N688" s="116">
        <v>178.16</v>
      </c>
      <c r="O688" s="116">
        <v>170.51</v>
      </c>
      <c r="P688" s="116">
        <v>176.2</v>
      </c>
      <c r="Q688" s="116">
        <v>1712.15</v>
      </c>
      <c r="R688">
        <v>351730</v>
      </c>
    </row>
    <row r="689" spans="1:18" x14ac:dyDescent="0.25">
      <c r="A689" s="170">
        <v>45117</v>
      </c>
      <c r="B689" s="116">
        <v>172.5</v>
      </c>
      <c r="C689" s="116">
        <v>170.92</v>
      </c>
      <c r="D689" s="116">
        <v>163.56</v>
      </c>
      <c r="E689" s="116">
        <v>172.495</v>
      </c>
      <c r="F689" s="116">
        <v>1709.2</v>
      </c>
      <c r="G689">
        <v>22231</v>
      </c>
      <c r="H689" s="116"/>
      <c r="I689" s="116"/>
      <c r="L689" s="170">
        <v>45117</v>
      </c>
      <c r="M689" s="116">
        <v>170.99</v>
      </c>
      <c r="N689" s="116">
        <v>172.4</v>
      </c>
      <c r="O689" s="116">
        <v>163.62</v>
      </c>
      <c r="P689" s="116">
        <v>172.29</v>
      </c>
      <c r="Q689" s="116">
        <v>1709.9</v>
      </c>
      <c r="R689">
        <v>447282</v>
      </c>
    </row>
    <row r="690" spans="1:18" x14ac:dyDescent="0.25">
      <c r="A690" s="170">
        <v>45118</v>
      </c>
      <c r="B690" s="116">
        <v>174.625</v>
      </c>
      <c r="C690" s="116">
        <v>173.68</v>
      </c>
      <c r="D690" s="116">
        <v>168.60499999999999</v>
      </c>
      <c r="E690" s="116">
        <v>168.60499999999999</v>
      </c>
      <c r="F690" s="116">
        <v>1736.8</v>
      </c>
      <c r="G690">
        <v>12647</v>
      </c>
      <c r="H690" s="116"/>
      <c r="I690" s="116"/>
      <c r="L690" s="170">
        <v>45118</v>
      </c>
      <c r="M690" s="116">
        <v>174.04499999999999</v>
      </c>
      <c r="N690" s="116">
        <v>174.7</v>
      </c>
      <c r="O690" s="116">
        <v>170.41</v>
      </c>
      <c r="P690" s="116">
        <v>171.79499999999999</v>
      </c>
      <c r="Q690" s="116">
        <v>1740.45</v>
      </c>
      <c r="R690">
        <v>282231</v>
      </c>
    </row>
    <row r="691" spans="1:18" x14ac:dyDescent="0.25">
      <c r="A691" s="170">
        <v>45119</v>
      </c>
      <c r="B691" s="116">
        <v>177</v>
      </c>
      <c r="C691" s="116">
        <v>174.86500000000001</v>
      </c>
      <c r="D691" s="116">
        <v>172.20500000000001</v>
      </c>
      <c r="E691" s="116">
        <v>172.20500000000001</v>
      </c>
      <c r="F691" s="116">
        <v>1748.65</v>
      </c>
      <c r="G691">
        <v>9661</v>
      </c>
      <c r="H691" s="116"/>
      <c r="I691" s="116"/>
      <c r="L691" s="170">
        <v>45119</v>
      </c>
      <c r="M691" s="116">
        <v>174.755</v>
      </c>
      <c r="N691" s="116">
        <v>176.98500000000001</v>
      </c>
      <c r="O691" s="116">
        <v>174.005</v>
      </c>
      <c r="P691" s="116">
        <v>175</v>
      </c>
      <c r="Q691" s="116">
        <v>1747.55</v>
      </c>
      <c r="R691">
        <v>292400</v>
      </c>
    </row>
    <row r="692" spans="1:18" x14ac:dyDescent="0.25">
      <c r="A692" s="170">
        <v>45120</v>
      </c>
      <c r="B692" s="116">
        <v>180.33500000000001</v>
      </c>
      <c r="C692" s="116">
        <v>174.58500000000001</v>
      </c>
      <c r="D692" s="116">
        <v>173.1</v>
      </c>
      <c r="E692" s="116">
        <v>176.89500000000001</v>
      </c>
      <c r="F692" s="116">
        <v>1745.85</v>
      </c>
      <c r="G692">
        <v>54900</v>
      </c>
      <c r="H692" s="116"/>
      <c r="I692" s="116"/>
      <c r="L692" s="170">
        <v>45120</v>
      </c>
      <c r="M692" s="116">
        <v>174.41499999999999</v>
      </c>
      <c r="N692" s="116">
        <v>180.48500000000001</v>
      </c>
      <c r="O692" s="116">
        <v>173.02500000000001</v>
      </c>
      <c r="P692" s="116">
        <v>176.1</v>
      </c>
      <c r="Q692" s="116">
        <v>1744.15</v>
      </c>
      <c r="R692">
        <v>831590</v>
      </c>
    </row>
    <row r="693" spans="1:18" x14ac:dyDescent="0.25">
      <c r="A693" s="170">
        <v>45121</v>
      </c>
      <c r="B693" s="116">
        <v>180.14500000000001</v>
      </c>
      <c r="C693" s="116">
        <v>170.75</v>
      </c>
      <c r="D693" s="116">
        <v>170.3</v>
      </c>
      <c r="E693" s="116">
        <v>174.5</v>
      </c>
      <c r="F693" s="116">
        <v>1707.5</v>
      </c>
      <c r="G693">
        <v>122166</v>
      </c>
      <c r="H693" s="116"/>
      <c r="I693" s="116"/>
      <c r="L693" s="170">
        <v>45121</v>
      </c>
      <c r="M693" s="116">
        <v>170.83</v>
      </c>
      <c r="N693" s="116">
        <v>180.4</v>
      </c>
      <c r="O693" s="116">
        <v>170.15</v>
      </c>
      <c r="P693" s="116">
        <v>174.5</v>
      </c>
      <c r="Q693" s="116">
        <v>1708.3</v>
      </c>
      <c r="R693">
        <v>1669971</v>
      </c>
    </row>
    <row r="694" spans="1:18" x14ac:dyDescent="0.25">
      <c r="A694" s="170">
        <v>45124</v>
      </c>
      <c r="B694" s="116">
        <v>163.77500000000001</v>
      </c>
      <c r="C694" s="116">
        <v>158.69</v>
      </c>
      <c r="D694" s="116">
        <v>157.245</v>
      </c>
      <c r="E694" s="116">
        <v>160.505</v>
      </c>
      <c r="F694" s="116">
        <v>1586.9</v>
      </c>
      <c r="G694">
        <v>85727</v>
      </c>
      <c r="H694" s="116"/>
      <c r="I694" s="116"/>
      <c r="L694" s="170">
        <v>45124</v>
      </c>
      <c r="M694" s="116">
        <v>158.785</v>
      </c>
      <c r="N694" s="116">
        <v>163.88</v>
      </c>
      <c r="O694" s="116">
        <v>157</v>
      </c>
      <c r="P694" s="116">
        <v>162.19999999999999</v>
      </c>
      <c r="Q694" s="116">
        <v>1587.85</v>
      </c>
      <c r="R694">
        <v>2155613</v>
      </c>
    </row>
    <row r="695" spans="1:18" x14ac:dyDescent="0.25">
      <c r="A695" s="170">
        <v>45125</v>
      </c>
      <c r="B695" s="116">
        <v>159.25</v>
      </c>
      <c r="C695" s="116">
        <v>146.18</v>
      </c>
      <c r="D695" s="116">
        <v>145.41999999999999</v>
      </c>
      <c r="E695" s="116">
        <v>159.215</v>
      </c>
      <c r="F695" s="116">
        <v>1461.8</v>
      </c>
      <c r="G695">
        <v>66625</v>
      </c>
      <c r="H695" s="116"/>
      <c r="I695" s="116"/>
      <c r="L695" s="170">
        <v>45125</v>
      </c>
      <c r="M695" s="116">
        <v>146.19499999999999</v>
      </c>
      <c r="N695" s="116">
        <v>160</v>
      </c>
      <c r="O695" s="116">
        <v>145.4</v>
      </c>
      <c r="P695" s="116">
        <v>159.89500000000001</v>
      </c>
      <c r="Q695" s="116">
        <v>1461.95</v>
      </c>
      <c r="R695">
        <v>2304083</v>
      </c>
    </row>
    <row r="696" spans="1:18" x14ac:dyDescent="0.25">
      <c r="A696" s="170">
        <v>45126</v>
      </c>
      <c r="B696" s="116">
        <v>152.61000000000001</v>
      </c>
      <c r="C696" s="116">
        <v>150.44499999999999</v>
      </c>
      <c r="D696" s="116">
        <v>144.60499999999999</v>
      </c>
      <c r="E696" s="116">
        <v>144.60499999999999</v>
      </c>
      <c r="F696" s="116">
        <v>1504.45</v>
      </c>
      <c r="G696">
        <v>74342</v>
      </c>
      <c r="H696" s="116"/>
      <c r="I696" s="116"/>
      <c r="L696" s="170">
        <v>45126</v>
      </c>
      <c r="M696" s="116">
        <v>150.405</v>
      </c>
      <c r="N696" s="116">
        <v>152.79</v>
      </c>
      <c r="O696" s="116">
        <v>145.19999999999999</v>
      </c>
      <c r="P696" s="116">
        <v>145.4</v>
      </c>
      <c r="Q696" s="116">
        <v>1504.05</v>
      </c>
      <c r="R696">
        <v>1791574</v>
      </c>
    </row>
    <row r="697" spans="1:18" x14ac:dyDescent="0.25">
      <c r="A697" s="170">
        <v>45127</v>
      </c>
      <c r="B697" s="116">
        <v>157.85</v>
      </c>
      <c r="C697" s="116">
        <v>157.08500000000001</v>
      </c>
      <c r="D697" s="116">
        <v>151.54</v>
      </c>
      <c r="E697" s="116">
        <v>152.595</v>
      </c>
      <c r="F697" s="116">
        <v>1570.85</v>
      </c>
      <c r="G697">
        <v>94379</v>
      </c>
      <c r="H697" s="116"/>
      <c r="I697" s="116"/>
      <c r="L697" s="170">
        <v>45127</v>
      </c>
      <c r="M697" s="116">
        <v>157.05000000000001</v>
      </c>
      <c r="N697" s="116">
        <v>157.845</v>
      </c>
      <c r="O697" s="116">
        <v>151.51</v>
      </c>
      <c r="P697" s="116">
        <v>151.75</v>
      </c>
      <c r="Q697" s="116">
        <v>1570.5</v>
      </c>
      <c r="R697">
        <v>1085712</v>
      </c>
    </row>
    <row r="698" spans="1:18" x14ac:dyDescent="0.25">
      <c r="A698" s="170">
        <v>45128</v>
      </c>
      <c r="B698" s="116">
        <v>163</v>
      </c>
      <c r="C698" s="116">
        <v>162.255</v>
      </c>
      <c r="D698" s="116">
        <v>154.6</v>
      </c>
      <c r="E698" s="116">
        <v>157.19499999999999</v>
      </c>
      <c r="F698" s="116">
        <v>1622.55</v>
      </c>
      <c r="G698">
        <v>88270</v>
      </c>
      <c r="H698" s="116"/>
      <c r="I698" s="116"/>
      <c r="L698" s="170">
        <v>45128</v>
      </c>
      <c r="M698" s="116">
        <v>162.38499999999999</v>
      </c>
      <c r="N698" s="116">
        <v>163</v>
      </c>
      <c r="O698" s="116">
        <v>154.785</v>
      </c>
      <c r="P698" s="116">
        <v>156.69999999999999</v>
      </c>
      <c r="Q698" s="116">
        <v>1623.85</v>
      </c>
      <c r="R698">
        <v>1001914</v>
      </c>
    </row>
    <row r="699" spans="1:18" x14ac:dyDescent="0.25">
      <c r="A699" s="170">
        <v>45131</v>
      </c>
      <c r="B699" s="116">
        <v>165.48</v>
      </c>
      <c r="C699" s="116">
        <v>159.345</v>
      </c>
      <c r="D699" s="116">
        <v>158.715</v>
      </c>
      <c r="E699" s="116">
        <v>162.38999999999999</v>
      </c>
      <c r="F699" s="116">
        <v>1593.45</v>
      </c>
      <c r="G699">
        <v>30328</v>
      </c>
      <c r="H699" s="116"/>
      <c r="I699" s="116"/>
      <c r="L699" s="170">
        <v>45131</v>
      </c>
      <c r="M699" s="116">
        <v>159.72</v>
      </c>
      <c r="N699" s="116">
        <v>165.42</v>
      </c>
      <c r="O699" s="116">
        <v>158.62</v>
      </c>
      <c r="P699" s="116">
        <v>162.98500000000001</v>
      </c>
      <c r="Q699" s="116">
        <v>1597.2</v>
      </c>
      <c r="R699">
        <v>655490</v>
      </c>
    </row>
    <row r="700" spans="1:18" x14ac:dyDescent="0.25">
      <c r="A700" s="170">
        <v>45132</v>
      </c>
      <c r="B700" s="116">
        <v>161.84</v>
      </c>
      <c r="C700" s="116">
        <v>159.91</v>
      </c>
      <c r="D700" s="116">
        <v>157.12</v>
      </c>
      <c r="E700" s="116">
        <v>160.9</v>
      </c>
      <c r="F700" s="116">
        <v>1599.1</v>
      </c>
      <c r="G700">
        <v>16158</v>
      </c>
      <c r="H700" s="116"/>
      <c r="I700" s="116"/>
      <c r="L700" s="170">
        <v>45132</v>
      </c>
      <c r="M700" s="116">
        <v>159.91499999999999</v>
      </c>
      <c r="N700" s="116">
        <v>161.88</v>
      </c>
      <c r="O700" s="116">
        <v>157.20500000000001</v>
      </c>
      <c r="P700" s="116">
        <v>160.88999999999999</v>
      </c>
      <c r="Q700" s="116">
        <v>1599.15</v>
      </c>
      <c r="R700">
        <v>345034</v>
      </c>
    </row>
    <row r="701" spans="1:18" x14ac:dyDescent="0.25">
      <c r="A701" s="170">
        <v>45133</v>
      </c>
      <c r="B701" s="116">
        <v>161.57499999999999</v>
      </c>
      <c r="C701" s="116">
        <v>159.255</v>
      </c>
      <c r="D701" s="116">
        <v>158.60499999999999</v>
      </c>
      <c r="E701" s="116">
        <v>159.505</v>
      </c>
      <c r="F701" s="116">
        <v>1592.55</v>
      </c>
      <c r="G701">
        <v>8979</v>
      </c>
      <c r="H701" s="116"/>
      <c r="I701" s="116"/>
      <c r="L701" s="170">
        <v>45133</v>
      </c>
      <c r="M701" s="116">
        <v>159.27000000000001</v>
      </c>
      <c r="N701" s="116">
        <v>161.67500000000001</v>
      </c>
      <c r="O701" s="116">
        <v>158.55500000000001</v>
      </c>
      <c r="P701" s="116">
        <v>160.72999999999999</v>
      </c>
      <c r="Q701" s="116">
        <v>1592.7</v>
      </c>
      <c r="R701">
        <v>228653</v>
      </c>
    </row>
    <row r="702" spans="1:18" x14ac:dyDescent="0.25">
      <c r="A702" s="170">
        <v>45134</v>
      </c>
      <c r="B702" s="116">
        <v>161.685</v>
      </c>
      <c r="C702" s="116">
        <v>159.07</v>
      </c>
      <c r="D702" s="116">
        <v>157.38999999999999</v>
      </c>
      <c r="E702" s="116">
        <v>159.44999999999999</v>
      </c>
      <c r="F702" s="116">
        <v>1590.7</v>
      </c>
      <c r="G702">
        <v>8594</v>
      </c>
      <c r="H702" s="116"/>
      <c r="I702" s="116"/>
      <c r="L702" s="170">
        <v>45134</v>
      </c>
      <c r="M702" s="116">
        <v>159.08500000000001</v>
      </c>
      <c r="N702" s="116">
        <v>161.70500000000001</v>
      </c>
      <c r="O702" s="116">
        <v>157.27000000000001</v>
      </c>
      <c r="P702" s="116">
        <v>160.58500000000001</v>
      </c>
      <c r="Q702" s="116">
        <v>1590.85</v>
      </c>
      <c r="R702">
        <v>211481</v>
      </c>
    </row>
    <row r="703" spans="1:18" x14ac:dyDescent="0.25">
      <c r="A703" s="170">
        <v>45135</v>
      </c>
      <c r="B703" s="116">
        <v>159.155</v>
      </c>
      <c r="C703" s="116">
        <v>156.61500000000001</v>
      </c>
      <c r="D703" s="116">
        <v>154.565</v>
      </c>
      <c r="E703" s="116">
        <v>159</v>
      </c>
      <c r="F703" s="116">
        <v>1566.15</v>
      </c>
      <c r="G703">
        <v>17706</v>
      </c>
      <c r="H703" s="116"/>
      <c r="I703" s="116"/>
      <c r="L703" s="170">
        <v>45135</v>
      </c>
      <c r="M703" s="116">
        <v>155.44499999999999</v>
      </c>
      <c r="N703" s="116">
        <v>159.875</v>
      </c>
      <c r="O703" s="116">
        <v>154.5</v>
      </c>
      <c r="P703" s="116">
        <v>159.285</v>
      </c>
      <c r="Q703" s="116">
        <v>1554.45</v>
      </c>
      <c r="R703">
        <v>312592</v>
      </c>
    </row>
    <row r="704" spans="1:18" x14ac:dyDescent="0.25">
      <c r="A704" s="170">
        <v>45138</v>
      </c>
      <c r="B704" s="116">
        <v>156.905</v>
      </c>
      <c r="C704" s="116">
        <v>154.12</v>
      </c>
      <c r="D704" s="116">
        <v>152.45500000000001</v>
      </c>
      <c r="E704" s="116">
        <v>155.10499999999999</v>
      </c>
      <c r="F704" s="116">
        <v>1541.2</v>
      </c>
      <c r="G704">
        <v>26188</v>
      </c>
      <c r="H704" s="116"/>
      <c r="I704" s="116"/>
      <c r="L704" s="170">
        <v>45138</v>
      </c>
      <c r="M704" s="116">
        <v>154.11000000000001</v>
      </c>
      <c r="N704" s="116">
        <v>156.905</v>
      </c>
      <c r="O704" s="116">
        <v>152.47</v>
      </c>
      <c r="P704" s="116">
        <v>156.04499999999999</v>
      </c>
      <c r="Q704" s="116">
        <v>1541.1</v>
      </c>
      <c r="R704">
        <v>454373</v>
      </c>
    </row>
    <row r="705" spans="1:18" x14ac:dyDescent="0.25">
      <c r="A705" s="170">
        <v>45139</v>
      </c>
      <c r="B705" s="116">
        <v>155.98500000000001</v>
      </c>
      <c r="C705" s="116">
        <v>151.56</v>
      </c>
      <c r="D705" s="116">
        <v>151.19999999999999</v>
      </c>
      <c r="E705" s="116">
        <v>155.98500000000001</v>
      </c>
      <c r="F705" s="116">
        <v>1515.6</v>
      </c>
      <c r="G705">
        <v>25230</v>
      </c>
      <c r="H705" s="116"/>
      <c r="I705" s="116"/>
      <c r="L705" s="170">
        <v>45139</v>
      </c>
      <c r="M705" s="116">
        <v>151.59</v>
      </c>
      <c r="N705" s="116">
        <v>154.94</v>
      </c>
      <c r="O705" s="116">
        <v>151.04</v>
      </c>
      <c r="P705" s="116">
        <v>154.94</v>
      </c>
      <c r="Q705" s="116">
        <v>1515.9</v>
      </c>
      <c r="R705">
        <v>281717</v>
      </c>
    </row>
    <row r="706" spans="1:18" x14ac:dyDescent="0.25">
      <c r="A706" s="170">
        <v>45140</v>
      </c>
      <c r="B706" s="116">
        <v>152.625</v>
      </c>
      <c r="C706" s="116">
        <v>147.86500000000001</v>
      </c>
      <c r="D706" s="116">
        <v>147.34</v>
      </c>
      <c r="E706" s="116">
        <v>151.005</v>
      </c>
      <c r="F706" s="116">
        <v>1478.65</v>
      </c>
      <c r="G706">
        <v>19455</v>
      </c>
      <c r="H706" s="116"/>
      <c r="I706" s="116"/>
      <c r="L706" s="170">
        <v>45140</v>
      </c>
      <c r="M706" s="116">
        <v>147.86500000000001</v>
      </c>
      <c r="N706" s="116">
        <v>152.5</v>
      </c>
      <c r="O706" s="116">
        <v>147.5</v>
      </c>
      <c r="P706" s="116">
        <v>152</v>
      </c>
      <c r="Q706" s="116">
        <v>1478.65</v>
      </c>
      <c r="R706">
        <v>324638</v>
      </c>
    </row>
    <row r="707" spans="1:18" x14ac:dyDescent="0.25">
      <c r="A707" s="170">
        <v>45141</v>
      </c>
      <c r="B707" s="116">
        <v>149.9</v>
      </c>
      <c r="C707" s="116">
        <v>148.845</v>
      </c>
      <c r="D707" s="116">
        <v>146.01</v>
      </c>
      <c r="E707" s="116">
        <v>147.005</v>
      </c>
      <c r="F707" s="116">
        <v>1488.45</v>
      </c>
      <c r="G707">
        <v>21040</v>
      </c>
      <c r="H707" s="116"/>
      <c r="I707" s="116"/>
      <c r="L707" s="170">
        <v>45141</v>
      </c>
      <c r="M707" s="116">
        <v>148.785</v>
      </c>
      <c r="N707" s="116">
        <v>149.89500000000001</v>
      </c>
      <c r="O707" s="116">
        <v>146.19999999999999</v>
      </c>
      <c r="P707" s="116">
        <v>147.69499999999999</v>
      </c>
      <c r="Q707" s="116">
        <v>1487.85</v>
      </c>
      <c r="R707">
        <v>219265</v>
      </c>
    </row>
    <row r="708" spans="1:18" x14ac:dyDescent="0.25">
      <c r="A708" s="170">
        <v>45142</v>
      </c>
      <c r="B708" s="116">
        <v>151.79499999999999</v>
      </c>
      <c r="C708" s="116">
        <v>150.35</v>
      </c>
      <c r="D708" s="116">
        <v>149.625</v>
      </c>
      <c r="E708" s="116">
        <v>150.4</v>
      </c>
      <c r="F708" s="116">
        <v>1503.5</v>
      </c>
      <c r="G708">
        <v>15607</v>
      </c>
      <c r="H708" s="116"/>
      <c r="I708" s="116"/>
      <c r="L708" s="170">
        <v>45142</v>
      </c>
      <c r="M708" s="116">
        <v>150.39500000000001</v>
      </c>
      <c r="N708" s="116">
        <v>151.79499999999999</v>
      </c>
      <c r="O708" s="116">
        <v>149.57</v>
      </c>
      <c r="P708" s="116">
        <v>150.38999999999999</v>
      </c>
      <c r="Q708" s="116">
        <v>1503.95</v>
      </c>
      <c r="R708">
        <v>203558</v>
      </c>
    </row>
    <row r="709" spans="1:18" x14ac:dyDescent="0.25">
      <c r="A709" s="170">
        <v>45145</v>
      </c>
      <c r="B709" s="116">
        <v>153.79499999999999</v>
      </c>
      <c r="C709" s="116">
        <v>151.47</v>
      </c>
      <c r="D709" s="116">
        <v>150.15</v>
      </c>
      <c r="E709" s="116">
        <v>153.79499999999999</v>
      </c>
      <c r="F709" s="116">
        <v>1514.7</v>
      </c>
      <c r="G709">
        <v>7579</v>
      </c>
      <c r="H709" s="116"/>
      <c r="I709" s="116"/>
      <c r="L709" s="170">
        <v>45145</v>
      </c>
      <c r="M709" s="116">
        <v>151.39500000000001</v>
      </c>
      <c r="N709" s="116">
        <v>153.79499999999999</v>
      </c>
      <c r="O709" s="116">
        <v>150.10499999999999</v>
      </c>
      <c r="P709" s="116">
        <v>153.19999999999999</v>
      </c>
      <c r="Q709" s="116">
        <v>1513.95</v>
      </c>
      <c r="R709">
        <v>260587</v>
      </c>
    </row>
    <row r="710" spans="1:18" x14ac:dyDescent="0.25">
      <c r="A710" s="170">
        <v>45146</v>
      </c>
      <c r="B710" s="116">
        <v>172.9</v>
      </c>
      <c r="C710" s="116">
        <v>170.1</v>
      </c>
      <c r="D710" s="116">
        <v>152.5</v>
      </c>
      <c r="E710" s="116">
        <v>152.5</v>
      </c>
      <c r="F710" s="116">
        <v>1701</v>
      </c>
      <c r="G710">
        <v>216172</v>
      </c>
      <c r="H710" s="116"/>
      <c r="I710" s="116"/>
      <c r="L710" s="170">
        <v>45146</v>
      </c>
      <c r="M710" s="116">
        <v>170.1</v>
      </c>
      <c r="N710" s="116">
        <v>173</v>
      </c>
      <c r="O710" s="116">
        <v>152.5</v>
      </c>
      <c r="P710" s="116">
        <v>152.845</v>
      </c>
      <c r="Q710" s="116">
        <v>1701</v>
      </c>
      <c r="R710">
        <v>2312527</v>
      </c>
    </row>
    <row r="711" spans="1:18" x14ac:dyDescent="0.25">
      <c r="A711" s="170">
        <v>45147</v>
      </c>
      <c r="B711" s="116">
        <v>177.42500000000001</v>
      </c>
      <c r="C711" s="116">
        <v>173.37</v>
      </c>
      <c r="D711" s="116">
        <v>166.36</v>
      </c>
      <c r="E711" s="116">
        <v>171.005</v>
      </c>
      <c r="F711" s="116">
        <v>1733.7</v>
      </c>
      <c r="G711">
        <v>107567</v>
      </c>
      <c r="H711" s="116"/>
      <c r="I711" s="116"/>
      <c r="L711" s="170">
        <v>45147</v>
      </c>
      <c r="M711" s="116">
        <v>173.41499999999999</v>
      </c>
      <c r="N711" s="116">
        <v>177.495</v>
      </c>
      <c r="O711" s="116">
        <v>166.46</v>
      </c>
      <c r="P711" s="116">
        <v>172</v>
      </c>
      <c r="Q711" s="116">
        <v>1734.15</v>
      </c>
      <c r="R711">
        <v>1323986</v>
      </c>
    </row>
    <row r="712" spans="1:18" x14ac:dyDescent="0.25">
      <c r="A712" s="170">
        <v>45148</v>
      </c>
      <c r="B712" s="116">
        <v>175.66499999999999</v>
      </c>
      <c r="C712" s="116">
        <v>173.54499999999999</v>
      </c>
      <c r="D712" s="116">
        <v>170.17500000000001</v>
      </c>
      <c r="E712" s="116">
        <v>173.19499999999999</v>
      </c>
      <c r="F712" s="116">
        <v>1735.45</v>
      </c>
      <c r="G712">
        <v>20860</v>
      </c>
      <c r="H712" s="116"/>
      <c r="I712" s="116"/>
      <c r="L712" s="170">
        <v>45148</v>
      </c>
      <c r="M712" s="116">
        <v>173.75</v>
      </c>
      <c r="N712" s="116">
        <v>175.84</v>
      </c>
      <c r="O712" s="116">
        <v>170.17500000000001</v>
      </c>
      <c r="P712" s="116">
        <v>172.1</v>
      </c>
      <c r="Q712" s="116">
        <v>1737.5</v>
      </c>
      <c r="R712">
        <v>549413</v>
      </c>
    </row>
    <row r="713" spans="1:18" x14ac:dyDescent="0.25">
      <c r="A713" s="170">
        <v>45149</v>
      </c>
      <c r="B713" s="116">
        <v>174.02500000000001</v>
      </c>
      <c r="C713" s="116">
        <v>171.97499999999999</v>
      </c>
      <c r="D713" s="116">
        <v>170.67</v>
      </c>
      <c r="E713" s="116">
        <v>173.785</v>
      </c>
      <c r="F713" s="116">
        <v>1719.75</v>
      </c>
      <c r="G713">
        <v>5445</v>
      </c>
      <c r="H713" s="116"/>
      <c r="I713" s="116"/>
      <c r="L713" s="170">
        <v>45149</v>
      </c>
      <c r="M713" s="116">
        <v>171.96</v>
      </c>
      <c r="N713" s="116">
        <v>174.65</v>
      </c>
      <c r="O713" s="116">
        <v>170.6</v>
      </c>
      <c r="P713" s="116">
        <v>174.095</v>
      </c>
      <c r="Q713" s="116">
        <v>1719.6</v>
      </c>
      <c r="R713">
        <v>274139</v>
      </c>
    </row>
    <row r="714" spans="1:18" x14ac:dyDescent="0.25">
      <c r="A714" s="170">
        <v>45152</v>
      </c>
      <c r="B714" s="116">
        <v>179.995</v>
      </c>
      <c r="C714" s="116">
        <v>177.47499999999999</v>
      </c>
      <c r="D714" s="116">
        <v>171.005</v>
      </c>
      <c r="E714" s="116">
        <v>171.005</v>
      </c>
      <c r="F714" s="116">
        <v>1774.75</v>
      </c>
      <c r="G714">
        <v>81480</v>
      </c>
      <c r="H714" s="116"/>
      <c r="I714" s="116"/>
      <c r="L714" s="170">
        <v>45152</v>
      </c>
      <c r="M714" s="116">
        <v>177.54499999999999</v>
      </c>
      <c r="N714" s="116">
        <v>180.095</v>
      </c>
      <c r="O714" s="116">
        <v>171.24</v>
      </c>
      <c r="P714" s="116">
        <v>171.7</v>
      </c>
      <c r="Q714" s="116">
        <v>1775.45</v>
      </c>
      <c r="R714">
        <v>1044893</v>
      </c>
    </row>
    <row r="715" spans="1:18" x14ac:dyDescent="0.25">
      <c r="A715" s="170">
        <v>45154</v>
      </c>
      <c r="B715" s="116">
        <v>180.55500000000001</v>
      </c>
      <c r="C715" s="116">
        <v>177.07499999999999</v>
      </c>
      <c r="D715" s="116">
        <v>175.2</v>
      </c>
      <c r="E715" s="116">
        <v>177.5</v>
      </c>
      <c r="F715" s="116">
        <v>1770.75</v>
      </c>
      <c r="G715">
        <v>34151</v>
      </c>
      <c r="H715" s="116"/>
      <c r="I715" s="116"/>
      <c r="L715" s="170">
        <v>45154</v>
      </c>
      <c r="M715" s="116">
        <v>177.345</v>
      </c>
      <c r="N715" s="116">
        <v>181</v>
      </c>
      <c r="O715" s="116">
        <v>175</v>
      </c>
      <c r="P715" s="116">
        <v>177.99</v>
      </c>
      <c r="Q715" s="116">
        <v>1773.45</v>
      </c>
      <c r="R715">
        <v>797919</v>
      </c>
    </row>
    <row r="716" spans="1:18" x14ac:dyDescent="0.25">
      <c r="A716" s="170">
        <v>45155</v>
      </c>
      <c r="B716" s="116">
        <v>180</v>
      </c>
      <c r="C716" s="116">
        <v>177.85499999999999</v>
      </c>
      <c r="D716" s="116">
        <v>176.10499999999999</v>
      </c>
      <c r="E716" s="116">
        <v>176.10499999999999</v>
      </c>
      <c r="F716" s="116">
        <v>1778.55</v>
      </c>
      <c r="G716">
        <v>10838</v>
      </c>
      <c r="H716" s="116"/>
      <c r="I716" s="116"/>
      <c r="L716" s="170">
        <v>45155</v>
      </c>
      <c r="M716" s="116">
        <v>177.98</v>
      </c>
      <c r="N716" s="116">
        <v>180.19499999999999</v>
      </c>
      <c r="O716" s="116">
        <v>176.27</v>
      </c>
      <c r="P716" s="116">
        <v>176.98</v>
      </c>
      <c r="Q716" s="116">
        <v>1779.8</v>
      </c>
      <c r="R716">
        <v>306085</v>
      </c>
    </row>
    <row r="717" spans="1:18" x14ac:dyDescent="0.25">
      <c r="A717" s="170">
        <v>45156</v>
      </c>
      <c r="B717" s="116">
        <v>179.94</v>
      </c>
      <c r="C717" s="116">
        <v>176.285</v>
      </c>
      <c r="D717" s="116">
        <v>174.11500000000001</v>
      </c>
      <c r="E717" s="116">
        <v>179.94</v>
      </c>
      <c r="F717" s="116">
        <v>1762.85</v>
      </c>
      <c r="G717">
        <v>14472</v>
      </c>
      <c r="H717" s="116"/>
      <c r="I717" s="116"/>
      <c r="L717" s="170">
        <v>45156</v>
      </c>
      <c r="M717" s="116">
        <v>176.125</v>
      </c>
      <c r="N717" s="116">
        <v>177.83500000000001</v>
      </c>
      <c r="O717" s="116">
        <v>174.125</v>
      </c>
      <c r="P717" s="116">
        <v>177.70500000000001</v>
      </c>
      <c r="Q717" s="116">
        <v>1761.25</v>
      </c>
      <c r="R717">
        <v>262735</v>
      </c>
    </row>
    <row r="718" spans="1:18" x14ac:dyDescent="0.25">
      <c r="A718" s="170">
        <v>45159</v>
      </c>
      <c r="B718" s="116">
        <v>177.3</v>
      </c>
      <c r="C718" s="116">
        <v>176.14</v>
      </c>
      <c r="D718" s="116">
        <v>174.64</v>
      </c>
      <c r="E718" s="116">
        <v>175.10499999999999</v>
      </c>
      <c r="F718" s="116">
        <v>1761.4</v>
      </c>
      <c r="G718">
        <v>18400</v>
      </c>
      <c r="H718" s="116"/>
      <c r="I718" s="116"/>
      <c r="L718" s="170">
        <v>45159</v>
      </c>
      <c r="M718" s="116">
        <v>176.18</v>
      </c>
      <c r="N718" s="116">
        <v>177.32499999999999</v>
      </c>
      <c r="O718" s="116">
        <v>174.55500000000001</v>
      </c>
      <c r="P718" s="116">
        <v>176.14500000000001</v>
      </c>
      <c r="Q718" s="116">
        <v>1761.8</v>
      </c>
      <c r="R718">
        <v>159168</v>
      </c>
    </row>
    <row r="719" spans="1:18" x14ac:dyDescent="0.25">
      <c r="A719" s="170">
        <v>45160</v>
      </c>
      <c r="B719" s="116">
        <v>180.5</v>
      </c>
      <c r="C719" s="116">
        <v>176.19</v>
      </c>
      <c r="D719" s="116">
        <v>174.755</v>
      </c>
      <c r="E719" s="116">
        <v>174.755</v>
      </c>
      <c r="F719" s="116">
        <v>1761.9</v>
      </c>
      <c r="G719">
        <v>14350</v>
      </c>
      <c r="H719" s="116"/>
      <c r="I719" s="116"/>
      <c r="L719" s="170">
        <v>45160</v>
      </c>
      <c r="M719" s="116">
        <v>176.17</v>
      </c>
      <c r="N719" s="116">
        <v>180.32499999999999</v>
      </c>
      <c r="O719" s="116">
        <v>175.52</v>
      </c>
      <c r="P719" s="116">
        <v>176.87</v>
      </c>
      <c r="Q719" s="116">
        <v>1761.7</v>
      </c>
      <c r="R719">
        <v>370739</v>
      </c>
    </row>
    <row r="720" spans="1:18" x14ac:dyDescent="0.25">
      <c r="A720" s="170">
        <v>45161</v>
      </c>
      <c r="B720" s="116">
        <v>176.29499999999999</v>
      </c>
      <c r="C720" s="116">
        <v>175.30500000000001</v>
      </c>
      <c r="D720" s="116">
        <v>172.58</v>
      </c>
      <c r="E720" s="116">
        <v>175.39500000000001</v>
      </c>
      <c r="F720" s="116">
        <v>1753.05</v>
      </c>
      <c r="G720">
        <v>32099</v>
      </c>
      <c r="H720" s="116"/>
      <c r="I720" s="116"/>
      <c r="L720" s="170">
        <v>45161</v>
      </c>
      <c r="M720" s="116">
        <v>175.32</v>
      </c>
      <c r="N720" s="116">
        <v>176.1</v>
      </c>
      <c r="O720" s="116">
        <v>172.6</v>
      </c>
      <c r="P720" s="116">
        <v>175</v>
      </c>
      <c r="Q720" s="116">
        <v>1753.2</v>
      </c>
      <c r="R720">
        <v>310910</v>
      </c>
    </row>
    <row r="721" spans="1:18" x14ac:dyDescent="0.25">
      <c r="A721" s="170">
        <v>45162</v>
      </c>
      <c r="B721" s="116">
        <v>176.26</v>
      </c>
      <c r="C721" s="116">
        <v>171.02</v>
      </c>
      <c r="D721" s="116">
        <v>170.5</v>
      </c>
      <c r="E721" s="116">
        <v>175.405</v>
      </c>
      <c r="F721" s="116">
        <v>1710.2</v>
      </c>
      <c r="G721">
        <v>15225</v>
      </c>
      <c r="H721" s="116"/>
      <c r="I721" s="116"/>
      <c r="L721" s="170">
        <v>45162</v>
      </c>
      <c r="M721" s="116">
        <v>171.12</v>
      </c>
      <c r="N721" s="116">
        <v>177.94499999999999</v>
      </c>
      <c r="O721" s="116">
        <v>170.10499999999999</v>
      </c>
      <c r="P721" s="116">
        <v>176.5</v>
      </c>
      <c r="Q721" s="116">
        <v>1711.2</v>
      </c>
      <c r="R721">
        <v>318722</v>
      </c>
    </row>
    <row r="722" spans="1:18" x14ac:dyDescent="0.25">
      <c r="A722" s="170">
        <v>45163</v>
      </c>
      <c r="B722" s="116">
        <v>172.79</v>
      </c>
      <c r="C722" s="116">
        <v>171.42</v>
      </c>
      <c r="D722" s="116">
        <v>167.2</v>
      </c>
      <c r="E722" s="116">
        <v>170.505</v>
      </c>
      <c r="F722" s="116">
        <v>1714.2</v>
      </c>
      <c r="G722">
        <v>7250</v>
      </c>
      <c r="H722" s="116"/>
      <c r="I722" s="116"/>
      <c r="L722" s="170">
        <v>45163</v>
      </c>
      <c r="M722" s="116">
        <v>171.46</v>
      </c>
      <c r="N722" s="116">
        <v>172.8</v>
      </c>
      <c r="O722" s="116">
        <v>167.10499999999999</v>
      </c>
      <c r="P722" s="116">
        <v>171.9</v>
      </c>
      <c r="Q722" s="116">
        <v>1714.6</v>
      </c>
      <c r="R722">
        <v>218488</v>
      </c>
    </row>
    <row r="723" spans="1:18" x14ac:dyDescent="0.25">
      <c r="A723" s="170">
        <v>45166</v>
      </c>
      <c r="B723" s="116">
        <v>180</v>
      </c>
      <c r="C723" s="116">
        <v>179.10499999999999</v>
      </c>
      <c r="D723" s="116">
        <v>170.53</v>
      </c>
      <c r="E723" s="116">
        <v>170.53</v>
      </c>
      <c r="F723" s="116">
        <v>1791.05</v>
      </c>
      <c r="G723">
        <v>22606</v>
      </c>
      <c r="H723" s="116"/>
      <c r="I723" s="116"/>
      <c r="L723" s="170">
        <v>45166</v>
      </c>
      <c r="M723" s="116">
        <v>179.42</v>
      </c>
      <c r="N723" s="116">
        <v>180</v>
      </c>
      <c r="O723" s="116">
        <v>170.005</v>
      </c>
      <c r="P723" s="116">
        <v>170.005</v>
      </c>
      <c r="Q723" s="116">
        <v>1794.2</v>
      </c>
      <c r="R723">
        <v>526410</v>
      </c>
    </row>
    <row r="724" spans="1:18" x14ac:dyDescent="0.25">
      <c r="A724" s="170">
        <v>45167</v>
      </c>
      <c r="B724" s="116">
        <v>180.17500000000001</v>
      </c>
      <c r="C724" s="116">
        <v>177.3</v>
      </c>
      <c r="D724" s="116">
        <v>175.7</v>
      </c>
      <c r="E724" s="116">
        <v>179.20500000000001</v>
      </c>
      <c r="F724" s="116">
        <v>1773</v>
      </c>
      <c r="G724">
        <v>14952</v>
      </c>
      <c r="H724" s="116"/>
      <c r="I724" s="116"/>
      <c r="L724" s="170">
        <v>45167</v>
      </c>
      <c r="M724" s="116">
        <v>177.53</v>
      </c>
      <c r="N724" s="116">
        <v>180.79</v>
      </c>
      <c r="O724" s="116">
        <v>175.7</v>
      </c>
      <c r="P724" s="116">
        <v>180.6</v>
      </c>
      <c r="Q724" s="116">
        <v>1775.3</v>
      </c>
      <c r="R724">
        <v>343822</v>
      </c>
    </row>
    <row r="725" spans="1:18" x14ac:dyDescent="0.25">
      <c r="A725" s="170">
        <v>45168</v>
      </c>
      <c r="B725" s="116">
        <v>180.29</v>
      </c>
      <c r="C725" s="116">
        <v>179.26499999999999</v>
      </c>
      <c r="D725" s="116">
        <v>177.94499999999999</v>
      </c>
      <c r="E725" s="116">
        <v>179.995</v>
      </c>
      <c r="F725" s="116">
        <v>1792.65</v>
      </c>
      <c r="G725">
        <v>10217</v>
      </c>
      <c r="H725" s="116"/>
      <c r="I725" s="116"/>
      <c r="L725" s="170">
        <v>45168</v>
      </c>
      <c r="M725" s="116">
        <v>179.21</v>
      </c>
      <c r="N725" s="116">
        <v>180.29499999999999</v>
      </c>
      <c r="O725" s="116">
        <v>177.625</v>
      </c>
      <c r="P725" s="116">
        <v>179.48</v>
      </c>
      <c r="Q725" s="116">
        <v>1792.1</v>
      </c>
      <c r="R725">
        <v>352728</v>
      </c>
    </row>
    <row r="726" spans="1:18" x14ac:dyDescent="0.25">
      <c r="A726" s="170">
        <v>45169</v>
      </c>
      <c r="B726" s="116">
        <v>187.7</v>
      </c>
      <c r="C726" s="116">
        <v>186.79499999999999</v>
      </c>
      <c r="D726" s="116">
        <v>179.405</v>
      </c>
      <c r="E726" s="116">
        <v>180.5</v>
      </c>
      <c r="F726" s="116">
        <v>1867.95</v>
      </c>
      <c r="G726">
        <v>367734</v>
      </c>
      <c r="H726" s="116"/>
      <c r="I726" s="116"/>
      <c r="L726" s="170">
        <v>45169</v>
      </c>
      <c r="M726" s="116">
        <v>186.98500000000001</v>
      </c>
      <c r="N726" s="116">
        <v>188.1</v>
      </c>
      <c r="O726" s="116">
        <v>179.58500000000001</v>
      </c>
      <c r="P726" s="116">
        <v>180.5</v>
      </c>
      <c r="Q726" s="116">
        <v>1869.85</v>
      </c>
      <c r="R726">
        <v>1637392</v>
      </c>
    </row>
    <row r="727" spans="1:18" x14ac:dyDescent="0.25">
      <c r="A727" s="170">
        <v>45170</v>
      </c>
      <c r="B727" s="116">
        <v>193.69</v>
      </c>
      <c r="C727" s="116">
        <v>191.67500000000001</v>
      </c>
      <c r="D727" s="116">
        <v>188.68</v>
      </c>
      <c r="E727" s="116">
        <v>189.69499999999999</v>
      </c>
      <c r="F727" s="116">
        <v>1916.75</v>
      </c>
      <c r="G727">
        <v>372591</v>
      </c>
      <c r="H727" s="116"/>
      <c r="I727" s="116"/>
      <c r="L727" s="170">
        <v>45170</v>
      </c>
      <c r="M727" s="116">
        <v>191.52500000000001</v>
      </c>
      <c r="N727" s="116">
        <v>193.72499999999999</v>
      </c>
      <c r="O727" s="116">
        <v>188.63</v>
      </c>
      <c r="P727" s="116">
        <v>189.5</v>
      </c>
      <c r="Q727" s="116">
        <v>1915.25</v>
      </c>
      <c r="R727">
        <v>1075423</v>
      </c>
    </row>
    <row r="728" spans="1:18" x14ac:dyDescent="0.25">
      <c r="A728" s="170">
        <v>45173</v>
      </c>
      <c r="B728" s="116">
        <v>193.2</v>
      </c>
      <c r="C728" s="116">
        <v>191.92500000000001</v>
      </c>
      <c r="D728" s="116">
        <v>187.845</v>
      </c>
      <c r="E728" s="116">
        <v>193.005</v>
      </c>
      <c r="F728" s="116">
        <v>1919.25</v>
      </c>
      <c r="G728">
        <v>53861</v>
      </c>
      <c r="H728" s="116"/>
      <c r="I728" s="116"/>
      <c r="L728" s="170">
        <v>45173</v>
      </c>
      <c r="M728" s="116">
        <v>192.2</v>
      </c>
      <c r="N728" s="116">
        <v>193.3</v>
      </c>
      <c r="O728" s="116">
        <v>188.08</v>
      </c>
      <c r="P728" s="116">
        <v>193.3</v>
      </c>
      <c r="Q728" s="116">
        <v>1922</v>
      </c>
      <c r="R728">
        <v>454708</v>
      </c>
    </row>
    <row r="729" spans="1:18" x14ac:dyDescent="0.25">
      <c r="A729" s="170">
        <v>45174</v>
      </c>
      <c r="B729" s="116">
        <v>192.5</v>
      </c>
      <c r="C729" s="116">
        <v>184.58500000000001</v>
      </c>
      <c r="D729" s="116">
        <v>183.8</v>
      </c>
      <c r="E729" s="116">
        <v>192.5</v>
      </c>
      <c r="F729" s="116">
        <v>1845.85</v>
      </c>
      <c r="G729">
        <v>32167</v>
      </c>
      <c r="H729" s="116"/>
      <c r="I729" s="116"/>
      <c r="L729" s="170">
        <v>45174</v>
      </c>
      <c r="M729" s="116">
        <v>184.995</v>
      </c>
      <c r="N729" s="116">
        <v>192.5</v>
      </c>
      <c r="O729" s="116">
        <v>183.5</v>
      </c>
      <c r="P729" s="116">
        <v>192.5</v>
      </c>
      <c r="Q729" s="116">
        <v>1849.95</v>
      </c>
      <c r="R729">
        <v>731407</v>
      </c>
    </row>
    <row r="730" spans="1:18" x14ac:dyDescent="0.25">
      <c r="A730" s="170">
        <v>45175</v>
      </c>
      <c r="B730" s="116">
        <v>188.48500000000001</v>
      </c>
      <c r="C730" s="116">
        <v>182.46</v>
      </c>
      <c r="D730" s="116">
        <v>181.53</v>
      </c>
      <c r="E730" s="116">
        <v>185.38</v>
      </c>
      <c r="F730" s="116">
        <v>1824.6</v>
      </c>
      <c r="G730">
        <v>13974</v>
      </c>
      <c r="H730" s="116"/>
      <c r="I730" s="116"/>
      <c r="L730" s="170">
        <v>45175</v>
      </c>
      <c r="M730" s="116">
        <v>182.62</v>
      </c>
      <c r="N730" s="116">
        <v>188.215</v>
      </c>
      <c r="O730" s="116">
        <v>181.5</v>
      </c>
      <c r="P730" s="116">
        <v>186.5</v>
      </c>
      <c r="Q730" s="116">
        <v>1826.2</v>
      </c>
      <c r="R730">
        <v>327461</v>
      </c>
    </row>
    <row r="731" spans="1:18" x14ac:dyDescent="0.25">
      <c r="A731" s="170">
        <v>45176</v>
      </c>
      <c r="B731" s="116">
        <v>186.85</v>
      </c>
      <c r="C731" s="116">
        <v>182.935</v>
      </c>
      <c r="D731" s="116">
        <v>181.69499999999999</v>
      </c>
      <c r="E731" s="116">
        <v>186.85</v>
      </c>
      <c r="F731" s="116">
        <v>1829.35</v>
      </c>
      <c r="G731">
        <v>13897</v>
      </c>
      <c r="H731" s="116"/>
      <c r="I731" s="116"/>
      <c r="L731" s="170">
        <v>45176</v>
      </c>
      <c r="M731" s="116">
        <v>183.11</v>
      </c>
      <c r="N731" s="116">
        <v>185.8</v>
      </c>
      <c r="O731" s="116">
        <v>181.55500000000001</v>
      </c>
      <c r="P731" s="116">
        <v>183.5</v>
      </c>
      <c r="Q731" s="116">
        <v>1831.1</v>
      </c>
      <c r="R731">
        <v>316260</v>
      </c>
    </row>
    <row r="732" spans="1:18" x14ac:dyDescent="0.25">
      <c r="A732" s="170">
        <v>45177</v>
      </c>
      <c r="B732" s="116">
        <v>188.73</v>
      </c>
      <c r="C732" s="116">
        <v>187.69499999999999</v>
      </c>
      <c r="D732" s="116">
        <v>183.5</v>
      </c>
      <c r="E732" s="116">
        <v>183.875</v>
      </c>
      <c r="F732" s="116">
        <v>1876.95</v>
      </c>
      <c r="G732">
        <v>7291</v>
      </c>
      <c r="H732" s="116"/>
      <c r="I732" s="116"/>
      <c r="L732" s="170">
        <v>45177</v>
      </c>
      <c r="M732" s="116">
        <v>187.68</v>
      </c>
      <c r="N732" s="116">
        <v>188.88</v>
      </c>
      <c r="O732" s="116">
        <v>183.2</v>
      </c>
      <c r="P732" s="116">
        <v>183.2</v>
      </c>
      <c r="Q732" s="116">
        <v>1876.8</v>
      </c>
      <c r="R732">
        <v>385985</v>
      </c>
    </row>
    <row r="733" spans="1:18" x14ac:dyDescent="0.25">
      <c r="A733" s="170">
        <v>45180</v>
      </c>
      <c r="B733" s="116">
        <v>192</v>
      </c>
      <c r="C733" s="116">
        <v>187.91499999999999</v>
      </c>
      <c r="D733" s="116">
        <v>186.1</v>
      </c>
      <c r="E733" s="116">
        <v>186.1</v>
      </c>
      <c r="F733" s="116">
        <v>1879.15</v>
      </c>
      <c r="G733">
        <v>42125</v>
      </c>
      <c r="H733" s="116"/>
      <c r="I733" s="116"/>
      <c r="L733" s="170">
        <v>45180</v>
      </c>
      <c r="M733" s="116">
        <v>188.04</v>
      </c>
      <c r="N733" s="116">
        <v>192.19499999999999</v>
      </c>
      <c r="O733" s="116">
        <v>186.15</v>
      </c>
      <c r="P733" s="116">
        <v>187.97</v>
      </c>
      <c r="Q733" s="116">
        <v>1880.4</v>
      </c>
      <c r="R733">
        <v>403075</v>
      </c>
    </row>
    <row r="734" spans="1:18" x14ac:dyDescent="0.25">
      <c r="A734" s="170">
        <v>45181</v>
      </c>
      <c r="B734" s="116">
        <v>188.66</v>
      </c>
      <c r="C734" s="116">
        <v>177.17500000000001</v>
      </c>
      <c r="D734" s="116">
        <v>165.10499999999999</v>
      </c>
      <c r="E734" s="116">
        <v>165.10499999999999</v>
      </c>
      <c r="F734" s="116">
        <v>1771.75</v>
      </c>
      <c r="G734">
        <v>26568</v>
      </c>
      <c r="H734" s="116"/>
      <c r="I734" s="116"/>
      <c r="L734" s="170">
        <v>45181</v>
      </c>
      <c r="M734" s="116">
        <v>177.06</v>
      </c>
      <c r="N734" s="116">
        <v>188.47</v>
      </c>
      <c r="O734" s="116">
        <v>176.20500000000001</v>
      </c>
      <c r="P734" s="116">
        <v>188.465</v>
      </c>
      <c r="Q734" s="116">
        <v>1770.6</v>
      </c>
      <c r="R734">
        <v>488490</v>
      </c>
    </row>
    <row r="735" spans="1:18" x14ac:dyDescent="0.25">
      <c r="A735" s="170">
        <v>45182</v>
      </c>
      <c r="B735" s="116">
        <v>179.51499999999999</v>
      </c>
      <c r="C735" s="116">
        <v>175.62</v>
      </c>
      <c r="D735" s="116">
        <v>170.5</v>
      </c>
      <c r="E735" s="116">
        <v>177</v>
      </c>
      <c r="F735" s="116">
        <v>1756.2</v>
      </c>
      <c r="G735">
        <v>46966</v>
      </c>
      <c r="H735" s="116"/>
      <c r="I735" s="116"/>
      <c r="L735" s="170">
        <v>45182</v>
      </c>
      <c r="M735" s="116">
        <v>175.62</v>
      </c>
      <c r="N735" s="116">
        <v>179.755</v>
      </c>
      <c r="O735" s="116">
        <v>170.5</v>
      </c>
      <c r="P735" s="116">
        <v>177.2</v>
      </c>
      <c r="Q735" s="116">
        <v>1756.2</v>
      </c>
      <c r="R735">
        <v>584196</v>
      </c>
    </row>
    <row r="736" spans="1:18" x14ac:dyDescent="0.25">
      <c r="A736" s="170">
        <v>45183</v>
      </c>
      <c r="B736" s="116">
        <v>179.5</v>
      </c>
      <c r="C736" s="116">
        <v>178.76</v>
      </c>
      <c r="D736" s="116">
        <v>173.98500000000001</v>
      </c>
      <c r="E736" s="116">
        <v>176.005</v>
      </c>
      <c r="F736" s="116">
        <v>1787.6</v>
      </c>
      <c r="G736">
        <v>19673</v>
      </c>
      <c r="H736" s="116"/>
      <c r="I736" s="116"/>
      <c r="L736" s="170">
        <v>45183</v>
      </c>
      <c r="M736" s="116">
        <v>178.80500000000001</v>
      </c>
      <c r="N736" s="116">
        <v>179.37</v>
      </c>
      <c r="O736" s="116">
        <v>174.005</v>
      </c>
      <c r="P736" s="116">
        <v>176.3</v>
      </c>
      <c r="Q736" s="116">
        <v>1788.05</v>
      </c>
      <c r="R736">
        <v>283257</v>
      </c>
    </row>
    <row r="737" spans="1:18" x14ac:dyDescent="0.25">
      <c r="A737" s="170">
        <v>45184</v>
      </c>
      <c r="B737" s="116">
        <v>190.14</v>
      </c>
      <c r="C737" s="116">
        <v>189.36500000000001</v>
      </c>
      <c r="D737" s="116">
        <v>180.53</v>
      </c>
      <c r="E737" s="116">
        <v>181.20500000000001</v>
      </c>
      <c r="F737" s="116">
        <v>1893.65</v>
      </c>
      <c r="G737">
        <v>22922</v>
      </c>
      <c r="H737" s="116"/>
      <c r="I737" s="116"/>
      <c r="L737" s="170">
        <v>45184</v>
      </c>
      <c r="M737" s="116">
        <v>189.35499999999999</v>
      </c>
      <c r="N737" s="116">
        <v>190.245</v>
      </c>
      <c r="O737" s="116">
        <v>180.3</v>
      </c>
      <c r="P737" s="116">
        <v>180.87</v>
      </c>
      <c r="Q737" s="116">
        <v>1893.55</v>
      </c>
      <c r="R737">
        <v>820331</v>
      </c>
    </row>
    <row r="738" spans="1:18" x14ac:dyDescent="0.25">
      <c r="A738" s="170">
        <v>45187</v>
      </c>
      <c r="B738" s="116">
        <v>190.345</v>
      </c>
      <c r="C738" s="116">
        <v>189.7</v>
      </c>
      <c r="D738" s="116">
        <v>187.6</v>
      </c>
      <c r="E738" s="116">
        <v>189.405</v>
      </c>
      <c r="F738" s="116">
        <v>1897</v>
      </c>
      <c r="G738">
        <v>22889</v>
      </c>
      <c r="H738" s="116"/>
      <c r="I738" s="116"/>
      <c r="L738" s="170">
        <v>45187</v>
      </c>
      <c r="M738" s="116">
        <v>189.785</v>
      </c>
      <c r="N738" s="116">
        <v>190.625</v>
      </c>
      <c r="O738" s="116">
        <v>187.505</v>
      </c>
      <c r="P738" s="116">
        <v>190.5</v>
      </c>
      <c r="Q738" s="116">
        <v>1897.85</v>
      </c>
      <c r="R738">
        <v>314208</v>
      </c>
    </row>
    <row r="739" spans="1:18" x14ac:dyDescent="0.25">
      <c r="A739" s="170">
        <v>45189</v>
      </c>
      <c r="B739" s="116">
        <v>189.73</v>
      </c>
      <c r="C739" s="116">
        <v>183.49</v>
      </c>
      <c r="D739" s="116">
        <v>182.66499999999999</v>
      </c>
      <c r="E739" s="116">
        <v>187.13</v>
      </c>
      <c r="F739" s="116">
        <v>1834.9</v>
      </c>
      <c r="G739">
        <v>12241</v>
      </c>
      <c r="H739" s="116"/>
      <c r="I739" s="116"/>
      <c r="L739" s="170">
        <v>45189</v>
      </c>
      <c r="M739" s="116">
        <v>183.715</v>
      </c>
      <c r="N739" s="116">
        <v>189.785</v>
      </c>
      <c r="O739" s="116">
        <v>182.7</v>
      </c>
      <c r="P739" s="116">
        <v>189.2</v>
      </c>
      <c r="Q739" s="116">
        <v>1837.15</v>
      </c>
      <c r="R739">
        <v>287664</v>
      </c>
    </row>
    <row r="740" spans="1:18" x14ac:dyDescent="0.25">
      <c r="A740" s="170">
        <v>45190</v>
      </c>
      <c r="B740" s="116">
        <v>188.2</v>
      </c>
      <c r="C740" s="116">
        <v>186.58</v>
      </c>
      <c r="D740" s="116">
        <v>180.58</v>
      </c>
      <c r="E740" s="116">
        <v>184.49</v>
      </c>
      <c r="F740" s="116">
        <v>1865.8</v>
      </c>
      <c r="G740">
        <v>11989</v>
      </c>
      <c r="H740" s="116"/>
      <c r="I740" s="116"/>
      <c r="L740" s="170">
        <v>45190</v>
      </c>
      <c r="M740" s="116">
        <v>186.57</v>
      </c>
      <c r="N740" s="116">
        <v>188.23500000000001</v>
      </c>
      <c r="O740" s="116">
        <v>180.495</v>
      </c>
      <c r="P740" s="116">
        <v>183.30500000000001</v>
      </c>
      <c r="Q740" s="116">
        <v>1865.7</v>
      </c>
      <c r="R740">
        <v>315575</v>
      </c>
    </row>
    <row r="741" spans="1:18" x14ac:dyDescent="0.25">
      <c r="A741" s="170">
        <v>45191</v>
      </c>
      <c r="B741" s="116">
        <v>188</v>
      </c>
      <c r="C741" s="116">
        <v>184.16499999999999</v>
      </c>
      <c r="D741" s="116">
        <v>181.98500000000001</v>
      </c>
      <c r="E741" s="116">
        <v>185.755</v>
      </c>
      <c r="F741" s="116">
        <v>1841.65</v>
      </c>
      <c r="G741">
        <v>19494</v>
      </c>
      <c r="H741" s="116"/>
      <c r="I741" s="116"/>
      <c r="L741" s="170">
        <v>45191</v>
      </c>
      <c r="M741" s="116">
        <v>184.24</v>
      </c>
      <c r="N741" s="116">
        <v>187.95</v>
      </c>
      <c r="O741" s="116">
        <v>181.9</v>
      </c>
      <c r="P741" s="116">
        <v>186.4</v>
      </c>
      <c r="Q741" s="116">
        <v>1842.4</v>
      </c>
      <c r="R741">
        <v>265844</v>
      </c>
    </row>
    <row r="742" spans="1:18" x14ac:dyDescent="0.25">
      <c r="A742" s="170">
        <v>45194</v>
      </c>
      <c r="B742" s="116">
        <v>190.42</v>
      </c>
      <c r="C742" s="116">
        <v>187.3</v>
      </c>
      <c r="D742" s="116">
        <v>183.68</v>
      </c>
      <c r="E742" s="116">
        <v>186</v>
      </c>
      <c r="F742" s="116">
        <v>1873</v>
      </c>
      <c r="G742">
        <v>13888</v>
      </c>
      <c r="H742" s="116"/>
      <c r="I742" s="116"/>
      <c r="L742" s="170">
        <v>45194</v>
      </c>
      <c r="M742" s="116">
        <v>186.47</v>
      </c>
      <c r="N742" s="116">
        <v>187.5</v>
      </c>
      <c r="O742" s="116">
        <v>183.63</v>
      </c>
      <c r="P742" s="116">
        <v>185.27</v>
      </c>
      <c r="Q742" s="116">
        <v>1864.7</v>
      </c>
      <c r="R742">
        <v>217613</v>
      </c>
    </row>
    <row r="743" spans="1:18" x14ac:dyDescent="0.25">
      <c r="A743" s="170">
        <v>45195</v>
      </c>
      <c r="B743" s="116">
        <v>188.77</v>
      </c>
      <c r="C743" s="116">
        <v>185.96</v>
      </c>
      <c r="D743" s="116">
        <v>184.495</v>
      </c>
      <c r="E743" s="116">
        <v>188.09</v>
      </c>
      <c r="F743" s="116">
        <v>1859.6</v>
      </c>
      <c r="G743">
        <v>16249</v>
      </c>
      <c r="H743" s="116"/>
      <c r="I743" s="116"/>
      <c r="L743" s="170">
        <v>45195</v>
      </c>
      <c r="M743" s="116">
        <v>185.99</v>
      </c>
      <c r="N743" s="116">
        <v>189</v>
      </c>
      <c r="O743" s="116">
        <v>184.44</v>
      </c>
      <c r="P743" s="116">
        <v>189</v>
      </c>
      <c r="Q743" s="116">
        <v>1859.9</v>
      </c>
      <c r="R743">
        <v>277006</v>
      </c>
    </row>
    <row r="744" spans="1:18" x14ac:dyDescent="0.25">
      <c r="A744" s="170">
        <v>45196</v>
      </c>
      <c r="B744" s="116">
        <v>196.285</v>
      </c>
      <c r="C744" s="116">
        <v>194.39500000000001</v>
      </c>
      <c r="D744" s="116">
        <v>185.33</v>
      </c>
      <c r="E744" s="116">
        <v>188.995</v>
      </c>
      <c r="F744" s="116">
        <v>1943.95</v>
      </c>
      <c r="G744">
        <v>24552</v>
      </c>
      <c r="H744" s="116"/>
      <c r="I744" s="116"/>
      <c r="L744" s="170">
        <v>45196</v>
      </c>
      <c r="M744" s="116">
        <v>194.37</v>
      </c>
      <c r="N744" s="116">
        <v>196.59</v>
      </c>
      <c r="O744" s="116">
        <v>185.29499999999999</v>
      </c>
      <c r="P744" s="116">
        <v>188</v>
      </c>
      <c r="Q744" s="116">
        <v>1943.7</v>
      </c>
      <c r="R744">
        <v>955518</v>
      </c>
    </row>
    <row r="745" spans="1:18" x14ac:dyDescent="0.25">
      <c r="A745" s="170">
        <v>45197</v>
      </c>
      <c r="B745" s="116">
        <v>195.215</v>
      </c>
      <c r="C745" s="116">
        <v>187.42</v>
      </c>
      <c r="D745" s="116">
        <v>186.565</v>
      </c>
      <c r="E745" s="116">
        <v>194.995</v>
      </c>
      <c r="F745" s="116">
        <v>1874.2</v>
      </c>
      <c r="G745">
        <v>44652</v>
      </c>
      <c r="H745" s="116"/>
      <c r="I745" s="116"/>
      <c r="L745" s="170">
        <v>45197</v>
      </c>
      <c r="M745" s="116">
        <v>187.435</v>
      </c>
      <c r="N745" s="116">
        <v>195.185</v>
      </c>
      <c r="O745" s="116">
        <v>186.64</v>
      </c>
      <c r="P745" s="116">
        <v>194.7</v>
      </c>
      <c r="Q745" s="116">
        <v>1874.35</v>
      </c>
      <c r="R745">
        <v>677028</v>
      </c>
    </row>
    <row r="746" spans="1:18" x14ac:dyDescent="0.25">
      <c r="A746" s="170">
        <v>45198</v>
      </c>
      <c r="B746" s="116">
        <v>188.375</v>
      </c>
      <c r="C746" s="116">
        <v>185.1</v>
      </c>
      <c r="D746" s="116">
        <v>183.7</v>
      </c>
      <c r="E746" s="116">
        <v>188.005</v>
      </c>
      <c r="F746" s="116">
        <v>1851</v>
      </c>
      <c r="G746">
        <v>13012</v>
      </c>
      <c r="H746" s="116"/>
      <c r="I746" s="116"/>
      <c r="L746" s="170">
        <v>45198</v>
      </c>
      <c r="M746" s="116">
        <v>185.065</v>
      </c>
      <c r="N746" s="116">
        <v>188.3</v>
      </c>
      <c r="O746" s="116">
        <v>183.715</v>
      </c>
      <c r="P746" s="116">
        <v>188.3</v>
      </c>
      <c r="Q746" s="116">
        <v>1850.65</v>
      </c>
      <c r="R746">
        <v>407134</v>
      </c>
    </row>
    <row r="747" spans="1:18" x14ac:dyDescent="0.25">
      <c r="A747" s="170">
        <v>45202</v>
      </c>
      <c r="B747" s="116">
        <v>186.60499999999999</v>
      </c>
      <c r="C747" s="116">
        <v>184.02</v>
      </c>
      <c r="D747" s="116">
        <v>182.62</v>
      </c>
      <c r="E747" s="116">
        <v>184.7</v>
      </c>
      <c r="F747" s="116">
        <v>1840.2</v>
      </c>
      <c r="G747">
        <v>19508</v>
      </c>
      <c r="H747" s="116"/>
      <c r="I747" s="116"/>
      <c r="L747" s="170">
        <v>45202</v>
      </c>
      <c r="M747" s="116">
        <v>184.02500000000001</v>
      </c>
      <c r="N747" s="116">
        <v>186.715</v>
      </c>
      <c r="O747" s="116">
        <v>182.405</v>
      </c>
      <c r="P747" s="116">
        <v>184.7</v>
      </c>
      <c r="Q747" s="116">
        <v>1840.25</v>
      </c>
      <c r="R747">
        <v>306772</v>
      </c>
    </row>
    <row r="748" spans="1:18" x14ac:dyDescent="0.25">
      <c r="A748" s="170">
        <v>45203</v>
      </c>
      <c r="B748" s="116">
        <v>186.64500000000001</v>
      </c>
      <c r="C748" s="116">
        <v>185.9</v>
      </c>
      <c r="D748" s="116">
        <v>183</v>
      </c>
      <c r="E748" s="116">
        <v>184.995</v>
      </c>
      <c r="F748" s="116">
        <v>1859</v>
      </c>
      <c r="G748">
        <v>12075</v>
      </c>
      <c r="H748" s="116"/>
      <c r="I748" s="116"/>
      <c r="L748" s="170">
        <v>45203</v>
      </c>
      <c r="M748" s="116">
        <v>185.85</v>
      </c>
      <c r="N748" s="116">
        <v>186.6</v>
      </c>
      <c r="O748" s="116">
        <v>182.655</v>
      </c>
      <c r="P748" s="116">
        <v>184.47</v>
      </c>
      <c r="Q748" s="116">
        <v>1858.5</v>
      </c>
      <c r="R748">
        <v>304286</v>
      </c>
    </row>
    <row r="749" spans="1:18" x14ac:dyDescent="0.25">
      <c r="A749" s="170">
        <v>45204</v>
      </c>
      <c r="B749" s="116">
        <v>199.89500000000001</v>
      </c>
      <c r="C749" s="116">
        <v>198.83</v>
      </c>
      <c r="D749" s="116">
        <v>185.5</v>
      </c>
      <c r="E749" s="116">
        <v>186.405</v>
      </c>
      <c r="F749" s="116">
        <v>1988.3</v>
      </c>
      <c r="G749">
        <v>97050</v>
      </c>
      <c r="H749" s="116"/>
      <c r="I749" s="116"/>
      <c r="L749" s="170">
        <v>45204</v>
      </c>
      <c r="M749" s="116">
        <v>198.92</v>
      </c>
      <c r="N749" s="116">
        <v>199.98</v>
      </c>
      <c r="O749" s="116">
        <v>185.505</v>
      </c>
      <c r="P749" s="116">
        <v>187.36500000000001</v>
      </c>
      <c r="Q749" s="116">
        <v>1989.2</v>
      </c>
      <c r="R749">
        <v>1561960</v>
      </c>
    </row>
    <row r="750" spans="1:18" x14ac:dyDescent="0.25">
      <c r="A750" s="170">
        <v>45205</v>
      </c>
      <c r="B750" s="116">
        <v>204.2</v>
      </c>
      <c r="C750" s="116">
        <v>197.75</v>
      </c>
      <c r="D750" s="116">
        <v>196.10499999999999</v>
      </c>
      <c r="E750" s="116">
        <v>200.005</v>
      </c>
      <c r="F750" s="116">
        <v>1977.5</v>
      </c>
      <c r="G750">
        <v>46113</v>
      </c>
      <c r="H750" s="116"/>
      <c r="I750" s="116"/>
      <c r="L750" s="170">
        <v>45205</v>
      </c>
      <c r="M750" s="116">
        <v>197.76499999999999</v>
      </c>
      <c r="N750" s="116">
        <v>204.29499999999999</v>
      </c>
      <c r="O750" s="116">
        <v>196</v>
      </c>
      <c r="P750" s="116">
        <v>200.1</v>
      </c>
      <c r="Q750" s="116">
        <v>1977.65</v>
      </c>
      <c r="R750">
        <v>1264162</v>
      </c>
    </row>
    <row r="751" spans="1:18" x14ac:dyDescent="0.25">
      <c r="A751" s="170">
        <v>45208</v>
      </c>
      <c r="B751" s="116">
        <v>206.75</v>
      </c>
      <c r="C751" s="116">
        <v>204.065</v>
      </c>
      <c r="D751" s="116">
        <v>193</v>
      </c>
      <c r="E751" s="116">
        <v>194.01</v>
      </c>
      <c r="F751" s="116">
        <v>2040.65</v>
      </c>
      <c r="G751">
        <v>37339</v>
      </c>
      <c r="H751" s="116"/>
      <c r="I751" s="116"/>
      <c r="L751" s="170">
        <v>45208</v>
      </c>
      <c r="M751" s="116">
        <v>204.035</v>
      </c>
      <c r="N751" s="116">
        <v>206.935</v>
      </c>
      <c r="O751" s="116">
        <v>193.49</v>
      </c>
      <c r="P751" s="116">
        <v>193.7</v>
      </c>
      <c r="Q751" s="116">
        <v>2040.35</v>
      </c>
      <c r="R751">
        <v>1238551</v>
      </c>
    </row>
    <row r="752" spans="1:18" x14ac:dyDescent="0.25">
      <c r="A752" s="170">
        <v>45209</v>
      </c>
      <c r="B752" s="116">
        <v>210.95</v>
      </c>
      <c r="C752" s="116">
        <v>206.94</v>
      </c>
      <c r="D752" s="116">
        <v>204.69499999999999</v>
      </c>
      <c r="E752" s="116">
        <v>205</v>
      </c>
      <c r="F752" s="116">
        <v>2069.4</v>
      </c>
      <c r="G752">
        <v>63505</v>
      </c>
      <c r="H752" s="116"/>
      <c r="I752" s="116"/>
      <c r="L752" s="170">
        <v>45209</v>
      </c>
      <c r="M752" s="116">
        <v>207.17</v>
      </c>
      <c r="N752" s="116">
        <v>210.9</v>
      </c>
      <c r="O752" s="116">
        <v>204.5</v>
      </c>
      <c r="P752" s="116">
        <v>205.5</v>
      </c>
      <c r="Q752" s="116">
        <v>2071.6999999999998</v>
      </c>
      <c r="R752">
        <v>892968</v>
      </c>
    </row>
    <row r="753" spans="1:18" x14ac:dyDescent="0.25">
      <c r="A753" s="170">
        <v>45210</v>
      </c>
      <c r="B753" s="116">
        <v>213.5</v>
      </c>
      <c r="C753" s="116">
        <v>210.43</v>
      </c>
      <c r="D753" s="116">
        <v>205.16</v>
      </c>
      <c r="E753" s="116">
        <v>206.94</v>
      </c>
      <c r="F753" s="116">
        <v>2104.3000000000002</v>
      </c>
      <c r="G753">
        <v>29558</v>
      </c>
      <c r="H753" s="116"/>
      <c r="I753" s="116"/>
      <c r="L753" s="170">
        <v>45210</v>
      </c>
      <c r="M753" s="116">
        <v>210.27</v>
      </c>
      <c r="N753" s="116">
        <v>213.6</v>
      </c>
      <c r="O753" s="116">
        <v>205.19</v>
      </c>
      <c r="P753" s="116">
        <v>207.1</v>
      </c>
      <c r="Q753" s="116">
        <v>2102.6999999999998</v>
      </c>
      <c r="R753">
        <v>881995</v>
      </c>
    </row>
    <row r="754" spans="1:18" x14ac:dyDescent="0.25">
      <c r="A754" s="170">
        <v>45211</v>
      </c>
      <c r="B754" s="116">
        <v>214.8</v>
      </c>
      <c r="C754" s="116">
        <v>210.36500000000001</v>
      </c>
      <c r="D754" s="116">
        <v>208.17500000000001</v>
      </c>
      <c r="E754" s="116">
        <v>212.005</v>
      </c>
      <c r="F754" s="116">
        <v>2103.65</v>
      </c>
      <c r="G754">
        <v>39767</v>
      </c>
      <c r="H754" s="116"/>
      <c r="I754" s="116"/>
      <c r="L754" s="170">
        <v>45211</v>
      </c>
      <c r="M754" s="116">
        <v>210.73500000000001</v>
      </c>
      <c r="N754" s="116">
        <v>214.98</v>
      </c>
      <c r="O754" s="116">
        <v>208</v>
      </c>
      <c r="P754" s="116">
        <v>212.4</v>
      </c>
      <c r="Q754" s="116">
        <v>2107.35</v>
      </c>
      <c r="R754">
        <v>643394</v>
      </c>
    </row>
    <row r="755" spans="1:18" x14ac:dyDescent="0.25">
      <c r="A755" s="170">
        <v>45212</v>
      </c>
      <c r="B755" s="116">
        <v>225</v>
      </c>
      <c r="C755" s="116">
        <v>207.13499999999999</v>
      </c>
      <c r="D755" s="116">
        <v>205.5</v>
      </c>
      <c r="E755" s="116">
        <v>219.8</v>
      </c>
      <c r="F755" s="116">
        <v>2071.35</v>
      </c>
      <c r="G755">
        <v>223828</v>
      </c>
      <c r="H755" s="116"/>
      <c r="I755" s="116"/>
      <c r="L755" s="170">
        <v>45212</v>
      </c>
      <c r="M755" s="116">
        <v>206.96</v>
      </c>
      <c r="N755" s="116">
        <v>224.92500000000001</v>
      </c>
      <c r="O755" s="116">
        <v>205.55500000000001</v>
      </c>
      <c r="P755" s="116">
        <v>219</v>
      </c>
      <c r="Q755" s="116">
        <v>2069.6</v>
      </c>
      <c r="R755">
        <v>4862234</v>
      </c>
    </row>
    <row r="756" spans="1:18" x14ac:dyDescent="0.25">
      <c r="A756" s="170">
        <v>45215</v>
      </c>
      <c r="B756" s="116">
        <v>211.47499999999999</v>
      </c>
      <c r="C756" s="116">
        <v>205.77</v>
      </c>
      <c r="D756" s="116">
        <v>204.56</v>
      </c>
      <c r="E756" s="116">
        <v>209.79499999999999</v>
      </c>
      <c r="F756" s="116">
        <v>2057.6999999999998</v>
      </c>
      <c r="G756">
        <v>60279</v>
      </c>
      <c r="H756" s="116"/>
      <c r="I756" s="116"/>
      <c r="L756" s="170">
        <v>45215</v>
      </c>
      <c r="M756" s="116">
        <v>205.94499999999999</v>
      </c>
      <c r="N756" s="116">
        <v>211.4</v>
      </c>
      <c r="O756" s="116">
        <v>204.6</v>
      </c>
      <c r="P756" s="116">
        <v>209.39</v>
      </c>
      <c r="Q756" s="116">
        <v>2059.4499999999998</v>
      </c>
      <c r="R756">
        <v>847049</v>
      </c>
    </row>
    <row r="757" spans="1:18" x14ac:dyDescent="0.25">
      <c r="A757" s="170">
        <v>45216</v>
      </c>
      <c r="B757" s="116">
        <v>212.7</v>
      </c>
      <c r="C757" s="116">
        <v>210.78</v>
      </c>
      <c r="D757" s="116">
        <v>207.66499999999999</v>
      </c>
      <c r="E757" s="116">
        <v>209.43</v>
      </c>
      <c r="F757" s="116">
        <v>2107.8000000000002</v>
      </c>
      <c r="G757">
        <v>15696</v>
      </c>
      <c r="H757" s="116"/>
      <c r="I757" s="116"/>
      <c r="L757" s="170">
        <v>45216</v>
      </c>
      <c r="M757" s="116">
        <v>210.73</v>
      </c>
      <c r="N757" s="116">
        <v>212.9</v>
      </c>
      <c r="O757" s="116">
        <v>207.505</v>
      </c>
      <c r="P757" s="116">
        <v>208.7</v>
      </c>
      <c r="Q757" s="116">
        <v>2107.3000000000002</v>
      </c>
      <c r="R757">
        <v>602580</v>
      </c>
    </row>
    <row r="758" spans="1:18" x14ac:dyDescent="0.25">
      <c r="A758" s="170">
        <v>45217</v>
      </c>
      <c r="B758" s="116">
        <v>219.8</v>
      </c>
      <c r="C758" s="116">
        <v>216.42500000000001</v>
      </c>
      <c r="D758" s="116">
        <v>210.71</v>
      </c>
      <c r="E758" s="116">
        <v>212.60499999999999</v>
      </c>
      <c r="F758" s="116">
        <v>2164.25</v>
      </c>
      <c r="G758">
        <v>75980</v>
      </c>
      <c r="H758" s="116"/>
      <c r="I758" s="116"/>
      <c r="L758" s="170">
        <v>45217</v>
      </c>
      <c r="M758" s="116">
        <v>216.10499999999999</v>
      </c>
      <c r="N758" s="116">
        <v>219.8</v>
      </c>
      <c r="O758" s="116">
        <v>210.60499999999999</v>
      </c>
      <c r="P758" s="116">
        <v>213.2</v>
      </c>
      <c r="Q758" s="116">
        <v>2161.0500000000002</v>
      </c>
      <c r="R758">
        <v>1194313</v>
      </c>
    </row>
    <row r="759" spans="1:18" x14ac:dyDescent="0.25">
      <c r="A759" s="170">
        <v>45218</v>
      </c>
      <c r="B759" s="116">
        <v>220.375</v>
      </c>
      <c r="C759" s="116">
        <v>219.8</v>
      </c>
      <c r="D759" s="116">
        <v>213.5</v>
      </c>
      <c r="E759" s="116">
        <v>215</v>
      </c>
      <c r="F759" s="116">
        <v>2198</v>
      </c>
      <c r="G759">
        <v>44506</v>
      </c>
      <c r="H759" s="116"/>
      <c r="I759" s="116"/>
      <c r="L759" s="170">
        <v>45218</v>
      </c>
      <c r="M759" s="116">
        <v>220.04499999999999</v>
      </c>
      <c r="N759" s="116">
        <v>220.5</v>
      </c>
      <c r="O759" s="116">
        <v>213.23500000000001</v>
      </c>
      <c r="P759" s="116">
        <v>215</v>
      </c>
      <c r="Q759" s="116">
        <v>2200.4499999999998</v>
      </c>
      <c r="R759">
        <v>666793</v>
      </c>
    </row>
    <row r="760" spans="1:18" x14ac:dyDescent="0.25">
      <c r="A760" s="170">
        <v>45219</v>
      </c>
      <c r="B760" s="116">
        <v>236.965</v>
      </c>
      <c r="C760" s="116">
        <v>234.41499999999999</v>
      </c>
      <c r="D760" s="116">
        <v>219.73500000000001</v>
      </c>
      <c r="E760" s="116">
        <v>219.88499999999999</v>
      </c>
      <c r="F760" s="116">
        <v>2344.15</v>
      </c>
      <c r="G760">
        <v>163043</v>
      </c>
      <c r="H760" s="116"/>
      <c r="I760" s="116"/>
      <c r="L760" s="170">
        <v>45219</v>
      </c>
      <c r="M760" s="116">
        <v>234.345</v>
      </c>
      <c r="N760" s="116">
        <v>236.97</v>
      </c>
      <c r="O760" s="116">
        <v>219.66499999999999</v>
      </c>
      <c r="P760" s="116">
        <v>220.4</v>
      </c>
      <c r="Q760" s="116">
        <v>2343.4499999999998</v>
      </c>
      <c r="R760">
        <v>3406239</v>
      </c>
    </row>
    <row r="761" spans="1:18" x14ac:dyDescent="0.25">
      <c r="A761" s="170">
        <v>45222</v>
      </c>
      <c r="B761" s="116">
        <v>243.5</v>
      </c>
      <c r="C761" s="116">
        <v>223.20500000000001</v>
      </c>
      <c r="D761" s="116">
        <v>220.5</v>
      </c>
      <c r="E761" s="116">
        <v>235</v>
      </c>
      <c r="F761" s="116">
        <v>2232.0500000000002</v>
      </c>
      <c r="G761">
        <v>135762</v>
      </c>
      <c r="H761" s="116"/>
      <c r="I761" s="116"/>
      <c r="L761" s="170">
        <v>45222</v>
      </c>
      <c r="M761" s="116">
        <v>223.505</v>
      </c>
      <c r="N761" s="116">
        <v>243.7</v>
      </c>
      <c r="O761" s="116">
        <v>221.125</v>
      </c>
      <c r="P761" s="116">
        <v>234.8</v>
      </c>
      <c r="Q761" s="116">
        <v>2235.0500000000002</v>
      </c>
      <c r="R761">
        <v>1817473</v>
      </c>
    </row>
    <row r="762" spans="1:18" x14ac:dyDescent="0.25">
      <c r="A762" s="170">
        <v>45224</v>
      </c>
      <c r="B762" s="116">
        <v>233.27</v>
      </c>
      <c r="C762" s="116">
        <v>229.86500000000001</v>
      </c>
      <c r="D762" s="116">
        <v>220.58</v>
      </c>
      <c r="E762" s="116">
        <v>225.10499999999999</v>
      </c>
      <c r="F762" s="116">
        <v>2298.65</v>
      </c>
      <c r="G762">
        <v>38173</v>
      </c>
      <c r="H762" s="116"/>
      <c r="I762" s="116"/>
      <c r="L762" s="170">
        <v>45224</v>
      </c>
      <c r="M762" s="116">
        <v>230.41</v>
      </c>
      <c r="N762" s="116">
        <v>233.23</v>
      </c>
      <c r="O762" s="116">
        <v>220.73</v>
      </c>
      <c r="P762" s="116">
        <v>225.5</v>
      </c>
      <c r="Q762" s="116">
        <v>2304.1</v>
      </c>
      <c r="R762">
        <v>1091910</v>
      </c>
    </row>
    <row r="763" spans="1:18" x14ac:dyDescent="0.25">
      <c r="A763" s="170">
        <v>45225</v>
      </c>
      <c r="B763" s="116">
        <v>243.255</v>
      </c>
      <c r="C763" s="116">
        <v>241.18</v>
      </c>
      <c r="D763" s="116">
        <v>224.2</v>
      </c>
      <c r="E763" s="116">
        <v>229.995</v>
      </c>
      <c r="F763" s="116">
        <v>2411.8000000000002</v>
      </c>
      <c r="G763">
        <v>51827</v>
      </c>
      <c r="H763" s="116"/>
      <c r="I763" s="116"/>
      <c r="L763" s="170">
        <v>45225</v>
      </c>
      <c r="M763" s="116">
        <v>241.39</v>
      </c>
      <c r="N763" s="116">
        <v>243.215</v>
      </c>
      <c r="O763" s="116">
        <v>224.17</v>
      </c>
      <c r="P763" s="116">
        <v>229.4</v>
      </c>
      <c r="Q763" s="116">
        <v>2413.9</v>
      </c>
      <c r="R763">
        <v>1679781</v>
      </c>
    </row>
    <row r="764" spans="1:18" x14ac:dyDescent="0.25">
      <c r="A764" s="170">
        <v>45226</v>
      </c>
      <c r="B764" s="116">
        <v>255.20500000000001</v>
      </c>
      <c r="C764" s="116">
        <v>253.905</v>
      </c>
      <c r="D764" s="116">
        <v>242.505</v>
      </c>
      <c r="E764" s="116">
        <v>242.58</v>
      </c>
      <c r="F764" s="116">
        <v>2539.0500000000002</v>
      </c>
      <c r="G764">
        <v>54106</v>
      </c>
      <c r="H764" s="116"/>
      <c r="I764" s="116"/>
      <c r="L764" s="170">
        <v>45226</v>
      </c>
      <c r="M764" s="116">
        <v>253.58</v>
      </c>
      <c r="N764" s="116">
        <v>254.91499999999999</v>
      </c>
      <c r="O764" s="116">
        <v>242</v>
      </c>
      <c r="P764" s="116">
        <v>242</v>
      </c>
      <c r="Q764" s="116">
        <v>2535.8000000000002</v>
      </c>
      <c r="R764">
        <v>1723752</v>
      </c>
    </row>
    <row r="765" spans="1:18" x14ac:dyDescent="0.25">
      <c r="A765" s="170">
        <v>45229</v>
      </c>
      <c r="B765" s="116">
        <v>257.90499999999997</v>
      </c>
      <c r="C765" s="116">
        <v>256.28500000000003</v>
      </c>
      <c r="D765" s="116">
        <v>245.98500000000001</v>
      </c>
      <c r="E765" s="116">
        <v>253.5</v>
      </c>
      <c r="F765" s="116">
        <v>2562.85</v>
      </c>
      <c r="G765">
        <v>79982</v>
      </c>
      <c r="H765" s="116"/>
      <c r="I765" s="116"/>
      <c r="L765" s="170">
        <v>45229</v>
      </c>
      <c r="M765" s="116">
        <v>256.36</v>
      </c>
      <c r="N765" s="116">
        <v>257.61500000000001</v>
      </c>
      <c r="O765" s="116">
        <v>246</v>
      </c>
      <c r="P765" s="116">
        <v>253.5</v>
      </c>
      <c r="Q765" s="116">
        <v>2563.6</v>
      </c>
      <c r="R765">
        <v>1435050</v>
      </c>
    </row>
    <row r="766" spans="1:18" x14ac:dyDescent="0.25">
      <c r="A766" s="170">
        <v>45230</v>
      </c>
      <c r="B766" s="116">
        <v>260.05500000000001</v>
      </c>
      <c r="C766" s="116">
        <v>258.48</v>
      </c>
      <c r="D766" s="116">
        <v>253.285</v>
      </c>
      <c r="E766" s="116">
        <v>255.005</v>
      </c>
      <c r="F766" s="116">
        <v>2584.8000000000002</v>
      </c>
      <c r="G766">
        <v>29070</v>
      </c>
      <c r="H766" s="116"/>
      <c r="I766" s="116"/>
      <c r="L766" s="170">
        <v>45230</v>
      </c>
      <c r="M766" s="116">
        <v>258.19499999999999</v>
      </c>
      <c r="N766" s="116">
        <v>259.91500000000002</v>
      </c>
      <c r="O766" s="116">
        <v>253.21</v>
      </c>
      <c r="P766" s="116">
        <v>256.10000000000002</v>
      </c>
      <c r="Q766" s="116">
        <v>2581.9499999999998</v>
      </c>
      <c r="R766">
        <v>807854</v>
      </c>
    </row>
    <row r="767" spans="1:18" x14ac:dyDescent="0.25">
      <c r="A767" s="170">
        <v>45231</v>
      </c>
      <c r="B767" s="116">
        <v>267.7</v>
      </c>
      <c r="C767" s="116">
        <v>262.92</v>
      </c>
      <c r="D767" s="116">
        <v>256.95999999999998</v>
      </c>
      <c r="E767" s="116">
        <v>259.68</v>
      </c>
      <c r="F767" s="116">
        <v>2629.2</v>
      </c>
      <c r="G767">
        <v>57975</v>
      </c>
      <c r="H767" s="116"/>
      <c r="I767" s="116"/>
      <c r="L767" s="170">
        <v>45231</v>
      </c>
      <c r="M767" s="116">
        <v>262.95499999999998</v>
      </c>
      <c r="N767" s="116">
        <v>267.71499999999997</v>
      </c>
      <c r="O767" s="116">
        <v>257.14999999999998</v>
      </c>
      <c r="P767" s="116">
        <v>258.69499999999999</v>
      </c>
      <c r="Q767" s="116">
        <v>2629.55</v>
      </c>
      <c r="R767">
        <v>1313008</v>
      </c>
    </row>
    <row r="768" spans="1:18" x14ac:dyDescent="0.25">
      <c r="A768" s="170">
        <v>45232</v>
      </c>
      <c r="B768" s="116">
        <v>268.89499999999998</v>
      </c>
      <c r="C768" s="116">
        <v>263.94499999999999</v>
      </c>
      <c r="D768" s="116">
        <v>262.55500000000001</v>
      </c>
      <c r="E768" s="116">
        <v>267.27499999999998</v>
      </c>
      <c r="F768" s="116">
        <v>2639.45</v>
      </c>
      <c r="G768">
        <v>17455</v>
      </c>
      <c r="H768" s="116"/>
      <c r="I768" s="116"/>
      <c r="L768" s="170">
        <v>45232</v>
      </c>
      <c r="M768" s="116">
        <v>264.07</v>
      </c>
      <c r="N768" s="116">
        <v>268.7</v>
      </c>
      <c r="O768" s="116">
        <v>262.7</v>
      </c>
      <c r="P768" s="116">
        <v>267</v>
      </c>
      <c r="Q768" s="116">
        <v>2640.7</v>
      </c>
      <c r="R768">
        <v>533308</v>
      </c>
    </row>
    <row r="769" spans="1:18" x14ac:dyDescent="0.25">
      <c r="A769" s="170">
        <v>45233</v>
      </c>
      <c r="B769" s="116">
        <v>285</v>
      </c>
      <c r="C769" s="116">
        <v>281.54500000000002</v>
      </c>
      <c r="D769" s="116">
        <v>263.76</v>
      </c>
      <c r="E769" s="116">
        <v>265.27499999999998</v>
      </c>
      <c r="F769" s="116">
        <v>2815.45</v>
      </c>
      <c r="G769">
        <v>50058</v>
      </c>
      <c r="H769" s="116"/>
      <c r="I769" s="116"/>
      <c r="L769" s="170">
        <v>45233</v>
      </c>
      <c r="M769" s="116">
        <v>280.45</v>
      </c>
      <c r="N769" s="116">
        <v>285</v>
      </c>
      <c r="O769" s="116">
        <v>263.39999999999998</v>
      </c>
      <c r="P769" s="116">
        <v>265</v>
      </c>
      <c r="Q769" s="116">
        <v>2804.5</v>
      </c>
      <c r="R769">
        <v>1672132</v>
      </c>
    </row>
    <row r="770" spans="1:18" x14ac:dyDescent="0.25">
      <c r="A770" s="170">
        <v>45236</v>
      </c>
      <c r="B770" s="116">
        <v>290</v>
      </c>
      <c r="C770" s="116">
        <v>262.27499999999998</v>
      </c>
      <c r="D770" s="116">
        <v>258</v>
      </c>
      <c r="E770" s="116">
        <v>281.39499999999998</v>
      </c>
      <c r="F770" s="116">
        <v>2622.75</v>
      </c>
      <c r="G770">
        <v>156600</v>
      </c>
      <c r="H770" s="116"/>
      <c r="I770" s="116"/>
      <c r="L770" s="170">
        <v>45236</v>
      </c>
      <c r="M770" s="116">
        <v>262.64499999999998</v>
      </c>
      <c r="N770" s="116">
        <v>289.78500000000003</v>
      </c>
      <c r="O770" s="116">
        <v>258.7</v>
      </c>
      <c r="P770" s="116">
        <v>280.89999999999998</v>
      </c>
      <c r="Q770" s="116">
        <v>2626.45</v>
      </c>
      <c r="R770">
        <v>2420122</v>
      </c>
    </row>
    <row r="771" spans="1:18" x14ac:dyDescent="0.25">
      <c r="A771" s="170">
        <v>45237</v>
      </c>
      <c r="B771" s="116">
        <v>264.93</v>
      </c>
      <c r="C771" s="116">
        <v>253.715</v>
      </c>
      <c r="D771" s="116">
        <v>249.435</v>
      </c>
      <c r="E771" s="116">
        <v>262.81</v>
      </c>
      <c r="F771" s="116">
        <v>2537.15</v>
      </c>
      <c r="G771">
        <v>64042</v>
      </c>
      <c r="H771" s="116"/>
      <c r="I771" s="116"/>
      <c r="L771" s="170">
        <v>45237</v>
      </c>
      <c r="M771" s="116">
        <v>253.655</v>
      </c>
      <c r="N771" s="116">
        <v>264.98</v>
      </c>
      <c r="O771" s="116">
        <v>249.34</v>
      </c>
      <c r="P771" s="116">
        <v>263</v>
      </c>
      <c r="Q771" s="116">
        <v>2536.5500000000002</v>
      </c>
      <c r="R771">
        <v>1951788</v>
      </c>
    </row>
    <row r="772" spans="1:18" x14ac:dyDescent="0.25">
      <c r="A772" s="170">
        <v>45238</v>
      </c>
      <c r="B772" s="116">
        <v>269.8</v>
      </c>
      <c r="C772" s="116">
        <v>267.78500000000003</v>
      </c>
      <c r="D772" s="116">
        <v>254.54499999999999</v>
      </c>
      <c r="E772" s="116">
        <v>255.995</v>
      </c>
      <c r="F772" s="116">
        <v>2677.85</v>
      </c>
      <c r="G772">
        <v>105441</v>
      </c>
      <c r="H772" s="116"/>
      <c r="I772" s="116"/>
      <c r="L772" s="170">
        <v>45238</v>
      </c>
      <c r="M772" s="116">
        <v>267.60500000000002</v>
      </c>
      <c r="N772" s="116">
        <v>269.89999999999998</v>
      </c>
      <c r="O772" s="116">
        <v>254.76</v>
      </c>
      <c r="P772" s="116">
        <v>254.9</v>
      </c>
      <c r="Q772" s="116">
        <v>2676.05</v>
      </c>
      <c r="R772">
        <v>1341585</v>
      </c>
    </row>
    <row r="773" spans="1:18" x14ac:dyDescent="0.25">
      <c r="A773" s="170">
        <v>45239</v>
      </c>
      <c r="B773" s="116">
        <v>275.99</v>
      </c>
      <c r="C773" s="116">
        <v>270.48500000000001</v>
      </c>
      <c r="D773" s="116">
        <v>266.33999999999997</v>
      </c>
      <c r="E773" s="116">
        <v>267.495</v>
      </c>
      <c r="F773" s="116">
        <v>2704.85</v>
      </c>
      <c r="G773">
        <v>79451</v>
      </c>
      <c r="H773" s="116"/>
      <c r="I773" s="116"/>
      <c r="L773" s="170">
        <v>45239</v>
      </c>
      <c r="M773" s="116">
        <v>270.42</v>
      </c>
      <c r="N773" s="116">
        <v>276.08999999999997</v>
      </c>
      <c r="O773" s="116">
        <v>265.52999999999997</v>
      </c>
      <c r="P773" s="116">
        <v>266.89499999999998</v>
      </c>
      <c r="Q773" s="116">
        <v>2704.2</v>
      </c>
      <c r="R773">
        <v>1029595</v>
      </c>
    </row>
    <row r="774" spans="1:18" x14ac:dyDescent="0.25">
      <c r="A774" s="170">
        <v>45240</v>
      </c>
      <c r="B774" s="116">
        <v>274.10000000000002</v>
      </c>
      <c r="C774" s="116">
        <v>271.77499999999998</v>
      </c>
      <c r="D774" s="116">
        <v>267</v>
      </c>
      <c r="E774" s="116">
        <v>270.505</v>
      </c>
      <c r="F774" s="116">
        <v>2717.75</v>
      </c>
      <c r="G774">
        <v>34902</v>
      </c>
      <c r="H774" s="116"/>
      <c r="I774" s="116"/>
      <c r="L774" s="170">
        <v>45240</v>
      </c>
      <c r="M774" s="116">
        <v>272.03500000000003</v>
      </c>
      <c r="N774" s="116">
        <v>274.39999999999998</v>
      </c>
      <c r="O774" s="116">
        <v>266.91500000000002</v>
      </c>
      <c r="P774" s="116">
        <v>272.31</v>
      </c>
      <c r="Q774" s="116">
        <v>2720.35</v>
      </c>
      <c r="R774">
        <v>751337</v>
      </c>
    </row>
    <row r="775" spans="1:18" x14ac:dyDescent="0.25">
      <c r="A775" s="170">
        <v>45242</v>
      </c>
      <c r="B775" s="116">
        <v>274.995</v>
      </c>
      <c r="C775" s="116">
        <v>273.05500000000001</v>
      </c>
      <c r="D775" s="116">
        <v>272.34500000000003</v>
      </c>
      <c r="E775" s="116">
        <v>274.995</v>
      </c>
      <c r="F775" s="116">
        <v>2730.55</v>
      </c>
      <c r="G775">
        <v>5228</v>
      </c>
      <c r="H775" s="116"/>
      <c r="I775" s="116"/>
      <c r="L775" s="170">
        <v>45242</v>
      </c>
      <c r="M775" s="116">
        <v>273.19499999999999</v>
      </c>
      <c r="N775" s="116">
        <v>275</v>
      </c>
      <c r="O775" s="116">
        <v>272.01</v>
      </c>
      <c r="P775" s="116">
        <v>274</v>
      </c>
      <c r="Q775" s="116">
        <v>2731.95</v>
      </c>
      <c r="R775">
        <v>141926</v>
      </c>
    </row>
    <row r="776" spans="1:18" x14ac:dyDescent="0.25">
      <c r="A776" s="170">
        <v>45243</v>
      </c>
      <c r="B776" s="116">
        <v>283.20499999999998</v>
      </c>
      <c r="C776" s="116">
        <v>281.315</v>
      </c>
      <c r="D776" s="116">
        <v>271.30500000000001</v>
      </c>
      <c r="E776" s="116">
        <v>274.47500000000002</v>
      </c>
      <c r="F776" s="116">
        <v>2813.15</v>
      </c>
      <c r="G776">
        <v>18753</v>
      </c>
      <c r="H776" s="116"/>
      <c r="I776" s="116"/>
      <c r="L776" s="170">
        <v>45243</v>
      </c>
      <c r="M776" s="116">
        <v>281.48500000000001</v>
      </c>
      <c r="N776" s="116">
        <v>283</v>
      </c>
      <c r="O776" s="116">
        <v>271.10000000000002</v>
      </c>
      <c r="P776" s="116">
        <v>273.19499999999999</v>
      </c>
      <c r="Q776" s="116">
        <v>2814.85</v>
      </c>
      <c r="R776">
        <v>781653</v>
      </c>
    </row>
    <row r="777" spans="1:18" x14ac:dyDescent="0.25">
      <c r="A777" s="170">
        <v>45245</v>
      </c>
      <c r="B777" s="116">
        <v>308.94499999999999</v>
      </c>
      <c r="C777" s="116">
        <v>304.21499999999997</v>
      </c>
      <c r="D777" s="116">
        <v>283.5</v>
      </c>
      <c r="E777" s="116">
        <v>283.5</v>
      </c>
      <c r="F777" s="116">
        <v>3042.15</v>
      </c>
      <c r="G777">
        <v>74076</v>
      </c>
      <c r="H777" s="116"/>
      <c r="I777" s="116"/>
      <c r="L777" s="170">
        <v>45245</v>
      </c>
      <c r="M777" s="116">
        <v>303.51</v>
      </c>
      <c r="N777" s="116">
        <v>309</v>
      </c>
      <c r="O777" s="116">
        <v>283.39999999999998</v>
      </c>
      <c r="P777" s="116">
        <v>283.89999999999998</v>
      </c>
      <c r="Q777" s="116">
        <v>3035.1</v>
      </c>
      <c r="R777">
        <v>2254540</v>
      </c>
    </row>
    <row r="778" spans="1:18" x14ac:dyDescent="0.25">
      <c r="A778" s="170">
        <v>45246</v>
      </c>
      <c r="B778" s="116">
        <v>304.29500000000002</v>
      </c>
      <c r="C778" s="116">
        <v>297.17500000000001</v>
      </c>
      <c r="D778" s="116">
        <v>293</v>
      </c>
      <c r="E778" s="116">
        <v>303.52</v>
      </c>
      <c r="F778" s="116">
        <v>2971.75</v>
      </c>
      <c r="G778">
        <v>71829</v>
      </c>
      <c r="H778" s="116"/>
      <c r="I778" s="116"/>
      <c r="L778" s="170">
        <v>45246</v>
      </c>
      <c r="M778" s="116">
        <v>297.20499999999998</v>
      </c>
      <c r="N778" s="116">
        <v>304.69</v>
      </c>
      <c r="O778" s="116">
        <v>292.10500000000002</v>
      </c>
      <c r="P778" s="116">
        <v>304.5</v>
      </c>
      <c r="Q778" s="116">
        <v>2972.05</v>
      </c>
      <c r="R778">
        <v>1008322</v>
      </c>
    </row>
    <row r="779" spans="1:18" x14ac:dyDescent="0.25">
      <c r="A779" s="170">
        <v>45247</v>
      </c>
      <c r="B779" s="116">
        <v>304.86</v>
      </c>
      <c r="C779" s="116">
        <v>291.76499999999999</v>
      </c>
      <c r="D779" s="116">
        <v>289.10000000000002</v>
      </c>
      <c r="E779" s="116">
        <v>297.17500000000001</v>
      </c>
      <c r="F779" s="116">
        <v>2917.65</v>
      </c>
      <c r="G779">
        <v>33887</v>
      </c>
      <c r="H779" s="116"/>
      <c r="I779" s="116"/>
      <c r="L779" s="170">
        <v>45247</v>
      </c>
      <c r="M779" s="116">
        <v>291.89499999999998</v>
      </c>
      <c r="N779" s="116">
        <v>304.89999999999998</v>
      </c>
      <c r="O779" s="116">
        <v>289</v>
      </c>
      <c r="P779" s="116">
        <v>297.20499999999998</v>
      </c>
      <c r="Q779" s="116">
        <v>2918.95</v>
      </c>
      <c r="R779">
        <v>959538</v>
      </c>
    </row>
    <row r="780" spans="1:18" x14ac:dyDescent="0.25">
      <c r="A780" s="170">
        <v>45250</v>
      </c>
      <c r="B780" s="116">
        <v>303.22500000000002</v>
      </c>
      <c r="C780" s="116">
        <v>299.94499999999999</v>
      </c>
      <c r="D780" s="116">
        <v>290.87</v>
      </c>
      <c r="E780" s="116">
        <v>292.005</v>
      </c>
      <c r="F780" s="116">
        <v>2999.45</v>
      </c>
      <c r="G780">
        <v>35592</v>
      </c>
      <c r="H780" s="116"/>
      <c r="I780" s="116"/>
      <c r="L780" s="170">
        <v>45250</v>
      </c>
      <c r="M780" s="116">
        <v>299.61</v>
      </c>
      <c r="N780" s="116">
        <v>303.39999999999998</v>
      </c>
      <c r="O780" s="116">
        <v>290.52</v>
      </c>
      <c r="P780" s="116">
        <v>293.7</v>
      </c>
      <c r="Q780" s="116">
        <v>2996.1</v>
      </c>
      <c r="R780">
        <v>1103012</v>
      </c>
    </row>
    <row r="781" spans="1:18" x14ac:dyDescent="0.25">
      <c r="A781" s="170">
        <v>45251</v>
      </c>
      <c r="B781" s="116">
        <v>303.39499999999998</v>
      </c>
      <c r="C781" s="116">
        <v>293.92500000000001</v>
      </c>
      <c r="D781" s="116">
        <v>290.32</v>
      </c>
      <c r="E781" s="116">
        <v>303.39499999999998</v>
      </c>
      <c r="F781" s="116">
        <v>2939.25</v>
      </c>
      <c r="G781">
        <v>32447</v>
      </c>
      <c r="H781" s="116"/>
      <c r="I781" s="116"/>
      <c r="L781" s="170">
        <v>45251</v>
      </c>
      <c r="M781" s="116">
        <v>295.22000000000003</v>
      </c>
      <c r="N781" s="116">
        <v>303.21499999999997</v>
      </c>
      <c r="O781" s="116">
        <v>292.13499999999999</v>
      </c>
      <c r="P781" s="116">
        <v>302</v>
      </c>
      <c r="Q781" s="116">
        <v>2952.2</v>
      </c>
      <c r="R781">
        <v>452737</v>
      </c>
    </row>
    <row r="782" spans="1:18" x14ac:dyDescent="0.25">
      <c r="A782" s="170">
        <v>45252</v>
      </c>
      <c r="B782" s="116">
        <v>301.20999999999998</v>
      </c>
      <c r="C782" s="116">
        <v>296.06</v>
      </c>
      <c r="D782" s="116">
        <v>292.45499999999998</v>
      </c>
      <c r="E782" s="116">
        <v>296.995</v>
      </c>
      <c r="F782" s="116">
        <v>2960.6</v>
      </c>
      <c r="G782">
        <v>17235</v>
      </c>
      <c r="H782" s="116"/>
      <c r="I782" s="116"/>
      <c r="L782" s="170">
        <v>45252</v>
      </c>
      <c r="M782" s="116">
        <v>296.04000000000002</v>
      </c>
      <c r="N782" s="116">
        <v>301</v>
      </c>
      <c r="O782" s="116">
        <v>292.74</v>
      </c>
      <c r="P782" s="116">
        <v>295.60000000000002</v>
      </c>
      <c r="Q782" s="116">
        <v>2960.4</v>
      </c>
      <c r="R782">
        <v>732561</v>
      </c>
    </row>
    <row r="783" spans="1:18" x14ac:dyDescent="0.25">
      <c r="A783" s="170">
        <v>45253</v>
      </c>
      <c r="B783" s="116">
        <v>299.815</v>
      </c>
      <c r="C783" s="116">
        <v>294.76499999999999</v>
      </c>
      <c r="D783" s="116">
        <v>293.5</v>
      </c>
      <c r="E783" s="116">
        <v>296.505</v>
      </c>
      <c r="F783" s="116">
        <v>2947.65</v>
      </c>
      <c r="G783">
        <v>22611</v>
      </c>
      <c r="H783" s="116"/>
      <c r="I783" s="116"/>
      <c r="L783" s="170">
        <v>45253</v>
      </c>
      <c r="M783" s="116">
        <v>295.25</v>
      </c>
      <c r="N783" s="116">
        <v>299.82</v>
      </c>
      <c r="O783" s="116">
        <v>293.51</v>
      </c>
      <c r="P783" s="116">
        <v>296.99</v>
      </c>
      <c r="Q783" s="116">
        <v>2952.5</v>
      </c>
      <c r="R783">
        <v>280446</v>
      </c>
    </row>
    <row r="784" spans="1:18" x14ac:dyDescent="0.25">
      <c r="A784" s="170">
        <v>45254</v>
      </c>
      <c r="B784" s="116">
        <v>308</v>
      </c>
      <c r="C784" s="116">
        <v>304.27499999999998</v>
      </c>
      <c r="D784" s="116">
        <v>297.495</v>
      </c>
      <c r="E784" s="116">
        <v>297.495</v>
      </c>
      <c r="F784" s="116">
        <v>3042.75</v>
      </c>
      <c r="G784">
        <v>37567</v>
      </c>
      <c r="H784" s="116"/>
      <c r="I784" s="116"/>
      <c r="L784" s="170">
        <v>45254</v>
      </c>
      <c r="M784" s="116">
        <v>304.30500000000001</v>
      </c>
      <c r="N784" s="116">
        <v>308</v>
      </c>
      <c r="O784" s="116">
        <v>297</v>
      </c>
      <c r="P784" s="116">
        <v>297</v>
      </c>
      <c r="Q784" s="116">
        <v>3043.05</v>
      </c>
      <c r="R784">
        <v>1325755</v>
      </c>
    </row>
    <row r="785" spans="1:18" x14ac:dyDescent="0.25">
      <c r="A785" s="170">
        <v>45258</v>
      </c>
      <c r="B785" s="116">
        <v>319.3</v>
      </c>
      <c r="C785" s="116">
        <v>306.84500000000003</v>
      </c>
      <c r="D785" s="116">
        <v>305.505</v>
      </c>
      <c r="E785" s="116">
        <v>305.505</v>
      </c>
      <c r="F785" s="116">
        <v>3068.45</v>
      </c>
      <c r="G785">
        <v>34507</v>
      </c>
      <c r="H785" s="116"/>
      <c r="I785" s="116"/>
      <c r="L785" s="170">
        <v>45258</v>
      </c>
      <c r="M785" s="116">
        <v>306.94</v>
      </c>
      <c r="N785" s="116">
        <v>319.5</v>
      </c>
      <c r="O785" s="116">
        <v>306</v>
      </c>
      <c r="P785" s="116">
        <v>306.8</v>
      </c>
      <c r="Q785" s="116">
        <v>3069.4</v>
      </c>
      <c r="R785">
        <v>1295226</v>
      </c>
    </row>
    <row r="786" spans="1:18" x14ac:dyDescent="0.25">
      <c r="A786" s="170">
        <v>45259</v>
      </c>
      <c r="B786" s="116">
        <v>312.10000000000002</v>
      </c>
      <c r="C786" s="116">
        <v>308.63499999999999</v>
      </c>
      <c r="D786" s="116">
        <v>302.83999999999997</v>
      </c>
      <c r="E786" s="116">
        <v>308.80500000000001</v>
      </c>
      <c r="F786" s="116">
        <v>3086.35</v>
      </c>
      <c r="G786">
        <v>13087</v>
      </c>
      <c r="H786" s="116"/>
      <c r="I786" s="116"/>
      <c r="L786" s="170">
        <v>45259</v>
      </c>
      <c r="M786" s="116">
        <v>308.82</v>
      </c>
      <c r="N786" s="116">
        <v>312.11500000000001</v>
      </c>
      <c r="O786" s="116">
        <v>302.7</v>
      </c>
      <c r="P786" s="116">
        <v>310.08999999999997</v>
      </c>
      <c r="Q786" s="116">
        <v>3088.2</v>
      </c>
      <c r="R786">
        <v>753104</v>
      </c>
    </row>
    <row r="787" spans="1:18" x14ac:dyDescent="0.25">
      <c r="A787" s="170">
        <v>45260</v>
      </c>
      <c r="B787" s="116">
        <v>311.07</v>
      </c>
      <c r="C787" s="116">
        <v>306.69</v>
      </c>
      <c r="D787" s="116">
        <v>305.60500000000002</v>
      </c>
      <c r="E787" s="116">
        <v>305.60500000000002</v>
      </c>
      <c r="F787" s="116">
        <v>3066.9</v>
      </c>
      <c r="G787">
        <v>11073</v>
      </c>
      <c r="H787" s="116"/>
      <c r="I787" s="116"/>
      <c r="L787" s="170">
        <v>45260</v>
      </c>
      <c r="M787" s="116">
        <v>306.72500000000002</v>
      </c>
      <c r="N787" s="116">
        <v>310.89</v>
      </c>
      <c r="O787" s="116">
        <v>305.82</v>
      </c>
      <c r="P787" s="116">
        <v>307.55</v>
      </c>
      <c r="Q787" s="116">
        <v>3067.25</v>
      </c>
      <c r="R787">
        <v>616998</v>
      </c>
    </row>
    <row r="788" spans="1:18" x14ac:dyDescent="0.25">
      <c r="A788" s="170">
        <v>45261</v>
      </c>
      <c r="B788" s="116">
        <v>312.565</v>
      </c>
      <c r="C788" s="116">
        <v>305.82499999999999</v>
      </c>
      <c r="D788" s="116">
        <v>303.33999999999997</v>
      </c>
      <c r="E788" s="116">
        <v>310.495</v>
      </c>
      <c r="F788" s="116">
        <v>3058.25</v>
      </c>
      <c r="G788">
        <v>14536</v>
      </c>
      <c r="H788" s="116"/>
      <c r="I788" s="116"/>
      <c r="L788" s="170">
        <v>45261</v>
      </c>
      <c r="M788" s="116">
        <v>305.55500000000001</v>
      </c>
      <c r="N788" s="116">
        <v>312.5</v>
      </c>
      <c r="O788" s="116">
        <v>303.01</v>
      </c>
      <c r="P788" s="116">
        <v>308</v>
      </c>
      <c r="Q788" s="116">
        <v>3055.55</v>
      </c>
      <c r="R788">
        <v>517392</v>
      </c>
    </row>
    <row r="789" spans="1:18" x14ac:dyDescent="0.25">
      <c r="A789" s="170">
        <v>45264</v>
      </c>
      <c r="B789" s="116">
        <v>310.995</v>
      </c>
      <c r="C789" s="116">
        <v>297.20999999999998</v>
      </c>
      <c r="D789" s="116">
        <v>296.03500000000003</v>
      </c>
      <c r="E789" s="116">
        <v>310.995</v>
      </c>
      <c r="F789" s="116">
        <v>2972.1</v>
      </c>
      <c r="G789">
        <v>52465</v>
      </c>
      <c r="H789" s="116"/>
      <c r="I789" s="116"/>
      <c r="L789" s="170">
        <v>45264</v>
      </c>
      <c r="M789" s="116">
        <v>297.25</v>
      </c>
      <c r="N789" s="116">
        <v>311</v>
      </c>
      <c r="O789" s="116">
        <v>295.66000000000003</v>
      </c>
      <c r="P789" s="116">
        <v>311</v>
      </c>
      <c r="Q789" s="116">
        <v>2972.5</v>
      </c>
      <c r="R789">
        <v>695136</v>
      </c>
    </row>
    <row r="790" spans="1:18" x14ac:dyDescent="0.25">
      <c r="A790" s="170">
        <v>45265</v>
      </c>
      <c r="B790" s="116">
        <v>299.08</v>
      </c>
      <c r="C790" s="116">
        <v>294.20999999999998</v>
      </c>
      <c r="D790" s="116">
        <v>290.41500000000002</v>
      </c>
      <c r="E790" s="116">
        <v>299.05</v>
      </c>
      <c r="F790" s="116">
        <v>2942.1</v>
      </c>
      <c r="G790">
        <v>19907</v>
      </c>
      <c r="H790" s="116"/>
      <c r="I790" s="116"/>
      <c r="L790" s="170">
        <v>45265</v>
      </c>
      <c r="M790" s="116">
        <v>293.81</v>
      </c>
      <c r="N790" s="116">
        <v>299.8</v>
      </c>
      <c r="O790" s="116">
        <v>290.3</v>
      </c>
      <c r="P790" s="116">
        <v>299.8</v>
      </c>
      <c r="Q790" s="116">
        <v>2938.1</v>
      </c>
      <c r="R790">
        <v>831581</v>
      </c>
    </row>
    <row r="791" spans="1:18" x14ac:dyDescent="0.25">
      <c r="A791" s="170">
        <v>45266</v>
      </c>
      <c r="B791" s="116">
        <v>324.60000000000002</v>
      </c>
      <c r="C791" s="116">
        <v>314.185</v>
      </c>
      <c r="D791" s="116">
        <v>297.60500000000002</v>
      </c>
      <c r="E791" s="116">
        <v>297.60500000000002</v>
      </c>
      <c r="F791" s="116">
        <v>3141.85</v>
      </c>
      <c r="G791">
        <v>183872</v>
      </c>
      <c r="H791" s="116"/>
      <c r="I791" s="116"/>
      <c r="L791" s="170">
        <v>45266</v>
      </c>
      <c r="M791" s="116">
        <v>314.20499999999998</v>
      </c>
      <c r="N791" s="116">
        <v>324.505</v>
      </c>
      <c r="O791" s="116">
        <v>297.72000000000003</v>
      </c>
      <c r="P791" s="116">
        <v>299</v>
      </c>
      <c r="Q791" s="116">
        <v>3142.05</v>
      </c>
      <c r="R791">
        <v>3185256</v>
      </c>
    </row>
    <row r="792" spans="1:18" x14ac:dyDescent="0.25">
      <c r="A792" s="170">
        <v>45267</v>
      </c>
      <c r="B792" s="116">
        <v>316.495</v>
      </c>
      <c r="C792" s="116">
        <v>307.25</v>
      </c>
      <c r="D792" s="116">
        <v>305.96499999999997</v>
      </c>
      <c r="E792" s="116">
        <v>316.495</v>
      </c>
      <c r="F792" s="116">
        <v>3072.5</v>
      </c>
      <c r="G792">
        <v>19717</v>
      </c>
      <c r="H792" s="116"/>
      <c r="I792" s="116"/>
      <c r="L792" s="170">
        <v>45267</v>
      </c>
      <c r="M792" s="116">
        <v>307.25</v>
      </c>
      <c r="N792" s="116">
        <v>316.245</v>
      </c>
      <c r="O792" s="116">
        <v>305.39999999999998</v>
      </c>
      <c r="P792" s="116">
        <v>316.005</v>
      </c>
      <c r="Q792" s="116">
        <v>3072.5</v>
      </c>
      <c r="R792">
        <v>673193</v>
      </c>
    </row>
    <row r="793" spans="1:18" x14ac:dyDescent="0.25">
      <c r="A793" s="170">
        <v>45268</v>
      </c>
      <c r="B793" s="116">
        <v>309.315</v>
      </c>
      <c r="C793" s="116">
        <v>295.65499999999997</v>
      </c>
      <c r="D793" s="116">
        <v>294.01499999999999</v>
      </c>
      <c r="E793" s="116">
        <v>309.315</v>
      </c>
      <c r="F793" s="116">
        <v>2956.55</v>
      </c>
      <c r="G793">
        <v>40953</v>
      </c>
      <c r="H793" s="116"/>
      <c r="I793" s="116"/>
      <c r="L793" s="170">
        <v>45268</v>
      </c>
      <c r="M793" s="116">
        <v>295.61500000000001</v>
      </c>
      <c r="N793" s="116">
        <v>309.7</v>
      </c>
      <c r="O793" s="116">
        <v>294.01</v>
      </c>
      <c r="P793" s="116">
        <v>309.10000000000002</v>
      </c>
      <c r="Q793" s="116">
        <v>2956.15</v>
      </c>
      <c r="R793">
        <v>645800</v>
      </c>
    </row>
    <row r="794" spans="1:18" x14ac:dyDescent="0.25">
      <c r="A794" s="170">
        <v>45271</v>
      </c>
      <c r="B794" s="116">
        <v>303.76</v>
      </c>
      <c r="C794" s="116">
        <v>297.42500000000001</v>
      </c>
      <c r="D794" s="116">
        <v>295.19</v>
      </c>
      <c r="E794" s="116">
        <v>298.29500000000002</v>
      </c>
      <c r="F794" s="116">
        <v>2974.25</v>
      </c>
      <c r="G794">
        <v>34389</v>
      </c>
      <c r="H794" s="116"/>
      <c r="I794" s="116"/>
      <c r="L794" s="170">
        <v>45271</v>
      </c>
      <c r="M794" s="116">
        <v>297.91500000000002</v>
      </c>
      <c r="N794" s="116">
        <v>303.7</v>
      </c>
      <c r="O794" s="116">
        <v>295</v>
      </c>
      <c r="P794" s="116">
        <v>298.60000000000002</v>
      </c>
      <c r="Q794" s="116">
        <v>2979.15</v>
      </c>
      <c r="R794">
        <v>657050</v>
      </c>
    </row>
    <row r="795" spans="1:18" x14ac:dyDescent="0.25">
      <c r="A795" s="170">
        <v>45272</v>
      </c>
      <c r="B795" s="116">
        <v>308.20999999999998</v>
      </c>
      <c r="C795" s="116">
        <v>306.61500000000001</v>
      </c>
      <c r="D795" s="116">
        <v>297.60000000000002</v>
      </c>
      <c r="E795" s="116">
        <v>298.79500000000002</v>
      </c>
      <c r="F795" s="116">
        <v>3066.15</v>
      </c>
      <c r="G795">
        <v>20008</v>
      </c>
      <c r="H795" s="116"/>
      <c r="I795" s="116"/>
      <c r="L795" s="170">
        <v>45272</v>
      </c>
      <c r="M795" s="116">
        <v>306.59500000000003</v>
      </c>
      <c r="N795" s="116">
        <v>308</v>
      </c>
      <c r="O795" s="116">
        <v>297.40499999999997</v>
      </c>
      <c r="P795" s="116">
        <v>299.01</v>
      </c>
      <c r="Q795" s="116">
        <v>3065.95</v>
      </c>
      <c r="R795">
        <v>743029</v>
      </c>
    </row>
    <row r="796" spans="1:18" x14ac:dyDescent="0.25">
      <c r="A796" s="170">
        <v>45273</v>
      </c>
      <c r="B796" s="116">
        <v>309.495</v>
      </c>
      <c r="C796" s="116">
        <v>303.67500000000001</v>
      </c>
      <c r="D796" s="116">
        <v>297.505</v>
      </c>
      <c r="E796" s="116">
        <v>307.28500000000003</v>
      </c>
      <c r="F796" s="116">
        <v>3036.75</v>
      </c>
      <c r="G796">
        <v>23023</v>
      </c>
      <c r="H796" s="116"/>
      <c r="I796" s="116"/>
      <c r="L796" s="170">
        <v>45273</v>
      </c>
      <c r="M796" s="116">
        <v>303.83999999999997</v>
      </c>
      <c r="N796" s="116">
        <v>309.52499999999998</v>
      </c>
      <c r="O796" s="116">
        <v>296.60000000000002</v>
      </c>
      <c r="P796" s="116">
        <v>306.70499999999998</v>
      </c>
      <c r="Q796" s="116">
        <v>3038.4</v>
      </c>
      <c r="R796">
        <v>420389</v>
      </c>
    </row>
    <row r="797" spans="1:18" x14ac:dyDescent="0.25">
      <c r="A797" s="170">
        <v>45274</v>
      </c>
      <c r="B797" s="116">
        <v>322.5</v>
      </c>
      <c r="C797" s="116">
        <v>318.83</v>
      </c>
      <c r="D797" s="116">
        <v>307.495</v>
      </c>
      <c r="E797" s="116">
        <v>307.495</v>
      </c>
      <c r="F797" s="116">
        <v>3188.3</v>
      </c>
      <c r="G797">
        <v>36709</v>
      </c>
      <c r="H797" s="116"/>
      <c r="I797" s="116"/>
      <c r="L797" s="170">
        <v>45274</v>
      </c>
      <c r="M797" s="116">
        <v>319.35500000000002</v>
      </c>
      <c r="N797" s="116">
        <v>322.5</v>
      </c>
      <c r="O797" s="116">
        <v>307.005</v>
      </c>
      <c r="P797" s="116">
        <v>307.005</v>
      </c>
      <c r="Q797" s="116">
        <v>3193.55</v>
      </c>
      <c r="R797">
        <v>1306403</v>
      </c>
    </row>
    <row r="798" spans="1:18" x14ac:dyDescent="0.25">
      <c r="A798" s="170">
        <v>45275</v>
      </c>
      <c r="B798" s="116">
        <v>330.36500000000001</v>
      </c>
      <c r="C798" s="116">
        <v>326.54000000000002</v>
      </c>
      <c r="D798" s="116">
        <v>316.27999999999997</v>
      </c>
      <c r="E798" s="116">
        <v>319.98</v>
      </c>
      <c r="F798" s="116">
        <v>3265.4</v>
      </c>
      <c r="G798">
        <v>43769</v>
      </c>
      <c r="H798" s="116"/>
      <c r="I798" s="116"/>
      <c r="L798" s="170">
        <v>45275</v>
      </c>
      <c r="M798" s="116">
        <v>326.13</v>
      </c>
      <c r="N798" s="116">
        <v>330.42500000000001</v>
      </c>
      <c r="O798" s="116">
        <v>316.02</v>
      </c>
      <c r="P798" s="116">
        <v>319.35500000000002</v>
      </c>
      <c r="Q798" s="116">
        <v>3261.3</v>
      </c>
      <c r="R798">
        <v>1066026</v>
      </c>
    </row>
    <row r="799" spans="1:18" x14ac:dyDescent="0.25">
      <c r="A799" s="170">
        <v>45278</v>
      </c>
      <c r="B799" s="116">
        <v>338.185</v>
      </c>
      <c r="C799" s="116">
        <v>335.47</v>
      </c>
      <c r="D799" s="116">
        <v>317.13499999999999</v>
      </c>
      <c r="E799" s="116">
        <v>325.83</v>
      </c>
      <c r="F799" s="116">
        <v>3354.7</v>
      </c>
      <c r="G799">
        <v>38317</v>
      </c>
      <c r="H799" s="116"/>
      <c r="I799" s="116"/>
      <c r="L799" s="170">
        <v>45278</v>
      </c>
      <c r="M799" s="116">
        <v>335.53</v>
      </c>
      <c r="N799" s="116">
        <v>338.5</v>
      </c>
      <c r="O799" s="116">
        <v>317.70499999999998</v>
      </c>
      <c r="P799" s="116">
        <v>324.8</v>
      </c>
      <c r="Q799" s="116">
        <v>3355.3</v>
      </c>
      <c r="R799">
        <v>642233</v>
      </c>
    </row>
    <row r="800" spans="1:18" x14ac:dyDescent="0.25">
      <c r="A800" s="170">
        <v>45279</v>
      </c>
      <c r="B800" s="116">
        <v>337.245</v>
      </c>
      <c r="C800" s="116">
        <v>328.45</v>
      </c>
      <c r="D800" s="116">
        <v>326.01499999999999</v>
      </c>
      <c r="E800" s="116">
        <v>334.34</v>
      </c>
      <c r="F800" s="116">
        <v>3284.5</v>
      </c>
      <c r="G800">
        <v>19676</v>
      </c>
      <c r="H800" s="116"/>
      <c r="I800" s="116"/>
      <c r="L800" s="170">
        <v>45279</v>
      </c>
      <c r="M800" s="116">
        <v>328.21</v>
      </c>
      <c r="N800" s="116">
        <v>337.3</v>
      </c>
      <c r="O800" s="116">
        <v>326.13</v>
      </c>
      <c r="P800" s="116">
        <v>333.8</v>
      </c>
      <c r="Q800" s="116">
        <v>3282.1</v>
      </c>
      <c r="R800">
        <v>346865</v>
      </c>
    </row>
    <row r="801" spans="1:18" x14ac:dyDescent="0.25">
      <c r="A801" s="170">
        <v>45280</v>
      </c>
      <c r="B801" s="116">
        <v>334.97</v>
      </c>
      <c r="C801" s="116">
        <v>317.87</v>
      </c>
      <c r="D801" s="116">
        <v>312.36</v>
      </c>
      <c r="E801" s="116">
        <v>329.53500000000003</v>
      </c>
      <c r="F801" s="116">
        <v>3178.7</v>
      </c>
      <c r="G801">
        <v>48759</v>
      </c>
      <c r="H801" s="116"/>
      <c r="I801" s="116"/>
      <c r="L801" s="170">
        <v>45280</v>
      </c>
      <c r="M801" s="116">
        <v>318.04500000000002</v>
      </c>
      <c r="N801" s="116">
        <v>334.995</v>
      </c>
      <c r="O801" s="116">
        <v>312.5</v>
      </c>
      <c r="P801" s="116">
        <v>328.5</v>
      </c>
      <c r="Q801" s="116">
        <v>3180.45</v>
      </c>
      <c r="R801">
        <v>688979</v>
      </c>
    </row>
    <row r="802" spans="1:18" x14ac:dyDescent="0.25">
      <c r="A802" s="170">
        <v>45281</v>
      </c>
      <c r="B802" s="116">
        <v>328</v>
      </c>
      <c r="C802" s="116">
        <v>324.8</v>
      </c>
      <c r="D802" s="116">
        <v>313.42500000000001</v>
      </c>
      <c r="E802" s="116">
        <v>315.375</v>
      </c>
      <c r="F802" s="116">
        <v>3248</v>
      </c>
      <c r="G802">
        <v>8802</v>
      </c>
      <c r="H802" s="116"/>
      <c r="I802" s="116"/>
      <c r="L802" s="170">
        <v>45281</v>
      </c>
      <c r="M802" s="116">
        <v>324.81</v>
      </c>
      <c r="N802" s="116">
        <v>328.23500000000001</v>
      </c>
      <c r="O802" s="116">
        <v>313.41500000000002</v>
      </c>
      <c r="P802" s="116">
        <v>318.04500000000002</v>
      </c>
      <c r="Q802" s="116">
        <v>3248.1</v>
      </c>
      <c r="R802">
        <v>395985</v>
      </c>
    </row>
    <row r="803" spans="1:18" x14ac:dyDescent="0.25">
      <c r="A803" s="170">
        <v>45282</v>
      </c>
      <c r="B803" s="116">
        <v>334</v>
      </c>
      <c r="C803" s="116">
        <v>328.94</v>
      </c>
      <c r="D803" s="116">
        <v>326.64999999999998</v>
      </c>
      <c r="E803" s="116">
        <v>328.58499999999998</v>
      </c>
      <c r="F803" s="116">
        <v>3289.4</v>
      </c>
      <c r="G803">
        <v>6777</v>
      </c>
      <c r="H803" s="116"/>
      <c r="I803" s="116"/>
      <c r="L803" s="170">
        <v>45282</v>
      </c>
      <c r="M803" s="116">
        <v>329.23500000000001</v>
      </c>
      <c r="N803" s="116">
        <v>334.22</v>
      </c>
      <c r="O803" s="116">
        <v>326.03500000000003</v>
      </c>
      <c r="P803" s="116">
        <v>328.25</v>
      </c>
      <c r="Q803" s="116">
        <v>3292.35</v>
      </c>
      <c r="R803">
        <v>227632</v>
      </c>
    </row>
    <row r="804" spans="1:18" x14ac:dyDescent="0.25">
      <c r="A804" s="170">
        <v>45286</v>
      </c>
      <c r="B804" s="116">
        <v>335.08499999999998</v>
      </c>
      <c r="C804" s="116">
        <v>328.625</v>
      </c>
      <c r="D804" s="116">
        <v>325.64999999999998</v>
      </c>
      <c r="E804" s="116">
        <v>328.88</v>
      </c>
      <c r="F804" s="116">
        <v>3286.25</v>
      </c>
      <c r="G804">
        <v>8418</v>
      </c>
      <c r="H804" s="116"/>
      <c r="I804" s="116"/>
      <c r="L804" s="170">
        <v>45286</v>
      </c>
      <c r="M804" s="116">
        <v>328.82</v>
      </c>
      <c r="N804" s="116">
        <v>335</v>
      </c>
      <c r="O804" s="116">
        <v>325.85000000000002</v>
      </c>
      <c r="P804" s="116">
        <v>330</v>
      </c>
      <c r="Q804" s="116">
        <v>3288.2</v>
      </c>
      <c r="R804">
        <v>208478</v>
      </c>
    </row>
    <row r="805" spans="1:18" x14ac:dyDescent="0.25">
      <c r="A805" s="170">
        <v>45287</v>
      </c>
      <c r="B805" s="116">
        <v>333.99</v>
      </c>
      <c r="C805" s="116">
        <v>331.99</v>
      </c>
      <c r="D805" s="116">
        <v>328</v>
      </c>
      <c r="E805" s="116">
        <v>332.995</v>
      </c>
      <c r="F805" s="116">
        <v>3319.9</v>
      </c>
      <c r="G805">
        <v>4648</v>
      </c>
      <c r="H805" s="116"/>
      <c r="I805" s="116"/>
      <c r="L805" s="170">
        <v>45287</v>
      </c>
      <c r="M805" s="116">
        <v>331.65499999999997</v>
      </c>
      <c r="N805" s="116">
        <v>334.1</v>
      </c>
      <c r="O805" s="116">
        <v>327.91</v>
      </c>
      <c r="P805" s="116">
        <v>330.5</v>
      </c>
      <c r="Q805" s="116">
        <v>3316.55</v>
      </c>
      <c r="R805">
        <v>287730</v>
      </c>
    </row>
    <row r="806" spans="1:18" x14ac:dyDescent="0.25">
      <c r="A806" s="170">
        <v>45288</v>
      </c>
      <c r="B806" s="116">
        <v>343.495</v>
      </c>
      <c r="C806" s="116">
        <v>341.86500000000001</v>
      </c>
      <c r="D806" s="116">
        <v>330.38</v>
      </c>
      <c r="E806" s="116">
        <v>332.005</v>
      </c>
      <c r="F806" s="116">
        <v>3418.65</v>
      </c>
      <c r="G806">
        <v>32751</v>
      </c>
      <c r="H806" s="116"/>
      <c r="I806" s="116"/>
      <c r="L806" s="170">
        <v>45288</v>
      </c>
      <c r="M806" s="116">
        <v>341.91</v>
      </c>
      <c r="N806" s="116">
        <v>344.495</v>
      </c>
      <c r="O806" s="116">
        <v>330.33</v>
      </c>
      <c r="P806" s="116">
        <v>332.5</v>
      </c>
      <c r="Q806" s="116">
        <v>3419.1</v>
      </c>
      <c r="R806">
        <v>392007</v>
      </c>
    </row>
    <row r="807" spans="1:18" x14ac:dyDescent="0.25">
      <c r="A807" s="170">
        <v>45289</v>
      </c>
      <c r="B807" s="116">
        <v>350</v>
      </c>
      <c r="C807" s="116">
        <v>348.94499999999999</v>
      </c>
      <c r="D807" s="116">
        <v>337.57499999999999</v>
      </c>
      <c r="E807" s="116">
        <v>344</v>
      </c>
      <c r="F807" s="116">
        <v>3489.45</v>
      </c>
      <c r="G807">
        <v>15389</v>
      </c>
      <c r="H807" s="116"/>
      <c r="I807" s="116"/>
      <c r="L807" s="170">
        <v>45289</v>
      </c>
      <c r="M807" s="116">
        <v>348.78</v>
      </c>
      <c r="N807" s="116">
        <v>350.5</v>
      </c>
      <c r="O807" s="116">
        <v>337.5</v>
      </c>
      <c r="P807" s="116">
        <v>343.5</v>
      </c>
      <c r="Q807" s="116">
        <v>3487.8</v>
      </c>
      <c r="R807">
        <v>541193</v>
      </c>
    </row>
    <row r="808" spans="1:18" x14ac:dyDescent="0.25">
      <c r="A808" s="170">
        <v>45292</v>
      </c>
      <c r="B808" s="116">
        <v>361.22500000000002</v>
      </c>
      <c r="C808" s="116">
        <v>358.435</v>
      </c>
      <c r="D808" s="116">
        <v>346.41</v>
      </c>
      <c r="E808" s="116">
        <v>351.39499999999998</v>
      </c>
      <c r="F808" s="116">
        <v>3584.35</v>
      </c>
      <c r="G808">
        <v>21454</v>
      </c>
      <c r="H808" s="116"/>
      <c r="I808" s="116"/>
      <c r="L808" s="170">
        <v>45292</v>
      </c>
      <c r="M808" s="116">
        <v>358.33</v>
      </c>
      <c r="N808" s="116">
        <v>361.89</v>
      </c>
      <c r="O808" s="116">
        <v>346.38</v>
      </c>
      <c r="P808" s="116">
        <v>348.4</v>
      </c>
      <c r="Q808" s="116">
        <v>3583.3</v>
      </c>
      <c r="R808">
        <v>313160</v>
      </c>
    </row>
    <row r="809" spans="1:18" x14ac:dyDescent="0.25">
      <c r="A809" s="170">
        <v>45293</v>
      </c>
      <c r="B809" s="116">
        <v>363.9</v>
      </c>
      <c r="C809" s="116">
        <v>353.30500000000001</v>
      </c>
      <c r="D809" s="116">
        <v>349.9</v>
      </c>
      <c r="E809" s="116">
        <v>361.16500000000002</v>
      </c>
      <c r="F809" s="116">
        <v>3533.05</v>
      </c>
      <c r="G809">
        <v>21342</v>
      </c>
      <c r="H809" s="116"/>
      <c r="I809" s="116"/>
      <c r="L809" s="170">
        <v>45293</v>
      </c>
      <c r="M809" s="116">
        <v>353.59500000000003</v>
      </c>
      <c r="N809" s="116">
        <v>364.2</v>
      </c>
      <c r="O809" s="116">
        <v>348.32499999999999</v>
      </c>
      <c r="P809" s="116">
        <v>360</v>
      </c>
      <c r="Q809" s="116">
        <v>3535.95</v>
      </c>
      <c r="R809">
        <v>286624</v>
      </c>
    </row>
    <row r="810" spans="1:18" x14ac:dyDescent="0.25">
      <c r="A810" s="170">
        <v>45294</v>
      </c>
      <c r="B810" s="116">
        <v>352.5</v>
      </c>
      <c r="C810" s="116">
        <v>348.16</v>
      </c>
      <c r="D810" s="116">
        <v>346.42500000000001</v>
      </c>
      <c r="E810" s="116">
        <v>351.33499999999998</v>
      </c>
      <c r="F810" s="116">
        <v>3481.6</v>
      </c>
      <c r="G810">
        <v>4186</v>
      </c>
      <c r="H810" s="116"/>
      <c r="I810" s="116"/>
      <c r="L810" s="170">
        <v>45294</v>
      </c>
      <c r="M810" s="116">
        <v>347.94</v>
      </c>
      <c r="N810" s="116">
        <v>352.4</v>
      </c>
      <c r="O810" s="116">
        <v>346.5</v>
      </c>
      <c r="P810" s="116">
        <v>351.69499999999999</v>
      </c>
      <c r="Q810" s="116">
        <v>3479.4</v>
      </c>
      <c r="R810">
        <v>181722</v>
      </c>
    </row>
    <row r="811" spans="1:18" x14ac:dyDescent="0.25">
      <c r="A811" s="170">
        <v>45295</v>
      </c>
      <c r="B811" s="116">
        <v>374.9</v>
      </c>
      <c r="C811" s="116">
        <v>358.85500000000002</v>
      </c>
      <c r="D811" s="116">
        <v>354.95499999999998</v>
      </c>
      <c r="E811" s="116">
        <v>359.23</v>
      </c>
      <c r="F811" s="116">
        <v>3588.55</v>
      </c>
      <c r="G811">
        <v>48116</v>
      </c>
      <c r="H811" s="116"/>
      <c r="I811" s="116"/>
      <c r="L811" s="170">
        <v>45295</v>
      </c>
      <c r="M811" s="116">
        <v>358.20499999999998</v>
      </c>
      <c r="N811" s="116">
        <v>375</v>
      </c>
      <c r="O811" s="116">
        <v>355.005</v>
      </c>
      <c r="P811" s="116">
        <v>359.6</v>
      </c>
      <c r="Q811" s="116">
        <v>3582.05</v>
      </c>
      <c r="R811">
        <v>846399</v>
      </c>
    </row>
    <row r="812" spans="1:18" x14ac:dyDescent="0.25">
      <c r="A812" s="170">
        <v>45296</v>
      </c>
      <c r="B812" s="116">
        <v>377</v>
      </c>
      <c r="C812" s="116">
        <v>374.54500000000002</v>
      </c>
      <c r="D812" s="116">
        <v>361.005</v>
      </c>
      <c r="E812" s="116">
        <v>363.48500000000001</v>
      </c>
      <c r="F812" s="116">
        <v>3745.45</v>
      </c>
      <c r="G812">
        <v>35279</v>
      </c>
      <c r="H812" s="116"/>
      <c r="I812" s="116"/>
      <c r="L812" s="170">
        <v>45296</v>
      </c>
      <c r="M812" s="116">
        <v>374.41</v>
      </c>
      <c r="N812" s="116">
        <v>377.28</v>
      </c>
      <c r="O812" s="116">
        <v>360.5</v>
      </c>
      <c r="P812" s="116">
        <v>360.5</v>
      </c>
      <c r="Q812" s="116">
        <v>3744.1</v>
      </c>
      <c r="R812">
        <v>338899</v>
      </c>
    </row>
    <row r="813" spans="1:18" x14ac:dyDescent="0.25">
      <c r="A813" s="170">
        <v>45299</v>
      </c>
      <c r="B813" s="116">
        <v>388.495</v>
      </c>
      <c r="C813" s="116">
        <v>380.46</v>
      </c>
      <c r="D813" s="116">
        <v>376</v>
      </c>
      <c r="E813" s="116">
        <v>376.97500000000002</v>
      </c>
      <c r="F813" s="116">
        <v>3804.6</v>
      </c>
      <c r="G813">
        <v>30757</v>
      </c>
      <c r="H813" s="116"/>
      <c r="I813" s="116"/>
      <c r="L813" s="170">
        <v>45299</v>
      </c>
      <c r="M813" s="116">
        <v>380.565</v>
      </c>
      <c r="N813" s="116">
        <v>388.41500000000002</v>
      </c>
      <c r="O813" s="116">
        <v>375.25</v>
      </c>
      <c r="P813" s="116">
        <v>376</v>
      </c>
      <c r="Q813" s="116">
        <v>3805.65</v>
      </c>
      <c r="R813">
        <v>437238</v>
      </c>
    </row>
    <row r="814" spans="1:18" x14ac:dyDescent="0.25">
      <c r="A814" s="170">
        <v>45300</v>
      </c>
      <c r="B814" s="116">
        <v>390.03500000000003</v>
      </c>
      <c r="C814" s="116">
        <v>377.315</v>
      </c>
      <c r="D814" s="116">
        <v>369.495</v>
      </c>
      <c r="E814" s="116">
        <v>384.29500000000002</v>
      </c>
      <c r="F814" s="116">
        <v>3773.15</v>
      </c>
      <c r="G814">
        <v>12855</v>
      </c>
      <c r="H814" s="116"/>
      <c r="I814" s="116"/>
      <c r="L814" s="170">
        <v>45300</v>
      </c>
      <c r="M814" s="116">
        <v>376.26</v>
      </c>
      <c r="N814" s="116">
        <v>389.6</v>
      </c>
      <c r="O814" s="116">
        <v>369.255</v>
      </c>
      <c r="P814" s="116">
        <v>382.94</v>
      </c>
      <c r="Q814" s="116">
        <v>3762.6</v>
      </c>
      <c r="R814">
        <v>432937</v>
      </c>
    </row>
    <row r="815" spans="1:18" x14ac:dyDescent="0.25">
      <c r="A815" s="170">
        <v>45301</v>
      </c>
      <c r="B815" s="116">
        <v>381.065</v>
      </c>
      <c r="C815" s="116">
        <v>375.71</v>
      </c>
      <c r="D815" s="116">
        <v>369.23</v>
      </c>
      <c r="E815" s="116">
        <v>377.61500000000001</v>
      </c>
      <c r="F815" s="116">
        <v>3757.1</v>
      </c>
      <c r="G815">
        <v>25004</v>
      </c>
      <c r="H815" s="116"/>
      <c r="I815" s="116"/>
      <c r="L815" s="170">
        <v>45301</v>
      </c>
      <c r="M815" s="116">
        <v>376.01</v>
      </c>
      <c r="N815" s="116">
        <v>381.495</v>
      </c>
      <c r="O815" s="116">
        <v>369.5</v>
      </c>
      <c r="P815" s="116">
        <v>378.97</v>
      </c>
      <c r="Q815" s="116">
        <v>3760.1</v>
      </c>
      <c r="R815">
        <v>243139</v>
      </c>
    </row>
    <row r="816" spans="1:18" x14ac:dyDescent="0.25">
      <c r="A816" s="170">
        <v>45302</v>
      </c>
      <c r="B816" s="116">
        <v>383.35</v>
      </c>
      <c r="C816" s="116">
        <v>377.16</v>
      </c>
      <c r="D816" s="116">
        <v>373.57</v>
      </c>
      <c r="E816" s="116">
        <v>379.61500000000001</v>
      </c>
      <c r="F816" s="116">
        <v>3771.6</v>
      </c>
      <c r="G816">
        <v>14184</v>
      </c>
      <c r="H816" s="116"/>
      <c r="I816" s="116"/>
      <c r="L816" s="170">
        <v>45302</v>
      </c>
      <c r="M816" s="116">
        <v>378.77</v>
      </c>
      <c r="N816" s="116">
        <v>383.52</v>
      </c>
      <c r="O816" s="116">
        <v>375</v>
      </c>
      <c r="P816" s="116">
        <v>380</v>
      </c>
      <c r="Q816" s="116">
        <v>3787.7</v>
      </c>
      <c r="R816">
        <v>200310</v>
      </c>
    </row>
    <row r="817" spans="1:18" x14ac:dyDescent="0.25">
      <c r="A817" s="170">
        <v>45303</v>
      </c>
      <c r="B817" s="116">
        <v>384.185</v>
      </c>
      <c r="C817" s="116">
        <v>379.59500000000003</v>
      </c>
      <c r="D817" s="116">
        <v>375.13</v>
      </c>
      <c r="E817" s="116">
        <v>384.185</v>
      </c>
      <c r="F817" s="116">
        <v>3795.95</v>
      </c>
      <c r="G817">
        <v>6341</v>
      </c>
      <c r="H817" s="116"/>
      <c r="I817" s="116"/>
      <c r="L817" s="170">
        <v>45303</v>
      </c>
      <c r="M817" s="116">
        <v>379.54</v>
      </c>
      <c r="N817" s="116">
        <v>382.49</v>
      </c>
      <c r="O817" s="116">
        <v>375.02</v>
      </c>
      <c r="P817" s="116">
        <v>382.49</v>
      </c>
      <c r="Q817" s="116">
        <v>3795.4</v>
      </c>
      <c r="R817">
        <v>150616</v>
      </c>
    </row>
    <row r="818" spans="1:18" x14ac:dyDescent="0.25">
      <c r="A818" s="170">
        <v>45306</v>
      </c>
      <c r="B818" s="116">
        <v>389.34500000000003</v>
      </c>
      <c r="C818" s="116">
        <v>387.47</v>
      </c>
      <c r="D818" s="116">
        <v>372.9</v>
      </c>
      <c r="E818" s="116">
        <v>380</v>
      </c>
      <c r="F818" s="116">
        <v>3874.7</v>
      </c>
      <c r="G818">
        <v>34658</v>
      </c>
      <c r="H818" s="116"/>
      <c r="I818" s="116"/>
      <c r="L818" s="170">
        <v>45306</v>
      </c>
      <c r="M818" s="116">
        <v>387.57</v>
      </c>
      <c r="N818" s="116">
        <v>389.5</v>
      </c>
      <c r="O818" s="116">
        <v>372.9</v>
      </c>
      <c r="P818" s="116">
        <v>380</v>
      </c>
      <c r="Q818" s="116">
        <v>3875.7</v>
      </c>
      <c r="R818">
        <v>431827</v>
      </c>
    </row>
    <row r="819" spans="1:18" x14ac:dyDescent="0.25">
      <c r="A819" s="170">
        <v>45307</v>
      </c>
      <c r="B819" s="116">
        <v>360.78500000000003</v>
      </c>
      <c r="C819" s="116">
        <v>332.83</v>
      </c>
      <c r="D819" s="116">
        <v>328</v>
      </c>
      <c r="E819" s="116">
        <v>350</v>
      </c>
      <c r="F819" s="116">
        <v>3328.3</v>
      </c>
      <c r="G819">
        <v>126670</v>
      </c>
      <c r="H819" s="116"/>
      <c r="I819" s="116"/>
      <c r="L819" s="170">
        <v>45307</v>
      </c>
      <c r="M819" s="116">
        <v>332.99</v>
      </c>
      <c r="N819" s="116">
        <v>360.5</v>
      </c>
      <c r="O819" s="116">
        <v>328</v>
      </c>
      <c r="P819" s="116">
        <v>350</v>
      </c>
      <c r="Q819" s="116">
        <v>3329.9</v>
      </c>
      <c r="R819">
        <v>2784753</v>
      </c>
    </row>
    <row r="820" spans="1:18" x14ac:dyDescent="0.25">
      <c r="A820" s="170">
        <v>45308</v>
      </c>
      <c r="B820" s="116">
        <v>349.62</v>
      </c>
      <c r="C820" s="116">
        <v>333.66500000000002</v>
      </c>
      <c r="D820" s="116">
        <v>324.10000000000002</v>
      </c>
      <c r="E820" s="116">
        <v>337.505</v>
      </c>
      <c r="F820" s="116">
        <v>3336.65</v>
      </c>
      <c r="G820">
        <v>48971</v>
      </c>
      <c r="H820" s="116"/>
      <c r="I820" s="116"/>
      <c r="L820" s="170">
        <v>45308</v>
      </c>
      <c r="M820" s="116">
        <v>333.33499999999998</v>
      </c>
      <c r="N820" s="116">
        <v>349.4</v>
      </c>
      <c r="O820" s="116">
        <v>324.01499999999999</v>
      </c>
      <c r="P820" s="116">
        <v>339</v>
      </c>
      <c r="Q820" s="116">
        <v>3333.35</v>
      </c>
      <c r="R820">
        <v>1415266</v>
      </c>
    </row>
    <row r="821" spans="1:18" x14ac:dyDescent="0.25">
      <c r="A821" s="170">
        <v>45309</v>
      </c>
      <c r="B821" s="116">
        <v>338.8</v>
      </c>
      <c r="C821" s="116">
        <v>329.9</v>
      </c>
      <c r="D821" s="116">
        <v>327</v>
      </c>
      <c r="E821" s="116">
        <v>337.97500000000002</v>
      </c>
      <c r="F821" s="116">
        <v>3299</v>
      </c>
      <c r="G821">
        <v>40196</v>
      </c>
      <c r="H821" s="116"/>
      <c r="I821" s="116"/>
      <c r="L821" s="170">
        <v>45309</v>
      </c>
      <c r="M821" s="116">
        <v>329.46</v>
      </c>
      <c r="N821" s="116">
        <v>338.8</v>
      </c>
      <c r="O821" s="116">
        <v>327</v>
      </c>
      <c r="P821" s="116">
        <v>337.1</v>
      </c>
      <c r="Q821" s="116">
        <v>3294.6</v>
      </c>
      <c r="R821">
        <v>462958</v>
      </c>
    </row>
    <row r="822" spans="1:18" x14ac:dyDescent="0.25">
      <c r="A822" s="170">
        <v>45310</v>
      </c>
      <c r="B822" s="116">
        <v>337.5</v>
      </c>
      <c r="C822" s="116">
        <v>333.68</v>
      </c>
      <c r="D822" s="116">
        <v>329.9</v>
      </c>
      <c r="E822" s="116">
        <v>335</v>
      </c>
      <c r="F822" s="116">
        <v>3336.8</v>
      </c>
      <c r="G822">
        <v>26650</v>
      </c>
      <c r="H822" s="116"/>
      <c r="I822" s="116"/>
      <c r="L822" s="170">
        <v>45310</v>
      </c>
      <c r="M822" s="116">
        <v>333.8</v>
      </c>
      <c r="N822" s="116">
        <v>337.76</v>
      </c>
      <c r="O822" s="116">
        <v>329.7</v>
      </c>
      <c r="P822" s="116">
        <v>334.99</v>
      </c>
      <c r="Q822" s="116">
        <v>3338</v>
      </c>
      <c r="R822">
        <v>241730</v>
      </c>
    </row>
    <row r="823" spans="1:18" x14ac:dyDescent="0.25">
      <c r="A823" s="170">
        <v>45311</v>
      </c>
      <c r="B823" s="116">
        <v>335.375</v>
      </c>
      <c r="C823" s="116">
        <v>324.625</v>
      </c>
      <c r="D823" s="116">
        <v>320.33</v>
      </c>
      <c r="E823" s="116">
        <v>335.375</v>
      </c>
      <c r="F823" s="116">
        <v>3246.25</v>
      </c>
      <c r="G823">
        <v>7861</v>
      </c>
      <c r="H823" s="116"/>
      <c r="I823" s="116"/>
      <c r="L823" s="170">
        <v>45311</v>
      </c>
      <c r="M823" s="116">
        <v>324.62</v>
      </c>
      <c r="N823" s="116">
        <v>334.97</v>
      </c>
      <c r="O823" s="116">
        <v>320</v>
      </c>
      <c r="P823" s="116">
        <v>334.97</v>
      </c>
      <c r="Q823" s="116">
        <v>3246.2</v>
      </c>
      <c r="R823">
        <v>237129</v>
      </c>
    </row>
    <row r="824" spans="1:18" x14ac:dyDescent="0.25">
      <c r="A824" s="170">
        <v>45314</v>
      </c>
      <c r="B824" s="116">
        <v>329.75</v>
      </c>
      <c r="C824" s="116">
        <v>297.10000000000002</v>
      </c>
      <c r="D824" s="116">
        <v>293.89999999999998</v>
      </c>
      <c r="E824" s="116">
        <v>325.14499999999998</v>
      </c>
      <c r="F824" s="116">
        <v>2971</v>
      </c>
      <c r="G824">
        <v>81903</v>
      </c>
      <c r="H824" s="116"/>
      <c r="I824" s="116"/>
      <c r="L824" s="170">
        <v>45314</v>
      </c>
      <c r="M824" s="116">
        <v>297.245</v>
      </c>
      <c r="N824" s="116">
        <v>329.64499999999998</v>
      </c>
      <c r="O824" s="116">
        <v>293</v>
      </c>
      <c r="P824" s="116">
        <v>327.5</v>
      </c>
      <c r="Q824" s="116">
        <v>2972.45</v>
      </c>
      <c r="R824">
        <v>618379</v>
      </c>
    </row>
    <row r="825" spans="1:18" x14ac:dyDescent="0.25">
      <c r="A825" s="170">
        <v>45315</v>
      </c>
      <c r="B825" s="116">
        <v>304.47500000000002</v>
      </c>
      <c r="C825" s="116">
        <v>293.77</v>
      </c>
      <c r="D825" s="116">
        <v>287.64499999999998</v>
      </c>
      <c r="E825" s="116">
        <v>298.47500000000002</v>
      </c>
      <c r="F825" s="116">
        <v>2937.7</v>
      </c>
      <c r="G825">
        <v>26121</v>
      </c>
      <c r="H825" s="116"/>
      <c r="I825" s="116"/>
      <c r="L825" s="170">
        <v>45315</v>
      </c>
      <c r="M825" s="116">
        <v>293.66500000000002</v>
      </c>
      <c r="N825" s="116">
        <v>304.39999999999998</v>
      </c>
      <c r="O825" s="116">
        <v>287.60500000000002</v>
      </c>
      <c r="P825" s="116">
        <v>299.5</v>
      </c>
      <c r="Q825" s="116">
        <v>2936.65</v>
      </c>
      <c r="R825">
        <v>843096</v>
      </c>
    </row>
    <row r="826" spans="1:18" x14ac:dyDescent="0.25">
      <c r="A826" s="170">
        <v>45316</v>
      </c>
      <c r="B826" s="116">
        <v>298.23</v>
      </c>
      <c r="C826" s="116">
        <v>290.67500000000001</v>
      </c>
      <c r="D826" s="116">
        <v>284.51499999999999</v>
      </c>
      <c r="E826" s="116">
        <v>296.30500000000001</v>
      </c>
      <c r="F826" s="116">
        <v>2906.75</v>
      </c>
      <c r="G826">
        <v>44485</v>
      </c>
      <c r="H826" s="116"/>
      <c r="I826" s="116"/>
      <c r="L826" s="170">
        <v>45316</v>
      </c>
      <c r="M826" s="116">
        <v>292.12</v>
      </c>
      <c r="N826" s="116">
        <v>298.10000000000002</v>
      </c>
      <c r="O826" s="116">
        <v>284.35000000000002</v>
      </c>
      <c r="P826" s="116">
        <v>296</v>
      </c>
      <c r="Q826" s="116">
        <v>2921.2</v>
      </c>
      <c r="R826">
        <v>658771</v>
      </c>
    </row>
    <row r="827" spans="1:18" x14ac:dyDescent="0.25">
      <c r="A827" s="170">
        <v>45320</v>
      </c>
      <c r="B827" s="116">
        <v>296.11500000000001</v>
      </c>
      <c r="C827" s="116">
        <v>295.05</v>
      </c>
      <c r="D827" s="116">
        <v>284.67500000000001</v>
      </c>
      <c r="E827" s="116">
        <v>292</v>
      </c>
      <c r="F827" s="116">
        <v>2950.5</v>
      </c>
      <c r="G827">
        <v>24057</v>
      </c>
      <c r="H827" s="116"/>
      <c r="I827" s="116"/>
      <c r="L827" s="170">
        <v>45320</v>
      </c>
      <c r="M827" s="116">
        <v>295.02999999999997</v>
      </c>
      <c r="N827" s="116">
        <v>295.89999999999998</v>
      </c>
      <c r="O827" s="116">
        <v>284.625</v>
      </c>
      <c r="P827" s="116">
        <v>292.12</v>
      </c>
      <c r="Q827" s="116">
        <v>2950.3</v>
      </c>
      <c r="R827">
        <v>776276</v>
      </c>
    </row>
    <row r="828" spans="1:18" x14ac:dyDescent="0.25">
      <c r="A828" s="170">
        <v>45321</v>
      </c>
      <c r="B828" s="116">
        <v>311.7</v>
      </c>
      <c r="C828" s="116">
        <v>309.22000000000003</v>
      </c>
      <c r="D828" s="116">
        <v>295.10500000000002</v>
      </c>
      <c r="E828" s="116">
        <v>295.91000000000003</v>
      </c>
      <c r="F828" s="116">
        <v>3092.2</v>
      </c>
      <c r="G828">
        <v>53895</v>
      </c>
      <c r="H828" s="116"/>
      <c r="I828" s="116"/>
      <c r="L828" s="170">
        <v>45321</v>
      </c>
      <c r="M828" s="116">
        <v>309.375</v>
      </c>
      <c r="N828" s="116">
        <v>311.44</v>
      </c>
      <c r="O828" s="116">
        <v>295.10500000000002</v>
      </c>
      <c r="P828" s="116">
        <v>296.79500000000002</v>
      </c>
      <c r="Q828" s="116">
        <v>3093.75</v>
      </c>
      <c r="R828">
        <v>661400</v>
      </c>
    </row>
    <row r="829" spans="1:18" x14ac:dyDescent="0.25">
      <c r="A829" s="170">
        <v>45322</v>
      </c>
      <c r="B829" s="116">
        <v>329.61</v>
      </c>
      <c r="C829" s="116">
        <v>328.42500000000001</v>
      </c>
      <c r="D829" s="116">
        <v>307.79000000000002</v>
      </c>
      <c r="E829" s="116">
        <v>311.25</v>
      </c>
      <c r="F829" s="116">
        <v>3284.25</v>
      </c>
      <c r="G829">
        <v>24158</v>
      </c>
      <c r="H829" s="116"/>
      <c r="I829" s="116"/>
      <c r="L829" s="170">
        <v>45322</v>
      </c>
      <c r="M829" s="116">
        <v>328.53500000000003</v>
      </c>
      <c r="N829" s="116">
        <v>329.9</v>
      </c>
      <c r="O829" s="116">
        <v>307.13</v>
      </c>
      <c r="P829" s="116">
        <v>311.7</v>
      </c>
      <c r="Q829" s="116">
        <v>3285.35</v>
      </c>
      <c r="R829">
        <v>558315</v>
      </c>
    </row>
    <row r="830" spans="1:18" x14ac:dyDescent="0.25">
      <c r="A830" s="170">
        <v>45323</v>
      </c>
      <c r="B830" s="116">
        <v>337.87</v>
      </c>
      <c r="C830" s="116">
        <v>335.92500000000001</v>
      </c>
      <c r="D830" s="116">
        <v>328.5</v>
      </c>
      <c r="E830" s="116">
        <v>329.13499999999999</v>
      </c>
      <c r="F830" s="116">
        <v>3359.25</v>
      </c>
      <c r="G830">
        <v>16968</v>
      </c>
      <c r="H830" s="116"/>
      <c r="I830" s="116"/>
      <c r="L830" s="170">
        <v>45323</v>
      </c>
      <c r="M830" s="116">
        <v>335.88499999999999</v>
      </c>
      <c r="N830" s="116">
        <v>337.79</v>
      </c>
      <c r="O830" s="116">
        <v>328.5</v>
      </c>
      <c r="P830" s="116">
        <v>329</v>
      </c>
      <c r="Q830" s="116">
        <v>3358.85</v>
      </c>
      <c r="R830">
        <v>489470</v>
      </c>
    </row>
    <row r="831" spans="1:18" x14ac:dyDescent="0.25">
      <c r="A831" s="170">
        <v>45324</v>
      </c>
      <c r="B831" s="116">
        <v>343.745</v>
      </c>
      <c r="C831" s="116">
        <v>332.58499999999998</v>
      </c>
      <c r="D831" s="116">
        <v>322.875</v>
      </c>
      <c r="E831" s="116">
        <v>338.82</v>
      </c>
      <c r="F831" s="116">
        <v>3325.85</v>
      </c>
      <c r="G831">
        <v>46122</v>
      </c>
      <c r="H831" s="116"/>
      <c r="I831" s="116"/>
      <c r="L831" s="170">
        <v>45324</v>
      </c>
      <c r="M831" s="116">
        <v>333.83499999999998</v>
      </c>
      <c r="N831" s="116">
        <v>343.61</v>
      </c>
      <c r="O831" s="116">
        <v>322.10000000000002</v>
      </c>
      <c r="P831" s="116">
        <v>339.99</v>
      </c>
      <c r="Q831" s="116">
        <v>3338.35</v>
      </c>
      <c r="R831">
        <v>424636</v>
      </c>
    </row>
    <row r="832" spans="1:18" x14ac:dyDescent="0.25">
      <c r="A832" s="170">
        <v>45327</v>
      </c>
      <c r="B832" s="116">
        <v>335.36500000000001</v>
      </c>
      <c r="C832" s="116">
        <v>321.13499999999999</v>
      </c>
      <c r="D832" s="116">
        <v>319.39</v>
      </c>
      <c r="E832" s="116">
        <v>333.69499999999999</v>
      </c>
      <c r="F832" s="116">
        <v>3211.35</v>
      </c>
      <c r="G832">
        <v>10932</v>
      </c>
      <c r="H832" s="116"/>
      <c r="I832" s="116"/>
      <c r="L832" s="170">
        <v>45327</v>
      </c>
      <c r="M832" s="116">
        <v>321.255</v>
      </c>
      <c r="N832" s="116">
        <v>335.45499999999998</v>
      </c>
      <c r="O832" s="116">
        <v>319.2</v>
      </c>
      <c r="P832" s="116">
        <v>332.5</v>
      </c>
      <c r="Q832" s="116">
        <v>3212.55</v>
      </c>
      <c r="R832">
        <v>244132</v>
      </c>
    </row>
    <row r="833" spans="1:18" x14ac:dyDescent="0.25">
      <c r="A833" s="170">
        <v>45328</v>
      </c>
      <c r="B833" s="116">
        <v>325</v>
      </c>
      <c r="C833" s="116">
        <v>312.89499999999998</v>
      </c>
      <c r="D833" s="116">
        <v>306.27</v>
      </c>
      <c r="E833" s="116">
        <v>321.13499999999999</v>
      </c>
      <c r="F833" s="116">
        <v>3128.95</v>
      </c>
      <c r="G833">
        <v>20176</v>
      </c>
      <c r="H833" s="116"/>
      <c r="I833" s="116"/>
      <c r="L833" s="170">
        <v>45328</v>
      </c>
      <c r="M833" s="116">
        <v>313.25</v>
      </c>
      <c r="N833" s="116">
        <v>325.32</v>
      </c>
      <c r="O833" s="116">
        <v>306.02</v>
      </c>
      <c r="P833" s="116">
        <v>321.26499999999999</v>
      </c>
      <c r="Q833" s="116">
        <v>3132.5</v>
      </c>
      <c r="R833">
        <v>337693</v>
      </c>
    </row>
    <row r="834" spans="1:18" x14ac:dyDescent="0.25">
      <c r="A834" s="170">
        <v>45329</v>
      </c>
      <c r="B834" s="116">
        <v>336.53</v>
      </c>
      <c r="C834" s="116">
        <v>334.76499999999999</v>
      </c>
      <c r="D834" s="116">
        <v>315.01499999999999</v>
      </c>
      <c r="E834" s="116">
        <v>315.01499999999999</v>
      </c>
      <c r="F834" s="116">
        <v>3347.65</v>
      </c>
      <c r="G834">
        <v>14184</v>
      </c>
      <c r="H834" s="116"/>
      <c r="I834" s="116"/>
      <c r="L834" s="170">
        <v>45329</v>
      </c>
      <c r="M834" s="116">
        <v>334.5</v>
      </c>
      <c r="N834" s="116">
        <v>336.34500000000003</v>
      </c>
      <c r="O834" s="116">
        <v>320.27999999999997</v>
      </c>
      <c r="P834" s="116">
        <v>321.89999999999998</v>
      </c>
      <c r="Q834" s="116">
        <v>3345</v>
      </c>
      <c r="R834">
        <v>457752</v>
      </c>
    </row>
    <row r="835" spans="1:18" x14ac:dyDescent="0.25">
      <c r="A835" s="170">
        <v>45330</v>
      </c>
      <c r="B835" s="116">
        <v>343.98</v>
      </c>
      <c r="C835" s="116">
        <v>339.52</v>
      </c>
      <c r="D835" s="116">
        <v>336.88499999999999</v>
      </c>
      <c r="E835" s="116">
        <v>338.995</v>
      </c>
      <c r="F835" s="116">
        <v>3395.2</v>
      </c>
      <c r="G835">
        <v>44943</v>
      </c>
      <c r="H835" s="116"/>
      <c r="I835" s="116"/>
      <c r="L835" s="170">
        <v>45330</v>
      </c>
      <c r="M835" s="116">
        <v>339.84</v>
      </c>
      <c r="N835" s="116">
        <v>343.82</v>
      </c>
      <c r="O835" s="116">
        <v>336.3</v>
      </c>
      <c r="P835" s="116">
        <v>336.3</v>
      </c>
      <c r="Q835" s="116">
        <v>3398.4</v>
      </c>
      <c r="R835">
        <v>366387</v>
      </c>
    </row>
    <row r="836" spans="1:18" x14ac:dyDescent="0.25">
      <c r="A836" s="170">
        <v>45331</v>
      </c>
      <c r="B836" s="116">
        <v>343.5</v>
      </c>
      <c r="C836" s="116">
        <v>339.26499999999999</v>
      </c>
      <c r="D836" s="116">
        <v>330.5</v>
      </c>
      <c r="E836" s="116">
        <v>342.875</v>
      </c>
      <c r="F836" s="116">
        <v>3392.65</v>
      </c>
      <c r="G836">
        <v>6742</v>
      </c>
      <c r="H836" s="116"/>
      <c r="I836" s="116"/>
      <c r="L836" s="170">
        <v>45331</v>
      </c>
      <c r="M836" s="116">
        <v>339.435</v>
      </c>
      <c r="N836" s="116">
        <v>343.76</v>
      </c>
      <c r="O836" s="116">
        <v>330.1</v>
      </c>
      <c r="P836" s="116">
        <v>341.87</v>
      </c>
      <c r="Q836" s="116">
        <v>3394.35</v>
      </c>
      <c r="R836">
        <v>206713</v>
      </c>
    </row>
    <row r="837" spans="1:18" x14ac:dyDescent="0.25">
      <c r="A837" s="170">
        <v>45334</v>
      </c>
      <c r="B837" s="116">
        <v>342.245</v>
      </c>
      <c r="C837" s="116">
        <v>321.06</v>
      </c>
      <c r="D837" s="116">
        <v>317.755</v>
      </c>
      <c r="E837" s="116">
        <v>340.53</v>
      </c>
      <c r="F837" s="116">
        <v>3210.6</v>
      </c>
      <c r="G837">
        <v>9028</v>
      </c>
      <c r="H837" s="116"/>
      <c r="I837" s="116"/>
      <c r="L837" s="170">
        <v>45334</v>
      </c>
      <c r="M837" s="116">
        <v>320.42</v>
      </c>
      <c r="N837" s="116">
        <v>341.815</v>
      </c>
      <c r="O837" s="116">
        <v>318</v>
      </c>
      <c r="P837" s="116">
        <v>340</v>
      </c>
      <c r="Q837" s="116">
        <v>3204.2</v>
      </c>
      <c r="R837">
        <v>209280</v>
      </c>
    </row>
    <row r="838" spans="1:18" x14ac:dyDescent="0.25">
      <c r="A838" s="170">
        <v>45335</v>
      </c>
      <c r="B838" s="116">
        <v>328</v>
      </c>
      <c r="C838" s="116">
        <v>326.45999999999998</v>
      </c>
      <c r="D838" s="116">
        <v>311.51</v>
      </c>
      <c r="E838" s="116">
        <v>318.125</v>
      </c>
      <c r="F838" s="116">
        <v>3264.6</v>
      </c>
      <c r="G838">
        <v>18722</v>
      </c>
      <c r="H838" s="116"/>
      <c r="I838" s="116"/>
      <c r="L838" s="170">
        <v>45335</v>
      </c>
      <c r="M838" s="116">
        <v>326.30500000000001</v>
      </c>
      <c r="N838" s="116">
        <v>328.34</v>
      </c>
      <c r="O838" s="116">
        <v>311.70499999999998</v>
      </c>
      <c r="P838" s="116">
        <v>320.42</v>
      </c>
      <c r="Q838" s="116">
        <v>3263.05</v>
      </c>
      <c r="R838">
        <v>172574</v>
      </c>
    </row>
    <row r="839" spans="1:18" x14ac:dyDescent="0.25">
      <c r="A839" s="170">
        <v>45336</v>
      </c>
      <c r="B839" s="116">
        <v>329.36500000000001</v>
      </c>
      <c r="C839" s="116">
        <v>327.78500000000003</v>
      </c>
      <c r="D839" s="116">
        <v>319.32499999999999</v>
      </c>
      <c r="E839" s="116">
        <v>324.07499999999999</v>
      </c>
      <c r="F839" s="116">
        <v>3277.85</v>
      </c>
      <c r="G839">
        <v>11502</v>
      </c>
      <c r="H839" s="116"/>
      <c r="I839" s="116"/>
      <c r="L839" s="170">
        <v>45336</v>
      </c>
      <c r="M839" s="116">
        <v>327.58499999999998</v>
      </c>
      <c r="N839" s="116">
        <v>329.34500000000003</v>
      </c>
      <c r="O839" s="116">
        <v>319.27499999999998</v>
      </c>
      <c r="P839" s="116">
        <v>322.5</v>
      </c>
      <c r="Q839" s="116">
        <v>3275.85</v>
      </c>
      <c r="R839">
        <v>138884</v>
      </c>
    </row>
    <row r="840" spans="1:18" x14ac:dyDescent="0.25">
      <c r="A840" s="170">
        <v>45337</v>
      </c>
      <c r="B840" s="116">
        <v>330.85500000000002</v>
      </c>
      <c r="C840" s="116">
        <v>326.88499999999999</v>
      </c>
      <c r="D840" s="116">
        <v>325</v>
      </c>
      <c r="E840" s="116">
        <v>327.88</v>
      </c>
      <c r="F840" s="116">
        <v>3268.85</v>
      </c>
      <c r="G840">
        <v>7473</v>
      </c>
      <c r="H840" s="116"/>
      <c r="I840" s="116"/>
      <c r="L840" s="170">
        <v>45337</v>
      </c>
      <c r="M840" s="116">
        <v>326.97500000000002</v>
      </c>
      <c r="N840" s="116">
        <v>331.84500000000003</v>
      </c>
      <c r="O840" s="116">
        <v>325.16000000000003</v>
      </c>
      <c r="P840" s="116">
        <v>330.53</v>
      </c>
      <c r="Q840" s="116">
        <v>3269.75</v>
      </c>
      <c r="R840">
        <v>136826</v>
      </c>
    </row>
    <row r="841" spans="1:18" x14ac:dyDescent="0.25">
      <c r="A841" s="170">
        <v>45338</v>
      </c>
      <c r="B841" s="116">
        <v>330.87</v>
      </c>
      <c r="C841" s="116">
        <v>327.54000000000002</v>
      </c>
      <c r="D841" s="116">
        <v>324.02499999999998</v>
      </c>
      <c r="E841" s="116">
        <v>326.89</v>
      </c>
      <c r="F841" s="116">
        <v>3275.4</v>
      </c>
      <c r="G841">
        <v>2443</v>
      </c>
      <c r="H841" s="116"/>
      <c r="I841" s="116"/>
      <c r="L841" s="170">
        <v>45338</v>
      </c>
      <c r="M841" s="116">
        <v>327.51499999999999</v>
      </c>
      <c r="N841" s="116">
        <v>330.89499999999998</v>
      </c>
      <c r="O841" s="116">
        <v>323.52499999999998</v>
      </c>
      <c r="P841" s="116">
        <v>328.7</v>
      </c>
      <c r="Q841" s="116">
        <v>3275.15</v>
      </c>
      <c r="R841">
        <v>94931</v>
      </c>
    </row>
    <row r="842" spans="1:18" x14ac:dyDescent="0.25">
      <c r="A842" s="170">
        <v>45341</v>
      </c>
      <c r="B842" s="116">
        <v>330.61500000000001</v>
      </c>
      <c r="C842" s="116">
        <v>323.04000000000002</v>
      </c>
      <c r="D842" s="116">
        <v>320</v>
      </c>
      <c r="E842" s="116">
        <v>328.61</v>
      </c>
      <c r="F842" s="116">
        <v>3230.4</v>
      </c>
      <c r="G842">
        <v>15696</v>
      </c>
      <c r="H842" s="116"/>
      <c r="I842" s="116"/>
      <c r="L842" s="170">
        <v>45341</v>
      </c>
      <c r="M842" s="116">
        <v>322.935</v>
      </c>
      <c r="N842" s="116">
        <v>330.41</v>
      </c>
      <c r="O842" s="116">
        <v>315.69499999999999</v>
      </c>
      <c r="P842" s="116">
        <v>329.5</v>
      </c>
      <c r="Q842" s="116">
        <v>3229.35</v>
      </c>
      <c r="R842">
        <v>123064</v>
      </c>
    </row>
    <row r="843" spans="1:18" x14ac:dyDescent="0.25">
      <c r="A843" s="170">
        <v>45342</v>
      </c>
      <c r="B843" s="116">
        <v>327.27</v>
      </c>
      <c r="C843" s="116">
        <v>315.02999999999997</v>
      </c>
      <c r="D843" s="116">
        <v>313.33</v>
      </c>
      <c r="E843" s="116">
        <v>325.99</v>
      </c>
      <c r="F843" s="116">
        <v>3150.3</v>
      </c>
      <c r="G843">
        <v>22975</v>
      </c>
      <c r="H843" s="116"/>
      <c r="I843" s="116"/>
      <c r="L843" s="170">
        <v>45342</v>
      </c>
      <c r="M843" s="116">
        <v>314.91000000000003</v>
      </c>
      <c r="N843" s="116">
        <v>327</v>
      </c>
      <c r="O843" s="116">
        <v>312.44499999999999</v>
      </c>
      <c r="P843" s="116">
        <v>323.94</v>
      </c>
      <c r="Q843" s="116">
        <v>3149.1</v>
      </c>
      <c r="R843">
        <v>218690</v>
      </c>
    </row>
    <row r="844" spans="1:18" x14ac:dyDescent="0.25">
      <c r="A844" s="170">
        <v>45343</v>
      </c>
      <c r="B844" s="116">
        <v>318.47500000000002</v>
      </c>
      <c r="C844" s="116">
        <v>308.60000000000002</v>
      </c>
      <c r="D844" s="116">
        <v>307.2</v>
      </c>
      <c r="E844" s="116">
        <v>315.12</v>
      </c>
      <c r="F844" s="116">
        <v>3086</v>
      </c>
      <c r="G844">
        <v>13649</v>
      </c>
      <c r="H844" s="116"/>
      <c r="I844" s="116"/>
      <c r="L844" s="170">
        <v>45343</v>
      </c>
      <c r="M844" s="116">
        <v>308.935</v>
      </c>
      <c r="N844" s="116">
        <v>318.58</v>
      </c>
      <c r="O844" s="116">
        <v>308</v>
      </c>
      <c r="P844" s="116">
        <v>317</v>
      </c>
      <c r="Q844" s="116">
        <v>3089.35</v>
      </c>
      <c r="R844">
        <v>131298</v>
      </c>
    </row>
    <row r="845" spans="1:18" x14ac:dyDescent="0.25">
      <c r="A845" s="170">
        <v>45344</v>
      </c>
      <c r="B845" s="116">
        <v>314.12</v>
      </c>
      <c r="C845" s="116">
        <v>306.375</v>
      </c>
      <c r="D845" s="116">
        <v>303.62</v>
      </c>
      <c r="E845" s="116">
        <v>313.78500000000003</v>
      </c>
      <c r="F845" s="116">
        <v>3063.75</v>
      </c>
      <c r="G845">
        <v>8999</v>
      </c>
      <c r="H845" s="116"/>
      <c r="I845" s="116"/>
      <c r="L845" s="170">
        <v>45344</v>
      </c>
      <c r="M845" s="116">
        <v>306.36</v>
      </c>
      <c r="N845" s="116">
        <v>314.34500000000003</v>
      </c>
      <c r="O845" s="116">
        <v>303.60000000000002</v>
      </c>
      <c r="P845" s="116">
        <v>312.745</v>
      </c>
      <c r="Q845" s="116">
        <v>3063.6</v>
      </c>
      <c r="R845">
        <v>282345</v>
      </c>
    </row>
    <row r="846" spans="1:18" x14ac:dyDescent="0.25">
      <c r="A846" s="170">
        <v>45345</v>
      </c>
      <c r="B846" s="116">
        <v>312.60000000000002</v>
      </c>
      <c r="C846" s="116">
        <v>303.89499999999998</v>
      </c>
      <c r="D846" s="116">
        <v>302.10500000000002</v>
      </c>
      <c r="E846" s="116">
        <v>312.39999999999998</v>
      </c>
      <c r="F846" s="116">
        <v>3038.95</v>
      </c>
      <c r="G846">
        <v>17256</v>
      </c>
      <c r="H846" s="116"/>
      <c r="I846" s="116"/>
      <c r="L846" s="170">
        <v>45345</v>
      </c>
      <c r="M846" s="116">
        <v>303.83499999999998</v>
      </c>
      <c r="N846" s="116">
        <v>312.5</v>
      </c>
      <c r="O846" s="116">
        <v>302.20999999999998</v>
      </c>
      <c r="P846" s="116">
        <v>312</v>
      </c>
      <c r="Q846" s="116">
        <v>3038.35</v>
      </c>
      <c r="R846">
        <v>320652</v>
      </c>
    </row>
    <row r="847" spans="1:18" x14ac:dyDescent="0.25">
      <c r="A847" s="170">
        <v>45348</v>
      </c>
      <c r="B847" s="116">
        <v>309.34500000000003</v>
      </c>
      <c r="C847" s="116">
        <v>297.22000000000003</v>
      </c>
      <c r="D847" s="116">
        <v>296</v>
      </c>
      <c r="E847" s="116">
        <v>301.51499999999999</v>
      </c>
      <c r="F847" s="116">
        <v>2972.2</v>
      </c>
      <c r="G847">
        <v>27699</v>
      </c>
      <c r="H847" s="116"/>
      <c r="I847" s="116"/>
      <c r="L847" s="170">
        <v>45348</v>
      </c>
      <c r="M847" s="116">
        <v>297.29000000000002</v>
      </c>
      <c r="N847" s="116">
        <v>309.20999999999998</v>
      </c>
      <c r="O847" s="116">
        <v>295.61</v>
      </c>
      <c r="P847" s="116">
        <v>304</v>
      </c>
      <c r="Q847" s="116">
        <v>2972.9</v>
      </c>
      <c r="R847">
        <v>310403</v>
      </c>
    </row>
    <row r="848" spans="1:18" x14ac:dyDescent="0.25">
      <c r="A848" s="170">
        <v>45349</v>
      </c>
      <c r="B848" s="116">
        <v>302.05</v>
      </c>
      <c r="C848" s="116">
        <v>291.96499999999997</v>
      </c>
      <c r="D848" s="116">
        <v>291.02</v>
      </c>
      <c r="E848" s="116">
        <v>299.01499999999999</v>
      </c>
      <c r="F848" s="116">
        <v>2919.65</v>
      </c>
      <c r="G848">
        <v>11991</v>
      </c>
      <c r="H848" s="116"/>
      <c r="I848" s="116"/>
      <c r="L848" s="170">
        <v>45349</v>
      </c>
      <c r="M848" s="116">
        <v>291.77999999999997</v>
      </c>
      <c r="N848" s="116">
        <v>302.5</v>
      </c>
      <c r="O848" s="116">
        <v>291</v>
      </c>
      <c r="P848" s="116">
        <v>302.5</v>
      </c>
      <c r="Q848" s="116">
        <v>2917.8</v>
      </c>
      <c r="R848">
        <v>365886</v>
      </c>
    </row>
    <row r="849" spans="1:18" x14ac:dyDescent="0.25">
      <c r="A849" s="170">
        <v>45350</v>
      </c>
      <c r="B849" s="116">
        <v>294.89</v>
      </c>
      <c r="C849" s="116">
        <v>286.70999999999998</v>
      </c>
      <c r="D849" s="116">
        <v>285.70499999999998</v>
      </c>
      <c r="E849" s="116">
        <v>292.505</v>
      </c>
      <c r="F849" s="116">
        <v>2867.1</v>
      </c>
      <c r="G849">
        <v>20157</v>
      </c>
      <c r="H849" s="116"/>
      <c r="I849" s="116"/>
      <c r="L849" s="170">
        <v>45350</v>
      </c>
      <c r="M849" s="116">
        <v>286.72000000000003</v>
      </c>
      <c r="N849" s="116">
        <v>294.5</v>
      </c>
      <c r="O849" s="116">
        <v>285.65499999999997</v>
      </c>
      <c r="P849" s="116">
        <v>294.39999999999998</v>
      </c>
      <c r="Q849" s="116">
        <v>2867.2</v>
      </c>
      <c r="R849">
        <v>223116</v>
      </c>
    </row>
    <row r="850" spans="1:18" x14ac:dyDescent="0.25">
      <c r="A850" s="170">
        <v>45351</v>
      </c>
      <c r="B850" s="116">
        <v>289.94</v>
      </c>
      <c r="C850" s="116">
        <v>278.47000000000003</v>
      </c>
      <c r="D850" s="116">
        <v>275.10000000000002</v>
      </c>
      <c r="E850" s="116">
        <v>286.89999999999998</v>
      </c>
      <c r="F850" s="116">
        <v>2784.7</v>
      </c>
      <c r="G850">
        <v>14070</v>
      </c>
      <c r="H850" s="116"/>
      <c r="I850" s="116"/>
      <c r="L850" s="170">
        <v>45351</v>
      </c>
      <c r="M850" s="116">
        <v>278.27</v>
      </c>
      <c r="N850" s="116">
        <v>290</v>
      </c>
      <c r="O850" s="116">
        <v>275.05</v>
      </c>
      <c r="P850" s="116">
        <v>286.89999999999998</v>
      </c>
      <c r="Q850" s="116">
        <v>2782.7</v>
      </c>
      <c r="R850">
        <v>685326</v>
      </c>
    </row>
    <row r="851" spans="1:18" x14ac:dyDescent="0.25">
      <c r="A851" s="170">
        <v>45352</v>
      </c>
      <c r="B851" s="116">
        <v>289.52</v>
      </c>
      <c r="C851" s="116">
        <v>281.48</v>
      </c>
      <c r="D851" s="116">
        <v>279.27999999999997</v>
      </c>
      <c r="E851" s="116">
        <v>281.89499999999998</v>
      </c>
      <c r="F851" s="116">
        <v>2814.8</v>
      </c>
      <c r="G851">
        <v>23187</v>
      </c>
      <c r="H851" s="116"/>
      <c r="I851" s="116"/>
      <c r="L851" s="170">
        <v>45352</v>
      </c>
      <c r="M851" s="116">
        <v>281.39</v>
      </c>
      <c r="N851" s="116">
        <v>289.2</v>
      </c>
      <c r="O851" s="116">
        <v>279.40499999999997</v>
      </c>
      <c r="P851" s="116">
        <v>281.69499999999999</v>
      </c>
      <c r="Q851" s="116">
        <v>2813.9</v>
      </c>
      <c r="R851">
        <v>469886</v>
      </c>
    </row>
    <row r="852" spans="1:18" x14ac:dyDescent="0.25">
      <c r="A852" s="170">
        <v>45353</v>
      </c>
      <c r="B852" s="116">
        <v>287.2</v>
      </c>
      <c r="C852" s="116">
        <v>283.42</v>
      </c>
      <c r="D852" s="116">
        <v>280</v>
      </c>
      <c r="E852" s="116">
        <v>281.70499999999998</v>
      </c>
      <c r="F852" s="116">
        <v>2834.2</v>
      </c>
      <c r="G852">
        <v>5029</v>
      </c>
      <c r="H852" s="116"/>
      <c r="I852" s="116"/>
      <c r="L852" s="170">
        <v>45353</v>
      </c>
      <c r="M852" s="116">
        <v>283.315</v>
      </c>
      <c r="N852" s="116">
        <v>285</v>
      </c>
      <c r="O852" s="116">
        <v>281.995</v>
      </c>
      <c r="P852" s="116">
        <v>281.995</v>
      </c>
      <c r="Q852" s="116">
        <v>2833.15</v>
      </c>
      <c r="R852">
        <v>31703</v>
      </c>
    </row>
    <row r="853" spans="1:18" x14ac:dyDescent="0.25">
      <c r="A853" s="170">
        <v>45355</v>
      </c>
      <c r="B853" s="116">
        <v>294.89999999999998</v>
      </c>
      <c r="C853" s="116">
        <v>288.12</v>
      </c>
      <c r="D853" s="116">
        <v>280</v>
      </c>
      <c r="E853" s="116">
        <v>289.37</v>
      </c>
      <c r="F853" s="116">
        <v>2881.2</v>
      </c>
      <c r="G853">
        <v>55526</v>
      </c>
      <c r="H853" s="116"/>
      <c r="I853" s="116"/>
      <c r="L853" s="170">
        <v>45355</v>
      </c>
      <c r="M853" s="116">
        <v>287.87</v>
      </c>
      <c r="N853" s="116">
        <v>295.54000000000002</v>
      </c>
      <c r="O853" s="116">
        <v>280</v>
      </c>
      <c r="P853" s="116">
        <v>292.5</v>
      </c>
      <c r="Q853" s="116">
        <v>2878.7</v>
      </c>
      <c r="R853">
        <v>1009984</v>
      </c>
    </row>
    <row r="854" spans="1:18" x14ac:dyDescent="0.25">
      <c r="A854" s="170">
        <v>45356</v>
      </c>
      <c r="B854" s="116">
        <v>291.685</v>
      </c>
      <c r="C854" s="116">
        <v>288.33</v>
      </c>
      <c r="D854" s="116">
        <v>285.02499999999998</v>
      </c>
      <c r="E854" s="116">
        <v>289.02499999999998</v>
      </c>
      <c r="F854" s="116">
        <v>2883.3</v>
      </c>
      <c r="G854">
        <v>22575</v>
      </c>
      <c r="H854" s="116"/>
      <c r="I854" s="116"/>
      <c r="L854" s="170">
        <v>45356</v>
      </c>
      <c r="M854" s="116">
        <v>288.25</v>
      </c>
      <c r="N854" s="116">
        <v>291.54500000000002</v>
      </c>
      <c r="O854" s="116">
        <v>285.20999999999998</v>
      </c>
      <c r="P854" s="116">
        <v>290</v>
      </c>
      <c r="Q854" s="116">
        <v>2882.5</v>
      </c>
      <c r="R854">
        <v>193497</v>
      </c>
    </row>
    <row r="855" spans="1:18" x14ac:dyDescent="0.25">
      <c r="A855" s="170">
        <v>45357</v>
      </c>
      <c r="B855" s="116">
        <v>287.7</v>
      </c>
      <c r="C855" s="116">
        <v>276.02499999999998</v>
      </c>
      <c r="D855" s="116">
        <v>275.01</v>
      </c>
      <c r="E855" s="116">
        <v>280.42500000000001</v>
      </c>
      <c r="F855" s="116">
        <v>2760.25</v>
      </c>
      <c r="G855">
        <v>37971</v>
      </c>
      <c r="H855" s="116"/>
      <c r="I855" s="116"/>
      <c r="L855" s="170">
        <v>45357</v>
      </c>
      <c r="M855" s="116">
        <v>276.005</v>
      </c>
      <c r="N855" s="116">
        <v>287.77999999999997</v>
      </c>
      <c r="O855" s="116">
        <v>275</v>
      </c>
      <c r="P855" s="116">
        <v>287.5</v>
      </c>
      <c r="Q855" s="116">
        <v>2760.05</v>
      </c>
      <c r="R855">
        <v>326018</v>
      </c>
    </row>
    <row r="856" spans="1:18" x14ac:dyDescent="0.25">
      <c r="A856" s="170">
        <v>45358</v>
      </c>
      <c r="B856" s="116">
        <v>282.47500000000002</v>
      </c>
      <c r="C856" s="116">
        <v>273.34500000000003</v>
      </c>
      <c r="D856" s="116">
        <v>272.505</v>
      </c>
      <c r="E856" s="116">
        <v>276.83</v>
      </c>
      <c r="F856" s="116">
        <v>2733.45</v>
      </c>
      <c r="G856">
        <v>27138</v>
      </c>
      <c r="H856" s="116"/>
      <c r="I856" s="116"/>
      <c r="L856" s="170">
        <v>45358</v>
      </c>
      <c r="M856" s="116">
        <v>273.61500000000001</v>
      </c>
      <c r="N856" s="116">
        <v>282.31</v>
      </c>
      <c r="O856" s="116">
        <v>272.51</v>
      </c>
      <c r="P856" s="116">
        <v>278.42500000000001</v>
      </c>
      <c r="Q856" s="116">
        <v>2736.15</v>
      </c>
      <c r="R856">
        <v>261260</v>
      </c>
    </row>
    <row r="857" spans="1:18" x14ac:dyDescent="0.25">
      <c r="A857" s="170">
        <v>45362</v>
      </c>
      <c r="B857" s="116">
        <v>274.99</v>
      </c>
      <c r="C857" s="116">
        <v>267.51</v>
      </c>
      <c r="D857" s="116">
        <v>262.8</v>
      </c>
      <c r="E857" s="116">
        <v>273.5</v>
      </c>
      <c r="F857" s="116">
        <v>2675.1</v>
      </c>
      <c r="G857">
        <v>13702</v>
      </c>
      <c r="H857" s="116"/>
      <c r="I857" s="116"/>
      <c r="L857" s="170">
        <v>45362</v>
      </c>
      <c r="M857" s="116">
        <v>267.44499999999999</v>
      </c>
      <c r="N857" s="116">
        <v>275.08999999999997</v>
      </c>
      <c r="O857" s="116">
        <v>262.5</v>
      </c>
      <c r="P857" s="116">
        <v>273.935</v>
      </c>
      <c r="Q857" s="116">
        <v>2674.45</v>
      </c>
      <c r="R857">
        <v>406809</v>
      </c>
    </row>
    <row r="858" spans="1:18" x14ac:dyDescent="0.25">
      <c r="A858" s="170">
        <v>45363</v>
      </c>
      <c r="B858" s="116">
        <v>269.875</v>
      </c>
      <c r="C858" s="116">
        <v>252.79</v>
      </c>
      <c r="D858" s="116">
        <v>250.77</v>
      </c>
      <c r="E858" s="116">
        <v>269.875</v>
      </c>
      <c r="F858" s="116">
        <v>2527.9</v>
      </c>
      <c r="G858">
        <v>58052</v>
      </c>
      <c r="H858" s="116"/>
      <c r="I858" s="116"/>
      <c r="L858" s="170">
        <v>45363</v>
      </c>
      <c r="M858" s="116">
        <v>252.61</v>
      </c>
      <c r="N858" s="116">
        <v>268.55</v>
      </c>
      <c r="O858" s="116">
        <v>250.2</v>
      </c>
      <c r="P858" s="116">
        <v>268.44</v>
      </c>
      <c r="Q858" s="116">
        <v>2526.1</v>
      </c>
      <c r="R858">
        <v>554136</v>
      </c>
    </row>
    <row r="859" spans="1:18" x14ac:dyDescent="0.25">
      <c r="A859" s="170">
        <v>45364</v>
      </c>
      <c r="B859" s="116">
        <v>255.5</v>
      </c>
      <c r="C859" s="116">
        <v>243.04</v>
      </c>
      <c r="D859" s="116">
        <v>233.51499999999999</v>
      </c>
      <c r="E859" s="116">
        <v>254.47499999999999</v>
      </c>
      <c r="F859" s="116">
        <v>2430.4</v>
      </c>
      <c r="G859">
        <v>88052</v>
      </c>
      <c r="H859" s="116"/>
      <c r="I859" s="116"/>
      <c r="L859" s="170">
        <v>45364</v>
      </c>
      <c r="M859" s="116">
        <v>243.52</v>
      </c>
      <c r="N859" s="116">
        <v>256.07</v>
      </c>
      <c r="O859" s="116">
        <v>233.54</v>
      </c>
      <c r="P859" s="116">
        <v>253.88</v>
      </c>
      <c r="Q859" s="116">
        <v>2435.1999999999998</v>
      </c>
      <c r="R859">
        <v>811940</v>
      </c>
    </row>
    <row r="860" spans="1:18" x14ac:dyDescent="0.25">
      <c r="A860" s="170">
        <v>45365</v>
      </c>
      <c r="B860" s="116">
        <v>268.75</v>
      </c>
      <c r="C860" s="116">
        <v>264.995</v>
      </c>
      <c r="D860" s="116">
        <v>242.5</v>
      </c>
      <c r="E860" s="116">
        <v>242.58</v>
      </c>
      <c r="F860" s="116">
        <v>2649.95</v>
      </c>
      <c r="G860">
        <v>30504</v>
      </c>
      <c r="H860" s="116"/>
      <c r="I860" s="116"/>
      <c r="L860" s="170">
        <v>45365</v>
      </c>
      <c r="M860" s="116">
        <v>265</v>
      </c>
      <c r="N860" s="116">
        <v>268.5</v>
      </c>
      <c r="O860" s="116">
        <v>242.27500000000001</v>
      </c>
      <c r="P860" s="116">
        <v>244.59</v>
      </c>
      <c r="Q860" s="116">
        <v>2650</v>
      </c>
      <c r="R860">
        <v>814104</v>
      </c>
    </row>
    <row r="861" spans="1:18" x14ac:dyDescent="0.25">
      <c r="A861" s="170">
        <v>45366</v>
      </c>
      <c r="B861" s="116">
        <v>270.36</v>
      </c>
      <c r="C861" s="116">
        <v>262.11500000000001</v>
      </c>
      <c r="D861" s="116">
        <v>251</v>
      </c>
      <c r="E861" s="116">
        <v>269.995</v>
      </c>
      <c r="F861" s="116">
        <v>2621.15</v>
      </c>
      <c r="G861">
        <v>23188</v>
      </c>
      <c r="H861" s="116"/>
      <c r="I861" s="116"/>
      <c r="L861" s="170">
        <v>45366</v>
      </c>
      <c r="M861" s="116">
        <v>262.495</v>
      </c>
      <c r="N861" s="116">
        <v>270.39999999999998</v>
      </c>
      <c r="O861" s="116">
        <v>251.1</v>
      </c>
      <c r="P861" s="116">
        <v>269.3</v>
      </c>
      <c r="Q861" s="116">
        <v>2624.95</v>
      </c>
      <c r="R861">
        <v>477531</v>
      </c>
    </row>
    <row r="862" spans="1:18" x14ac:dyDescent="0.25">
      <c r="A862" s="170">
        <v>45369</v>
      </c>
      <c r="B862" s="116">
        <v>267.30500000000001</v>
      </c>
      <c r="C862" s="116">
        <v>253.66499999999999</v>
      </c>
      <c r="D862" s="116">
        <v>252.505</v>
      </c>
      <c r="E862" s="116">
        <v>263.77999999999997</v>
      </c>
      <c r="F862" s="116">
        <v>2536.65</v>
      </c>
      <c r="G862">
        <v>10192</v>
      </c>
      <c r="H862" s="116"/>
      <c r="I862" s="116"/>
      <c r="L862" s="170">
        <v>45369</v>
      </c>
      <c r="M862" s="116">
        <v>253.61</v>
      </c>
      <c r="N862" s="116">
        <v>267.5</v>
      </c>
      <c r="O862" s="116">
        <v>252.5</v>
      </c>
      <c r="P862" s="116">
        <v>262.495</v>
      </c>
      <c r="Q862" s="116">
        <v>2536.1</v>
      </c>
      <c r="R862">
        <v>279645</v>
      </c>
    </row>
    <row r="863" spans="1:18" x14ac:dyDescent="0.25">
      <c r="A863" s="170">
        <v>45370</v>
      </c>
      <c r="B863" s="116">
        <v>255.59</v>
      </c>
      <c r="C863" s="116">
        <v>247.61500000000001</v>
      </c>
      <c r="D863" s="116">
        <v>245.66499999999999</v>
      </c>
      <c r="E863" s="116">
        <v>253</v>
      </c>
      <c r="F863" s="116">
        <v>2476.15</v>
      </c>
      <c r="G863">
        <v>20706</v>
      </c>
      <c r="H863" s="116"/>
      <c r="I863" s="116"/>
      <c r="L863" s="170">
        <v>45370</v>
      </c>
      <c r="M863" s="116">
        <v>247.42</v>
      </c>
      <c r="N863" s="116">
        <v>255.74</v>
      </c>
      <c r="O863" s="116">
        <v>245.65</v>
      </c>
      <c r="P863" s="116">
        <v>253</v>
      </c>
      <c r="Q863" s="116">
        <v>2474.1999999999998</v>
      </c>
      <c r="R863">
        <v>179391</v>
      </c>
    </row>
    <row r="864" spans="1:18" x14ac:dyDescent="0.25">
      <c r="A864" s="170">
        <v>45371</v>
      </c>
      <c r="B864" s="116">
        <v>267.94</v>
      </c>
      <c r="C864" s="116">
        <v>259.065</v>
      </c>
      <c r="D864" s="116">
        <v>248.33500000000001</v>
      </c>
      <c r="E864" s="116">
        <v>249.35</v>
      </c>
      <c r="F864" s="116">
        <v>2590.65</v>
      </c>
      <c r="G864">
        <v>48971</v>
      </c>
      <c r="H864" s="116"/>
      <c r="I864" s="116"/>
      <c r="L864" s="170">
        <v>45371</v>
      </c>
      <c r="M864" s="116">
        <v>259.16500000000002</v>
      </c>
      <c r="N864" s="116">
        <v>267.8</v>
      </c>
      <c r="O864" s="116">
        <v>248.60499999999999</v>
      </c>
      <c r="P864" s="116">
        <v>248.79</v>
      </c>
      <c r="Q864" s="116">
        <v>2591.65</v>
      </c>
      <c r="R864">
        <v>603067</v>
      </c>
    </row>
    <row r="865" spans="1:18" x14ac:dyDescent="0.25">
      <c r="A865" s="170">
        <v>45372</v>
      </c>
      <c r="B865" s="116">
        <v>266.89999999999998</v>
      </c>
      <c r="C865" s="116">
        <v>261.47000000000003</v>
      </c>
      <c r="D865" s="116">
        <v>260.3</v>
      </c>
      <c r="E865" s="116">
        <v>263.52499999999998</v>
      </c>
      <c r="F865" s="116">
        <v>2614.6999999999998</v>
      </c>
      <c r="G865">
        <v>8452</v>
      </c>
      <c r="H865" s="116"/>
      <c r="I865" s="116"/>
      <c r="L865" s="170">
        <v>45372</v>
      </c>
      <c r="M865" s="116">
        <v>261.58499999999998</v>
      </c>
      <c r="N865" s="116">
        <v>266.89999999999998</v>
      </c>
      <c r="O865" s="116">
        <v>260.185</v>
      </c>
      <c r="P865" s="116">
        <v>264.995</v>
      </c>
      <c r="Q865" s="116">
        <v>2615.85</v>
      </c>
      <c r="R865">
        <v>272225</v>
      </c>
    </row>
    <row r="866" spans="1:18" x14ac:dyDescent="0.25">
      <c r="A866" s="170">
        <v>45373</v>
      </c>
      <c r="B866" s="116">
        <v>272.04500000000002</v>
      </c>
      <c r="C866" s="116">
        <v>266.26</v>
      </c>
      <c r="D866" s="116">
        <v>262</v>
      </c>
      <c r="E866" s="116">
        <v>262.495</v>
      </c>
      <c r="F866" s="116">
        <v>2662.6</v>
      </c>
      <c r="G866">
        <v>9576</v>
      </c>
      <c r="H866" s="116"/>
      <c r="I866" s="116"/>
      <c r="L866" s="170">
        <v>45373</v>
      </c>
      <c r="M866" s="116">
        <v>266.065</v>
      </c>
      <c r="N866" s="116">
        <v>271.995</v>
      </c>
      <c r="O866" s="116">
        <v>261.59500000000003</v>
      </c>
      <c r="P866" s="116">
        <v>262.005</v>
      </c>
      <c r="Q866" s="116">
        <v>2660.65</v>
      </c>
      <c r="R866">
        <v>440571</v>
      </c>
    </row>
    <row r="867" spans="1:18" x14ac:dyDescent="0.25">
      <c r="A867" s="170">
        <v>45377</v>
      </c>
      <c r="B867" s="116">
        <v>276.06</v>
      </c>
      <c r="C867" s="116">
        <v>272.76</v>
      </c>
      <c r="D867" s="116">
        <v>267.94</v>
      </c>
      <c r="E867" s="116">
        <v>271.64499999999998</v>
      </c>
      <c r="F867" s="116">
        <v>2727.6</v>
      </c>
      <c r="G867">
        <v>31009</v>
      </c>
      <c r="H867" s="116"/>
      <c r="I867" s="116"/>
      <c r="L867" s="170">
        <v>45377</v>
      </c>
      <c r="M867" s="116">
        <v>272.20499999999998</v>
      </c>
      <c r="N867" s="116">
        <v>276.08999999999997</v>
      </c>
      <c r="O867" s="116">
        <v>267.46499999999997</v>
      </c>
      <c r="P867" s="116">
        <v>273.5</v>
      </c>
      <c r="Q867" s="116">
        <v>2722.05</v>
      </c>
      <c r="R867">
        <v>516991</v>
      </c>
    </row>
    <row r="868" spans="1:18" x14ac:dyDescent="0.25">
      <c r="A868" s="170">
        <v>45378</v>
      </c>
      <c r="B868" s="116">
        <v>299.8</v>
      </c>
      <c r="C868" s="116">
        <v>297.495</v>
      </c>
      <c r="D868" s="116">
        <v>265.41000000000003</v>
      </c>
      <c r="E868" s="116">
        <v>274.89499999999998</v>
      </c>
      <c r="F868" s="116">
        <v>2974.95</v>
      </c>
      <c r="G868">
        <v>103386</v>
      </c>
      <c r="H868" s="116"/>
      <c r="I868" s="116"/>
      <c r="L868" s="170">
        <v>45378</v>
      </c>
      <c r="M868" s="116">
        <v>297.30500000000001</v>
      </c>
      <c r="N868" s="116">
        <v>299.89999999999998</v>
      </c>
      <c r="O868" s="116">
        <v>265.39</v>
      </c>
      <c r="P868" s="116">
        <v>273.005</v>
      </c>
      <c r="Q868" s="116">
        <v>2973.05</v>
      </c>
      <c r="R868">
        <v>1237051</v>
      </c>
    </row>
    <row r="869" spans="1:18" x14ac:dyDescent="0.25">
      <c r="A869" s="170">
        <v>45379</v>
      </c>
      <c r="B869" s="116">
        <v>311.55500000000001</v>
      </c>
      <c r="C869" s="116">
        <v>304.39</v>
      </c>
      <c r="D869" s="116">
        <v>297.5</v>
      </c>
      <c r="E869" s="116">
        <v>304.5</v>
      </c>
      <c r="F869" s="116">
        <v>3043.9</v>
      </c>
      <c r="G869">
        <v>69007</v>
      </c>
      <c r="H869" s="116"/>
      <c r="I869" s="116"/>
      <c r="L869" s="170">
        <v>45379</v>
      </c>
      <c r="M869" s="116">
        <v>304.5</v>
      </c>
      <c r="N869" s="116">
        <v>311.5</v>
      </c>
      <c r="O869" s="116">
        <v>297.51</v>
      </c>
      <c r="P869" s="116">
        <v>304</v>
      </c>
      <c r="Q869" s="116">
        <v>3045</v>
      </c>
      <c r="R869">
        <v>872601</v>
      </c>
    </row>
    <row r="870" spans="1:18" x14ac:dyDescent="0.25">
      <c r="A870" s="170">
        <v>45383</v>
      </c>
      <c r="B870" s="116">
        <v>314.22000000000003</v>
      </c>
      <c r="C870" s="116">
        <v>302.60000000000002</v>
      </c>
      <c r="D870" s="116">
        <v>300.10000000000002</v>
      </c>
      <c r="E870" s="116">
        <v>310.63499999999999</v>
      </c>
      <c r="F870" s="116">
        <v>3026</v>
      </c>
      <c r="G870">
        <v>22310</v>
      </c>
      <c r="H870" s="116"/>
      <c r="I870" s="116"/>
      <c r="L870" s="170">
        <v>45383</v>
      </c>
      <c r="M870" s="116">
        <v>302.55</v>
      </c>
      <c r="N870" s="116">
        <v>314.39499999999998</v>
      </c>
      <c r="O870" s="116">
        <v>300.14</v>
      </c>
      <c r="P870" s="116">
        <v>312.5</v>
      </c>
      <c r="Q870" s="116">
        <v>3025.5</v>
      </c>
      <c r="R870">
        <v>475470</v>
      </c>
    </row>
    <row r="871" spans="1:18" x14ac:dyDescent="0.25">
      <c r="A871" s="170">
        <v>45384</v>
      </c>
      <c r="B871" s="116">
        <v>306</v>
      </c>
      <c r="C871" s="116">
        <v>301.16500000000002</v>
      </c>
      <c r="D871" s="116">
        <v>299.005</v>
      </c>
      <c r="E871" s="116">
        <v>302.42500000000001</v>
      </c>
      <c r="F871" s="116">
        <v>3011.65</v>
      </c>
      <c r="G871">
        <v>27082</v>
      </c>
      <c r="H871" s="116"/>
      <c r="I871" s="116"/>
      <c r="L871" s="170">
        <v>45384</v>
      </c>
      <c r="M871" s="116">
        <v>301.065</v>
      </c>
      <c r="N871" s="116">
        <v>305.89</v>
      </c>
      <c r="O871" s="116">
        <v>298.91000000000003</v>
      </c>
      <c r="P871" s="116">
        <v>301.80500000000001</v>
      </c>
      <c r="Q871" s="116">
        <v>3010.65</v>
      </c>
      <c r="R871">
        <v>274153</v>
      </c>
    </row>
    <row r="872" spans="1:18" x14ac:dyDescent="0.25">
      <c r="A872" s="170">
        <v>45385</v>
      </c>
      <c r="B872" s="116">
        <v>321.29000000000002</v>
      </c>
      <c r="C872" s="116">
        <v>317.02499999999998</v>
      </c>
      <c r="D872" s="116">
        <v>303.01</v>
      </c>
      <c r="E872" s="116">
        <v>304.34500000000003</v>
      </c>
      <c r="F872" s="116">
        <v>3170.25</v>
      </c>
      <c r="G872">
        <v>65022</v>
      </c>
      <c r="H872" s="116"/>
      <c r="I872" s="116"/>
      <c r="L872" s="170">
        <v>45385</v>
      </c>
      <c r="M872" s="116">
        <v>317.13</v>
      </c>
      <c r="N872" s="116">
        <v>321.5</v>
      </c>
      <c r="O872" s="116">
        <v>303.005</v>
      </c>
      <c r="P872" s="116">
        <v>303.005</v>
      </c>
      <c r="Q872" s="116">
        <v>3171.3</v>
      </c>
      <c r="R872">
        <v>663984</v>
      </c>
    </row>
    <row r="873" spans="1:18" x14ac:dyDescent="0.25">
      <c r="A873" s="170">
        <v>45386</v>
      </c>
      <c r="B873" s="116">
        <v>322.72500000000002</v>
      </c>
      <c r="C873" s="116">
        <v>302.03500000000003</v>
      </c>
      <c r="D873" s="116">
        <v>297.01499999999999</v>
      </c>
      <c r="E873" s="116">
        <v>320.99</v>
      </c>
      <c r="F873" s="116">
        <v>3020.35</v>
      </c>
      <c r="G873">
        <v>43823</v>
      </c>
      <c r="H873" s="116"/>
      <c r="I873" s="116"/>
      <c r="L873" s="170">
        <v>45386</v>
      </c>
      <c r="M873" s="116">
        <v>301.99</v>
      </c>
      <c r="N873" s="116">
        <v>322.91500000000002</v>
      </c>
      <c r="O873" s="116">
        <v>297.005</v>
      </c>
      <c r="P873" s="116">
        <v>318.52999999999997</v>
      </c>
      <c r="Q873" s="116">
        <v>3019.9</v>
      </c>
      <c r="R873">
        <v>986043</v>
      </c>
    </row>
    <row r="874" spans="1:18" x14ac:dyDescent="0.25">
      <c r="A874" s="170">
        <v>45387</v>
      </c>
      <c r="B874" s="116">
        <v>300.39</v>
      </c>
      <c r="C874" s="116">
        <v>297.77499999999998</v>
      </c>
      <c r="D874" s="116">
        <v>293.2</v>
      </c>
      <c r="E874" s="116">
        <v>300.39</v>
      </c>
      <c r="F874" s="116">
        <v>2977.75</v>
      </c>
      <c r="G874">
        <v>56345</v>
      </c>
      <c r="H874" s="116"/>
      <c r="I874" s="116"/>
      <c r="L874" s="170">
        <v>45387</v>
      </c>
      <c r="M874" s="116">
        <v>297.79000000000002</v>
      </c>
      <c r="N874" s="116">
        <v>300.10000000000002</v>
      </c>
      <c r="O874" s="116">
        <v>293.20999999999998</v>
      </c>
      <c r="P874" s="116">
        <v>300.08999999999997</v>
      </c>
      <c r="Q874" s="116">
        <v>2977.9</v>
      </c>
      <c r="R874">
        <v>480310</v>
      </c>
    </row>
    <row r="875" spans="1:18" x14ac:dyDescent="0.25">
      <c r="A875" s="170">
        <v>45390</v>
      </c>
      <c r="B875" s="116">
        <v>304.5</v>
      </c>
      <c r="C875" s="116">
        <v>294.88499999999999</v>
      </c>
      <c r="D875" s="116">
        <v>293.2</v>
      </c>
      <c r="E875" s="116">
        <v>300.495</v>
      </c>
      <c r="F875" s="116">
        <v>2948.85</v>
      </c>
      <c r="G875">
        <v>17931</v>
      </c>
      <c r="H875" s="116"/>
      <c r="I875" s="116"/>
      <c r="L875" s="170">
        <v>45390</v>
      </c>
      <c r="M875" s="116">
        <v>294.51499999999999</v>
      </c>
      <c r="N875" s="116">
        <v>304.22500000000002</v>
      </c>
      <c r="O875" s="116">
        <v>293.20499999999998</v>
      </c>
      <c r="P875" s="116">
        <v>299.83999999999997</v>
      </c>
      <c r="Q875" s="116">
        <v>2945.15</v>
      </c>
      <c r="R875">
        <v>279413</v>
      </c>
    </row>
    <row r="876" spans="1:18" x14ac:dyDescent="0.25">
      <c r="A876" s="170">
        <v>45391</v>
      </c>
      <c r="B876" s="116">
        <v>297.32</v>
      </c>
      <c r="C876" s="116">
        <v>285.27999999999997</v>
      </c>
      <c r="D876" s="116">
        <v>283.7</v>
      </c>
      <c r="E876" s="116">
        <v>296.78500000000003</v>
      </c>
      <c r="F876" s="116">
        <v>2852.8</v>
      </c>
      <c r="G876">
        <v>51894</v>
      </c>
      <c r="H876" s="116"/>
      <c r="I876" s="116"/>
      <c r="L876" s="170">
        <v>45391</v>
      </c>
      <c r="M876" s="116">
        <v>285</v>
      </c>
      <c r="N876" s="116">
        <v>297.45999999999998</v>
      </c>
      <c r="O876" s="116">
        <v>283.60000000000002</v>
      </c>
      <c r="P876" s="116">
        <v>296</v>
      </c>
      <c r="Q876" s="116">
        <v>2850</v>
      </c>
      <c r="R876">
        <v>428173</v>
      </c>
    </row>
    <row r="877" spans="1:18" x14ac:dyDescent="0.25">
      <c r="A877" s="170">
        <v>45392</v>
      </c>
      <c r="B877" s="116">
        <v>293.3</v>
      </c>
      <c r="C877" s="116">
        <v>291.48500000000001</v>
      </c>
      <c r="D877" s="116">
        <v>281.86500000000001</v>
      </c>
      <c r="E877" s="116">
        <v>286.38499999999999</v>
      </c>
      <c r="F877" s="116">
        <v>2914.85</v>
      </c>
      <c r="G877">
        <v>44686</v>
      </c>
      <c r="H877" s="116"/>
      <c r="I877" s="116"/>
      <c r="L877" s="170">
        <v>45392</v>
      </c>
      <c r="M877" s="116">
        <v>291.20499999999998</v>
      </c>
      <c r="N877" s="116">
        <v>293.77</v>
      </c>
      <c r="O877" s="116">
        <v>282.10500000000002</v>
      </c>
      <c r="P877" s="116">
        <v>285.47000000000003</v>
      </c>
      <c r="Q877" s="116">
        <v>2912.05</v>
      </c>
      <c r="R877">
        <v>444470</v>
      </c>
    </row>
    <row r="878" spans="1:18" x14ac:dyDescent="0.25">
      <c r="A878" s="170">
        <v>45394</v>
      </c>
      <c r="B878" s="116">
        <v>291.2</v>
      </c>
      <c r="C878" s="116">
        <v>288.10500000000002</v>
      </c>
      <c r="D878" s="116">
        <v>287.03500000000003</v>
      </c>
      <c r="E878" s="116">
        <v>291.2</v>
      </c>
      <c r="F878" s="116">
        <v>2881.05</v>
      </c>
      <c r="G878">
        <v>24828</v>
      </c>
      <c r="H878" s="116"/>
      <c r="I878" s="116"/>
      <c r="L878" s="170">
        <v>45394</v>
      </c>
      <c r="M878" s="116">
        <v>288.10000000000002</v>
      </c>
      <c r="N878" s="116">
        <v>291.08999999999997</v>
      </c>
      <c r="O878" s="116">
        <v>287.12</v>
      </c>
      <c r="P878" s="116">
        <v>290.62</v>
      </c>
      <c r="Q878" s="116">
        <v>2881</v>
      </c>
      <c r="R878">
        <v>288710</v>
      </c>
    </row>
    <row r="879" spans="1:18" x14ac:dyDescent="0.25">
      <c r="A879" s="170">
        <v>45397</v>
      </c>
      <c r="B879" s="116">
        <v>286.44</v>
      </c>
      <c r="C879" s="116">
        <v>283.64999999999998</v>
      </c>
      <c r="D879" s="116">
        <v>272</v>
      </c>
      <c r="E879" s="116">
        <v>272.005</v>
      </c>
      <c r="F879" s="116">
        <v>2836.5</v>
      </c>
      <c r="G879">
        <v>53724</v>
      </c>
      <c r="H879" s="116"/>
      <c r="I879" s="116"/>
      <c r="L879" s="170">
        <v>45397</v>
      </c>
      <c r="M879" s="116">
        <v>283.51499999999999</v>
      </c>
      <c r="N879" s="116">
        <v>286.42</v>
      </c>
      <c r="O879" s="116">
        <v>272.20499999999998</v>
      </c>
      <c r="P879" s="116">
        <v>278.5</v>
      </c>
      <c r="Q879" s="116">
        <v>2835.15</v>
      </c>
      <c r="R879">
        <v>371901</v>
      </c>
    </row>
    <row r="880" spans="1:18" x14ac:dyDescent="0.25">
      <c r="A880" s="170">
        <v>45398</v>
      </c>
      <c r="B880" s="116">
        <v>289.08999999999997</v>
      </c>
      <c r="C880" s="116">
        <v>285.16500000000002</v>
      </c>
      <c r="D880" s="116">
        <v>276.26499999999999</v>
      </c>
      <c r="E880" s="116">
        <v>276.26499999999999</v>
      </c>
      <c r="F880" s="116">
        <v>2851.65</v>
      </c>
      <c r="G880">
        <v>23326</v>
      </c>
      <c r="H880" s="116"/>
      <c r="I880" s="116"/>
      <c r="L880" s="170">
        <v>45398</v>
      </c>
      <c r="M880" s="116">
        <v>285.20499999999998</v>
      </c>
      <c r="N880" s="116">
        <v>288.89999999999998</v>
      </c>
      <c r="O880" s="116">
        <v>277</v>
      </c>
      <c r="P880" s="116">
        <v>277</v>
      </c>
      <c r="Q880" s="116">
        <v>2852.05</v>
      </c>
      <c r="R880">
        <v>331160</v>
      </c>
    </row>
    <row r="881" spans="1:18" x14ac:dyDescent="0.25">
      <c r="A881" s="170">
        <v>45400</v>
      </c>
      <c r="B881" s="116">
        <v>309.89999999999998</v>
      </c>
      <c r="C881" s="116">
        <v>279.20499999999998</v>
      </c>
      <c r="D881" s="116">
        <v>277.02999999999997</v>
      </c>
      <c r="E881" s="116">
        <v>309.89999999999998</v>
      </c>
      <c r="F881" s="116">
        <v>2792.05</v>
      </c>
      <c r="G881">
        <v>80691</v>
      </c>
      <c r="H881" s="116"/>
      <c r="I881" s="116"/>
      <c r="L881" s="170">
        <v>45400</v>
      </c>
      <c r="M881" s="116">
        <v>279.27999999999997</v>
      </c>
      <c r="N881" s="116">
        <v>310</v>
      </c>
      <c r="O881" s="116">
        <v>277.10000000000002</v>
      </c>
      <c r="P881" s="116">
        <v>308.89999999999998</v>
      </c>
      <c r="Q881" s="116">
        <v>2792.8</v>
      </c>
      <c r="R881">
        <v>2686390</v>
      </c>
    </row>
    <row r="882" spans="1:18" x14ac:dyDescent="0.25">
      <c r="A882" s="170">
        <v>45401</v>
      </c>
      <c r="B882" s="116">
        <v>278.27499999999998</v>
      </c>
      <c r="C882" s="116">
        <v>268.89999999999998</v>
      </c>
      <c r="D882" s="116">
        <v>267.54000000000002</v>
      </c>
      <c r="E882" s="116">
        <v>278.27499999999998</v>
      </c>
      <c r="F882" s="116">
        <v>2689</v>
      </c>
      <c r="G882">
        <v>33701</v>
      </c>
      <c r="H882" s="116"/>
      <c r="I882" s="116"/>
      <c r="L882" s="170">
        <v>45401</v>
      </c>
      <c r="M882" s="116">
        <v>268.81</v>
      </c>
      <c r="N882" s="116">
        <v>277.995</v>
      </c>
      <c r="O882" s="116">
        <v>267.54500000000002</v>
      </c>
      <c r="P882" s="116">
        <v>277.995</v>
      </c>
      <c r="Q882" s="116">
        <v>2688.1</v>
      </c>
      <c r="R882">
        <v>1161724</v>
      </c>
    </row>
    <row r="883" spans="1:18" x14ac:dyDescent="0.25">
      <c r="A883" s="170">
        <v>45404</v>
      </c>
      <c r="B883" s="116">
        <v>283.94499999999999</v>
      </c>
      <c r="C883" s="116">
        <v>282.45499999999998</v>
      </c>
      <c r="D883" s="116">
        <v>271.11500000000001</v>
      </c>
      <c r="E883" s="116">
        <v>271.51499999999999</v>
      </c>
      <c r="F883" s="116">
        <v>2824.55</v>
      </c>
      <c r="G883">
        <v>73808</v>
      </c>
      <c r="H883" s="116"/>
      <c r="I883" s="116"/>
      <c r="L883" s="170">
        <v>45404</v>
      </c>
      <c r="M883" s="116">
        <v>282.57</v>
      </c>
      <c r="N883" s="116">
        <v>284</v>
      </c>
      <c r="O883" s="116">
        <v>271.125</v>
      </c>
      <c r="P883" s="116">
        <v>272.995</v>
      </c>
      <c r="Q883" s="116">
        <v>2825.7</v>
      </c>
      <c r="R883">
        <v>727746</v>
      </c>
    </row>
    <row r="884" spans="1:18" x14ac:dyDescent="0.25">
      <c r="A884" s="170">
        <v>45405</v>
      </c>
      <c r="B884" s="116">
        <v>288.41000000000003</v>
      </c>
      <c r="C884" s="116">
        <v>285.58</v>
      </c>
      <c r="D884" s="116">
        <v>282.45499999999998</v>
      </c>
      <c r="E884" s="116">
        <v>285.60000000000002</v>
      </c>
      <c r="F884" s="116">
        <v>2855.8</v>
      </c>
      <c r="G884">
        <v>16700</v>
      </c>
      <c r="H884" s="116"/>
      <c r="I884" s="116"/>
      <c r="L884" s="170">
        <v>45405</v>
      </c>
      <c r="M884" s="116">
        <v>285.63</v>
      </c>
      <c r="N884" s="116">
        <v>288.39999999999998</v>
      </c>
      <c r="O884" s="116">
        <v>282.5</v>
      </c>
      <c r="P884" s="116">
        <v>285.8</v>
      </c>
      <c r="Q884" s="116">
        <v>2856.3</v>
      </c>
      <c r="R884">
        <v>409100</v>
      </c>
    </row>
    <row r="885" spans="1:18" x14ac:dyDescent="0.25">
      <c r="A885" s="170">
        <v>45406</v>
      </c>
      <c r="B885" s="116">
        <v>288</v>
      </c>
      <c r="C885" s="116">
        <v>284.33999999999997</v>
      </c>
      <c r="D885" s="116">
        <v>282.74</v>
      </c>
      <c r="E885" s="116">
        <v>286.04500000000002</v>
      </c>
      <c r="F885" s="116">
        <v>2843.4</v>
      </c>
      <c r="G885">
        <v>10149</v>
      </c>
      <c r="H885" s="116"/>
      <c r="I885" s="116"/>
      <c r="L885" s="170">
        <v>45406</v>
      </c>
      <c r="M885" s="116">
        <v>284.19</v>
      </c>
      <c r="N885" s="116">
        <v>288.08</v>
      </c>
      <c r="O885" s="116">
        <v>282.73</v>
      </c>
      <c r="P885" s="116">
        <v>286.94</v>
      </c>
      <c r="Q885" s="116">
        <v>2841.9</v>
      </c>
      <c r="R885">
        <v>276260</v>
      </c>
    </row>
    <row r="886" spans="1:18" x14ac:dyDescent="0.25">
      <c r="A886" s="170">
        <v>45407</v>
      </c>
      <c r="B886" s="116">
        <v>285.39999999999998</v>
      </c>
      <c r="C886" s="116">
        <v>283.54500000000002</v>
      </c>
      <c r="D886" s="116">
        <v>280.505</v>
      </c>
      <c r="E886" s="116">
        <v>283.45499999999998</v>
      </c>
      <c r="F886" s="116">
        <v>2835.45</v>
      </c>
      <c r="G886">
        <v>26658</v>
      </c>
      <c r="H886" s="116"/>
      <c r="I886" s="116"/>
      <c r="L886" s="170">
        <v>45407</v>
      </c>
      <c r="M886" s="116">
        <v>283.70499999999998</v>
      </c>
      <c r="N886" s="116">
        <v>285</v>
      </c>
      <c r="O886" s="116">
        <v>280.505</v>
      </c>
      <c r="P886" s="116">
        <v>282.47500000000002</v>
      </c>
      <c r="Q886" s="116">
        <v>2837.05</v>
      </c>
      <c r="R886">
        <v>218458</v>
      </c>
    </row>
    <row r="887" spans="1:18" x14ac:dyDescent="0.25">
      <c r="A887" s="170">
        <v>45408</v>
      </c>
      <c r="B887" s="116">
        <v>292.69</v>
      </c>
      <c r="C887" s="116">
        <v>281.97000000000003</v>
      </c>
      <c r="D887" s="116">
        <v>280.10000000000002</v>
      </c>
      <c r="E887" s="116">
        <v>283.60500000000002</v>
      </c>
      <c r="F887" s="116">
        <v>2819.7</v>
      </c>
      <c r="G887">
        <v>13169</v>
      </c>
      <c r="H887" s="116"/>
      <c r="I887" s="116"/>
      <c r="L887" s="170">
        <v>45408</v>
      </c>
      <c r="M887" s="116">
        <v>281.68</v>
      </c>
      <c r="N887" s="116">
        <v>292.60000000000002</v>
      </c>
      <c r="O887" s="116">
        <v>280</v>
      </c>
      <c r="P887" s="116">
        <v>284.10000000000002</v>
      </c>
      <c r="Q887" s="116">
        <v>2816.8</v>
      </c>
      <c r="R887">
        <v>316313</v>
      </c>
    </row>
    <row r="888" spans="1:18" x14ac:dyDescent="0.25">
      <c r="A888" s="170">
        <v>45411</v>
      </c>
      <c r="B888" s="116">
        <v>288.21499999999997</v>
      </c>
      <c r="C888" s="116">
        <v>276.38499999999999</v>
      </c>
      <c r="D888" s="116">
        <v>275.13499999999999</v>
      </c>
      <c r="E888" s="116">
        <v>287.3</v>
      </c>
      <c r="F888" s="116">
        <v>2763.85</v>
      </c>
      <c r="G888">
        <v>40161</v>
      </c>
      <c r="H888" s="116"/>
      <c r="I888" s="116"/>
      <c r="L888" s="170">
        <v>45411</v>
      </c>
      <c r="M888" s="116">
        <v>276.38499999999999</v>
      </c>
      <c r="N888" s="116">
        <v>289</v>
      </c>
      <c r="O888" s="116">
        <v>275</v>
      </c>
      <c r="P888" s="116">
        <v>288.5</v>
      </c>
      <c r="Q888" s="116">
        <v>2763.85</v>
      </c>
      <c r="R888">
        <v>363358</v>
      </c>
    </row>
    <row r="889" spans="1:18" x14ac:dyDescent="0.25">
      <c r="A889" s="170">
        <v>45412</v>
      </c>
      <c r="B889" s="116">
        <v>283</v>
      </c>
      <c r="C889" s="116">
        <v>278.90499999999997</v>
      </c>
      <c r="D889" s="116">
        <v>276.505</v>
      </c>
      <c r="E889" s="116">
        <v>278.46499999999997</v>
      </c>
      <c r="F889" s="116">
        <v>2789.05</v>
      </c>
      <c r="G889">
        <v>23759</v>
      </c>
      <c r="H889" s="116"/>
      <c r="I889" s="116"/>
      <c r="L889" s="170">
        <v>45412</v>
      </c>
      <c r="M889" s="116">
        <v>278.66000000000003</v>
      </c>
      <c r="N889" s="116">
        <v>283</v>
      </c>
      <c r="O889" s="116">
        <v>276.5</v>
      </c>
      <c r="P889" s="116">
        <v>278.995</v>
      </c>
      <c r="Q889" s="116">
        <v>2786.6</v>
      </c>
      <c r="R889">
        <v>226866</v>
      </c>
    </row>
    <row r="890" spans="1:18" x14ac:dyDescent="0.25">
      <c r="A890" s="170">
        <v>45414</v>
      </c>
      <c r="B890" s="116">
        <v>281.39</v>
      </c>
      <c r="C890" s="116">
        <v>277.76</v>
      </c>
      <c r="D890" s="116">
        <v>277.005</v>
      </c>
      <c r="E890" s="116">
        <v>279.01499999999999</v>
      </c>
      <c r="F890" s="116">
        <v>2777.6</v>
      </c>
      <c r="G890">
        <v>23570</v>
      </c>
      <c r="H890" s="116"/>
      <c r="I890" s="116"/>
      <c r="L890" s="170">
        <v>45414</v>
      </c>
      <c r="M890" s="116">
        <v>277.73</v>
      </c>
      <c r="N890" s="116">
        <v>281.07499999999999</v>
      </c>
      <c r="O890" s="116">
        <v>276.95999999999998</v>
      </c>
      <c r="P890" s="116">
        <v>279.44</v>
      </c>
      <c r="Q890" s="116">
        <v>2777.3</v>
      </c>
      <c r="R890">
        <v>595938</v>
      </c>
    </row>
    <row r="891" spans="1:18" x14ac:dyDescent="0.25">
      <c r="A891" s="170">
        <v>45415</v>
      </c>
      <c r="B891" s="116">
        <v>280</v>
      </c>
      <c r="C891" s="116">
        <v>271.70999999999998</v>
      </c>
      <c r="D891" s="116">
        <v>270.39999999999998</v>
      </c>
      <c r="E891" s="116">
        <v>279.48500000000001</v>
      </c>
      <c r="F891" s="116">
        <v>2717.1</v>
      </c>
      <c r="G891">
        <v>30363</v>
      </c>
      <c r="H891" s="116"/>
      <c r="I891" s="116"/>
      <c r="L891" s="170">
        <v>45415</v>
      </c>
      <c r="M891" s="116">
        <v>271.67</v>
      </c>
      <c r="N891" s="116">
        <v>279.79500000000002</v>
      </c>
      <c r="O891" s="116">
        <v>270.55500000000001</v>
      </c>
      <c r="P891" s="116">
        <v>279.2</v>
      </c>
      <c r="Q891" s="116">
        <v>2716.7</v>
      </c>
      <c r="R891">
        <v>240090</v>
      </c>
    </row>
    <row r="892" spans="1:18" x14ac:dyDescent="0.25">
      <c r="A892" s="170">
        <v>45418</v>
      </c>
      <c r="B892" s="116">
        <v>274.88499999999999</v>
      </c>
      <c r="C892" s="116">
        <v>263.125</v>
      </c>
      <c r="D892" s="116">
        <v>262.10000000000002</v>
      </c>
      <c r="E892" s="116">
        <v>273.505</v>
      </c>
      <c r="F892" s="116">
        <v>2631.25</v>
      </c>
      <c r="G892">
        <v>53277</v>
      </c>
      <c r="H892" s="116"/>
      <c r="I892" s="116"/>
      <c r="L892" s="170">
        <v>45418</v>
      </c>
      <c r="M892" s="116">
        <v>263.05500000000001</v>
      </c>
      <c r="N892" s="116">
        <v>274.995</v>
      </c>
      <c r="O892" s="116">
        <v>262.02999999999997</v>
      </c>
      <c r="P892" s="116">
        <v>274.22500000000002</v>
      </c>
      <c r="Q892" s="116">
        <v>2630.55</v>
      </c>
      <c r="R892">
        <v>353957</v>
      </c>
    </row>
    <row r="893" spans="1:18" x14ac:dyDescent="0.25">
      <c r="A893" s="170">
        <v>45419</v>
      </c>
      <c r="B893" s="116">
        <v>269.98500000000001</v>
      </c>
      <c r="C893" s="116">
        <v>258.39</v>
      </c>
      <c r="D893" s="116">
        <v>257.60000000000002</v>
      </c>
      <c r="E893" s="116">
        <v>266.77499999999998</v>
      </c>
      <c r="F893" s="116">
        <v>2583.9</v>
      </c>
      <c r="G893">
        <v>44000</v>
      </c>
      <c r="H893" s="116"/>
      <c r="I893" s="116"/>
      <c r="L893" s="170">
        <v>45419</v>
      </c>
      <c r="M893" s="116">
        <v>258.36500000000001</v>
      </c>
      <c r="N893" s="116">
        <v>270.11500000000001</v>
      </c>
      <c r="O893" s="116">
        <v>257.505</v>
      </c>
      <c r="P893" s="116">
        <v>266</v>
      </c>
      <c r="Q893" s="116">
        <v>2583.65</v>
      </c>
      <c r="R893">
        <v>416067</v>
      </c>
    </row>
    <row r="894" spans="1:18" x14ac:dyDescent="0.25">
      <c r="A894" s="170">
        <v>45420</v>
      </c>
      <c r="B894" s="116">
        <v>262.15499999999997</v>
      </c>
      <c r="C894" s="116">
        <v>257.27499999999998</v>
      </c>
      <c r="D894" s="116">
        <v>255.92</v>
      </c>
      <c r="E894" s="116">
        <v>257.11</v>
      </c>
      <c r="F894" s="116">
        <v>2572.75</v>
      </c>
      <c r="G894">
        <v>25141</v>
      </c>
      <c r="H894" s="116"/>
      <c r="I894" s="116"/>
      <c r="L894" s="170">
        <v>45420</v>
      </c>
      <c r="M894" s="116">
        <v>257.13499999999999</v>
      </c>
      <c r="N894" s="116">
        <v>262</v>
      </c>
      <c r="O894" s="116">
        <v>256</v>
      </c>
      <c r="P894" s="116">
        <v>258.36500000000001</v>
      </c>
      <c r="Q894" s="116">
        <v>2571.35</v>
      </c>
      <c r="R894">
        <v>308574</v>
      </c>
    </row>
    <row r="895" spans="1:18" x14ac:dyDescent="0.25">
      <c r="A895" s="170">
        <v>45421</v>
      </c>
      <c r="B895" s="116">
        <v>261.27</v>
      </c>
      <c r="C895" s="116">
        <v>242.02500000000001</v>
      </c>
      <c r="D895" s="116">
        <v>240.755</v>
      </c>
      <c r="E895" s="116">
        <v>258.76</v>
      </c>
      <c r="F895" s="116">
        <v>2420.25</v>
      </c>
      <c r="G895">
        <v>70475</v>
      </c>
      <c r="H895" s="116"/>
      <c r="I895" s="116"/>
      <c r="L895" s="170">
        <v>45421</v>
      </c>
      <c r="M895" s="116">
        <v>242.035</v>
      </c>
      <c r="N895" s="116">
        <v>261.48500000000001</v>
      </c>
      <c r="O895" s="116">
        <v>240.5</v>
      </c>
      <c r="P895" s="116">
        <v>258.5</v>
      </c>
      <c r="Q895" s="116">
        <v>2420.35</v>
      </c>
      <c r="R895">
        <v>689238</v>
      </c>
    </row>
    <row r="896" spans="1:18" x14ac:dyDescent="0.25">
      <c r="A896" s="170">
        <v>45422</v>
      </c>
      <c r="B896" s="116">
        <v>252.58</v>
      </c>
      <c r="C896" s="116">
        <v>247.095</v>
      </c>
      <c r="D896" s="116">
        <v>241.6</v>
      </c>
      <c r="E896" s="116">
        <v>247.66</v>
      </c>
      <c r="F896" s="116">
        <v>2470.9499999999998</v>
      </c>
      <c r="G896">
        <v>21800</v>
      </c>
      <c r="H896" s="116"/>
      <c r="I896" s="116"/>
      <c r="L896" s="170">
        <v>45422</v>
      </c>
      <c r="M896" s="116">
        <v>247.01499999999999</v>
      </c>
      <c r="N896" s="116">
        <v>253</v>
      </c>
      <c r="O896" s="116">
        <v>241.38499999999999</v>
      </c>
      <c r="P896" s="116">
        <v>247.39</v>
      </c>
      <c r="Q896" s="116">
        <v>2470.15</v>
      </c>
      <c r="R896">
        <v>677597</v>
      </c>
    </row>
    <row r="897" spans="1:18" x14ac:dyDescent="0.25">
      <c r="A897" s="170">
        <v>45425</v>
      </c>
      <c r="B897" s="116">
        <v>252.89</v>
      </c>
      <c r="C897" s="116">
        <v>247.93</v>
      </c>
      <c r="D897" s="116">
        <v>240.10499999999999</v>
      </c>
      <c r="E897" s="116">
        <v>248.845</v>
      </c>
      <c r="F897" s="116">
        <v>2479.3000000000002</v>
      </c>
      <c r="G897">
        <v>42743</v>
      </c>
      <c r="H897" s="116"/>
      <c r="I897" s="116"/>
      <c r="L897" s="170">
        <v>45425</v>
      </c>
      <c r="M897" s="116">
        <v>247.69499999999999</v>
      </c>
      <c r="N897" s="116">
        <v>252.79499999999999</v>
      </c>
      <c r="O897" s="116">
        <v>240.1</v>
      </c>
      <c r="P897" s="116">
        <v>248.595</v>
      </c>
      <c r="Q897" s="116">
        <v>2476.9499999999998</v>
      </c>
      <c r="R897">
        <v>817772</v>
      </c>
    </row>
    <row r="898" spans="1:18" x14ac:dyDescent="0.25">
      <c r="A898" s="170">
        <v>45426</v>
      </c>
      <c r="B898" s="116">
        <v>263.08999999999997</v>
      </c>
      <c r="C898" s="116">
        <v>261.66500000000002</v>
      </c>
      <c r="D898" s="116">
        <v>248.95</v>
      </c>
      <c r="E898" s="116">
        <v>249.255</v>
      </c>
      <c r="F898" s="116">
        <v>2616.65</v>
      </c>
      <c r="G898">
        <v>59325</v>
      </c>
      <c r="H898" s="116"/>
      <c r="I898" s="116"/>
      <c r="L898" s="170">
        <v>45426</v>
      </c>
      <c r="M898" s="116">
        <v>261.20499999999998</v>
      </c>
      <c r="N898" s="116">
        <v>262.98</v>
      </c>
      <c r="O898" s="116">
        <v>249</v>
      </c>
      <c r="P898" s="116">
        <v>249</v>
      </c>
      <c r="Q898" s="116">
        <v>2612.0500000000002</v>
      </c>
      <c r="R898">
        <v>725957</v>
      </c>
    </row>
    <row r="899" spans="1:18" x14ac:dyDescent="0.25">
      <c r="A899" s="170">
        <v>45427</v>
      </c>
      <c r="B899" s="116">
        <v>270</v>
      </c>
      <c r="C899" s="116">
        <v>268.54000000000002</v>
      </c>
      <c r="D899" s="116">
        <v>256.31</v>
      </c>
      <c r="E899" s="116">
        <v>265.48500000000001</v>
      </c>
      <c r="F899" s="116">
        <v>2685.4</v>
      </c>
      <c r="G899">
        <v>61948</v>
      </c>
      <c r="H899" s="116"/>
      <c r="I899" s="116"/>
      <c r="L899" s="170">
        <v>45427</v>
      </c>
      <c r="M899" s="116">
        <v>268.08999999999997</v>
      </c>
      <c r="N899" s="116">
        <v>270.10000000000002</v>
      </c>
      <c r="O899" s="116">
        <v>256.34500000000003</v>
      </c>
      <c r="P899" s="116">
        <v>264.005</v>
      </c>
      <c r="Q899" s="116">
        <v>2680.9</v>
      </c>
      <c r="R899">
        <v>665604</v>
      </c>
    </row>
    <row r="900" spans="1:18" x14ac:dyDescent="0.25">
      <c r="A900" s="170">
        <v>45428</v>
      </c>
      <c r="B900" s="116">
        <v>273</v>
      </c>
      <c r="C900" s="116">
        <v>272.30500000000001</v>
      </c>
      <c r="D900" s="116">
        <v>268.10500000000002</v>
      </c>
      <c r="E900" s="116">
        <v>270</v>
      </c>
      <c r="F900" s="116">
        <v>2723.05</v>
      </c>
      <c r="G900">
        <v>48630</v>
      </c>
      <c r="H900" s="116"/>
      <c r="I900" s="116"/>
      <c r="L900" s="170">
        <v>45428</v>
      </c>
      <c r="M900" s="116">
        <v>272.13499999999999</v>
      </c>
      <c r="N900" s="116">
        <v>273</v>
      </c>
      <c r="O900" s="116">
        <v>268.3</v>
      </c>
      <c r="P900" s="116">
        <v>270.2</v>
      </c>
      <c r="Q900" s="116">
        <v>2721.35</v>
      </c>
      <c r="R900">
        <v>428450</v>
      </c>
    </row>
    <row r="901" spans="1:18" x14ac:dyDescent="0.25">
      <c r="A901" s="170">
        <v>45429</v>
      </c>
      <c r="B901" s="116">
        <v>275.8</v>
      </c>
      <c r="C901" s="116">
        <v>274.89</v>
      </c>
      <c r="D901" s="116">
        <v>271.01</v>
      </c>
      <c r="E901" s="116">
        <v>272.8</v>
      </c>
      <c r="F901" s="116">
        <v>2748.9</v>
      </c>
      <c r="G901">
        <v>36957</v>
      </c>
      <c r="H901" s="116"/>
      <c r="I901" s="116"/>
      <c r="L901" s="170">
        <v>45429</v>
      </c>
      <c r="M901" s="116">
        <v>274.93</v>
      </c>
      <c r="N901" s="116">
        <v>275.8</v>
      </c>
      <c r="O901" s="116">
        <v>271.005</v>
      </c>
      <c r="P901" s="116">
        <v>273.5</v>
      </c>
      <c r="Q901" s="116">
        <v>2749.3</v>
      </c>
      <c r="R901">
        <v>289363</v>
      </c>
    </row>
    <row r="902" spans="1:18" x14ac:dyDescent="0.25">
      <c r="A902" s="170">
        <v>45430</v>
      </c>
      <c r="B902" s="116">
        <v>277.89499999999998</v>
      </c>
      <c r="C902" s="116">
        <v>275.70999999999998</v>
      </c>
      <c r="D902" s="116">
        <v>274</v>
      </c>
      <c r="E902" s="116">
        <v>277.89499999999998</v>
      </c>
      <c r="F902" s="116">
        <v>2757.1</v>
      </c>
      <c r="G902">
        <v>2161</v>
      </c>
      <c r="H902" s="116"/>
      <c r="I902" s="116"/>
      <c r="L902" s="170">
        <v>45430</v>
      </c>
      <c r="M902" s="116">
        <v>275.64999999999998</v>
      </c>
      <c r="N902" s="116">
        <v>277</v>
      </c>
      <c r="O902" s="116">
        <v>274.005</v>
      </c>
      <c r="P902" s="116">
        <v>277</v>
      </c>
      <c r="Q902" s="116">
        <v>2756.5</v>
      </c>
      <c r="R902">
        <v>34488</v>
      </c>
    </row>
    <row r="903" spans="1:18" x14ac:dyDescent="0.25">
      <c r="A903" s="170">
        <v>45433</v>
      </c>
      <c r="B903" s="116">
        <v>275.93</v>
      </c>
      <c r="C903" s="116">
        <v>265.78500000000003</v>
      </c>
      <c r="D903" s="116">
        <v>263.5</v>
      </c>
      <c r="E903" s="116">
        <v>275.10500000000002</v>
      </c>
      <c r="F903" s="116">
        <v>2657.85</v>
      </c>
      <c r="G903">
        <v>62337</v>
      </c>
      <c r="H903" s="116"/>
      <c r="I903" s="116"/>
      <c r="L903" s="170">
        <v>45433</v>
      </c>
      <c r="M903" s="116">
        <v>265.7</v>
      </c>
      <c r="N903" s="116">
        <v>275.75</v>
      </c>
      <c r="O903" s="116">
        <v>263.5</v>
      </c>
      <c r="P903" s="116">
        <v>275.64999999999998</v>
      </c>
      <c r="Q903" s="116">
        <v>2657</v>
      </c>
      <c r="R903">
        <v>512799</v>
      </c>
    </row>
    <row r="904" spans="1:18" x14ac:dyDescent="0.25">
      <c r="A904" s="170">
        <v>45434</v>
      </c>
      <c r="B904" s="116">
        <v>267.3</v>
      </c>
      <c r="C904" s="116">
        <v>260.39</v>
      </c>
      <c r="D904" s="116">
        <v>259.7</v>
      </c>
      <c r="E904" s="116">
        <v>266.815</v>
      </c>
      <c r="F904" s="116">
        <v>2603.9</v>
      </c>
      <c r="G904">
        <v>37572</v>
      </c>
      <c r="H904" s="116"/>
      <c r="I904" s="116"/>
      <c r="L904" s="170">
        <v>45434</v>
      </c>
      <c r="M904" s="116">
        <v>260.61</v>
      </c>
      <c r="N904" s="116">
        <v>267.67</v>
      </c>
      <c r="O904" s="116">
        <v>259.5</v>
      </c>
      <c r="P904" s="116">
        <v>267</v>
      </c>
      <c r="Q904" s="116">
        <v>2606.1</v>
      </c>
      <c r="R904">
        <v>377871</v>
      </c>
    </row>
    <row r="905" spans="1:18" x14ac:dyDescent="0.25">
      <c r="A905" s="170">
        <v>45435</v>
      </c>
      <c r="B905" s="116">
        <v>264.60500000000002</v>
      </c>
      <c r="C905" s="116">
        <v>261.875</v>
      </c>
      <c r="D905" s="116">
        <v>260.69</v>
      </c>
      <c r="E905" s="116">
        <v>260.69</v>
      </c>
      <c r="F905" s="116">
        <v>2618.75</v>
      </c>
      <c r="G905">
        <v>6675</v>
      </c>
      <c r="H905" s="116"/>
      <c r="I905" s="116"/>
      <c r="L905" s="170">
        <v>45435</v>
      </c>
      <c r="M905" s="116">
        <v>261.76</v>
      </c>
      <c r="N905" s="116">
        <v>264.60000000000002</v>
      </c>
      <c r="O905" s="116">
        <v>260.8</v>
      </c>
      <c r="P905" s="116">
        <v>261</v>
      </c>
      <c r="Q905" s="116">
        <v>2617.6</v>
      </c>
      <c r="R905">
        <v>250520</v>
      </c>
    </row>
    <row r="906" spans="1:18" x14ac:dyDescent="0.25">
      <c r="A906" s="170">
        <v>45436</v>
      </c>
      <c r="B906" s="116">
        <v>263.59500000000003</v>
      </c>
      <c r="C906" s="116">
        <v>259.92</v>
      </c>
      <c r="D906" s="116">
        <v>259.5</v>
      </c>
      <c r="E906" s="116">
        <v>260.125</v>
      </c>
      <c r="F906" s="116">
        <v>2599.1999999999998</v>
      </c>
      <c r="G906">
        <v>22860</v>
      </c>
      <c r="H906" s="116"/>
      <c r="I906" s="116"/>
      <c r="L906" s="170">
        <v>45436</v>
      </c>
      <c r="M906" s="116">
        <v>259.95499999999998</v>
      </c>
      <c r="N906" s="116">
        <v>263.5</v>
      </c>
      <c r="O906" s="116">
        <v>259.60000000000002</v>
      </c>
      <c r="P906" s="116">
        <v>261.8</v>
      </c>
      <c r="Q906" s="116">
        <v>2599.5500000000002</v>
      </c>
      <c r="R906">
        <v>195163</v>
      </c>
    </row>
    <row r="907" spans="1:18" x14ac:dyDescent="0.25">
      <c r="A907" s="170">
        <v>45439</v>
      </c>
      <c r="B907" s="116">
        <v>266.05500000000001</v>
      </c>
      <c r="C907" s="116">
        <v>258.29000000000002</v>
      </c>
      <c r="D907" s="116">
        <v>257.69499999999999</v>
      </c>
      <c r="E907" s="116">
        <v>263.92</v>
      </c>
      <c r="F907" s="116">
        <v>2582.9</v>
      </c>
      <c r="G907">
        <v>13856</v>
      </c>
      <c r="H907" s="116"/>
      <c r="I907" s="116"/>
      <c r="L907" s="170">
        <v>45439</v>
      </c>
      <c r="M907" s="116">
        <v>258.27499999999998</v>
      </c>
      <c r="N907" s="116">
        <v>266.45999999999998</v>
      </c>
      <c r="O907" s="116">
        <v>258</v>
      </c>
      <c r="P907" s="116">
        <v>262.5</v>
      </c>
      <c r="Q907" s="116">
        <v>2582.75</v>
      </c>
      <c r="R907">
        <v>282154</v>
      </c>
    </row>
    <row r="908" spans="1:18" x14ac:dyDescent="0.25">
      <c r="A908" s="170">
        <v>45440</v>
      </c>
      <c r="B908" s="116">
        <v>259.73500000000001</v>
      </c>
      <c r="C908" s="116">
        <v>253.715</v>
      </c>
      <c r="D908" s="116">
        <v>252.52</v>
      </c>
      <c r="E908" s="116">
        <v>258.685</v>
      </c>
      <c r="F908" s="116">
        <v>2537.15</v>
      </c>
      <c r="G908">
        <v>30426</v>
      </c>
      <c r="H908" s="116"/>
      <c r="I908" s="116"/>
      <c r="L908" s="170">
        <v>45440</v>
      </c>
      <c r="M908" s="116">
        <v>253.77500000000001</v>
      </c>
      <c r="N908" s="116">
        <v>260</v>
      </c>
      <c r="O908" s="116">
        <v>252.5</v>
      </c>
      <c r="P908" s="116">
        <v>259</v>
      </c>
      <c r="Q908" s="116">
        <v>2537.75</v>
      </c>
      <c r="R908">
        <v>217353</v>
      </c>
    </row>
    <row r="909" spans="1:18" x14ac:dyDescent="0.25">
      <c r="A909" s="170">
        <v>45441</v>
      </c>
      <c r="B909" s="116">
        <v>253.595</v>
      </c>
      <c r="C909" s="116">
        <v>249.39</v>
      </c>
      <c r="D909" s="116">
        <v>248.60499999999999</v>
      </c>
      <c r="E909" s="116">
        <v>253.595</v>
      </c>
      <c r="F909" s="116">
        <v>2493.9</v>
      </c>
      <c r="G909">
        <v>9513</v>
      </c>
      <c r="H909" s="116"/>
      <c r="I909" s="116"/>
      <c r="L909" s="170">
        <v>45441</v>
      </c>
      <c r="M909" s="116">
        <v>249.25</v>
      </c>
      <c r="N909" s="116">
        <v>253.77500000000001</v>
      </c>
      <c r="O909" s="116">
        <v>248.6</v>
      </c>
      <c r="P909" s="116">
        <v>252.5</v>
      </c>
      <c r="Q909" s="116">
        <v>2492.5</v>
      </c>
      <c r="R909">
        <v>288175</v>
      </c>
    </row>
    <row r="910" spans="1:18" x14ac:dyDescent="0.25">
      <c r="A910" s="170">
        <v>45442</v>
      </c>
      <c r="B910" s="116">
        <v>250.89</v>
      </c>
      <c r="C910" s="116">
        <v>247.32499999999999</v>
      </c>
      <c r="D910" s="116">
        <v>246.01499999999999</v>
      </c>
      <c r="E910" s="116">
        <v>249.5</v>
      </c>
      <c r="F910" s="116">
        <v>2473.25</v>
      </c>
      <c r="G910">
        <v>29340</v>
      </c>
      <c r="H910" s="116"/>
      <c r="I910" s="116"/>
      <c r="L910" s="170">
        <v>45442</v>
      </c>
      <c r="M910" s="116">
        <v>247.42</v>
      </c>
      <c r="N910" s="116">
        <v>250.79499999999999</v>
      </c>
      <c r="O910" s="116">
        <v>246</v>
      </c>
      <c r="P910" s="116">
        <v>249.25</v>
      </c>
      <c r="Q910" s="116">
        <v>2474.1999999999998</v>
      </c>
      <c r="R910">
        <v>354853</v>
      </c>
    </row>
    <row r="911" spans="1:18" x14ac:dyDescent="0.25">
      <c r="A911" s="170">
        <v>45443</v>
      </c>
      <c r="B911" s="116">
        <v>250</v>
      </c>
      <c r="C911" s="116">
        <v>246.22</v>
      </c>
      <c r="D911" s="116">
        <v>243.815</v>
      </c>
      <c r="E911" s="116">
        <v>249.995</v>
      </c>
      <c r="F911" s="116">
        <v>2462.1999999999998</v>
      </c>
      <c r="G911">
        <v>13447</v>
      </c>
      <c r="H911" s="116"/>
      <c r="I911" s="116"/>
      <c r="L911" s="170">
        <v>45443</v>
      </c>
      <c r="M911" s="116">
        <v>246.73</v>
      </c>
      <c r="N911" s="116">
        <v>250.5</v>
      </c>
      <c r="O911" s="116">
        <v>243.70500000000001</v>
      </c>
      <c r="P911" s="116">
        <v>249.59</v>
      </c>
      <c r="Q911" s="116">
        <v>2467.3000000000002</v>
      </c>
      <c r="R911">
        <v>545433</v>
      </c>
    </row>
    <row r="912" spans="1:18" x14ac:dyDescent="0.25">
      <c r="A912" s="170">
        <v>45446</v>
      </c>
      <c r="B912" s="116">
        <v>264.8</v>
      </c>
      <c r="C912" s="116">
        <v>257.755</v>
      </c>
      <c r="D912" s="116">
        <v>254.42</v>
      </c>
      <c r="E912" s="116">
        <v>264.8</v>
      </c>
      <c r="F912" s="116">
        <v>2577.5500000000002</v>
      </c>
      <c r="G912">
        <v>23578</v>
      </c>
      <c r="H912" s="116"/>
      <c r="I912" s="116"/>
      <c r="L912" s="170">
        <v>45446</v>
      </c>
      <c r="M912" s="116">
        <v>257.77499999999998</v>
      </c>
      <c r="N912" s="116">
        <v>264.685</v>
      </c>
      <c r="O912" s="116">
        <v>254.2</v>
      </c>
      <c r="P912" s="116">
        <v>264.5</v>
      </c>
      <c r="Q912" s="116">
        <v>2577.75</v>
      </c>
      <c r="R912">
        <v>588066</v>
      </c>
    </row>
    <row r="913" spans="1:18" x14ac:dyDescent="0.25">
      <c r="A913" s="170">
        <v>45447</v>
      </c>
      <c r="B913" s="116">
        <v>260</v>
      </c>
      <c r="C913" s="116">
        <v>225.72</v>
      </c>
      <c r="D913" s="116">
        <v>212.61</v>
      </c>
      <c r="E913" s="116">
        <v>260</v>
      </c>
      <c r="F913" s="116">
        <v>2257.1999999999998</v>
      </c>
      <c r="G913">
        <v>49184</v>
      </c>
      <c r="H913" s="116"/>
      <c r="I913" s="116"/>
      <c r="L913" s="170">
        <v>45447</v>
      </c>
      <c r="M913" s="116">
        <v>224.785</v>
      </c>
      <c r="N913" s="116">
        <v>257</v>
      </c>
      <c r="O913" s="116">
        <v>212.97</v>
      </c>
      <c r="P913" s="116">
        <v>257</v>
      </c>
      <c r="Q913" s="116">
        <v>2247.85</v>
      </c>
      <c r="R913">
        <v>1337948</v>
      </c>
    </row>
    <row r="914" spans="1:18" x14ac:dyDescent="0.25">
      <c r="A914" s="170">
        <v>45448</v>
      </c>
      <c r="B914" s="116">
        <v>240.63499999999999</v>
      </c>
      <c r="C914" s="116">
        <v>235.375</v>
      </c>
      <c r="D914" s="116">
        <v>228.51499999999999</v>
      </c>
      <c r="E914" s="116">
        <v>230.51</v>
      </c>
      <c r="F914" s="116">
        <v>2353.75</v>
      </c>
      <c r="G914">
        <v>106696</v>
      </c>
      <c r="H914" s="116"/>
      <c r="I914" s="116"/>
      <c r="L914" s="170">
        <v>45448</v>
      </c>
      <c r="M914" s="116">
        <v>235.29499999999999</v>
      </c>
      <c r="N914" s="116">
        <v>240.405</v>
      </c>
      <c r="O914" s="116">
        <v>228.5</v>
      </c>
      <c r="P914" s="116">
        <v>232.5</v>
      </c>
      <c r="Q914" s="116">
        <v>2352.9499999999998</v>
      </c>
      <c r="R914">
        <v>777898</v>
      </c>
    </row>
    <row r="915" spans="1:18" x14ac:dyDescent="0.25">
      <c r="A915" s="170">
        <v>45449</v>
      </c>
      <c r="B915" s="116">
        <v>253</v>
      </c>
      <c r="C915" s="116">
        <v>251.76</v>
      </c>
      <c r="D915" s="116">
        <v>239.04499999999999</v>
      </c>
      <c r="E915" s="116">
        <v>242</v>
      </c>
      <c r="F915" s="116">
        <v>2517.6</v>
      </c>
      <c r="G915">
        <v>72042</v>
      </c>
      <c r="H915" s="116"/>
      <c r="I915" s="116"/>
      <c r="L915" s="170">
        <v>45449</v>
      </c>
      <c r="M915" s="116">
        <v>251.495</v>
      </c>
      <c r="N915" s="116">
        <v>253</v>
      </c>
      <c r="O915" s="116">
        <v>238.80500000000001</v>
      </c>
      <c r="P915" s="116">
        <v>242.065</v>
      </c>
      <c r="Q915" s="116">
        <v>2514.9499999999998</v>
      </c>
      <c r="R915">
        <v>667068</v>
      </c>
    </row>
    <row r="916" spans="1:18" x14ac:dyDescent="0.25">
      <c r="A916" s="170">
        <v>45450</v>
      </c>
      <c r="B916" s="116">
        <v>260</v>
      </c>
      <c r="C916" s="116">
        <v>258.72000000000003</v>
      </c>
      <c r="D916" s="116">
        <v>250.33</v>
      </c>
      <c r="E916" s="116">
        <v>254.505</v>
      </c>
      <c r="F916" s="116">
        <v>2587.1999999999998</v>
      </c>
      <c r="G916">
        <v>49603</v>
      </c>
      <c r="H916" s="116"/>
      <c r="I916" s="116"/>
      <c r="L916" s="170">
        <v>45450</v>
      </c>
      <c r="M916" s="116">
        <v>259.005</v>
      </c>
      <c r="N916" s="116">
        <v>260</v>
      </c>
      <c r="O916" s="116">
        <v>250.54</v>
      </c>
      <c r="P916" s="116">
        <v>254.76499999999999</v>
      </c>
      <c r="Q916" s="116">
        <v>2590.0500000000002</v>
      </c>
      <c r="R916">
        <v>360721</v>
      </c>
    </row>
    <row r="917" spans="1:18" x14ac:dyDescent="0.25">
      <c r="A917" s="170">
        <v>45453</v>
      </c>
      <c r="B917" s="116">
        <v>263.83</v>
      </c>
      <c r="C917" s="116">
        <v>262.77</v>
      </c>
      <c r="D917" s="116">
        <v>257.30500000000001</v>
      </c>
      <c r="E917" s="116">
        <v>263.83</v>
      </c>
      <c r="F917" s="116">
        <v>2627.7</v>
      </c>
      <c r="G917">
        <v>13307</v>
      </c>
      <c r="H917" s="116"/>
      <c r="I917" s="116"/>
      <c r="L917" s="170">
        <v>45453</v>
      </c>
      <c r="M917" s="116">
        <v>262.755</v>
      </c>
      <c r="N917" s="116">
        <v>263.39999999999998</v>
      </c>
      <c r="O917" s="116">
        <v>257.5</v>
      </c>
      <c r="P917" s="116">
        <v>261</v>
      </c>
      <c r="Q917" s="116">
        <v>2627.55</v>
      </c>
      <c r="R917">
        <v>369875</v>
      </c>
    </row>
    <row r="918" spans="1:18" x14ac:dyDescent="0.25">
      <c r="A918" s="170">
        <v>45454</v>
      </c>
      <c r="B918" s="116">
        <v>269.26</v>
      </c>
      <c r="C918" s="116">
        <v>268.07499999999999</v>
      </c>
      <c r="D918" s="116">
        <v>260.10000000000002</v>
      </c>
      <c r="E918" s="116">
        <v>261.44</v>
      </c>
      <c r="F918" s="116">
        <v>2680.75</v>
      </c>
      <c r="G918">
        <v>50628</v>
      </c>
      <c r="H918" s="116"/>
      <c r="I918" s="116"/>
      <c r="L918" s="170">
        <v>45454</v>
      </c>
      <c r="M918" s="116">
        <v>268.24</v>
      </c>
      <c r="N918" s="116">
        <v>269.39999999999998</v>
      </c>
      <c r="O918" s="116">
        <v>260.21499999999997</v>
      </c>
      <c r="P918" s="116">
        <v>262.60000000000002</v>
      </c>
      <c r="Q918" s="116">
        <v>2682.4</v>
      </c>
      <c r="R918">
        <v>335025</v>
      </c>
    </row>
    <row r="919" spans="1:18" x14ac:dyDescent="0.25">
      <c r="A919" s="170">
        <v>45455</v>
      </c>
      <c r="B919" s="116">
        <v>269.67500000000001</v>
      </c>
      <c r="C919" s="116">
        <v>263.32499999999999</v>
      </c>
      <c r="D919" s="116">
        <v>260.89999999999998</v>
      </c>
      <c r="E919" s="116">
        <v>269.62</v>
      </c>
      <c r="F919" s="116">
        <v>2633.25</v>
      </c>
      <c r="G919">
        <v>39496</v>
      </c>
      <c r="H919" s="116"/>
      <c r="I919" s="116"/>
      <c r="L919" s="170">
        <v>45455</v>
      </c>
      <c r="M919" s="116">
        <v>263.55</v>
      </c>
      <c r="N919" s="116">
        <v>269.39999999999998</v>
      </c>
      <c r="O919" s="116">
        <v>260.89999999999998</v>
      </c>
      <c r="P919" s="116">
        <v>269.10500000000002</v>
      </c>
      <c r="Q919" s="116">
        <v>2635.5</v>
      </c>
      <c r="R919">
        <v>522796</v>
      </c>
    </row>
    <row r="920" spans="1:18" x14ac:dyDescent="0.25">
      <c r="A920" s="170">
        <v>45456</v>
      </c>
      <c r="B920" s="116">
        <v>269.60500000000002</v>
      </c>
      <c r="C920" s="116">
        <v>262.89499999999998</v>
      </c>
      <c r="D920" s="116">
        <v>261.69</v>
      </c>
      <c r="E920" s="116">
        <v>267.44499999999999</v>
      </c>
      <c r="F920" s="116">
        <v>2628.95</v>
      </c>
      <c r="G920">
        <v>14219</v>
      </c>
      <c r="H920" s="116"/>
      <c r="I920" s="116"/>
      <c r="L920" s="170">
        <v>45456</v>
      </c>
      <c r="M920" s="116">
        <v>262.86</v>
      </c>
      <c r="N920" s="116">
        <v>269.7</v>
      </c>
      <c r="O920" s="116">
        <v>261.7</v>
      </c>
      <c r="P920" s="116">
        <v>265.5</v>
      </c>
      <c r="Q920" s="116">
        <v>2628.6</v>
      </c>
      <c r="R920">
        <v>396294</v>
      </c>
    </row>
    <row r="921" spans="1:18" x14ac:dyDescent="0.25">
      <c r="A921" s="170">
        <v>45457</v>
      </c>
      <c r="B921" s="116">
        <v>264.99</v>
      </c>
      <c r="C921" s="116">
        <v>260.01499999999999</v>
      </c>
      <c r="D921" s="116">
        <v>259.3</v>
      </c>
      <c r="E921" s="116">
        <v>263</v>
      </c>
      <c r="F921" s="116">
        <v>2600.15</v>
      </c>
      <c r="G921">
        <v>43110</v>
      </c>
      <c r="H921" s="116"/>
      <c r="I921" s="116"/>
      <c r="L921" s="170">
        <v>45457</v>
      </c>
      <c r="M921" s="116">
        <v>260.2</v>
      </c>
      <c r="N921" s="116">
        <v>265.065</v>
      </c>
      <c r="O921" s="116">
        <v>259.60500000000002</v>
      </c>
      <c r="P921" s="116">
        <v>262.86</v>
      </c>
      <c r="Q921" s="116">
        <v>2602</v>
      </c>
      <c r="R921">
        <v>282439</v>
      </c>
    </row>
    <row r="922" spans="1:18" x14ac:dyDescent="0.25">
      <c r="A922" s="170">
        <v>45461</v>
      </c>
      <c r="B922" s="116">
        <v>267.7</v>
      </c>
      <c r="C922" s="116">
        <v>264.79500000000002</v>
      </c>
      <c r="D922" s="116">
        <v>261.46499999999997</v>
      </c>
      <c r="E922" s="116">
        <v>264.8</v>
      </c>
      <c r="F922" s="116">
        <v>2647.95</v>
      </c>
      <c r="G922">
        <v>12001</v>
      </c>
      <c r="H922" s="116"/>
      <c r="I922" s="116"/>
      <c r="L922" s="170">
        <v>45461</v>
      </c>
      <c r="M922" s="116">
        <v>264.64999999999998</v>
      </c>
      <c r="N922" s="116">
        <v>267.8</v>
      </c>
      <c r="O922" s="116">
        <v>262.14</v>
      </c>
      <c r="P922" s="116">
        <v>262.60000000000002</v>
      </c>
      <c r="Q922" s="116">
        <v>2646.5</v>
      </c>
      <c r="R922">
        <v>519168</v>
      </c>
    </row>
    <row r="923" spans="1:18" x14ac:dyDescent="0.25">
      <c r="A923" s="170">
        <v>45462</v>
      </c>
      <c r="B923" s="116">
        <v>267.47500000000002</v>
      </c>
      <c r="C923" s="116">
        <v>260.82</v>
      </c>
      <c r="D923" s="116">
        <v>260.14</v>
      </c>
      <c r="E923" s="116">
        <v>267.10000000000002</v>
      </c>
      <c r="F923" s="116">
        <v>2608.1999999999998</v>
      </c>
      <c r="G923">
        <v>32613</v>
      </c>
      <c r="H923" s="116"/>
      <c r="I923" s="116"/>
      <c r="L923" s="170">
        <v>45462</v>
      </c>
      <c r="M923" s="116">
        <v>260.77499999999998</v>
      </c>
      <c r="N923" s="116">
        <v>267.30500000000001</v>
      </c>
      <c r="O923" s="116">
        <v>260.01</v>
      </c>
      <c r="P923" s="116">
        <v>267</v>
      </c>
      <c r="Q923" s="116">
        <v>2607.75</v>
      </c>
      <c r="R923">
        <v>286614</v>
      </c>
    </row>
    <row r="924" spans="1:18" x14ac:dyDescent="0.25">
      <c r="A924" s="170">
        <v>45463</v>
      </c>
      <c r="B924" s="116">
        <v>262</v>
      </c>
      <c r="C924" s="116">
        <v>258.185</v>
      </c>
      <c r="D924" s="116">
        <v>257.7</v>
      </c>
      <c r="E924" s="116">
        <v>260</v>
      </c>
      <c r="F924" s="116">
        <v>2581.85</v>
      </c>
      <c r="G924">
        <v>32110</v>
      </c>
      <c r="H924" s="116"/>
      <c r="I924" s="116"/>
      <c r="L924" s="170">
        <v>45463</v>
      </c>
      <c r="M924" s="116">
        <v>258.14</v>
      </c>
      <c r="N924" s="116">
        <v>261.98500000000001</v>
      </c>
      <c r="O924" s="116">
        <v>257.5</v>
      </c>
      <c r="P924" s="116">
        <v>260.2</v>
      </c>
      <c r="Q924" s="116">
        <v>2581.4</v>
      </c>
      <c r="R924">
        <v>188761</v>
      </c>
    </row>
    <row r="925" spans="1:18" x14ac:dyDescent="0.25">
      <c r="A925" s="170">
        <v>45464</v>
      </c>
      <c r="B925" s="116">
        <v>262.95499999999998</v>
      </c>
      <c r="C925" s="116">
        <v>261.61500000000001</v>
      </c>
      <c r="D925" s="116">
        <v>257.57</v>
      </c>
      <c r="E925" s="116">
        <v>258.495</v>
      </c>
      <c r="F925" s="116">
        <v>2616.15</v>
      </c>
      <c r="G925">
        <v>35005</v>
      </c>
      <c r="H925" s="116"/>
      <c r="I925" s="116"/>
      <c r="L925" s="170">
        <v>45464</v>
      </c>
      <c r="M925" s="116">
        <v>261.29500000000002</v>
      </c>
      <c r="N925" s="116">
        <v>263.5</v>
      </c>
      <c r="O925" s="116">
        <v>257.63</v>
      </c>
      <c r="P925" s="116">
        <v>260</v>
      </c>
      <c r="Q925" s="116">
        <v>2612.9499999999998</v>
      </c>
      <c r="R925">
        <v>640469</v>
      </c>
    </row>
    <row r="926" spans="1:18" x14ac:dyDescent="0.25">
      <c r="A926" s="170">
        <v>45467</v>
      </c>
      <c r="B926" s="116">
        <v>262.5</v>
      </c>
      <c r="C926" s="116">
        <v>257.72000000000003</v>
      </c>
      <c r="D926" s="116">
        <v>257.16500000000002</v>
      </c>
      <c r="E926" s="116">
        <v>262.5</v>
      </c>
      <c r="F926" s="116">
        <v>2577.1999999999998</v>
      </c>
      <c r="G926">
        <v>30791</v>
      </c>
      <c r="H926" s="116"/>
      <c r="I926" s="116"/>
      <c r="L926" s="170">
        <v>45467</v>
      </c>
      <c r="M926" s="116">
        <v>257.78500000000003</v>
      </c>
      <c r="N926" s="116">
        <v>262.44</v>
      </c>
      <c r="O926" s="116">
        <v>257.17</v>
      </c>
      <c r="P926" s="116">
        <v>262.29500000000002</v>
      </c>
      <c r="Q926" s="116">
        <v>2577.85</v>
      </c>
      <c r="R926">
        <v>208201</v>
      </c>
    </row>
    <row r="927" spans="1:18" x14ac:dyDescent="0.25">
      <c r="A927" s="170">
        <v>45468</v>
      </c>
      <c r="B927" s="116">
        <v>259.57</v>
      </c>
      <c r="C927" s="116">
        <v>255.76</v>
      </c>
      <c r="D927" s="116">
        <v>252.20500000000001</v>
      </c>
      <c r="E927" s="116">
        <v>258.5</v>
      </c>
      <c r="F927" s="116">
        <v>2557.6</v>
      </c>
      <c r="G927">
        <v>10899</v>
      </c>
      <c r="H927" s="116"/>
      <c r="I927" s="116"/>
      <c r="L927" s="170">
        <v>45468</v>
      </c>
      <c r="M927" s="116">
        <v>255.78</v>
      </c>
      <c r="N927" s="116">
        <v>259.82499999999999</v>
      </c>
      <c r="O927" s="116">
        <v>252.5</v>
      </c>
      <c r="P927" s="116">
        <v>258.60000000000002</v>
      </c>
      <c r="Q927" s="116">
        <v>2557.8000000000002</v>
      </c>
      <c r="R927">
        <v>317033</v>
      </c>
    </row>
    <row r="928" spans="1:18" x14ac:dyDescent="0.25">
      <c r="A928" s="170">
        <v>45469</v>
      </c>
      <c r="B928" s="116">
        <v>261.94</v>
      </c>
      <c r="C928" s="116">
        <v>259.83499999999998</v>
      </c>
      <c r="D928" s="116">
        <v>253.94499999999999</v>
      </c>
      <c r="E928" s="116">
        <v>256.3</v>
      </c>
      <c r="F928" s="116">
        <v>2598.35</v>
      </c>
      <c r="G928">
        <v>9994</v>
      </c>
      <c r="H928" s="116"/>
      <c r="I928" s="116"/>
      <c r="L928" s="170">
        <v>45469</v>
      </c>
      <c r="M928" s="116">
        <v>259.84500000000003</v>
      </c>
      <c r="N928" s="116">
        <v>261.97500000000002</v>
      </c>
      <c r="O928" s="116">
        <v>253.84</v>
      </c>
      <c r="P928" s="116">
        <v>256.97000000000003</v>
      </c>
      <c r="Q928" s="116">
        <v>2598.4499999999998</v>
      </c>
      <c r="R928">
        <v>352564</v>
      </c>
    </row>
    <row r="929" spans="1:18" x14ac:dyDescent="0.25">
      <c r="A929" s="170">
        <v>45470</v>
      </c>
      <c r="B929" s="116">
        <v>265.58999999999997</v>
      </c>
      <c r="C929" s="116">
        <v>259.01499999999999</v>
      </c>
      <c r="D929" s="116">
        <v>257.8</v>
      </c>
      <c r="E929" s="116">
        <v>260</v>
      </c>
      <c r="F929" s="116">
        <v>2590.15</v>
      </c>
      <c r="G929">
        <v>15060</v>
      </c>
      <c r="H929" s="116"/>
      <c r="I929" s="116"/>
      <c r="L929" s="170">
        <v>45470</v>
      </c>
      <c r="M929" s="116">
        <v>259.08</v>
      </c>
      <c r="N929" s="116">
        <v>265.75</v>
      </c>
      <c r="O929" s="116">
        <v>257.54000000000002</v>
      </c>
      <c r="P929" s="116">
        <v>260.05</v>
      </c>
      <c r="Q929" s="116">
        <v>2590.8000000000002</v>
      </c>
      <c r="R929">
        <v>476661</v>
      </c>
    </row>
    <row r="930" spans="1:18" x14ac:dyDescent="0.25">
      <c r="A930" s="170">
        <v>45471</v>
      </c>
      <c r="B930" s="116">
        <v>264.83499999999998</v>
      </c>
      <c r="C930" s="116">
        <v>260</v>
      </c>
      <c r="D930" s="116">
        <v>258.70499999999998</v>
      </c>
      <c r="E930" s="116">
        <v>262.94</v>
      </c>
      <c r="F930" s="116">
        <v>2600</v>
      </c>
      <c r="G930">
        <v>9006</v>
      </c>
      <c r="H930" s="116"/>
      <c r="I930" s="116"/>
      <c r="L930" s="170">
        <v>45471</v>
      </c>
      <c r="M930" s="116">
        <v>260.2</v>
      </c>
      <c r="N930" s="116">
        <v>264.88</v>
      </c>
      <c r="O930" s="116">
        <v>258.61</v>
      </c>
      <c r="P930" s="116">
        <v>262.10000000000002</v>
      </c>
      <c r="Q930" s="116">
        <v>2602</v>
      </c>
      <c r="R930">
        <v>298907</v>
      </c>
    </row>
    <row r="931" spans="1:18" x14ac:dyDescent="0.25">
      <c r="A931" s="170">
        <v>45474</v>
      </c>
      <c r="B931" s="116">
        <v>260.25</v>
      </c>
      <c r="C931" s="116">
        <v>257.875</v>
      </c>
      <c r="D931" s="116">
        <v>253.11</v>
      </c>
      <c r="E931" s="116">
        <v>259.13499999999999</v>
      </c>
      <c r="F931" s="116">
        <v>2578.75</v>
      </c>
      <c r="G931">
        <v>17134</v>
      </c>
      <c r="H931" s="116"/>
      <c r="I931" s="116"/>
      <c r="L931" s="170">
        <v>45474</v>
      </c>
      <c r="M931" s="116">
        <v>257.86</v>
      </c>
      <c r="N931" s="116">
        <v>259.89999999999998</v>
      </c>
      <c r="O931" s="116">
        <v>253.2</v>
      </c>
      <c r="P931" s="116">
        <v>259.89999999999998</v>
      </c>
      <c r="Q931" s="116">
        <v>2578.6</v>
      </c>
      <c r="R931">
        <v>552069</v>
      </c>
    </row>
    <row r="932" spans="1:18" x14ac:dyDescent="0.25">
      <c r="A932" s="170">
        <v>45475</v>
      </c>
      <c r="B932" s="116">
        <v>245</v>
      </c>
      <c r="C932" s="116">
        <v>235.39</v>
      </c>
      <c r="D932" s="116">
        <v>230.79499999999999</v>
      </c>
      <c r="E932" s="116">
        <v>239</v>
      </c>
      <c r="F932" s="116">
        <v>2353.9</v>
      </c>
      <c r="G932">
        <v>411895</v>
      </c>
      <c r="H932" s="116"/>
      <c r="I932" s="116"/>
      <c r="L932" s="170">
        <v>45475</v>
      </c>
      <c r="M932" s="116">
        <v>235.32499999999999</v>
      </c>
      <c r="N932" s="116">
        <v>244.88499999999999</v>
      </c>
      <c r="O932" s="116">
        <v>231.255</v>
      </c>
      <c r="P932" s="116">
        <v>235.97499999999999</v>
      </c>
      <c r="Q932" s="116">
        <v>2353.25</v>
      </c>
      <c r="R932">
        <v>5399072</v>
      </c>
    </row>
    <row r="933" spans="1:18" x14ac:dyDescent="0.25">
      <c r="A933" s="170">
        <v>45476</v>
      </c>
      <c r="B933" s="116">
        <v>239.20500000000001</v>
      </c>
      <c r="C933" s="116">
        <v>234.35499999999999</v>
      </c>
      <c r="D933" s="116">
        <v>228.88</v>
      </c>
      <c r="E933" s="116">
        <v>236.995</v>
      </c>
      <c r="F933" s="116">
        <v>2343.5500000000002</v>
      </c>
      <c r="G933">
        <v>176133</v>
      </c>
      <c r="H933" s="116"/>
      <c r="I933" s="116"/>
      <c r="L933" s="170">
        <v>45476</v>
      </c>
      <c r="M933" s="116">
        <v>234.36</v>
      </c>
      <c r="N933" s="116">
        <v>239.4</v>
      </c>
      <c r="O933" s="116">
        <v>228.70500000000001</v>
      </c>
      <c r="P933" s="116">
        <v>235.70500000000001</v>
      </c>
      <c r="Q933" s="116">
        <v>2343.6</v>
      </c>
      <c r="R933">
        <v>1811017</v>
      </c>
    </row>
    <row r="934" spans="1:18" x14ac:dyDescent="0.25">
      <c r="A934" s="170">
        <v>45477</v>
      </c>
      <c r="B934" s="116">
        <v>236.495</v>
      </c>
      <c r="C934" s="116">
        <v>234.23500000000001</v>
      </c>
      <c r="D934" s="116">
        <v>232.22</v>
      </c>
      <c r="E934" s="116">
        <v>235</v>
      </c>
      <c r="F934" s="116">
        <v>2342.35</v>
      </c>
      <c r="G934">
        <v>24334</v>
      </c>
      <c r="H934" s="116"/>
      <c r="I934" s="116"/>
      <c r="L934" s="170">
        <v>45477</v>
      </c>
      <c r="M934" s="116">
        <v>234.3</v>
      </c>
      <c r="N934" s="116">
        <v>236.5</v>
      </c>
      <c r="O934" s="116">
        <v>232.2</v>
      </c>
      <c r="P934" s="116">
        <v>235.18</v>
      </c>
      <c r="Q934" s="116">
        <v>2343</v>
      </c>
      <c r="R934">
        <v>691807</v>
      </c>
    </row>
    <row r="935" spans="1:18" x14ac:dyDescent="0.25">
      <c r="A935" s="170">
        <v>45478</v>
      </c>
      <c r="B935" s="116">
        <v>241</v>
      </c>
      <c r="C935" s="116">
        <v>236.30500000000001</v>
      </c>
      <c r="D935" s="116">
        <v>234.565</v>
      </c>
      <c r="E935" s="116">
        <v>236</v>
      </c>
      <c r="F935" s="116">
        <v>2363.0500000000002</v>
      </c>
      <c r="G935">
        <v>35243</v>
      </c>
      <c r="H935" s="116"/>
      <c r="I935" s="116"/>
      <c r="L935" s="170">
        <v>45478</v>
      </c>
      <c r="M935" s="116">
        <v>236.36</v>
      </c>
      <c r="N935" s="116">
        <v>241</v>
      </c>
      <c r="O935" s="116">
        <v>234.5</v>
      </c>
      <c r="P935" s="116">
        <v>236.505</v>
      </c>
      <c r="Q935" s="116">
        <v>2363.6</v>
      </c>
      <c r="R935">
        <v>1042961</v>
      </c>
    </row>
    <row r="936" spans="1:18" x14ac:dyDescent="0.25">
      <c r="A936" s="170">
        <v>45481</v>
      </c>
      <c r="B936" s="116">
        <v>239.995</v>
      </c>
      <c r="C936" s="116">
        <v>232.905</v>
      </c>
      <c r="D936" s="116">
        <v>231.16</v>
      </c>
      <c r="E936" s="116">
        <v>239.995</v>
      </c>
      <c r="F936" s="116">
        <v>2329.0500000000002</v>
      </c>
      <c r="G936">
        <v>27295</v>
      </c>
      <c r="H936" s="116"/>
      <c r="I936" s="116"/>
      <c r="L936" s="170">
        <v>45481</v>
      </c>
      <c r="M936" s="116">
        <v>232.935</v>
      </c>
      <c r="N936" s="116">
        <v>238.99</v>
      </c>
      <c r="O936" s="116">
        <v>231.52500000000001</v>
      </c>
      <c r="P936" s="116">
        <v>238.99</v>
      </c>
      <c r="Q936" s="116">
        <v>2329.35</v>
      </c>
      <c r="R936">
        <v>484620</v>
      </c>
    </row>
    <row r="937" spans="1:18" x14ac:dyDescent="0.25">
      <c r="A937" s="170">
        <v>45482</v>
      </c>
      <c r="B937" s="116">
        <v>236.54499999999999</v>
      </c>
      <c r="C937" s="116">
        <v>224.215</v>
      </c>
      <c r="D937" s="116">
        <v>222.31</v>
      </c>
      <c r="E937" s="116">
        <v>234.005</v>
      </c>
      <c r="F937" s="116">
        <v>2242.15</v>
      </c>
      <c r="G937">
        <v>35783</v>
      </c>
      <c r="H937" s="116"/>
      <c r="I937" s="116"/>
      <c r="L937" s="170">
        <v>45482</v>
      </c>
      <c r="M937" s="116">
        <v>224.20500000000001</v>
      </c>
      <c r="N937" s="116">
        <v>236.6</v>
      </c>
      <c r="O937" s="116">
        <v>222.2</v>
      </c>
      <c r="P937" s="116">
        <v>235.3</v>
      </c>
      <c r="Q937" s="116">
        <v>2242.0500000000002</v>
      </c>
      <c r="R937">
        <v>1130860</v>
      </c>
    </row>
    <row r="938" spans="1:18" x14ac:dyDescent="0.25">
      <c r="A938" s="170">
        <v>45483</v>
      </c>
      <c r="B938" s="116">
        <v>227.39500000000001</v>
      </c>
      <c r="C938" s="116">
        <v>222.095</v>
      </c>
      <c r="D938" s="116">
        <v>220.1</v>
      </c>
      <c r="E938" s="116">
        <v>223.995</v>
      </c>
      <c r="F938" s="116">
        <v>2220.9499999999998</v>
      </c>
      <c r="G938">
        <v>117742</v>
      </c>
      <c r="H938" s="116"/>
      <c r="I938" s="116"/>
      <c r="L938" s="170">
        <v>45483</v>
      </c>
      <c r="M938" s="116">
        <v>222.04499999999999</v>
      </c>
      <c r="N938" s="116">
        <v>227.31</v>
      </c>
      <c r="O938" s="116">
        <v>220.11</v>
      </c>
      <c r="P938" s="116">
        <v>223</v>
      </c>
      <c r="Q938" s="116">
        <v>2220.4499999999998</v>
      </c>
      <c r="R938">
        <v>1069757</v>
      </c>
    </row>
    <row r="939" spans="1:18" x14ac:dyDescent="0.25">
      <c r="A939" s="170">
        <v>45484</v>
      </c>
      <c r="B939" s="116">
        <v>224.38499999999999</v>
      </c>
      <c r="C939" s="116">
        <v>221.39500000000001</v>
      </c>
      <c r="D939" s="116">
        <v>221</v>
      </c>
      <c r="E939" s="116">
        <v>222.61500000000001</v>
      </c>
      <c r="F939" s="116">
        <v>2213.9499999999998</v>
      </c>
      <c r="G939">
        <v>55612</v>
      </c>
      <c r="H939" s="116"/>
      <c r="I939" s="116"/>
      <c r="L939" s="170">
        <v>45484</v>
      </c>
      <c r="M939" s="116">
        <v>221.11</v>
      </c>
      <c r="N939" s="116">
        <v>224.3</v>
      </c>
      <c r="O939" s="116">
        <v>220.8</v>
      </c>
      <c r="P939" s="116">
        <v>223</v>
      </c>
      <c r="Q939" s="116">
        <v>2211.1</v>
      </c>
      <c r="R939">
        <v>721496</v>
      </c>
    </row>
    <row r="940" spans="1:18" x14ac:dyDescent="0.25">
      <c r="A940" s="170">
        <v>45485</v>
      </c>
      <c r="B940" s="116">
        <v>225.5</v>
      </c>
      <c r="C940" s="116">
        <v>224.375</v>
      </c>
      <c r="D940" s="116">
        <v>222.08</v>
      </c>
      <c r="E940" s="116">
        <v>222.08</v>
      </c>
      <c r="F940" s="116">
        <v>2243.75</v>
      </c>
      <c r="G940">
        <v>65108</v>
      </c>
      <c r="H940" s="116"/>
      <c r="I940" s="116"/>
      <c r="L940" s="170">
        <v>45485</v>
      </c>
      <c r="M940" s="116">
        <v>224.38499999999999</v>
      </c>
      <c r="N940" s="116">
        <v>225.61500000000001</v>
      </c>
      <c r="O940" s="116">
        <v>222.11500000000001</v>
      </c>
      <c r="P940" s="116">
        <v>222.595</v>
      </c>
      <c r="Q940" s="116">
        <v>2243.85</v>
      </c>
      <c r="R940">
        <v>400886</v>
      </c>
    </row>
    <row r="941" spans="1:18" x14ac:dyDescent="0.25">
      <c r="A941" s="170">
        <v>45488</v>
      </c>
      <c r="B941" s="116">
        <v>229.43</v>
      </c>
      <c r="C941" s="116">
        <v>227.73500000000001</v>
      </c>
      <c r="D941" s="116">
        <v>224.6</v>
      </c>
      <c r="E941" s="116">
        <v>226.005</v>
      </c>
      <c r="F941" s="116">
        <v>2277.35</v>
      </c>
      <c r="G941">
        <v>26064</v>
      </c>
      <c r="H941" s="116"/>
      <c r="I941" s="116"/>
      <c r="L941" s="170">
        <v>45488</v>
      </c>
      <c r="M941" s="116">
        <v>227.755</v>
      </c>
      <c r="N941" s="116">
        <v>229.4</v>
      </c>
      <c r="O941" s="116">
        <v>224.6</v>
      </c>
      <c r="P941" s="116">
        <v>227.74</v>
      </c>
      <c r="Q941" s="116">
        <v>2277.5500000000002</v>
      </c>
      <c r="R941">
        <v>620707</v>
      </c>
    </row>
    <row r="942" spans="1:18" x14ac:dyDescent="0.25">
      <c r="A942" s="170">
        <v>45489</v>
      </c>
      <c r="B942" s="116">
        <v>232.5</v>
      </c>
      <c r="C942" s="116">
        <v>221.995</v>
      </c>
      <c r="D942" s="116">
        <v>221.03</v>
      </c>
      <c r="E942" s="116">
        <v>230.10499999999999</v>
      </c>
      <c r="F942" s="116">
        <v>2219.9499999999998</v>
      </c>
      <c r="G942">
        <v>48756</v>
      </c>
      <c r="H942" s="116"/>
      <c r="I942" s="116"/>
      <c r="L942" s="170">
        <v>45489</v>
      </c>
      <c r="M942" s="116">
        <v>221.88</v>
      </c>
      <c r="N942" s="116">
        <v>232.02</v>
      </c>
      <c r="O942" s="116">
        <v>221</v>
      </c>
      <c r="P942" s="116">
        <v>231.2</v>
      </c>
      <c r="Q942" s="116">
        <v>2218.8000000000002</v>
      </c>
      <c r="R942">
        <v>1121758</v>
      </c>
    </row>
    <row r="943" spans="1:18" x14ac:dyDescent="0.25">
      <c r="A943" s="170">
        <v>45491</v>
      </c>
      <c r="B943" s="116">
        <v>223.5</v>
      </c>
      <c r="C943" s="116">
        <v>215.92</v>
      </c>
      <c r="D943" s="116">
        <v>215.565</v>
      </c>
      <c r="E943" s="116">
        <v>222.04</v>
      </c>
      <c r="F943" s="116">
        <v>2159.1999999999998</v>
      </c>
      <c r="G943">
        <v>116880</v>
      </c>
      <c r="H943" s="116"/>
      <c r="I943" s="116"/>
      <c r="L943" s="170">
        <v>45491</v>
      </c>
      <c r="M943" s="116">
        <v>215.88</v>
      </c>
      <c r="N943" s="116">
        <v>223.26499999999999</v>
      </c>
      <c r="O943" s="116">
        <v>215.5</v>
      </c>
      <c r="P943" s="116">
        <v>222.61</v>
      </c>
      <c r="Q943" s="116">
        <v>2158.8000000000002</v>
      </c>
      <c r="R943">
        <v>682604</v>
      </c>
    </row>
    <row r="944" spans="1:18" x14ac:dyDescent="0.25">
      <c r="A944" s="170">
        <v>45492</v>
      </c>
      <c r="B944" s="116">
        <v>216.65</v>
      </c>
      <c r="C944" s="116">
        <v>208.535</v>
      </c>
      <c r="D944" s="116">
        <v>207.1</v>
      </c>
      <c r="E944" s="116">
        <v>215.9</v>
      </c>
      <c r="F944" s="116">
        <v>2085.35</v>
      </c>
      <c r="G944">
        <v>131733</v>
      </c>
      <c r="H944" s="116"/>
      <c r="I944" s="116"/>
      <c r="L944" s="170">
        <v>45492</v>
      </c>
      <c r="M944" s="116">
        <v>208.69</v>
      </c>
      <c r="N944" s="116">
        <v>216.5</v>
      </c>
      <c r="O944" s="116">
        <v>208.01</v>
      </c>
      <c r="P944" s="116">
        <v>215.9</v>
      </c>
      <c r="Q944" s="116">
        <v>2086.9</v>
      </c>
      <c r="R944">
        <v>689013</v>
      </c>
    </row>
    <row r="945" spans="1:18" x14ac:dyDescent="0.25">
      <c r="A945" s="170">
        <v>45495</v>
      </c>
      <c r="B945" s="116">
        <v>213.9</v>
      </c>
      <c r="C945" s="116">
        <v>211.73500000000001</v>
      </c>
      <c r="D945" s="116">
        <v>205.83</v>
      </c>
      <c r="E945" s="116">
        <v>208.02</v>
      </c>
      <c r="F945" s="116">
        <v>2117.35</v>
      </c>
      <c r="G945">
        <v>31027</v>
      </c>
      <c r="H945" s="116"/>
      <c r="I945" s="116"/>
      <c r="L945" s="170">
        <v>45495</v>
      </c>
      <c r="M945" s="116">
        <v>212.04499999999999</v>
      </c>
      <c r="N945" s="116">
        <v>214</v>
      </c>
      <c r="O945" s="116">
        <v>205.8</v>
      </c>
      <c r="P945" s="116">
        <v>209</v>
      </c>
      <c r="Q945" s="116">
        <v>2120.4499999999998</v>
      </c>
      <c r="R945">
        <v>892660</v>
      </c>
    </row>
    <row r="946" spans="1:18" x14ac:dyDescent="0.25">
      <c r="A946" s="170">
        <v>45496</v>
      </c>
      <c r="B946" s="116">
        <v>231.73500000000001</v>
      </c>
      <c r="C946" s="116">
        <v>222.23</v>
      </c>
      <c r="D946" s="116">
        <v>202.72499999999999</v>
      </c>
      <c r="E946" s="116">
        <v>211.73500000000001</v>
      </c>
      <c r="F946" s="116">
        <v>2222.3000000000002</v>
      </c>
      <c r="G946">
        <v>128247</v>
      </c>
      <c r="H946" s="116"/>
      <c r="I946" s="116"/>
      <c r="L946" s="170">
        <v>45496</v>
      </c>
      <c r="M946" s="116">
        <v>222.30500000000001</v>
      </c>
      <c r="N946" s="116">
        <v>231.60499999999999</v>
      </c>
      <c r="O946" s="116">
        <v>202.5</v>
      </c>
      <c r="P946" s="116">
        <v>211.845</v>
      </c>
      <c r="Q946" s="116">
        <v>2223.0500000000002</v>
      </c>
      <c r="R946">
        <v>3117016</v>
      </c>
    </row>
    <row r="947" spans="1:18" x14ac:dyDescent="0.25">
      <c r="A947" s="170">
        <v>45497</v>
      </c>
      <c r="B947" s="116">
        <v>225</v>
      </c>
      <c r="C947" s="116">
        <v>218.1</v>
      </c>
      <c r="D947" s="116">
        <v>216.42500000000001</v>
      </c>
      <c r="E947" s="116">
        <v>224.005</v>
      </c>
      <c r="F947" s="116">
        <v>2181</v>
      </c>
      <c r="G947">
        <v>21994</v>
      </c>
      <c r="H947" s="116"/>
      <c r="I947" s="116"/>
      <c r="L947" s="170">
        <v>45497</v>
      </c>
      <c r="M947" s="116">
        <v>218.125</v>
      </c>
      <c r="N947" s="116">
        <v>225.16</v>
      </c>
      <c r="O947" s="116">
        <v>216.27</v>
      </c>
      <c r="P947" s="116">
        <v>225.10499999999999</v>
      </c>
      <c r="Q947" s="116">
        <v>2181.25</v>
      </c>
      <c r="R947">
        <v>910700</v>
      </c>
    </row>
    <row r="948" spans="1:18" x14ac:dyDescent="0.25">
      <c r="A948" s="170">
        <v>45498</v>
      </c>
      <c r="B948" s="116">
        <v>217.94499999999999</v>
      </c>
      <c r="C948" s="116">
        <v>212.71</v>
      </c>
      <c r="D948" s="116">
        <v>211.22</v>
      </c>
      <c r="E948" s="116">
        <v>217.94499999999999</v>
      </c>
      <c r="F948" s="116">
        <v>2127.1</v>
      </c>
      <c r="G948">
        <v>20323</v>
      </c>
      <c r="H948" s="116"/>
      <c r="I948" s="116"/>
      <c r="L948" s="170">
        <v>45498</v>
      </c>
      <c r="M948" s="116">
        <v>212.92500000000001</v>
      </c>
      <c r="N948" s="116">
        <v>217.715</v>
      </c>
      <c r="O948" s="116">
        <v>212.5</v>
      </c>
      <c r="P948" s="116">
        <v>217.70500000000001</v>
      </c>
      <c r="Q948" s="116">
        <v>2129.25</v>
      </c>
      <c r="R948">
        <v>494559</v>
      </c>
    </row>
    <row r="949" spans="1:18" x14ac:dyDescent="0.25">
      <c r="A949" s="170">
        <v>45499</v>
      </c>
      <c r="B949" s="116">
        <v>216.16</v>
      </c>
      <c r="C949" s="116">
        <v>212.995</v>
      </c>
      <c r="D949" s="116">
        <v>211.61</v>
      </c>
      <c r="E949" s="116">
        <v>212.70500000000001</v>
      </c>
      <c r="F949" s="116">
        <v>2129.9499999999998</v>
      </c>
      <c r="G949">
        <v>12008</v>
      </c>
      <c r="H949" s="116"/>
      <c r="I949" s="116"/>
      <c r="L949" s="170">
        <v>45499</v>
      </c>
      <c r="M949" s="116">
        <v>212.965</v>
      </c>
      <c r="N949" s="116">
        <v>216.3</v>
      </c>
      <c r="O949" s="116">
        <v>211.595</v>
      </c>
      <c r="P949" s="116">
        <v>212.92500000000001</v>
      </c>
      <c r="Q949" s="116">
        <v>2129.65</v>
      </c>
      <c r="R949">
        <v>647513</v>
      </c>
    </row>
    <row r="950" spans="1:18" x14ac:dyDescent="0.25">
      <c r="A950" s="170">
        <v>45502</v>
      </c>
      <c r="B950" s="116">
        <v>216.48</v>
      </c>
      <c r="C950" s="116">
        <v>214.03</v>
      </c>
      <c r="D950" s="116">
        <v>213.2</v>
      </c>
      <c r="E950" s="116">
        <v>214.005</v>
      </c>
      <c r="F950" s="116">
        <v>2140.3000000000002</v>
      </c>
      <c r="G950">
        <v>36261</v>
      </c>
      <c r="H950" s="116"/>
      <c r="I950" s="116"/>
      <c r="L950" s="170">
        <v>45502</v>
      </c>
      <c r="M950" s="116">
        <v>213.98500000000001</v>
      </c>
      <c r="N950" s="116">
        <v>216.57</v>
      </c>
      <c r="O950" s="116">
        <v>213.155</v>
      </c>
      <c r="P950" s="116">
        <v>215</v>
      </c>
      <c r="Q950" s="116">
        <v>2139.85</v>
      </c>
      <c r="R950">
        <v>404837</v>
      </c>
    </row>
    <row r="951" spans="1:18" x14ac:dyDescent="0.25">
      <c r="A951" s="170">
        <v>45503</v>
      </c>
      <c r="B951" s="116">
        <v>215.89500000000001</v>
      </c>
      <c r="C951" s="116">
        <v>213.84</v>
      </c>
      <c r="D951" s="116">
        <v>212.73</v>
      </c>
      <c r="E951" s="116">
        <v>215.89500000000001</v>
      </c>
      <c r="F951" s="116">
        <v>2138.4</v>
      </c>
      <c r="G951">
        <v>37533</v>
      </c>
      <c r="H951" s="116"/>
      <c r="I951" s="116"/>
      <c r="L951" s="170">
        <v>45503</v>
      </c>
      <c r="M951" s="116">
        <v>214.04</v>
      </c>
      <c r="N951" s="116">
        <v>215.12</v>
      </c>
      <c r="O951" s="116">
        <v>212.62</v>
      </c>
      <c r="P951" s="116">
        <v>214.7</v>
      </c>
      <c r="Q951" s="116">
        <v>2140.4</v>
      </c>
      <c r="R951">
        <v>460955</v>
      </c>
    </row>
    <row r="952" spans="1:18" x14ac:dyDescent="0.25">
      <c r="A952" s="170">
        <v>45504</v>
      </c>
      <c r="B952" s="116">
        <v>227.05</v>
      </c>
      <c r="C952" s="116">
        <v>216.66499999999999</v>
      </c>
      <c r="D952" s="116">
        <v>208.755</v>
      </c>
      <c r="E952" s="116">
        <v>210.55500000000001</v>
      </c>
      <c r="F952" s="116">
        <v>2166.65</v>
      </c>
      <c r="G952">
        <v>82131</v>
      </c>
      <c r="H952" s="116"/>
      <c r="I952" s="116"/>
      <c r="L952" s="170">
        <v>45504</v>
      </c>
      <c r="M952" s="116">
        <v>216.61500000000001</v>
      </c>
      <c r="N952" s="116">
        <v>227.48</v>
      </c>
      <c r="O952" s="116">
        <v>208.3</v>
      </c>
      <c r="P952" s="116">
        <v>208.905</v>
      </c>
      <c r="Q952" s="116">
        <v>2166.15</v>
      </c>
      <c r="R952">
        <v>2866651</v>
      </c>
    </row>
    <row r="953" spans="1:18" x14ac:dyDescent="0.25">
      <c r="A953" s="170">
        <v>45505</v>
      </c>
      <c r="B953" s="116">
        <v>224.5</v>
      </c>
      <c r="C953" s="116">
        <v>223.7</v>
      </c>
      <c r="D953" s="116">
        <v>216.715</v>
      </c>
      <c r="E953" s="116">
        <v>216.715</v>
      </c>
      <c r="F953" s="116">
        <v>2237</v>
      </c>
      <c r="G953">
        <v>133765</v>
      </c>
      <c r="H953" s="116"/>
      <c r="I953" s="116"/>
      <c r="L953" s="170">
        <v>45505</v>
      </c>
      <c r="M953" s="116">
        <v>223.745</v>
      </c>
      <c r="N953" s="116">
        <v>224.7</v>
      </c>
      <c r="O953" s="116">
        <v>216.905</v>
      </c>
      <c r="P953" s="116">
        <v>216.94</v>
      </c>
      <c r="Q953" s="116">
        <v>2237.4499999999998</v>
      </c>
      <c r="R953">
        <v>1085622</v>
      </c>
    </row>
    <row r="954" spans="1:18" x14ac:dyDescent="0.25">
      <c r="A954" s="170">
        <v>45506</v>
      </c>
      <c r="B954" s="116">
        <v>230.995</v>
      </c>
      <c r="C954" s="116">
        <v>224.45</v>
      </c>
      <c r="D954" s="116">
        <v>219</v>
      </c>
      <c r="E954" s="116">
        <v>219.995</v>
      </c>
      <c r="F954" s="116">
        <v>2244.5</v>
      </c>
      <c r="G954">
        <v>40426</v>
      </c>
      <c r="H954" s="116"/>
      <c r="I954" s="116"/>
      <c r="L954" s="170">
        <v>45506</v>
      </c>
      <c r="M954" s="116">
        <v>224.47499999999999</v>
      </c>
      <c r="N954" s="116">
        <v>230.95</v>
      </c>
      <c r="O954" s="116">
        <v>218.6</v>
      </c>
      <c r="P954" s="116">
        <v>219</v>
      </c>
      <c r="Q954" s="116">
        <v>2244.75</v>
      </c>
      <c r="R954">
        <v>1213860</v>
      </c>
    </row>
    <row r="955" spans="1:18" x14ac:dyDescent="0.25">
      <c r="A955" s="170">
        <v>45509</v>
      </c>
      <c r="B955" s="116">
        <v>219.965</v>
      </c>
      <c r="C955" s="116">
        <v>212.125</v>
      </c>
      <c r="D955" s="116">
        <v>211.435</v>
      </c>
      <c r="E955" s="116">
        <v>215.125</v>
      </c>
      <c r="F955" s="116">
        <v>2121.25</v>
      </c>
      <c r="G955">
        <v>30581</v>
      </c>
      <c r="H955" s="116"/>
      <c r="I955" s="116"/>
      <c r="L955" s="170">
        <v>45509</v>
      </c>
      <c r="M955" s="116">
        <v>212.18</v>
      </c>
      <c r="N955" s="116">
        <v>220</v>
      </c>
      <c r="O955" s="116">
        <v>211.5</v>
      </c>
      <c r="P955" s="116">
        <v>218.08</v>
      </c>
      <c r="Q955" s="116">
        <v>2121.8000000000002</v>
      </c>
      <c r="R955">
        <v>870357</v>
      </c>
    </row>
    <row r="956" spans="1:18" x14ac:dyDescent="0.25">
      <c r="A956" s="170">
        <v>45510</v>
      </c>
      <c r="B956" s="116">
        <v>217.89500000000001</v>
      </c>
      <c r="C956" s="116">
        <v>205.02500000000001</v>
      </c>
      <c r="D956" s="116">
        <v>203.16499999999999</v>
      </c>
      <c r="E956" s="116">
        <v>216.375</v>
      </c>
      <c r="F956" s="116">
        <v>2050.25</v>
      </c>
      <c r="G956">
        <v>30265</v>
      </c>
      <c r="H956" s="116"/>
      <c r="I956" s="116"/>
      <c r="L956" s="170">
        <v>45510</v>
      </c>
      <c r="M956" s="116">
        <v>205.14</v>
      </c>
      <c r="N956" s="116">
        <v>218.09</v>
      </c>
      <c r="O956" s="116">
        <v>203</v>
      </c>
      <c r="P956" s="116">
        <v>218.09</v>
      </c>
      <c r="Q956" s="116">
        <v>2051.4</v>
      </c>
      <c r="R956">
        <v>932734</v>
      </c>
    </row>
    <row r="957" spans="1:18" x14ac:dyDescent="0.25">
      <c r="A957" s="170">
        <v>45511</v>
      </c>
      <c r="B957" s="116">
        <v>216.98</v>
      </c>
      <c r="C957" s="116">
        <v>215.685</v>
      </c>
      <c r="D957" s="116">
        <v>206.48500000000001</v>
      </c>
      <c r="E957" s="116">
        <v>210</v>
      </c>
      <c r="F957" s="116">
        <v>2156.85</v>
      </c>
      <c r="G957">
        <v>22385</v>
      </c>
      <c r="H957" s="116"/>
      <c r="I957" s="116"/>
      <c r="L957" s="170">
        <v>45511</v>
      </c>
      <c r="M957" s="116">
        <v>215.27</v>
      </c>
      <c r="N957" s="116">
        <v>216.82499999999999</v>
      </c>
      <c r="O957" s="116">
        <v>206.62</v>
      </c>
      <c r="P957" s="116">
        <v>208</v>
      </c>
      <c r="Q957" s="116">
        <v>2152.6999999999998</v>
      </c>
      <c r="R957">
        <v>683981</v>
      </c>
    </row>
    <row r="958" spans="1:18" x14ac:dyDescent="0.25">
      <c r="A958" s="170">
        <v>45512</v>
      </c>
      <c r="B958" s="116">
        <v>218.4</v>
      </c>
      <c r="C958" s="116">
        <v>215.22</v>
      </c>
      <c r="D958" s="116">
        <v>213.61</v>
      </c>
      <c r="E958" s="116">
        <v>216.82499999999999</v>
      </c>
      <c r="F958" s="116">
        <v>2152.1999999999998</v>
      </c>
      <c r="G958">
        <v>61544</v>
      </c>
      <c r="H958" s="116"/>
      <c r="I958" s="116"/>
      <c r="L958" s="170">
        <v>45512</v>
      </c>
      <c r="M958" s="116">
        <v>215.07</v>
      </c>
      <c r="N958" s="116">
        <v>218.51</v>
      </c>
      <c r="O958" s="116">
        <v>213.495</v>
      </c>
      <c r="P958" s="116">
        <v>216.5</v>
      </c>
      <c r="Q958" s="116">
        <v>2150.6999999999998</v>
      </c>
      <c r="R958">
        <v>487068</v>
      </c>
    </row>
    <row r="959" spans="1:18" x14ac:dyDescent="0.25">
      <c r="A959" s="170">
        <v>45513</v>
      </c>
      <c r="B959" s="116">
        <v>219.25</v>
      </c>
      <c r="C959" s="116">
        <v>217.64500000000001</v>
      </c>
      <c r="D959" s="116">
        <v>216.2</v>
      </c>
      <c r="E959" s="116">
        <v>218.46</v>
      </c>
      <c r="F959" s="116">
        <v>2176.4499999999998</v>
      </c>
      <c r="G959">
        <v>57570</v>
      </c>
      <c r="H959" s="116"/>
      <c r="I959" s="116"/>
      <c r="L959" s="170">
        <v>45513</v>
      </c>
      <c r="M959" s="116">
        <v>217.43</v>
      </c>
      <c r="N959" s="116">
        <v>219.3</v>
      </c>
      <c r="O959" s="116">
        <v>216.06</v>
      </c>
      <c r="P959" s="116">
        <v>217.4</v>
      </c>
      <c r="Q959" s="116">
        <v>2174.3000000000002</v>
      </c>
      <c r="R959">
        <v>324747</v>
      </c>
    </row>
    <row r="960" spans="1:18" x14ac:dyDescent="0.25">
      <c r="A960" s="170">
        <v>45516</v>
      </c>
      <c r="B960" s="116">
        <v>220.67500000000001</v>
      </c>
      <c r="C960" s="116">
        <v>210.57</v>
      </c>
      <c r="D960" s="116">
        <v>210</v>
      </c>
      <c r="E960" s="116">
        <v>217.005</v>
      </c>
      <c r="F960" s="116">
        <v>2105.6999999999998</v>
      </c>
      <c r="G960">
        <v>82017</v>
      </c>
      <c r="H960" s="116"/>
      <c r="I960" s="116"/>
      <c r="L960" s="170">
        <v>45516</v>
      </c>
      <c r="M960" s="116">
        <v>210.44</v>
      </c>
      <c r="N960" s="116">
        <v>220.81</v>
      </c>
      <c r="O960" s="116">
        <v>209.84</v>
      </c>
      <c r="P960" s="116">
        <v>217.5</v>
      </c>
      <c r="Q960" s="116">
        <v>2104.4</v>
      </c>
      <c r="R960">
        <v>694146</v>
      </c>
    </row>
    <row r="961" spans="1:18" x14ac:dyDescent="0.25">
      <c r="A961" s="170">
        <v>45517</v>
      </c>
      <c r="B961" s="116">
        <v>212.5</v>
      </c>
      <c r="C961" s="116">
        <v>209.32</v>
      </c>
      <c r="D961" s="116">
        <v>208.30500000000001</v>
      </c>
      <c r="E961" s="116">
        <v>212.5</v>
      </c>
      <c r="F961" s="116">
        <v>2093.1999999999998</v>
      </c>
      <c r="G961">
        <v>61390</v>
      </c>
      <c r="H961" s="116"/>
      <c r="I961" s="116"/>
      <c r="L961" s="170">
        <v>45517</v>
      </c>
      <c r="M961" s="116">
        <v>209.32499999999999</v>
      </c>
      <c r="N961" s="116">
        <v>212.595</v>
      </c>
      <c r="O961" s="116">
        <v>208.27500000000001</v>
      </c>
      <c r="P961" s="116">
        <v>212.595</v>
      </c>
      <c r="Q961" s="116">
        <v>2093.25</v>
      </c>
      <c r="R961">
        <v>525966</v>
      </c>
    </row>
    <row r="962" spans="1:18" x14ac:dyDescent="0.25">
      <c r="A962" s="170">
        <v>45518</v>
      </c>
      <c r="B962" s="116">
        <v>211.98</v>
      </c>
      <c r="C962" s="116">
        <v>211.42</v>
      </c>
      <c r="D962" s="116">
        <v>207.8</v>
      </c>
      <c r="E962" s="116">
        <v>211.79499999999999</v>
      </c>
      <c r="F962" s="116">
        <v>2114.1999999999998</v>
      </c>
      <c r="G962">
        <v>14517</v>
      </c>
      <c r="H962" s="116"/>
      <c r="I962" s="116"/>
      <c r="L962" s="170">
        <v>45518</v>
      </c>
      <c r="M962" s="116">
        <v>211.405</v>
      </c>
      <c r="N962" s="116">
        <v>211.995</v>
      </c>
      <c r="O962" s="116">
        <v>207.8</v>
      </c>
      <c r="P962" s="116">
        <v>211.495</v>
      </c>
      <c r="Q962" s="116">
        <v>2114.0500000000002</v>
      </c>
      <c r="R962">
        <v>298178</v>
      </c>
    </row>
    <row r="963" spans="1:18" x14ac:dyDescent="0.25">
      <c r="A963" s="170">
        <v>45520</v>
      </c>
      <c r="B963" s="116">
        <v>216.91499999999999</v>
      </c>
      <c r="C963" s="116">
        <v>215.89500000000001</v>
      </c>
      <c r="D963" s="116">
        <v>211</v>
      </c>
      <c r="E963" s="116">
        <v>214.345</v>
      </c>
      <c r="F963" s="116">
        <v>2158.9499999999998</v>
      </c>
      <c r="G963">
        <v>63187</v>
      </c>
      <c r="H963" s="116"/>
      <c r="I963" s="116"/>
      <c r="L963" s="170">
        <v>45520</v>
      </c>
      <c r="M963" s="116">
        <v>216.01499999999999</v>
      </c>
      <c r="N963" s="116">
        <v>217.05500000000001</v>
      </c>
      <c r="O963" s="116">
        <v>211</v>
      </c>
      <c r="P963" s="116">
        <v>214</v>
      </c>
      <c r="Q963" s="116">
        <v>2160.15</v>
      </c>
      <c r="R963">
        <v>385491</v>
      </c>
    </row>
    <row r="964" spans="1:18" x14ac:dyDescent="0.25">
      <c r="A964" s="170">
        <v>45523</v>
      </c>
      <c r="B964" s="116">
        <v>238</v>
      </c>
      <c r="C964" s="116">
        <v>234.36</v>
      </c>
      <c r="D964" s="116">
        <v>217.84</v>
      </c>
      <c r="E964" s="116">
        <v>219.72499999999999</v>
      </c>
      <c r="F964" s="116">
        <v>2343.6</v>
      </c>
      <c r="G964">
        <v>179086</v>
      </c>
      <c r="H964" s="116"/>
      <c r="I964" s="116"/>
      <c r="L964" s="170">
        <v>45523</v>
      </c>
      <c r="M964" s="116">
        <v>234.12</v>
      </c>
      <c r="N964" s="116">
        <v>237.995</v>
      </c>
      <c r="O964" s="116">
        <v>217.52500000000001</v>
      </c>
      <c r="P964" s="116">
        <v>219.5</v>
      </c>
      <c r="Q964" s="116">
        <v>2341.1999999999998</v>
      </c>
      <c r="R964">
        <v>4187572</v>
      </c>
    </row>
    <row r="965" spans="1:18" x14ac:dyDescent="0.25">
      <c r="A965" s="170">
        <v>45524</v>
      </c>
      <c r="B965" s="116">
        <v>273.87</v>
      </c>
      <c r="C965" s="116">
        <v>269.88499999999999</v>
      </c>
      <c r="D965" s="116">
        <v>234.655</v>
      </c>
      <c r="E965" s="116">
        <v>237.79499999999999</v>
      </c>
      <c r="F965" s="116">
        <v>2698.85</v>
      </c>
      <c r="G965">
        <v>1287256</v>
      </c>
      <c r="H965" s="116"/>
      <c r="I965" s="116"/>
      <c r="L965" s="170">
        <v>45524</v>
      </c>
      <c r="M965" s="116">
        <v>269.69</v>
      </c>
      <c r="N965" s="116">
        <v>273.995</v>
      </c>
      <c r="O965" s="116">
        <v>234.83</v>
      </c>
      <c r="P965" s="116">
        <v>237.02500000000001</v>
      </c>
      <c r="Q965" s="116">
        <v>2696.9</v>
      </c>
      <c r="R965">
        <v>14703506</v>
      </c>
    </row>
    <row r="966" spans="1:18" x14ac:dyDescent="0.25">
      <c r="A966" s="170">
        <v>45525</v>
      </c>
      <c r="B966" s="116">
        <v>285.19499999999999</v>
      </c>
      <c r="C966" s="116">
        <v>269.83</v>
      </c>
      <c r="D966" s="116">
        <v>261.66000000000003</v>
      </c>
      <c r="E966" s="116">
        <v>266.5</v>
      </c>
      <c r="F966" s="116">
        <v>2698.3</v>
      </c>
      <c r="G966">
        <v>658747</v>
      </c>
      <c r="H966" s="116"/>
      <c r="I966" s="116"/>
      <c r="L966" s="170">
        <v>45525</v>
      </c>
      <c r="M966" s="116">
        <v>269.99</v>
      </c>
      <c r="N966" s="116">
        <v>285.5</v>
      </c>
      <c r="O966" s="116">
        <v>261.70499999999998</v>
      </c>
      <c r="P966" s="116">
        <v>265.995</v>
      </c>
      <c r="Q966" s="116">
        <v>2699.9</v>
      </c>
      <c r="R966">
        <v>7087844</v>
      </c>
    </row>
    <row r="967" spans="1:18" x14ac:dyDescent="0.25">
      <c r="A967" s="170">
        <v>45526</v>
      </c>
      <c r="B967" s="116">
        <v>273</v>
      </c>
      <c r="C967" s="116">
        <v>261.35500000000002</v>
      </c>
      <c r="D967" s="116">
        <v>260</v>
      </c>
      <c r="E967" s="116">
        <v>271.39499999999998</v>
      </c>
      <c r="F967" s="116">
        <v>2613.5500000000002</v>
      </c>
      <c r="G967">
        <v>77823</v>
      </c>
      <c r="H967" s="116"/>
      <c r="I967" s="116"/>
      <c r="L967" s="170">
        <v>45526</v>
      </c>
      <c r="M967" s="116">
        <v>261.67500000000001</v>
      </c>
      <c r="N967" s="116">
        <v>273</v>
      </c>
      <c r="O967" s="116">
        <v>260</v>
      </c>
      <c r="P967" s="116">
        <v>270.67500000000001</v>
      </c>
      <c r="Q967" s="116">
        <v>2616.75</v>
      </c>
      <c r="R967">
        <v>1701299</v>
      </c>
    </row>
    <row r="968" spans="1:18" x14ac:dyDescent="0.25">
      <c r="A968" s="170">
        <v>45527</v>
      </c>
      <c r="B968" s="116">
        <v>264</v>
      </c>
      <c r="C968" s="116">
        <v>256.19499999999999</v>
      </c>
      <c r="D968" s="116">
        <v>255.22499999999999</v>
      </c>
      <c r="E968" s="116">
        <v>262.27</v>
      </c>
      <c r="F968" s="116">
        <v>2561.9499999999998</v>
      </c>
      <c r="G968">
        <v>43315</v>
      </c>
      <c r="H968" s="116"/>
      <c r="I968" s="116"/>
      <c r="L968" s="170">
        <v>45527</v>
      </c>
      <c r="M968" s="116">
        <v>256.315</v>
      </c>
      <c r="N968" s="116">
        <v>263.98</v>
      </c>
      <c r="O968" s="116">
        <v>255</v>
      </c>
      <c r="P968" s="116">
        <v>262.97000000000003</v>
      </c>
      <c r="Q968" s="116">
        <v>2563.15</v>
      </c>
      <c r="R968">
        <v>1045612</v>
      </c>
    </row>
    <row r="969" spans="1:18" x14ac:dyDescent="0.25">
      <c r="A969" s="170">
        <v>45530</v>
      </c>
      <c r="B969" s="116">
        <v>270.24</v>
      </c>
      <c r="C969" s="116">
        <v>265.70499999999998</v>
      </c>
      <c r="D969" s="116">
        <v>258.97500000000002</v>
      </c>
      <c r="E969" s="116">
        <v>259.86500000000001</v>
      </c>
      <c r="F969" s="116">
        <v>2657.05</v>
      </c>
      <c r="G969">
        <v>46150</v>
      </c>
      <c r="H969" s="116"/>
      <c r="I969" s="116"/>
      <c r="L969" s="170">
        <v>45530</v>
      </c>
      <c r="M969" s="116">
        <v>265.69</v>
      </c>
      <c r="N969" s="116">
        <v>270</v>
      </c>
      <c r="O969" s="116">
        <v>258.5</v>
      </c>
      <c r="P969" s="116">
        <v>258.97000000000003</v>
      </c>
      <c r="Q969" s="116">
        <v>2656.9</v>
      </c>
      <c r="R969">
        <v>1358379</v>
      </c>
    </row>
    <row r="970" spans="1:18" x14ac:dyDescent="0.25">
      <c r="A970" s="170">
        <v>45531</v>
      </c>
      <c r="B970" s="116">
        <v>269.48500000000001</v>
      </c>
      <c r="C970" s="116">
        <v>260.14499999999998</v>
      </c>
      <c r="D970" s="116">
        <v>258.64999999999998</v>
      </c>
      <c r="E970" s="116">
        <v>269.48500000000001</v>
      </c>
      <c r="F970" s="116">
        <v>2601.4499999999998</v>
      </c>
      <c r="G970">
        <v>62696</v>
      </c>
      <c r="H970" s="116"/>
      <c r="I970" s="116"/>
      <c r="L970" s="170">
        <v>45531</v>
      </c>
      <c r="M970" s="116">
        <v>260.16500000000002</v>
      </c>
      <c r="N970" s="116">
        <v>268.68</v>
      </c>
      <c r="O970" s="116">
        <v>259</v>
      </c>
      <c r="P970" s="116">
        <v>267.89999999999998</v>
      </c>
      <c r="Q970" s="116">
        <v>2601.65</v>
      </c>
      <c r="R970">
        <v>528745</v>
      </c>
    </row>
    <row r="971" spans="1:18" x14ac:dyDescent="0.25">
      <c r="A971" s="170">
        <v>45532</v>
      </c>
      <c r="B971" s="116">
        <v>264.89499999999998</v>
      </c>
      <c r="C971" s="116">
        <v>262.16500000000002</v>
      </c>
      <c r="D971" s="116">
        <v>257.18</v>
      </c>
      <c r="E971" s="116">
        <v>261</v>
      </c>
      <c r="F971" s="116">
        <v>2621.65</v>
      </c>
      <c r="G971">
        <v>27805</v>
      </c>
      <c r="H971" s="116"/>
      <c r="I971" s="116"/>
      <c r="L971" s="170">
        <v>45532</v>
      </c>
      <c r="M971" s="116">
        <v>262.17500000000001</v>
      </c>
      <c r="N971" s="116">
        <v>264.98500000000001</v>
      </c>
      <c r="O971" s="116">
        <v>257.08999999999997</v>
      </c>
      <c r="P971" s="116">
        <v>261</v>
      </c>
      <c r="Q971" s="116">
        <v>2621.75</v>
      </c>
      <c r="R971">
        <v>627460</v>
      </c>
    </row>
    <row r="972" spans="1:18" x14ac:dyDescent="0.25">
      <c r="A972" s="170">
        <v>45533</v>
      </c>
      <c r="B972" s="116">
        <v>263.88499999999999</v>
      </c>
      <c r="C972" s="116">
        <v>257.39499999999998</v>
      </c>
      <c r="D972" s="116">
        <v>255.79</v>
      </c>
      <c r="E972" s="116">
        <v>263</v>
      </c>
      <c r="F972" s="116">
        <v>2573.9499999999998</v>
      </c>
      <c r="G972">
        <v>22714</v>
      </c>
      <c r="H972" s="116"/>
      <c r="I972" s="116"/>
      <c r="L972" s="170">
        <v>45533</v>
      </c>
      <c r="M972" s="116">
        <v>257.10500000000002</v>
      </c>
      <c r="N972" s="116">
        <v>264.3</v>
      </c>
      <c r="O972" s="116">
        <v>255.8</v>
      </c>
      <c r="P972" s="116">
        <v>264.3</v>
      </c>
      <c r="Q972" s="116">
        <v>2571.0500000000002</v>
      </c>
      <c r="R972">
        <v>462128</v>
      </c>
    </row>
    <row r="973" spans="1:18" x14ac:dyDescent="0.25">
      <c r="A973" s="170">
        <v>45534</v>
      </c>
      <c r="B973" s="116">
        <v>263.5</v>
      </c>
      <c r="C973" s="116">
        <v>258.51499999999999</v>
      </c>
      <c r="D973" s="116">
        <v>254.435</v>
      </c>
      <c r="E973" s="116">
        <v>259.8</v>
      </c>
      <c r="F973" s="116">
        <v>2585.15</v>
      </c>
      <c r="G973">
        <v>61831</v>
      </c>
      <c r="H973" s="116"/>
      <c r="I973" s="116"/>
      <c r="L973" s="170">
        <v>45534</v>
      </c>
      <c r="M973" s="116">
        <v>258.63499999999999</v>
      </c>
      <c r="N973" s="116">
        <v>263.62</v>
      </c>
      <c r="O973" s="116">
        <v>254.5</v>
      </c>
      <c r="P973" s="116">
        <v>259.89999999999998</v>
      </c>
      <c r="Q973" s="116">
        <v>2586.35</v>
      </c>
      <c r="R973">
        <v>510332</v>
      </c>
    </row>
    <row r="974" spans="1:18" x14ac:dyDescent="0.25">
      <c r="A974" s="170">
        <v>45537</v>
      </c>
      <c r="B974" s="116">
        <v>262.19499999999999</v>
      </c>
      <c r="C974" s="116">
        <v>255.98</v>
      </c>
      <c r="D974" s="116">
        <v>255.04499999999999</v>
      </c>
      <c r="E974" s="116">
        <v>259.53500000000003</v>
      </c>
      <c r="F974" s="116">
        <v>2559.8000000000002</v>
      </c>
      <c r="G974">
        <v>29498</v>
      </c>
      <c r="H974" s="116"/>
      <c r="I974" s="116"/>
      <c r="L974" s="170">
        <v>45537</v>
      </c>
      <c r="M974" s="116">
        <v>256.03500000000003</v>
      </c>
      <c r="N974" s="116">
        <v>262.2</v>
      </c>
      <c r="O974" s="116">
        <v>255</v>
      </c>
      <c r="P974" s="116">
        <v>261</v>
      </c>
      <c r="Q974" s="116">
        <v>2560.35</v>
      </c>
      <c r="R974">
        <v>499089</v>
      </c>
    </row>
    <row r="975" spans="1:18" x14ac:dyDescent="0.25">
      <c r="A975" s="170">
        <v>45538</v>
      </c>
      <c r="B975" s="116">
        <v>262.79000000000002</v>
      </c>
      <c r="C975" s="116">
        <v>254.19499999999999</v>
      </c>
      <c r="D975" s="116">
        <v>252.02</v>
      </c>
      <c r="E975" s="116">
        <v>258.35500000000002</v>
      </c>
      <c r="F975" s="116">
        <v>2541.9499999999998</v>
      </c>
      <c r="G975">
        <v>27416</v>
      </c>
      <c r="H975" s="116"/>
      <c r="I975" s="116"/>
      <c r="L975" s="170">
        <v>45538</v>
      </c>
      <c r="M975" s="116">
        <v>254.45500000000001</v>
      </c>
      <c r="N975" s="116">
        <v>262.86500000000001</v>
      </c>
      <c r="O975" s="116">
        <v>251.84</v>
      </c>
      <c r="P975" s="116">
        <v>257.30500000000001</v>
      </c>
      <c r="Q975" s="116">
        <v>2544.5500000000002</v>
      </c>
      <c r="R975">
        <v>688140</v>
      </c>
    </row>
    <row r="976" spans="1:18" x14ac:dyDescent="0.25">
      <c r="A976" s="170">
        <v>45539</v>
      </c>
      <c r="B976" s="116">
        <v>258.94</v>
      </c>
      <c r="C976" s="116">
        <v>254.88499999999999</v>
      </c>
      <c r="D976" s="116">
        <v>251</v>
      </c>
      <c r="E976" s="116">
        <v>251.26499999999999</v>
      </c>
      <c r="F976" s="116">
        <v>2548.85</v>
      </c>
      <c r="G976">
        <v>20388</v>
      </c>
      <c r="H976" s="116"/>
      <c r="I976" s="116"/>
      <c r="L976" s="170">
        <v>45539</v>
      </c>
      <c r="M976" s="116">
        <v>255.22</v>
      </c>
      <c r="N976" s="116">
        <v>259.005</v>
      </c>
      <c r="O976" s="116">
        <v>251.2</v>
      </c>
      <c r="P976" s="116">
        <v>252</v>
      </c>
      <c r="Q976" s="116">
        <v>2552.1999999999998</v>
      </c>
      <c r="R976">
        <v>529824</v>
      </c>
    </row>
    <row r="977" spans="1:18" x14ac:dyDescent="0.25">
      <c r="A977" s="170">
        <v>45540</v>
      </c>
      <c r="B977" s="116">
        <v>257.27499999999998</v>
      </c>
      <c r="C977" s="116">
        <v>250.83</v>
      </c>
      <c r="D977" s="116">
        <v>250.1</v>
      </c>
      <c r="E977" s="116">
        <v>257.27499999999998</v>
      </c>
      <c r="F977" s="116">
        <v>2508.3000000000002</v>
      </c>
      <c r="G977">
        <v>15357</v>
      </c>
      <c r="H977" s="116"/>
      <c r="I977" s="116"/>
      <c r="L977" s="170">
        <v>45540</v>
      </c>
      <c r="M977" s="116">
        <v>250.64</v>
      </c>
      <c r="N977" s="116">
        <v>257.38</v>
      </c>
      <c r="O977" s="116">
        <v>250</v>
      </c>
      <c r="P977" s="116">
        <v>257</v>
      </c>
      <c r="Q977" s="116">
        <v>2506.4</v>
      </c>
      <c r="R977">
        <v>557548</v>
      </c>
    </row>
    <row r="978" spans="1:18" x14ac:dyDescent="0.25">
      <c r="A978" s="170">
        <v>45541</v>
      </c>
      <c r="B978" s="116">
        <v>254.48</v>
      </c>
      <c r="C978" s="116">
        <v>241.685</v>
      </c>
      <c r="D978" s="116">
        <v>240.5</v>
      </c>
      <c r="E978" s="116">
        <v>253.1</v>
      </c>
      <c r="F978" s="116">
        <v>2416.85</v>
      </c>
      <c r="G978">
        <v>103118</v>
      </c>
      <c r="H978" s="116"/>
      <c r="I978" s="116"/>
      <c r="L978" s="170">
        <v>45541</v>
      </c>
      <c r="M978" s="116">
        <v>241.435</v>
      </c>
      <c r="N978" s="116">
        <v>254.86500000000001</v>
      </c>
      <c r="O978" s="116">
        <v>240.10499999999999</v>
      </c>
      <c r="P978" s="116">
        <v>254</v>
      </c>
      <c r="Q978" s="116">
        <v>2414.35</v>
      </c>
      <c r="R978">
        <v>805234</v>
      </c>
    </row>
    <row r="979" spans="1:18" x14ac:dyDescent="0.25">
      <c r="A979" s="170">
        <v>45544</v>
      </c>
      <c r="B979" s="116">
        <v>246.8</v>
      </c>
      <c r="C979" s="116">
        <v>245.62</v>
      </c>
      <c r="D979" s="116">
        <v>232.5</v>
      </c>
      <c r="E979" s="116">
        <v>240</v>
      </c>
      <c r="F979" s="116">
        <v>2456.1999999999998</v>
      </c>
      <c r="G979">
        <v>107376</v>
      </c>
      <c r="H979" s="116"/>
      <c r="I979" s="116"/>
      <c r="L979" s="170">
        <v>45544</v>
      </c>
      <c r="M979" s="116">
        <v>245.58</v>
      </c>
      <c r="N979" s="116">
        <v>246.97499999999999</v>
      </c>
      <c r="O979" s="116">
        <v>231.51499999999999</v>
      </c>
      <c r="P979" s="116">
        <v>240</v>
      </c>
      <c r="Q979" s="116">
        <v>2455.8000000000002</v>
      </c>
      <c r="R979">
        <v>794589</v>
      </c>
    </row>
    <row r="980" spans="1:18" x14ac:dyDescent="0.25">
      <c r="A980" s="170">
        <v>45545</v>
      </c>
      <c r="B980" s="116">
        <v>250.7</v>
      </c>
      <c r="C980" s="116">
        <v>245.13</v>
      </c>
      <c r="D980" s="116">
        <v>242.82499999999999</v>
      </c>
      <c r="E980" s="116">
        <v>247.5</v>
      </c>
      <c r="F980" s="116">
        <v>2451.3000000000002</v>
      </c>
      <c r="G980">
        <v>61965</v>
      </c>
      <c r="H980" s="116"/>
      <c r="I980" s="116"/>
      <c r="L980" s="170">
        <v>45545</v>
      </c>
      <c r="M980" s="116">
        <v>245.23500000000001</v>
      </c>
      <c r="N980" s="116">
        <v>250.62</v>
      </c>
      <c r="O980" s="116">
        <v>242.83500000000001</v>
      </c>
      <c r="P980" s="116">
        <v>248.5</v>
      </c>
      <c r="Q980" s="116">
        <v>2452.35</v>
      </c>
      <c r="R980">
        <v>609155</v>
      </c>
    </row>
    <row r="981" spans="1:18" x14ac:dyDescent="0.25">
      <c r="A981" s="170">
        <v>45546</v>
      </c>
      <c r="B981" s="116">
        <v>245.2</v>
      </c>
      <c r="C981" s="116">
        <v>239.75</v>
      </c>
      <c r="D981" s="116">
        <v>238.8</v>
      </c>
      <c r="E981" s="116">
        <v>245.19499999999999</v>
      </c>
      <c r="F981" s="116">
        <v>2397.5</v>
      </c>
      <c r="G981">
        <v>14071</v>
      </c>
      <c r="H981" s="116"/>
      <c r="I981" s="116"/>
      <c r="L981" s="170">
        <v>45546</v>
      </c>
      <c r="M981" s="116">
        <v>239.625</v>
      </c>
      <c r="N981" s="116">
        <v>245.285</v>
      </c>
      <c r="O981" s="116">
        <v>238.74</v>
      </c>
      <c r="P981" s="116">
        <v>244.9</v>
      </c>
      <c r="Q981" s="116">
        <v>2396.25</v>
      </c>
      <c r="R981">
        <v>326227</v>
      </c>
    </row>
    <row r="982" spans="1:18" x14ac:dyDescent="0.25">
      <c r="A982" s="170">
        <v>45547</v>
      </c>
      <c r="B982" s="116">
        <v>245.29</v>
      </c>
      <c r="C982" s="116">
        <v>241.22499999999999</v>
      </c>
      <c r="D982" s="116">
        <v>237.2</v>
      </c>
      <c r="E982" s="116">
        <v>240</v>
      </c>
      <c r="F982" s="116">
        <v>2412.25</v>
      </c>
      <c r="G982">
        <v>55599</v>
      </c>
      <c r="H982" s="116"/>
      <c r="I982" s="116"/>
      <c r="L982" s="170">
        <v>45547</v>
      </c>
      <c r="M982" s="116">
        <v>241.22</v>
      </c>
      <c r="N982" s="116">
        <v>245.4</v>
      </c>
      <c r="O982" s="116">
        <v>237.19</v>
      </c>
      <c r="P982" s="116">
        <v>240</v>
      </c>
      <c r="Q982" s="116">
        <v>2412.1999999999998</v>
      </c>
      <c r="R982">
        <v>498540</v>
      </c>
    </row>
    <row r="983" spans="1:18" x14ac:dyDescent="0.25">
      <c r="A983" s="170">
        <v>45548</v>
      </c>
      <c r="B983" s="116">
        <v>246.29</v>
      </c>
      <c r="C983" s="116">
        <v>245.27</v>
      </c>
      <c r="D983" s="116">
        <v>240.88499999999999</v>
      </c>
      <c r="E983" s="116">
        <v>243.595</v>
      </c>
      <c r="F983" s="116">
        <v>2452.6999999999998</v>
      </c>
      <c r="G983">
        <v>57047</v>
      </c>
      <c r="H983" s="116"/>
      <c r="I983" s="116"/>
      <c r="L983" s="170">
        <v>45548</v>
      </c>
      <c r="M983" s="116">
        <v>245.17500000000001</v>
      </c>
      <c r="N983" s="116">
        <v>246.5</v>
      </c>
      <c r="O983" s="116">
        <v>240.8</v>
      </c>
      <c r="P983" s="116">
        <v>242.3</v>
      </c>
      <c r="Q983" s="116">
        <v>2451.75</v>
      </c>
      <c r="R983">
        <v>486643</v>
      </c>
    </row>
    <row r="984" spans="1:18" x14ac:dyDescent="0.25">
      <c r="A984" s="170">
        <v>45551</v>
      </c>
      <c r="B984" s="116">
        <v>263.60000000000002</v>
      </c>
      <c r="C984" s="116">
        <v>258.11500000000001</v>
      </c>
      <c r="D984" s="116">
        <v>241.11500000000001</v>
      </c>
      <c r="E984" s="116">
        <v>241.11500000000001</v>
      </c>
      <c r="F984" s="116">
        <v>2581.15</v>
      </c>
      <c r="G984">
        <v>227011</v>
      </c>
      <c r="H984" s="116"/>
      <c r="I984" s="116"/>
      <c r="L984" s="170">
        <v>45551</v>
      </c>
      <c r="M984" s="116">
        <v>258.12</v>
      </c>
      <c r="N984" s="116">
        <v>263.77</v>
      </c>
      <c r="O984" s="116">
        <v>245.505</v>
      </c>
      <c r="P984" s="116">
        <v>247.28</v>
      </c>
      <c r="Q984" s="116">
        <v>2581.1999999999998</v>
      </c>
      <c r="R984">
        <v>2132927</v>
      </c>
    </row>
    <row r="985" spans="1:18" x14ac:dyDescent="0.25">
      <c r="A985" s="170">
        <v>45552</v>
      </c>
      <c r="B985" s="116">
        <v>260</v>
      </c>
      <c r="C985" s="116">
        <v>255.70500000000001</v>
      </c>
      <c r="D985" s="116">
        <v>253.14</v>
      </c>
      <c r="E985" s="116">
        <v>258.2</v>
      </c>
      <c r="F985" s="116">
        <v>2557.0500000000002</v>
      </c>
      <c r="G985">
        <v>31929</v>
      </c>
      <c r="H985" s="116"/>
      <c r="I985" s="116"/>
      <c r="L985" s="170">
        <v>45552</v>
      </c>
      <c r="M985" s="116">
        <v>255.78</v>
      </c>
      <c r="N985" s="116">
        <v>260.02999999999997</v>
      </c>
      <c r="O985" s="116">
        <v>253</v>
      </c>
      <c r="P985" s="116">
        <v>258</v>
      </c>
      <c r="Q985" s="116">
        <v>2557.8000000000002</v>
      </c>
      <c r="R985">
        <v>666634</v>
      </c>
    </row>
    <row r="986" spans="1:18" x14ac:dyDescent="0.25">
      <c r="A986" s="170">
        <v>45553</v>
      </c>
      <c r="B986" s="116">
        <v>269.52999999999997</v>
      </c>
      <c r="C986" s="116">
        <v>261.41000000000003</v>
      </c>
      <c r="D986" s="116">
        <v>253.60499999999999</v>
      </c>
      <c r="E986" s="116">
        <v>256.11500000000001</v>
      </c>
      <c r="F986" s="116">
        <v>2614.1</v>
      </c>
      <c r="G986">
        <v>98205</v>
      </c>
      <c r="H986" s="116"/>
      <c r="I986" s="116"/>
      <c r="L986" s="170">
        <v>45553</v>
      </c>
      <c r="M986" s="116">
        <v>261.62</v>
      </c>
      <c r="N986" s="116">
        <v>269.39999999999998</v>
      </c>
      <c r="O986" s="116">
        <v>253.60499999999999</v>
      </c>
      <c r="P986" s="116">
        <v>255.6</v>
      </c>
      <c r="Q986" s="116">
        <v>2616.1999999999998</v>
      </c>
      <c r="R986">
        <v>2631022</v>
      </c>
    </row>
    <row r="987" spans="1:18" x14ac:dyDescent="0.25">
      <c r="A987" s="170">
        <v>45554</v>
      </c>
      <c r="B987" s="116">
        <v>265.96499999999997</v>
      </c>
      <c r="C987" s="116">
        <v>253.22</v>
      </c>
      <c r="D987" s="116">
        <v>247.5</v>
      </c>
      <c r="E987" s="116">
        <v>265.96499999999997</v>
      </c>
      <c r="F987" s="116">
        <v>2532.1999999999998</v>
      </c>
      <c r="G987">
        <v>48325</v>
      </c>
      <c r="H987" s="116"/>
      <c r="I987" s="116"/>
      <c r="L987" s="170">
        <v>45554</v>
      </c>
      <c r="M987" s="116">
        <v>252.44</v>
      </c>
      <c r="N987" s="116">
        <v>265.39999999999998</v>
      </c>
      <c r="O987" s="116">
        <v>247.20500000000001</v>
      </c>
      <c r="P987" s="116">
        <v>264.89999999999998</v>
      </c>
      <c r="Q987" s="116">
        <v>2524.4</v>
      </c>
      <c r="R987">
        <v>1185748</v>
      </c>
    </row>
    <row r="988" spans="1:18" x14ac:dyDescent="0.25">
      <c r="A988" s="170">
        <v>45555</v>
      </c>
      <c r="B988" s="116">
        <v>261.44499999999999</v>
      </c>
      <c r="C988" s="116">
        <v>258.85000000000002</v>
      </c>
      <c r="D988" s="116">
        <v>252.5</v>
      </c>
      <c r="E988" s="116">
        <v>256.255</v>
      </c>
      <c r="F988" s="116">
        <v>2588.5</v>
      </c>
      <c r="G988">
        <v>93900</v>
      </c>
      <c r="H988" s="116"/>
      <c r="I988" s="116"/>
      <c r="L988" s="170">
        <v>45555</v>
      </c>
      <c r="M988" s="116">
        <v>259.08</v>
      </c>
      <c r="N988" s="116">
        <v>261.39999999999998</v>
      </c>
      <c r="O988" s="116">
        <v>252.6</v>
      </c>
      <c r="P988" s="116">
        <v>254.405</v>
      </c>
      <c r="Q988" s="116">
        <v>2590.8000000000002</v>
      </c>
      <c r="R988">
        <v>969884</v>
      </c>
    </row>
    <row r="989" spans="1:18" x14ac:dyDescent="0.25">
      <c r="A989" s="170">
        <v>45558</v>
      </c>
      <c r="B989" s="116">
        <v>264.79500000000002</v>
      </c>
      <c r="C989" s="116">
        <v>261.41500000000002</v>
      </c>
      <c r="D989" s="116">
        <v>258.315</v>
      </c>
      <c r="E989" s="116">
        <v>261.995</v>
      </c>
      <c r="F989" s="116">
        <v>2614.15</v>
      </c>
      <c r="G989">
        <v>43472</v>
      </c>
      <c r="H989" s="116"/>
      <c r="I989" s="116"/>
      <c r="L989" s="170">
        <v>45558</v>
      </c>
      <c r="M989" s="116">
        <v>261.65499999999997</v>
      </c>
      <c r="N989" s="116">
        <v>264.76499999999999</v>
      </c>
      <c r="O989" s="116">
        <v>258.13</v>
      </c>
      <c r="P989" s="116">
        <v>260.89</v>
      </c>
      <c r="Q989" s="116">
        <v>2616.5500000000002</v>
      </c>
      <c r="R989">
        <v>694321</v>
      </c>
    </row>
    <row r="990" spans="1:18" x14ac:dyDescent="0.25">
      <c r="A990" s="170">
        <v>45559</v>
      </c>
      <c r="B990" s="116">
        <v>264.39999999999998</v>
      </c>
      <c r="C990" s="116">
        <v>259.89</v>
      </c>
      <c r="D990" s="116">
        <v>258.5</v>
      </c>
      <c r="E990" s="116">
        <v>262.84500000000003</v>
      </c>
      <c r="F990" s="116">
        <v>2598.9</v>
      </c>
      <c r="G990">
        <v>24264</v>
      </c>
      <c r="H990" s="116"/>
      <c r="I990" s="116"/>
      <c r="L990" s="170">
        <v>45559</v>
      </c>
      <c r="M990" s="116">
        <v>260.02</v>
      </c>
      <c r="N990" s="116">
        <v>264.5</v>
      </c>
      <c r="O990" s="116">
        <v>258.505</v>
      </c>
      <c r="P990" s="116">
        <v>262.51499999999999</v>
      </c>
      <c r="Q990" s="116">
        <v>2600.1999999999998</v>
      </c>
      <c r="R990">
        <v>505213</v>
      </c>
    </row>
    <row r="991" spans="1:18" x14ac:dyDescent="0.25">
      <c r="A991" s="170">
        <v>45560</v>
      </c>
      <c r="B991" s="116">
        <v>260</v>
      </c>
      <c r="C991" s="116">
        <v>254.12</v>
      </c>
      <c r="D991" s="116">
        <v>253</v>
      </c>
      <c r="E991" s="116">
        <v>258.625</v>
      </c>
      <c r="F991" s="116">
        <v>2541.1999999999998</v>
      </c>
      <c r="G991">
        <v>16989</v>
      </c>
      <c r="H991" s="116"/>
      <c r="I991" s="116"/>
      <c r="L991" s="170">
        <v>45560</v>
      </c>
      <c r="M991" s="116">
        <v>253.9</v>
      </c>
      <c r="N991" s="116">
        <v>259.5</v>
      </c>
      <c r="O991" s="116">
        <v>253</v>
      </c>
      <c r="P991" s="116">
        <v>259.5</v>
      </c>
      <c r="Q991" s="116">
        <v>2539</v>
      </c>
      <c r="R991">
        <v>503864</v>
      </c>
    </row>
    <row r="992" spans="1:18" x14ac:dyDescent="0.25">
      <c r="A992" s="170">
        <v>45561</v>
      </c>
      <c r="B992" s="116">
        <v>254.745</v>
      </c>
      <c r="C992" s="116">
        <v>247.51</v>
      </c>
      <c r="D992" s="116">
        <v>244.61</v>
      </c>
      <c r="E992" s="116">
        <v>253.01499999999999</v>
      </c>
      <c r="F992" s="116">
        <v>2475.1</v>
      </c>
      <c r="G992">
        <v>95365</v>
      </c>
      <c r="H992" s="116"/>
      <c r="I992" s="116"/>
      <c r="L992" s="170">
        <v>45561</v>
      </c>
      <c r="M992" s="116">
        <v>247.565</v>
      </c>
      <c r="N992" s="116">
        <v>254.4</v>
      </c>
      <c r="O992" s="116">
        <v>244.52500000000001</v>
      </c>
      <c r="P992" s="116">
        <v>253.89500000000001</v>
      </c>
      <c r="Q992" s="116">
        <v>2475.65</v>
      </c>
      <c r="R992">
        <v>762878</v>
      </c>
    </row>
    <row r="993" spans="1:18" x14ac:dyDescent="0.25">
      <c r="A993" s="170">
        <v>45562</v>
      </c>
      <c r="B993" s="116">
        <v>256.8</v>
      </c>
      <c r="C993" s="116">
        <v>253.11500000000001</v>
      </c>
      <c r="D993" s="116">
        <v>246.81</v>
      </c>
      <c r="E993" s="116">
        <v>249.83</v>
      </c>
      <c r="F993" s="116">
        <v>2531.15</v>
      </c>
      <c r="G993">
        <v>35821</v>
      </c>
      <c r="H993" s="116"/>
      <c r="I993" s="116"/>
      <c r="L993" s="170">
        <v>45562</v>
      </c>
      <c r="M993" s="116">
        <v>253.23</v>
      </c>
      <c r="N993" s="116">
        <v>256.8</v>
      </c>
      <c r="O993" s="116">
        <v>246.8</v>
      </c>
      <c r="P993" s="116">
        <v>248.94</v>
      </c>
      <c r="Q993" s="116">
        <v>2532.3000000000002</v>
      </c>
      <c r="R993">
        <v>702358</v>
      </c>
    </row>
    <row r="994" spans="1:18" x14ac:dyDescent="0.25">
      <c r="A994" s="170">
        <v>45565</v>
      </c>
      <c r="B994" s="116">
        <v>260.8</v>
      </c>
      <c r="C994" s="116">
        <v>256.17</v>
      </c>
      <c r="D994" s="116">
        <v>249.75</v>
      </c>
      <c r="E994" s="116">
        <v>251.995</v>
      </c>
      <c r="F994" s="116">
        <v>2561.6999999999998</v>
      </c>
      <c r="G994">
        <v>41606</v>
      </c>
      <c r="H994" s="116"/>
      <c r="I994" s="116"/>
      <c r="L994" s="170">
        <v>45565</v>
      </c>
      <c r="M994" s="116">
        <v>256.17</v>
      </c>
      <c r="N994" s="116">
        <v>260.8</v>
      </c>
      <c r="O994" s="116">
        <v>249.3</v>
      </c>
      <c r="P994" s="116">
        <v>249.38</v>
      </c>
      <c r="Q994" s="116">
        <v>2561.6999999999998</v>
      </c>
      <c r="R994">
        <v>1162173</v>
      </c>
    </row>
    <row r="995" spans="1:18" x14ac:dyDescent="0.25">
      <c r="A995" s="170">
        <v>45566</v>
      </c>
      <c r="B995" s="116">
        <v>275.10000000000002</v>
      </c>
      <c r="C995" s="116">
        <v>260.005</v>
      </c>
      <c r="D995" s="116">
        <v>258.06</v>
      </c>
      <c r="E995" s="116">
        <v>259.8</v>
      </c>
      <c r="F995" s="116">
        <v>2600.0500000000002</v>
      </c>
      <c r="G995">
        <v>455564</v>
      </c>
      <c r="H995" s="116"/>
      <c r="I995" s="116"/>
      <c r="L995" s="170">
        <v>45566</v>
      </c>
      <c r="M995" s="116">
        <v>260.01</v>
      </c>
      <c r="N995" s="116">
        <v>275.38</v>
      </c>
      <c r="O995" s="116">
        <v>258</v>
      </c>
      <c r="P995" s="116">
        <v>260.20499999999998</v>
      </c>
      <c r="Q995" s="116">
        <v>2600.1</v>
      </c>
      <c r="R995">
        <v>5049436</v>
      </c>
    </row>
    <row r="996" spans="1:18" x14ac:dyDescent="0.25">
      <c r="A996" s="170">
        <v>45568</v>
      </c>
      <c r="B996" s="116">
        <v>279.42500000000001</v>
      </c>
      <c r="C996" s="116">
        <v>273.96499999999997</v>
      </c>
      <c r="D996" s="116">
        <v>244.83500000000001</v>
      </c>
      <c r="E996" s="116">
        <v>252.005</v>
      </c>
      <c r="F996" s="116">
        <v>2739.65</v>
      </c>
      <c r="G996">
        <v>322362</v>
      </c>
      <c r="H996" s="116"/>
      <c r="I996" s="116"/>
      <c r="L996" s="170">
        <v>45568</v>
      </c>
      <c r="M996" s="116">
        <v>274.21499999999997</v>
      </c>
      <c r="N996" s="116">
        <v>279.43</v>
      </c>
      <c r="O996" s="116">
        <v>245</v>
      </c>
      <c r="P996" s="116">
        <v>252.5</v>
      </c>
      <c r="Q996" s="116">
        <v>2742.15</v>
      </c>
      <c r="R996">
        <v>7559524</v>
      </c>
    </row>
    <row r="997" spans="1:18" x14ac:dyDescent="0.25">
      <c r="A997" s="170">
        <v>45569</v>
      </c>
      <c r="B997" s="116">
        <v>274.58999999999997</v>
      </c>
      <c r="C997" s="116">
        <v>266.07</v>
      </c>
      <c r="D997" s="116">
        <v>262</v>
      </c>
      <c r="E997" s="116">
        <v>271.995</v>
      </c>
      <c r="F997" s="116">
        <v>2660.7</v>
      </c>
      <c r="G997">
        <v>113570</v>
      </c>
      <c r="H997" s="116"/>
      <c r="I997" s="116"/>
      <c r="L997" s="170">
        <v>45569</v>
      </c>
      <c r="M997" s="116">
        <v>266.17</v>
      </c>
      <c r="N997" s="116">
        <v>274.98</v>
      </c>
      <c r="O997" s="116">
        <v>262</v>
      </c>
      <c r="P997" s="116">
        <v>270.745</v>
      </c>
      <c r="Q997" s="116">
        <v>2661.7</v>
      </c>
      <c r="R997">
        <v>2798216</v>
      </c>
    </row>
    <row r="998" spans="1:18" x14ac:dyDescent="0.25">
      <c r="A998" s="170">
        <v>45572</v>
      </c>
      <c r="B998" s="116">
        <v>269.125</v>
      </c>
      <c r="C998" s="116">
        <v>251.14500000000001</v>
      </c>
      <c r="D998" s="116">
        <v>249.80500000000001</v>
      </c>
      <c r="E998" s="116">
        <v>266.60000000000002</v>
      </c>
      <c r="F998" s="116">
        <v>2511.4499999999998</v>
      </c>
      <c r="G998">
        <v>63842</v>
      </c>
      <c r="H998" s="116"/>
      <c r="I998" s="116"/>
      <c r="L998" s="170">
        <v>45572</v>
      </c>
      <c r="M998" s="116">
        <v>251.47499999999999</v>
      </c>
      <c r="N998" s="116">
        <v>268.97000000000003</v>
      </c>
      <c r="O998" s="116">
        <v>249.60499999999999</v>
      </c>
      <c r="P998" s="116">
        <v>268.97000000000003</v>
      </c>
      <c r="Q998" s="116">
        <v>2514.75</v>
      </c>
      <c r="R998">
        <v>1828223</v>
      </c>
    </row>
    <row r="999" spans="1:18" x14ac:dyDescent="0.25">
      <c r="A999" s="170">
        <v>45573</v>
      </c>
      <c r="B999" s="116">
        <v>261.5</v>
      </c>
      <c r="C999" s="116">
        <v>259.625</v>
      </c>
      <c r="D999" s="116">
        <v>251.51</v>
      </c>
      <c r="E999" s="116">
        <v>251.51</v>
      </c>
      <c r="F999" s="116">
        <v>2596.25</v>
      </c>
      <c r="G999">
        <v>98207</v>
      </c>
      <c r="H999" s="116"/>
      <c r="I999" s="116"/>
      <c r="L999" s="170">
        <v>45573</v>
      </c>
      <c r="M999" s="116">
        <v>259.71499999999997</v>
      </c>
      <c r="N999" s="116">
        <v>261.5</v>
      </c>
      <c r="O999" s="116">
        <v>252.26499999999999</v>
      </c>
      <c r="P999" s="116">
        <v>252.5</v>
      </c>
      <c r="Q999" s="116">
        <v>2597.15</v>
      </c>
      <c r="R999">
        <v>1115014</v>
      </c>
    </row>
    <row r="1000" spans="1:18" x14ac:dyDescent="0.25">
      <c r="A1000" s="170">
        <v>45574</v>
      </c>
      <c r="B1000" s="116">
        <v>267</v>
      </c>
      <c r="C1000" s="116">
        <v>259.23</v>
      </c>
      <c r="D1000" s="116">
        <v>257.90499999999997</v>
      </c>
      <c r="E1000" s="116">
        <v>261.09500000000003</v>
      </c>
      <c r="F1000" s="116">
        <v>2592.3000000000002</v>
      </c>
      <c r="G1000">
        <v>59352</v>
      </c>
      <c r="H1000" s="116"/>
      <c r="I1000" s="116"/>
      <c r="L1000" s="170">
        <v>45574</v>
      </c>
      <c r="M1000" s="116">
        <v>259.40499999999997</v>
      </c>
      <c r="N1000" s="116">
        <v>267.10000000000002</v>
      </c>
      <c r="O1000" s="116">
        <v>258.005</v>
      </c>
      <c r="P1000" s="116">
        <v>259.71499999999997</v>
      </c>
      <c r="Q1000" s="116">
        <v>2594.0500000000002</v>
      </c>
      <c r="R1000">
        <v>777061</v>
      </c>
    </row>
    <row r="1001" spans="1:18" x14ac:dyDescent="0.25">
      <c r="A1001" s="170">
        <v>45575</v>
      </c>
      <c r="B1001" s="116">
        <v>263.35000000000002</v>
      </c>
      <c r="C1001" s="116">
        <v>260.74</v>
      </c>
      <c r="D1001" s="116">
        <v>255.1</v>
      </c>
      <c r="E1001" s="116">
        <v>259.42</v>
      </c>
      <c r="F1001" s="116">
        <v>2607.4</v>
      </c>
      <c r="G1001">
        <v>40261</v>
      </c>
      <c r="H1001" s="116"/>
      <c r="I1001" s="116"/>
      <c r="L1001" s="170">
        <v>45575</v>
      </c>
      <c r="M1001" s="116">
        <v>260.65499999999997</v>
      </c>
      <c r="N1001" s="116">
        <v>263.435</v>
      </c>
      <c r="O1001" s="116">
        <v>255.1</v>
      </c>
      <c r="P1001" s="116">
        <v>260</v>
      </c>
      <c r="Q1001" s="116">
        <v>2606.5500000000002</v>
      </c>
      <c r="R1001">
        <v>740979</v>
      </c>
    </row>
    <row r="1002" spans="1:18" x14ac:dyDescent="0.25">
      <c r="A1002" s="170">
        <v>45576</v>
      </c>
      <c r="B1002" s="116">
        <v>271.7</v>
      </c>
      <c r="C1002" s="116">
        <v>270.245</v>
      </c>
      <c r="D1002" s="116">
        <v>260.74</v>
      </c>
      <c r="E1002" s="116">
        <v>260.74</v>
      </c>
      <c r="F1002" s="116">
        <v>2702.45</v>
      </c>
      <c r="G1002">
        <v>167173</v>
      </c>
      <c r="H1002" s="116"/>
      <c r="I1002" s="116"/>
      <c r="L1002" s="170">
        <v>45576</v>
      </c>
      <c r="M1002" s="116">
        <v>270.31</v>
      </c>
      <c r="N1002" s="116">
        <v>271.86500000000001</v>
      </c>
      <c r="O1002" s="116">
        <v>260.70999999999998</v>
      </c>
      <c r="P1002" s="116">
        <v>261</v>
      </c>
      <c r="Q1002" s="116">
        <v>2703.1</v>
      </c>
      <c r="R1002">
        <v>1285183</v>
      </c>
    </row>
    <row r="1003" spans="1:18" x14ac:dyDescent="0.25">
      <c r="A1003" s="170">
        <v>45579</v>
      </c>
      <c r="B1003" s="116">
        <v>283</v>
      </c>
      <c r="C1003" s="116">
        <v>272.17500000000001</v>
      </c>
      <c r="D1003" s="116">
        <v>267.64999999999998</v>
      </c>
      <c r="E1003" s="116">
        <v>271.8</v>
      </c>
      <c r="F1003" s="116">
        <v>2721.75</v>
      </c>
      <c r="G1003">
        <v>148171</v>
      </c>
      <c r="H1003" s="116"/>
      <c r="I1003" s="116"/>
      <c r="L1003" s="170">
        <v>45579</v>
      </c>
      <c r="M1003" s="116">
        <v>272.30500000000001</v>
      </c>
      <c r="N1003" s="116">
        <v>283</v>
      </c>
      <c r="O1003" s="116">
        <v>267.60000000000002</v>
      </c>
      <c r="P1003" s="116">
        <v>271.89</v>
      </c>
      <c r="Q1003" s="116">
        <v>2723.05</v>
      </c>
      <c r="R1003">
        <v>3426969</v>
      </c>
    </row>
    <row r="1004" spans="1:18" x14ac:dyDescent="0.25">
      <c r="A1004" s="170">
        <v>45580</v>
      </c>
      <c r="B1004" s="116">
        <v>325.08999999999997</v>
      </c>
      <c r="C1004" s="116">
        <v>322.2</v>
      </c>
      <c r="D1004" s="116">
        <v>286.48500000000001</v>
      </c>
      <c r="E1004" s="116">
        <v>290.60500000000002</v>
      </c>
      <c r="F1004" s="116">
        <v>3222</v>
      </c>
      <c r="G1004">
        <v>821433</v>
      </c>
      <c r="H1004" s="116"/>
      <c r="I1004" s="116"/>
      <c r="L1004" s="170">
        <v>45580</v>
      </c>
      <c r="M1004" s="116">
        <v>322.45499999999998</v>
      </c>
      <c r="N1004" s="116">
        <v>325.8</v>
      </c>
      <c r="O1004" s="116">
        <v>286.60000000000002</v>
      </c>
      <c r="P1004" s="116">
        <v>294</v>
      </c>
      <c r="Q1004" s="116">
        <v>3224.55</v>
      </c>
      <c r="R1004">
        <v>20907750</v>
      </c>
    </row>
    <row r="1005" spans="1:18" x14ac:dyDescent="0.25">
      <c r="A1005" s="170">
        <v>45581</v>
      </c>
      <c r="B1005" s="116">
        <v>339.4</v>
      </c>
      <c r="C1005" s="116">
        <v>323.41500000000002</v>
      </c>
      <c r="D1005" s="116">
        <v>309.505</v>
      </c>
      <c r="E1005" s="116">
        <v>317.39499999999998</v>
      </c>
      <c r="F1005" s="116">
        <v>3234.15</v>
      </c>
      <c r="G1005">
        <v>536481</v>
      </c>
      <c r="H1005" s="116"/>
      <c r="I1005" s="116"/>
      <c r="L1005" s="170">
        <v>45581</v>
      </c>
      <c r="M1005" s="116">
        <v>323.60000000000002</v>
      </c>
      <c r="N1005" s="116">
        <v>339.3</v>
      </c>
      <c r="O1005" s="116">
        <v>309.42</v>
      </c>
      <c r="P1005" s="116">
        <v>316.5</v>
      </c>
      <c r="Q1005" s="116">
        <v>3236</v>
      </c>
      <c r="R1005">
        <v>13195325</v>
      </c>
    </row>
    <row r="1006" spans="1:18" x14ac:dyDescent="0.25">
      <c r="A1006" s="170">
        <v>45582</v>
      </c>
      <c r="B1006" s="116">
        <v>323.49</v>
      </c>
      <c r="C1006" s="116">
        <v>313</v>
      </c>
      <c r="D1006" s="116">
        <v>308.5</v>
      </c>
      <c r="E1006" s="116">
        <v>323.49</v>
      </c>
      <c r="F1006" s="116">
        <v>3130</v>
      </c>
      <c r="G1006">
        <v>219250</v>
      </c>
      <c r="H1006" s="116"/>
      <c r="I1006" s="116"/>
      <c r="L1006" s="170">
        <v>45582</v>
      </c>
      <c r="M1006" s="116">
        <v>312.78500000000003</v>
      </c>
      <c r="N1006" s="116">
        <v>323</v>
      </c>
      <c r="O1006" s="116">
        <v>308.23</v>
      </c>
      <c r="P1006" s="116">
        <v>321.995</v>
      </c>
      <c r="Q1006" s="116">
        <v>3127.85</v>
      </c>
      <c r="R1006">
        <v>4881484</v>
      </c>
    </row>
    <row r="1007" spans="1:18" x14ac:dyDescent="0.25">
      <c r="A1007" s="170">
        <v>45583</v>
      </c>
      <c r="B1007" s="116">
        <v>321.875</v>
      </c>
      <c r="C1007" s="116">
        <v>311.55500000000001</v>
      </c>
      <c r="D1007" s="116">
        <v>306.01</v>
      </c>
      <c r="E1007" s="116">
        <v>311.60000000000002</v>
      </c>
      <c r="F1007" s="116">
        <v>3115.55</v>
      </c>
      <c r="G1007">
        <v>302177</v>
      </c>
      <c r="H1007" s="116"/>
      <c r="I1007" s="116"/>
      <c r="L1007" s="170">
        <v>45583</v>
      </c>
      <c r="M1007" s="116">
        <v>311.44</v>
      </c>
      <c r="N1007" s="116">
        <v>321.78500000000003</v>
      </c>
      <c r="O1007" s="116">
        <v>306.10000000000002</v>
      </c>
      <c r="P1007" s="116">
        <v>311.41000000000003</v>
      </c>
      <c r="Q1007" s="116">
        <v>3114.4</v>
      </c>
      <c r="R1007">
        <v>4149241</v>
      </c>
    </row>
    <row r="1008" spans="1:18" x14ac:dyDescent="0.25">
      <c r="A1008" s="170">
        <v>45586</v>
      </c>
      <c r="B1008" s="116">
        <v>316.63</v>
      </c>
      <c r="C1008" s="116">
        <v>301.57</v>
      </c>
      <c r="D1008" s="116">
        <v>300.10000000000002</v>
      </c>
      <c r="E1008" s="116">
        <v>308.505</v>
      </c>
      <c r="F1008" s="116">
        <v>3015.7</v>
      </c>
      <c r="G1008">
        <v>202528</v>
      </c>
      <c r="H1008" s="116"/>
      <c r="I1008" s="116"/>
      <c r="L1008" s="170">
        <v>45586</v>
      </c>
      <c r="M1008" s="116">
        <v>301.63499999999999</v>
      </c>
      <c r="N1008" s="116">
        <v>316.70499999999998</v>
      </c>
      <c r="O1008" s="116">
        <v>300</v>
      </c>
      <c r="P1008" s="116">
        <v>313.66000000000003</v>
      </c>
      <c r="Q1008" s="116">
        <v>3016.35</v>
      </c>
      <c r="R1008">
        <v>2039293</v>
      </c>
    </row>
    <row r="1009" spans="1:18" x14ac:dyDescent="0.25">
      <c r="A1009" s="170">
        <v>45587</v>
      </c>
      <c r="B1009" s="116">
        <v>305.71499999999997</v>
      </c>
      <c r="C1009" s="116">
        <v>287.95499999999998</v>
      </c>
      <c r="D1009" s="116">
        <v>285.75</v>
      </c>
      <c r="E1009" s="116">
        <v>301.7</v>
      </c>
      <c r="F1009" s="116">
        <v>2879.55</v>
      </c>
      <c r="G1009">
        <v>119014</v>
      </c>
      <c r="H1009" s="116"/>
      <c r="I1009" s="116"/>
      <c r="L1009" s="170">
        <v>45587</v>
      </c>
      <c r="M1009" s="116">
        <v>287.79000000000002</v>
      </c>
      <c r="N1009" s="116">
        <v>305.77</v>
      </c>
      <c r="O1009" s="116">
        <v>285.8</v>
      </c>
      <c r="P1009" s="116">
        <v>301.83999999999997</v>
      </c>
      <c r="Q1009" s="116">
        <v>2877.9</v>
      </c>
      <c r="R1009">
        <v>2148414</v>
      </c>
    </row>
    <row r="1010" spans="1:18" x14ac:dyDescent="0.25">
      <c r="A1010" s="170">
        <v>45588</v>
      </c>
      <c r="B1010" s="116">
        <v>304.79000000000002</v>
      </c>
      <c r="C1010" s="116">
        <v>296.32</v>
      </c>
      <c r="D1010" s="116">
        <v>285.60500000000002</v>
      </c>
      <c r="E1010" s="116">
        <v>288.03500000000003</v>
      </c>
      <c r="F1010" s="116">
        <v>2963.2</v>
      </c>
      <c r="G1010">
        <v>242542</v>
      </c>
      <c r="H1010" s="116"/>
      <c r="I1010" s="116"/>
      <c r="L1010" s="170">
        <v>45588</v>
      </c>
      <c r="M1010" s="116">
        <v>296.27999999999997</v>
      </c>
      <c r="N1010" s="116">
        <v>304.89999999999998</v>
      </c>
      <c r="O1010" s="116">
        <v>286</v>
      </c>
      <c r="P1010" s="116">
        <v>288.92500000000001</v>
      </c>
      <c r="Q1010" s="116">
        <v>2962.8</v>
      </c>
      <c r="R1010">
        <v>2622876</v>
      </c>
    </row>
    <row r="1011" spans="1:18" x14ac:dyDescent="0.25">
      <c r="A1011" s="170">
        <v>45589</v>
      </c>
      <c r="B1011" s="116">
        <v>299.40499999999997</v>
      </c>
      <c r="C1011" s="116">
        <v>286.96499999999997</v>
      </c>
      <c r="D1011" s="116">
        <v>286</v>
      </c>
      <c r="E1011" s="116">
        <v>298.495</v>
      </c>
      <c r="F1011" s="116">
        <v>2869.65</v>
      </c>
      <c r="G1011">
        <v>105390</v>
      </c>
      <c r="H1011" s="116"/>
      <c r="I1011" s="116"/>
      <c r="L1011" s="170">
        <v>45589</v>
      </c>
      <c r="M1011" s="116">
        <v>286.98</v>
      </c>
      <c r="N1011" s="116">
        <v>299.29500000000002</v>
      </c>
      <c r="O1011" s="116">
        <v>286</v>
      </c>
      <c r="P1011" s="116">
        <v>298</v>
      </c>
      <c r="Q1011" s="116">
        <v>2869.8</v>
      </c>
      <c r="R1011">
        <v>1166397</v>
      </c>
    </row>
    <row r="1012" spans="1:18" x14ac:dyDescent="0.25">
      <c r="A1012" s="170">
        <v>45590</v>
      </c>
      <c r="B1012" s="116">
        <v>293.375</v>
      </c>
      <c r="C1012" s="116">
        <v>279.89499999999998</v>
      </c>
      <c r="D1012" s="116">
        <v>276.24</v>
      </c>
      <c r="E1012" s="116">
        <v>288.25</v>
      </c>
      <c r="F1012" s="116">
        <v>2798.95</v>
      </c>
      <c r="G1012">
        <v>67454</v>
      </c>
      <c r="H1012" s="116"/>
      <c r="I1012" s="116"/>
      <c r="L1012" s="170">
        <v>45590</v>
      </c>
      <c r="M1012" s="116">
        <v>279.88</v>
      </c>
      <c r="N1012" s="116">
        <v>292.5</v>
      </c>
      <c r="O1012" s="116">
        <v>276.02999999999997</v>
      </c>
      <c r="P1012" s="116">
        <v>288.5</v>
      </c>
      <c r="Q1012" s="116">
        <v>2798.8</v>
      </c>
      <c r="R1012">
        <v>1417751</v>
      </c>
    </row>
    <row r="1013" spans="1:18" x14ac:dyDescent="0.25">
      <c r="A1013" s="170">
        <v>45593</v>
      </c>
      <c r="B1013" s="116">
        <v>294.43</v>
      </c>
      <c r="C1013" s="116">
        <v>286.625</v>
      </c>
      <c r="D1013" s="116">
        <v>281.185</v>
      </c>
      <c r="E1013" s="116">
        <v>283.005</v>
      </c>
      <c r="F1013" s="116">
        <v>2866.25</v>
      </c>
      <c r="G1013">
        <v>155995</v>
      </c>
      <c r="H1013" s="116"/>
      <c r="I1013" s="116"/>
      <c r="L1013" s="170">
        <v>45593</v>
      </c>
      <c r="M1013" s="116">
        <v>286.60000000000002</v>
      </c>
      <c r="N1013" s="116">
        <v>294</v>
      </c>
      <c r="O1013" s="116">
        <v>281.02999999999997</v>
      </c>
      <c r="P1013" s="116">
        <v>284.19499999999999</v>
      </c>
      <c r="Q1013" s="116">
        <v>2866</v>
      </c>
      <c r="R1013">
        <v>2045886</v>
      </c>
    </row>
    <row r="1014" spans="1:18" x14ac:dyDescent="0.25">
      <c r="A1014" s="170">
        <v>45594</v>
      </c>
      <c r="B1014" s="116">
        <v>298.315</v>
      </c>
      <c r="C1014" s="116">
        <v>296.98500000000001</v>
      </c>
      <c r="D1014" s="116">
        <v>282.39999999999998</v>
      </c>
      <c r="E1014" s="116">
        <v>287.91500000000002</v>
      </c>
      <c r="F1014" s="116">
        <v>2969.85</v>
      </c>
      <c r="G1014">
        <v>131380</v>
      </c>
      <c r="H1014" s="116"/>
      <c r="I1014" s="116"/>
      <c r="L1014" s="170">
        <v>45594</v>
      </c>
      <c r="M1014" s="116">
        <v>296.95499999999998</v>
      </c>
      <c r="N1014" s="116">
        <v>298.315</v>
      </c>
      <c r="O1014" s="116">
        <v>282.48</v>
      </c>
      <c r="P1014" s="116">
        <v>287.10000000000002</v>
      </c>
      <c r="Q1014" s="116">
        <v>2969.55</v>
      </c>
      <c r="R1014">
        <v>1543213</v>
      </c>
    </row>
    <row r="1015" spans="1:18" x14ac:dyDescent="0.25">
      <c r="A1015" s="170">
        <v>45595</v>
      </c>
      <c r="B1015" s="116">
        <v>312.2</v>
      </c>
      <c r="C1015" s="116">
        <v>302.80500000000001</v>
      </c>
      <c r="D1015" s="116">
        <v>296.14999999999998</v>
      </c>
      <c r="E1015" s="116">
        <v>296.95499999999998</v>
      </c>
      <c r="F1015" s="116">
        <v>3028.05</v>
      </c>
      <c r="G1015">
        <v>176537</v>
      </c>
      <c r="H1015" s="116"/>
      <c r="I1015" s="116"/>
      <c r="L1015" s="170">
        <v>45595</v>
      </c>
      <c r="M1015" s="116">
        <v>302.85000000000002</v>
      </c>
      <c r="N1015" s="116">
        <v>312.39999999999998</v>
      </c>
      <c r="O1015" s="116">
        <v>296.185</v>
      </c>
      <c r="P1015" s="116">
        <v>296.95499999999998</v>
      </c>
      <c r="Q1015" s="116">
        <v>3028.5</v>
      </c>
      <c r="R1015">
        <v>2227229</v>
      </c>
    </row>
    <row r="1016" spans="1:18" x14ac:dyDescent="0.25">
      <c r="A1016" s="170">
        <v>45596</v>
      </c>
      <c r="B1016" s="116">
        <v>307.08999999999997</v>
      </c>
      <c r="C1016" s="116">
        <v>305.51</v>
      </c>
      <c r="D1016" s="116">
        <v>297.89999999999998</v>
      </c>
      <c r="E1016" s="116">
        <v>303.995</v>
      </c>
      <c r="F1016" s="116">
        <v>3055.1</v>
      </c>
      <c r="G1016">
        <v>54364</v>
      </c>
      <c r="H1016" s="116"/>
      <c r="I1016" s="116"/>
      <c r="L1016" s="170">
        <v>45596</v>
      </c>
      <c r="M1016" s="116">
        <v>305.16000000000003</v>
      </c>
      <c r="N1016" s="116">
        <v>306.89999999999998</v>
      </c>
      <c r="O1016" s="116">
        <v>297.60500000000002</v>
      </c>
      <c r="P1016" s="116">
        <v>304.39999999999998</v>
      </c>
      <c r="Q1016" s="116">
        <v>3051.6</v>
      </c>
      <c r="R1016">
        <v>1042831</v>
      </c>
    </row>
    <row r="1017" spans="1:18" x14ac:dyDescent="0.25">
      <c r="A1017" s="170">
        <v>45597</v>
      </c>
      <c r="B1017" s="116">
        <v>310.15499999999997</v>
      </c>
      <c r="C1017" s="116">
        <v>307.08999999999997</v>
      </c>
      <c r="D1017" s="116">
        <v>305</v>
      </c>
      <c r="E1017" s="116">
        <v>309.8</v>
      </c>
      <c r="F1017" s="116">
        <v>3070.9</v>
      </c>
      <c r="G1017">
        <v>35334</v>
      </c>
      <c r="H1017" s="116"/>
      <c r="I1017" s="116"/>
      <c r="L1017" s="170">
        <v>45597</v>
      </c>
      <c r="M1017" s="116">
        <v>307.02</v>
      </c>
      <c r="N1017" s="116">
        <v>310</v>
      </c>
      <c r="O1017" s="116">
        <v>305</v>
      </c>
      <c r="P1017" s="116">
        <v>307.89999999999998</v>
      </c>
      <c r="Q1017" s="116">
        <v>3070.2</v>
      </c>
      <c r="R1017">
        <v>276246</v>
      </c>
    </row>
    <row r="1018" spans="1:18" x14ac:dyDescent="0.25">
      <c r="A1018" s="170">
        <v>45600</v>
      </c>
      <c r="B1018" s="116">
        <v>307.39999999999998</v>
      </c>
      <c r="C1018" s="116">
        <v>288.63499999999999</v>
      </c>
      <c r="D1018" s="116">
        <v>286.3</v>
      </c>
      <c r="E1018" s="116">
        <v>305.89499999999998</v>
      </c>
      <c r="F1018" s="116">
        <v>2886.35</v>
      </c>
      <c r="G1018">
        <v>131670</v>
      </c>
      <c r="H1018" s="116"/>
      <c r="I1018" s="116"/>
      <c r="L1018" s="170">
        <v>45600</v>
      </c>
      <c r="M1018" s="116">
        <v>288.60500000000002</v>
      </c>
      <c r="N1018" s="116">
        <v>307.49</v>
      </c>
      <c r="O1018" s="116">
        <v>286.11</v>
      </c>
      <c r="P1018" s="116">
        <v>305.7</v>
      </c>
      <c r="Q1018" s="116">
        <v>2886.05</v>
      </c>
      <c r="R1018">
        <v>1436467</v>
      </c>
    </row>
    <row r="1019" spans="1:18" x14ac:dyDescent="0.25">
      <c r="A1019" s="170">
        <v>45601</v>
      </c>
      <c r="B1019" s="116">
        <v>292.995</v>
      </c>
      <c r="C1019" s="116">
        <v>291.565</v>
      </c>
      <c r="D1019" s="116">
        <v>283.36500000000001</v>
      </c>
      <c r="E1019" s="116">
        <v>288.70499999999998</v>
      </c>
      <c r="F1019" s="116">
        <v>2915.65</v>
      </c>
      <c r="G1019">
        <v>121038</v>
      </c>
      <c r="H1019" s="116"/>
      <c r="I1019" s="116"/>
      <c r="L1019" s="170">
        <v>45601</v>
      </c>
      <c r="M1019" s="116">
        <v>291.59500000000003</v>
      </c>
      <c r="N1019" s="116">
        <v>293</v>
      </c>
      <c r="O1019" s="116">
        <v>283.30500000000001</v>
      </c>
      <c r="P1019" s="116">
        <v>289.7</v>
      </c>
      <c r="Q1019" s="116">
        <v>2915.95</v>
      </c>
      <c r="R1019">
        <v>1707157</v>
      </c>
    </row>
    <row r="1020" spans="1:18" x14ac:dyDescent="0.25">
      <c r="A1020" s="170">
        <v>45602</v>
      </c>
      <c r="B1020" s="116">
        <v>298.49</v>
      </c>
      <c r="C1020" s="116">
        <v>293.745</v>
      </c>
      <c r="D1020" s="116">
        <v>292.39999999999998</v>
      </c>
      <c r="E1020" s="116">
        <v>293.005</v>
      </c>
      <c r="F1020" s="116">
        <v>2937.45</v>
      </c>
      <c r="G1020">
        <v>47769</v>
      </c>
      <c r="H1020" s="116"/>
      <c r="I1020" s="116"/>
      <c r="L1020" s="170">
        <v>45602</v>
      </c>
      <c r="M1020" s="116">
        <v>294.03500000000003</v>
      </c>
      <c r="N1020" s="116">
        <v>298.48</v>
      </c>
      <c r="O1020" s="116">
        <v>292.255</v>
      </c>
      <c r="P1020" s="116">
        <v>293.5</v>
      </c>
      <c r="Q1020" s="116">
        <v>2940.35</v>
      </c>
      <c r="R1020">
        <v>1103174</v>
      </c>
    </row>
    <row r="1021" spans="1:18" x14ac:dyDescent="0.25">
      <c r="A1021" s="170">
        <v>45603</v>
      </c>
      <c r="B1021" s="116">
        <v>301.3</v>
      </c>
      <c r="C1021" s="116">
        <v>288.39999999999998</v>
      </c>
      <c r="D1021" s="116">
        <v>287.63499999999999</v>
      </c>
      <c r="E1021" s="116">
        <v>294.10500000000002</v>
      </c>
      <c r="F1021" s="116">
        <v>2884</v>
      </c>
      <c r="G1021">
        <v>57206</v>
      </c>
      <c r="H1021" s="116"/>
      <c r="I1021" s="116"/>
      <c r="L1021" s="170">
        <v>45603</v>
      </c>
      <c r="M1021" s="116">
        <v>288.63</v>
      </c>
      <c r="N1021" s="116">
        <v>301.5</v>
      </c>
      <c r="O1021" s="116">
        <v>287.66500000000002</v>
      </c>
      <c r="P1021" s="116">
        <v>294.79500000000002</v>
      </c>
      <c r="Q1021" s="116">
        <v>2886.3</v>
      </c>
      <c r="R1021">
        <v>1338375</v>
      </c>
    </row>
    <row r="1022" spans="1:18" x14ac:dyDescent="0.25">
      <c r="A1022" s="170">
        <v>45604</v>
      </c>
      <c r="B1022" s="116">
        <v>297.16500000000002</v>
      </c>
      <c r="C1022" s="116">
        <v>284.61500000000001</v>
      </c>
      <c r="D1022" s="116">
        <v>283.13</v>
      </c>
      <c r="E1022" s="116">
        <v>292.49</v>
      </c>
      <c r="F1022" s="116">
        <v>2846.15</v>
      </c>
      <c r="G1022">
        <v>70581</v>
      </c>
      <c r="H1022" s="116"/>
      <c r="I1022" s="116"/>
      <c r="L1022" s="170">
        <v>45604</v>
      </c>
      <c r="M1022" s="116">
        <v>284.8</v>
      </c>
      <c r="N1022" s="116">
        <v>297.45999999999998</v>
      </c>
      <c r="O1022" s="116">
        <v>283.2</v>
      </c>
      <c r="P1022" s="116">
        <v>290.995</v>
      </c>
      <c r="Q1022" s="116">
        <v>2848</v>
      </c>
      <c r="R1022">
        <v>1508988</v>
      </c>
    </row>
    <row r="1023" spans="1:18" x14ac:dyDescent="0.25">
      <c r="A1023" s="170">
        <v>45607</v>
      </c>
      <c r="B1023" s="116">
        <v>284.10000000000002</v>
      </c>
      <c r="C1023" s="116">
        <v>277.935</v>
      </c>
      <c r="D1023" s="116">
        <v>276.12</v>
      </c>
      <c r="E1023" s="116">
        <v>284.10000000000002</v>
      </c>
      <c r="F1023" s="116">
        <v>2779.35</v>
      </c>
      <c r="G1023">
        <v>37525</v>
      </c>
      <c r="H1023" s="116"/>
      <c r="I1023" s="116"/>
      <c r="L1023" s="170">
        <v>45607</v>
      </c>
      <c r="M1023" s="116">
        <v>277.92500000000001</v>
      </c>
      <c r="N1023" s="116">
        <v>284.05</v>
      </c>
      <c r="O1023" s="116">
        <v>276.125</v>
      </c>
      <c r="P1023" s="116">
        <v>283.89999999999998</v>
      </c>
      <c r="Q1023" s="116">
        <v>2779.25</v>
      </c>
      <c r="R1023">
        <v>1001605</v>
      </c>
    </row>
    <row r="1024" spans="1:18" x14ac:dyDescent="0.25">
      <c r="A1024" s="170">
        <v>45608</v>
      </c>
      <c r="B1024" s="116">
        <v>284</v>
      </c>
      <c r="C1024" s="116">
        <v>273.84500000000003</v>
      </c>
      <c r="D1024" s="116">
        <v>271.75</v>
      </c>
      <c r="E1024" s="116">
        <v>280.94</v>
      </c>
      <c r="F1024" s="116">
        <v>2738.45</v>
      </c>
      <c r="G1024">
        <v>88969</v>
      </c>
      <c r="H1024" s="116"/>
      <c r="I1024" s="116"/>
      <c r="L1024" s="170">
        <v>45608</v>
      </c>
      <c r="M1024" s="116">
        <v>273.98</v>
      </c>
      <c r="N1024" s="116">
        <v>283.89499999999998</v>
      </c>
      <c r="O1024" s="116">
        <v>272</v>
      </c>
      <c r="P1024" s="116">
        <v>279.8</v>
      </c>
      <c r="Q1024" s="116">
        <v>2739.8</v>
      </c>
      <c r="R1024">
        <v>831226</v>
      </c>
    </row>
    <row r="1025" spans="1:18" x14ac:dyDescent="0.25">
      <c r="A1025" s="170">
        <v>45609</v>
      </c>
      <c r="B1025" s="116">
        <v>274.88499999999999</v>
      </c>
      <c r="C1025" s="116">
        <v>261.55</v>
      </c>
      <c r="D1025" s="116">
        <v>260.435</v>
      </c>
      <c r="E1025" s="116">
        <v>273.10000000000002</v>
      </c>
      <c r="F1025" s="116">
        <v>2615.5</v>
      </c>
      <c r="G1025">
        <v>58154</v>
      </c>
      <c r="H1025" s="116"/>
      <c r="I1025" s="116"/>
      <c r="L1025" s="170">
        <v>45609</v>
      </c>
      <c r="M1025" s="116">
        <v>261.40499999999997</v>
      </c>
      <c r="N1025" s="116">
        <v>274.83999999999997</v>
      </c>
      <c r="O1025" s="116">
        <v>260.5</v>
      </c>
      <c r="P1025" s="116">
        <v>273</v>
      </c>
      <c r="Q1025" s="116">
        <v>2614.0500000000002</v>
      </c>
      <c r="R1025">
        <v>1103902</v>
      </c>
    </row>
    <row r="1026" spans="1:18" x14ac:dyDescent="0.25">
      <c r="A1026" s="170">
        <v>45610</v>
      </c>
      <c r="B1026" s="116">
        <v>278.18</v>
      </c>
      <c r="C1026" s="116">
        <v>269.67</v>
      </c>
      <c r="D1026" s="116">
        <v>262.05500000000001</v>
      </c>
      <c r="E1026" s="116">
        <v>264.85500000000002</v>
      </c>
      <c r="F1026" s="116">
        <v>2696.7</v>
      </c>
      <c r="G1026">
        <v>124590</v>
      </c>
      <c r="H1026" s="116"/>
      <c r="I1026" s="116"/>
      <c r="L1026" s="170">
        <v>45610</v>
      </c>
      <c r="M1026" s="116">
        <v>269.565</v>
      </c>
      <c r="N1026" s="116">
        <v>278.23500000000001</v>
      </c>
      <c r="O1026" s="116">
        <v>262.3</v>
      </c>
      <c r="P1026" s="116">
        <v>264.2</v>
      </c>
      <c r="Q1026" s="116">
        <v>2695.65</v>
      </c>
      <c r="R1026">
        <v>1679808</v>
      </c>
    </row>
    <row r="1027" spans="1:18" x14ac:dyDescent="0.25">
      <c r="A1027" s="170">
        <v>45614</v>
      </c>
      <c r="B1027" s="116">
        <v>271.52999999999997</v>
      </c>
      <c r="C1027" s="116">
        <v>266.84500000000003</v>
      </c>
      <c r="D1027" s="116">
        <v>262.39999999999998</v>
      </c>
      <c r="E1027" s="116">
        <v>270.34500000000003</v>
      </c>
      <c r="F1027" s="116">
        <v>2668.45</v>
      </c>
      <c r="G1027">
        <v>73302</v>
      </c>
      <c r="H1027" s="116"/>
      <c r="I1027" s="116"/>
      <c r="L1027" s="170">
        <v>45614</v>
      </c>
      <c r="M1027" s="116">
        <v>266.90499999999997</v>
      </c>
      <c r="N1027" s="116">
        <v>271.78500000000003</v>
      </c>
      <c r="O1027" s="116">
        <v>262.3</v>
      </c>
      <c r="P1027" s="116">
        <v>270.59500000000003</v>
      </c>
      <c r="Q1027" s="116">
        <v>2669.05</v>
      </c>
      <c r="R1027">
        <v>839861</v>
      </c>
    </row>
    <row r="1028" spans="1:18" x14ac:dyDescent="0.25">
      <c r="A1028" s="170">
        <v>45615</v>
      </c>
      <c r="B1028" s="116">
        <v>275.14</v>
      </c>
      <c r="C1028" s="116">
        <v>267.54500000000002</v>
      </c>
      <c r="D1028" s="116">
        <v>265.245</v>
      </c>
      <c r="E1028" s="116">
        <v>267.70499999999998</v>
      </c>
      <c r="F1028" s="116">
        <v>2675.45</v>
      </c>
      <c r="G1028">
        <v>28549</v>
      </c>
      <c r="H1028" s="116"/>
      <c r="I1028" s="116"/>
      <c r="L1028" s="170">
        <v>45615</v>
      </c>
      <c r="M1028" s="116">
        <v>267.745</v>
      </c>
      <c r="N1028" s="116">
        <v>275.39999999999998</v>
      </c>
      <c r="O1028" s="116">
        <v>265</v>
      </c>
      <c r="P1028" s="116">
        <v>268.5</v>
      </c>
      <c r="Q1028" s="116">
        <v>2677.45</v>
      </c>
      <c r="R1028">
        <v>815585</v>
      </c>
    </row>
    <row r="1029" spans="1:18" x14ac:dyDescent="0.25">
      <c r="A1029" s="170">
        <v>45617</v>
      </c>
      <c r="B1029" s="116">
        <v>273.74</v>
      </c>
      <c r="C1029" s="116">
        <v>271.83</v>
      </c>
      <c r="D1029" s="116">
        <v>262.8</v>
      </c>
      <c r="E1029" s="116">
        <v>266.89499999999998</v>
      </c>
      <c r="F1029" s="116">
        <v>2718.3</v>
      </c>
      <c r="G1029">
        <v>50585</v>
      </c>
      <c r="H1029" s="116"/>
      <c r="I1029" s="116"/>
      <c r="L1029" s="170">
        <v>45617</v>
      </c>
      <c r="M1029" s="116">
        <v>271.93</v>
      </c>
      <c r="N1029" s="116">
        <v>274.10000000000002</v>
      </c>
      <c r="O1029" s="116">
        <v>262.60000000000002</v>
      </c>
      <c r="P1029" s="116">
        <v>265.99</v>
      </c>
      <c r="Q1029" s="116">
        <v>2719.3</v>
      </c>
      <c r="R1029">
        <v>1030356</v>
      </c>
    </row>
    <row r="1030" spans="1:18" x14ac:dyDescent="0.25">
      <c r="A1030" s="170">
        <v>45618</v>
      </c>
      <c r="B1030" s="116">
        <v>274.19499999999999</v>
      </c>
      <c r="C1030" s="116">
        <v>269.375</v>
      </c>
      <c r="D1030" s="116">
        <v>266.69</v>
      </c>
      <c r="E1030" s="116">
        <v>273.72000000000003</v>
      </c>
      <c r="F1030" s="116">
        <v>2693.75</v>
      </c>
      <c r="G1030">
        <v>22626</v>
      </c>
      <c r="H1030" s="116"/>
      <c r="I1030" s="116"/>
      <c r="L1030" s="170">
        <v>45618</v>
      </c>
      <c r="M1030" s="116">
        <v>269.45999999999998</v>
      </c>
      <c r="N1030" s="116">
        <v>274.495</v>
      </c>
      <c r="O1030" s="116">
        <v>266.80500000000001</v>
      </c>
      <c r="P1030" s="116">
        <v>274.065</v>
      </c>
      <c r="Q1030" s="116">
        <v>2694.6</v>
      </c>
      <c r="R1030">
        <v>767923</v>
      </c>
    </row>
    <row r="1031" spans="1:18" x14ac:dyDescent="0.25">
      <c r="A1031" s="170">
        <v>45621</v>
      </c>
      <c r="B1031" s="116">
        <v>288.2</v>
      </c>
      <c r="C1031" s="116">
        <v>279.59500000000003</v>
      </c>
      <c r="D1031" s="116">
        <v>273.30500000000001</v>
      </c>
      <c r="E1031" s="116">
        <v>274</v>
      </c>
      <c r="F1031" s="116">
        <v>2795.95</v>
      </c>
      <c r="G1031">
        <v>61733</v>
      </c>
      <c r="H1031" s="116"/>
      <c r="I1031" s="116"/>
      <c r="L1031" s="170">
        <v>45621</v>
      </c>
      <c r="M1031" s="116">
        <v>279.90499999999997</v>
      </c>
      <c r="N1031" s="116">
        <v>288.2</v>
      </c>
      <c r="O1031" s="116">
        <v>273.30500000000001</v>
      </c>
      <c r="P1031" s="116">
        <v>273.30500000000001</v>
      </c>
      <c r="Q1031" s="116">
        <v>2799.05</v>
      </c>
      <c r="R1031">
        <v>1889496</v>
      </c>
    </row>
    <row r="1032" spans="1:18" x14ac:dyDescent="0.25">
      <c r="A1032" s="170">
        <v>45622</v>
      </c>
      <c r="B1032" s="116">
        <v>293.93</v>
      </c>
      <c r="C1032" s="116">
        <v>290.96499999999997</v>
      </c>
      <c r="D1032" s="116">
        <v>278</v>
      </c>
      <c r="E1032" s="116">
        <v>279.89499999999998</v>
      </c>
      <c r="F1032" s="116">
        <v>2909.65</v>
      </c>
      <c r="G1032">
        <v>44395</v>
      </c>
      <c r="H1032" s="116"/>
      <c r="I1032" s="116"/>
      <c r="L1032" s="170">
        <v>45622</v>
      </c>
      <c r="M1032" s="116">
        <v>290.92</v>
      </c>
      <c r="N1032" s="116">
        <v>293.8</v>
      </c>
      <c r="O1032" s="116">
        <v>277.51</v>
      </c>
      <c r="P1032" s="116">
        <v>279.11</v>
      </c>
      <c r="Q1032" s="116">
        <v>2909.2</v>
      </c>
      <c r="R1032">
        <v>1834047</v>
      </c>
    </row>
    <row r="1033" spans="1:18" x14ac:dyDescent="0.25">
      <c r="A1033" s="170">
        <v>45623</v>
      </c>
      <c r="B1033" s="116">
        <v>296.79500000000002</v>
      </c>
      <c r="C1033" s="116">
        <v>291.005</v>
      </c>
      <c r="D1033" s="116">
        <v>288</v>
      </c>
      <c r="E1033" s="116">
        <v>295.79500000000002</v>
      </c>
      <c r="F1033" s="116">
        <v>2910.05</v>
      </c>
      <c r="G1033">
        <v>114854</v>
      </c>
      <c r="H1033" s="116"/>
      <c r="I1033" s="116"/>
      <c r="L1033" s="170">
        <v>45623</v>
      </c>
      <c r="M1033" s="116">
        <v>291.10500000000002</v>
      </c>
      <c r="N1033" s="116">
        <v>296.89999999999998</v>
      </c>
      <c r="O1033" s="116">
        <v>287.8</v>
      </c>
      <c r="P1033" s="116">
        <v>295.5</v>
      </c>
      <c r="Q1033" s="116">
        <v>2911.05</v>
      </c>
      <c r="R1033">
        <v>1457060</v>
      </c>
    </row>
    <row r="1034" spans="1:18" x14ac:dyDescent="0.25">
      <c r="A1034" s="170">
        <v>45624</v>
      </c>
      <c r="B1034" s="116">
        <v>296</v>
      </c>
      <c r="C1034" s="116">
        <v>288.40499999999997</v>
      </c>
      <c r="D1034" s="116">
        <v>285.73</v>
      </c>
      <c r="E1034" s="116">
        <v>293.98</v>
      </c>
      <c r="F1034" s="116">
        <v>2884.05</v>
      </c>
      <c r="G1034">
        <v>44148</v>
      </c>
      <c r="H1034" s="116"/>
      <c r="I1034" s="116"/>
      <c r="L1034" s="170">
        <v>45624</v>
      </c>
      <c r="M1034" s="116">
        <v>288.37</v>
      </c>
      <c r="N1034" s="116">
        <v>295.92500000000001</v>
      </c>
      <c r="O1034" s="116">
        <v>285.5</v>
      </c>
      <c r="P1034" s="116">
        <v>291.89999999999998</v>
      </c>
      <c r="Q1034" s="116">
        <v>2883.7</v>
      </c>
      <c r="R1034">
        <v>1052171</v>
      </c>
    </row>
    <row r="1035" spans="1:18" x14ac:dyDescent="0.25">
      <c r="A1035" s="170">
        <v>45625</v>
      </c>
      <c r="B1035" s="116">
        <v>295.37</v>
      </c>
      <c r="C1035" s="116">
        <v>289.63499999999999</v>
      </c>
      <c r="D1035" s="116">
        <v>288.10500000000002</v>
      </c>
      <c r="E1035" s="116">
        <v>288.91500000000002</v>
      </c>
      <c r="F1035" s="116">
        <v>2896.35</v>
      </c>
      <c r="G1035">
        <v>63400</v>
      </c>
      <c r="H1035" s="116"/>
      <c r="I1035" s="116"/>
      <c r="L1035" s="170">
        <v>45625</v>
      </c>
      <c r="M1035" s="116">
        <v>289.70999999999998</v>
      </c>
      <c r="N1035" s="116">
        <v>295.39999999999998</v>
      </c>
      <c r="O1035" s="116">
        <v>288.02499999999998</v>
      </c>
      <c r="P1035" s="116">
        <v>289.89999999999998</v>
      </c>
      <c r="Q1035" s="116">
        <v>2897.1</v>
      </c>
      <c r="R1035">
        <v>974620</v>
      </c>
    </row>
    <row r="1036" spans="1:18" x14ac:dyDescent="0.25">
      <c r="A1036" s="170">
        <v>45628</v>
      </c>
      <c r="B1036" s="116">
        <v>294.79000000000002</v>
      </c>
      <c r="C1036" s="116">
        <v>293.48</v>
      </c>
      <c r="D1036" s="116">
        <v>282.01499999999999</v>
      </c>
      <c r="E1036" s="116">
        <v>282.01499999999999</v>
      </c>
      <c r="F1036" s="116">
        <v>2934.8</v>
      </c>
      <c r="G1036">
        <v>26994</v>
      </c>
      <c r="H1036" s="116"/>
      <c r="I1036" s="116"/>
      <c r="L1036" s="170">
        <v>45628</v>
      </c>
      <c r="M1036" s="116">
        <v>293.55</v>
      </c>
      <c r="N1036" s="116">
        <v>294.5</v>
      </c>
      <c r="O1036" s="116">
        <v>283.86</v>
      </c>
      <c r="P1036" s="116">
        <v>283.86</v>
      </c>
      <c r="Q1036" s="116">
        <v>2935.5</v>
      </c>
      <c r="R1036">
        <v>784487</v>
      </c>
    </row>
    <row r="1037" spans="1:18" x14ac:dyDescent="0.25">
      <c r="A1037" s="170">
        <v>45629</v>
      </c>
      <c r="B1037" s="116">
        <v>308.66500000000002</v>
      </c>
      <c r="C1037" s="116">
        <v>307.60500000000002</v>
      </c>
      <c r="D1037" s="116">
        <v>293.59500000000003</v>
      </c>
      <c r="E1037" s="116">
        <v>294.85500000000002</v>
      </c>
      <c r="F1037" s="116">
        <v>3076.05</v>
      </c>
      <c r="G1037">
        <v>53601</v>
      </c>
      <c r="H1037" s="116"/>
      <c r="I1037" s="116"/>
      <c r="L1037" s="170">
        <v>45629</v>
      </c>
      <c r="M1037" s="116">
        <v>307.70499999999998</v>
      </c>
      <c r="N1037" s="116">
        <v>308.73</v>
      </c>
      <c r="O1037" s="116">
        <v>293.61</v>
      </c>
      <c r="P1037" s="116">
        <v>294.10500000000002</v>
      </c>
      <c r="Q1037" s="116">
        <v>3077.05</v>
      </c>
      <c r="R1037">
        <v>2036889</v>
      </c>
    </row>
    <row r="1038" spans="1:18" x14ac:dyDescent="0.25">
      <c r="A1038" s="170">
        <v>45630</v>
      </c>
      <c r="B1038" s="116">
        <v>310.16500000000002</v>
      </c>
      <c r="C1038" s="116">
        <v>303.22000000000003</v>
      </c>
      <c r="D1038" s="116">
        <v>301.55500000000001</v>
      </c>
      <c r="E1038" s="116">
        <v>307.8</v>
      </c>
      <c r="F1038" s="116">
        <v>3032.2</v>
      </c>
      <c r="G1038">
        <v>31033</v>
      </c>
      <c r="H1038" s="116"/>
      <c r="I1038" s="116"/>
      <c r="L1038" s="170">
        <v>45630</v>
      </c>
      <c r="M1038" s="116">
        <v>303.20499999999998</v>
      </c>
      <c r="N1038" s="116">
        <v>309.8</v>
      </c>
      <c r="O1038" s="116">
        <v>301.49</v>
      </c>
      <c r="P1038" s="116">
        <v>307.8</v>
      </c>
      <c r="Q1038" s="116">
        <v>3032.05</v>
      </c>
      <c r="R1038">
        <v>868462</v>
      </c>
    </row>
    <row r="1039" spans="1:18" x14ac:dyDescent="0.25">
      <c r="A1039" s="170">
        <v>45631</v>
      </c>
      <c r="B1039" s="116">
        <v>324.5</v>
      </c>
      <c r="C1039" s="116">
        <v>322.02499999999998</v>
      </c>
      <c r="D1039" s="116">
        <v>303.685</v>
      </c>
      <c r="E1039" s="116">
        <v>303.685</v>
      </c>
      <c r="F1039" s="116">
        <v>3220.25</v>
      </c>
      <c r="G1039">
        <v>246699</v>
      </c>
      <c r="H1039" s="116"/>
      <c r="I1039" s="116"/>
      <c r="L1039" s="170">
        <v>45631</v>
      </c>
      <c r="M1039" s="116">
        <v>322.17</v>
      </c>
      <c r="N1039" s="116">
        <v>324.52999999999997</v>
      </c>
      <c r="O1039" s="116">
        <v>303.94499999999999</v>
      </c>
      <c r="P1039" s="116">
        <v>304.55</v>
      </c>
      <c r="Q1039" s="116">
        <v>3221.7</v>
      </c>
      <c r="R1039">
        <v>3327990</v>
      </c>
    </row>
    <row r="1040" spans="1:18" x14ac:dyDescent="0.25">
      <c r="A1040" s="170">
        <v>45632</v>
      </c>
      <c r="B1040" s="116">
        <v>332.8</v>
      </c>
      <c r="C1040" s="116">
        <v>329.20499999999998</v>
      </c>
      <c r="D1040" s="116">
        <v>306.88</v>
      </c>
      <c r="E1040" s="116">
        <v>318</v>
      </c>
      <c r="F1040" s="116">
        <v>3292.05</v>
      </c>
      <c r="G1040">
        <v>176719</v>
      </c>
      <c r="H1040" s="116"/>
      <c r="I1040" s="116"/>
      <c r="L1040" s="170">
        <v>45632</v>
      </c>
      <c r="M1040" s="116">
        <v>329.28</v>
      </c>
      <c r="N1040" s="116">
        <v>332.88499999999999</v>
      </c>
      <c r="O1040" s="116">
        <v>307</v>
      </c>
      <c r="P1040" s="116">
        <v>318</v>
      </c>
      <c r="Q1040" s="116">
        <v>3292.8</v>
      </c>
      <c r="R1040">
        <v>4369512</v>
      </c>
    </row>
    <row r="1041" spans="1:18" x14ac:dyDescent="0.25">
      <c r="A1041" s="170">
        <v>45635</v>
      </c>
      <c r="B1041" s="116">
        <v>350.26</v>
      </c>
      <c r="C1041" s="116">
        <v>342.35</v>
      </c>
      <c r="D1041" s="116">
        <v>329</v>
      </c>
      <c r="E1041" s="116">
        <v>329.995</v>
      </c>
      <c r="F1041" s="116">
        <v>3423.5</v>
      </c>
      <c r="G1041">
        <v>149105</v>
      </c>
      <c r="H1041" s="116"/>
      <c r="I1041" s="116"/>
      <c r="L1041" s="170">
        <v>45635</v>
      </c>
      <c r="M1041" s="116">
        <v>342.53500000000003</v>
      </c>
      <c r="N1041" s="116">
        <v>350.315</v>
      </c>
      <c r="O1041" s="116">
        <v>328.73500000000001</v>
      </c>
      <c r="P1041" s="116">
        <v>329.5</v>
      </c>
      <c r="Q1041" s="116">
        <v>3425.35</v>
      </c>
      <c r="R1041">
        <v>4243964</v>
      </c>
    </row>
    <row r="1042" spans="1:18" x14ac:dyDescent="0.25">
      <c r="A1042" s="170">
        <v>45636</v>
      </c>
      <c r="B1042" s="116">
        <v>348.04</v>
      </c>
      <c r="C1042" s="116">
        <v>339.29500000000002</v>
      </c>
      <c r="D1042" s="116">
        <v>336.6</v>
      </c>
      <c r="E1042" s="116">
        <v>344.495</v>
      </c>
      <c r="F1042" s="116">
        <v>3392.95</v>
      </c>
      <c r="G1042">
        <v>70061</v>
      </c>
      <c r="H1042" s="116"/>
      <c r="I1042" s="116"/>
      <c r="L1042" s="170">
        <v>45636</v>
      </c>
      <c r="M1042" s="116">
        <v>339.22</v>
      </c>
      <c r="N1042" s="116">
        <v>347.90499999999997</v>
      </c>
      <c r="O1042" s="116">
        <v>336.6</v>
      </c>
      <c r="P1042" s="116">
        <v>344.15499999999997</v>
      </c>
      <c r="Q1042" s="116">
        <v>3392.2</v>
      </c>
      <c r="R1042">
        <v>1911715</v>
      </c>
    </row>
    <row r="1043" spans="1:18" x14ac:dyDescent="0.25">
      <c r="A1043" s="170">
        <v>45637</v>
      </c>
      <c r="B1043" s="116">
        <v>346.1</v>
      </c>
      <c r="C1043" s="116">
        <v>339.83</v>
      </c>
      <c r="D1043" s="116">
        <v>339.30500000000001</v>
      </c>
      <c r="E1043" s="116">
        <v>341.52499999999998</v>
      </c>
      <c r="F1043" s="116">
        <v>3398.3</v>
      </c>
      <c r="G1043">
        <v>83296</v>
      </c>
      <c r="H1043" s="116"/>
      <c r="I1043" s="116"/>
      <c r="L1043" s="170">
        <v>45637</v>
      </c>
      <c r="M1043" s="116">
        <v>339.95499999999998</v>
      </c>
      <c r="N1043" s="116">
        <v>346.2</v>
      </c>
      <c r="O1043" s="116">
        <v>339.26499999999999</v>
      </c>
      <c r="P1043" s="116">
        <v>341</v>
      </c>
      <c r="Q1043" s="116">
        <v>3399.55</v>
      </c>
      <c r="R1043">
        <v>1222806</v>
      </c>
    </row>
    <row r="1044" spans="1:18" x14ac:dyDescent="0.25">
      <c r="A1044" s="170">
        <v>45638</v>
      </c>
      <c r="B1044" s="116">
        <v>347.06</v>
      </c>
      <c r="C1044" s="116">
        <v>343.03500000000003</v>
      </c>
      <c r="D1044" s="116">
        <v>339.75</v>
      </c>
      <c r="E1044" s="116">
        <v>342</v>
      </c>
      <c r="F1044" s="116">
        <v>3430.35</v>
      </c>
      <c r="G1044">
        <v>50461</v>
      </c>
      <c r="H1044" s="116"/>
      <c r="I1044" s="116"/>
      <c r="L1044" s="170">
        <v>45638</v>
      </c>
      <c r="M1044" s="116">
        <v>343.28500000000003</v>
      </c>
      <c r="N1044" s="116">
        <v>347.19499999999999</v>
      </c>
      <c r="O1044" s="116">
        <v>339.8</v>
      </c>
      <c r="P1044" s="116">
        <v>341.9</v>
      </c>
      <c r="Q1044" s="116">
        <v>3432.85</v>
      </c>
      <c r="R1044">
        <v>1223329</v>
      </c>
    </row>
    <row r="1045" spans="1:18" x14ac:dyDescent="0.25">
      <c r="A1045" s="170">
        <v>45639</v>
      </c>
      <c r="B1045" s="116">
        <v>343.25</v>
      </c>
      <c r="C1045" s="116">
        <v>338.92500000000001</v>
      </c>
      <c r="D1045" s="116">
        <v>328.5</v>
      </c>
      <c r="E1045" s="116">
        <v>343.25</v>
      </c>
      <c r="F1045" s="116">
        <v>3389.25</v>
      </c>
      <c r="G1045">
        <v>70455</v>
      </c>
      <c r="H1045" s="116"/>
      <c r="I1045" s="116"/>
      <c r="L1045" s="170">
        <v>45639</v>
      </c>
      <c r="M1045" s="116">
        <v>338.89</v>
      </c>
      <c r="N1045" s="116">
        <v>342.89499999999998</v>
      </c>
      <c r="O1045" s="116">
        <v>328.255</v>
      </c>
      <c r="P1045" s="116">
        <v>342.89499999999998</v>
      </c>
      <c r="Q1045" s="116">
        <v>3388.9</v>
      </c>
      <c r="R1045">
        <v>2230281</v>
      </c>
    </row>
    <row r="1046" spans="1:18" x14ac:dyDescent="0.25">
      <c r="A1046" s="170">
        <v>45642</v>
      </c>
      <c r="B1046" s="116">
        <v>340.4</v>
      </c>
      <c r="C1046" s="116">
        <v>322.685</v>
      </c>
      <c r="D1046" s="116">
        <v>321.3</v>
      </c>
      <c r="E1046" s="116">
        <v>340</v>
      </c>
      <c r="F1046" s="116">
        <v>3226.85</v>
      </c>
      <c r="G1046">
        <v>160304</v>
      </c>
      <c r="H1046" s="116"/>
      <c r="I1046" s="116"/>
      <c r="L1046" s="170">
        <v>45642</v>
      </c>
      <c r="M1046" s="116">
        <v>322.73</v>
      </c>
      <c r="N1046" s="116">
        <v>340</v>
      </c>
      <c r="O1046" s="116">
        <v>321.29000000000002</v>
      </c>
      <c r="P1046" s="116">
        <v>340</v>
      </c>
      <c r="Q1046" s="116">
        <v>3227.3</v>
      </c>
      <c r="R1046">
        <v>2496986</v>
      </c>
    </row>
    <row r="1047" spans="1:18" x14ac:dyDescent="0.25">
      <c r="A1047" s="170">
        <v>45643</v>
      </c>
      <c r="B1047" s="116">
        <v>326.27499999999998</v>
      </c>
      <c r="C1047" s="116">
        <v>314.82</v>
      </c>
      <c r="D1047" s="116">
        <v>313.84500000000003</v>
      </c>
      <c r="E1047" s="116">
        <v>324.97000000000003</v>
      </c>
      <c r="F1047" s="116">
        <v>3148.2</v>
      </c>
      <c r="G1047">
        <v>60544</v>
      </c>
      <c r="H1047" s="116"/>
      <c r="I1047" s="116"/>
      <c r="L1047" s="170">
        <v>45643</v>
      </c>
      <c r="M1047" s="116">
        <v>315.42500000000001</v>
      </c>
      <c r="N1047" s="116">
        <v>326.59500000000003</v>
      </c>
      <c r="O1047" s="116">
        <v>314.51499999999999</v>
      </c>
      <c r="P1047" s="116">
        <v>324</v>
      </c>
      <c r="Q1047" s="116">
        <v>3154.25</v>
      </c>
      <c r="R1047">
        <v>1503190</v>
      </c>
    </row>
    <row r="1048" spans="1:18" x14ac:dyDescent="0.25">
      <c r="A1048" s="170">
        <v>45644</v>
      </c>
      <c r="B1048" s="116">
        <v>319.45</v>
      </c>
      <c r="C1048" s="116">
        <v>310.74</v>
      </c>
      <c r="D1048" s="116">
        <v>308.29500000000002</v>
      </c>
      <c r="E1048" s="116">
        <v>318.995</v>
      </c>
      <c r="F1048" s="116">
        <v>3107.4</v>
      </c>
      <c r="G1048">
        <v>52311</v>
      </c>
      <c r="H1048" s="116"/>
      <c r="I1048" s="116"/>
      <c r="L1048" s="170">
        <v>45644</v>
      </c>
      <c r="M1048" s="116">
        <v>311.25</v>
      </c>
      <c r="N1048" s="116">
        <v>319.5</v>
      </c>
      <c r="O1048" s="116">
        <v>308.24</v>
      </c>
      <c r="P1048" s="116">
        <v>317.10000000000002</v>
      </c>
      <c r="Q1048" s="116">
        <v>3112.5</v>
      </c>
      <c r="R1048">
        <v>1475867</v>
      </c>
    </row>
    <row r="1049" spans="1:18" x14ac:dyDescent="0.25">
      <c r="A1049" s="170">
        <v>45645</v>
      </c>
      <c r="B1049" s="116">
        <v>312.5</v>
      </c>
      <c r="C1049" s="116">
        <v>304.51499999999999</v>
      </c>
      <c r="D1049" s="116">
        <v>302.11500000000001</v>
      </c>
      <c r="E1049" s="116">
        <v>304.52499999999998</v>
      </c>
      <c r="F1049" s="116">
        <v>3045.15</v>
      </c>
      <c r="G1049">
        <v>40893</v>
      </c>
      <c r="H1049" s="116"/>
      <c r="I1049" s="116"/>
      <c r="L1049" s="170">
        <v>45645</v>
      </c>
      <c r="M1049" s="116">
        <v>304.52999999999997</v>
      </c>
      <c r="N1049" s="116">
        <v>312.69499999999999</v>
      </c>
      <c r="O1049" s="116">
        <v>301.89999999999998</v>
      </c>
      <c r="P1049" s="116">
        <v>305</v>
      </c>
      <c r="Q1049" s="116">
        <v>3045.3</v>
      </c>
      <c r="R1049">
        <v>1383967</v>
      </c>
    </row>
    <row r="1050" spans="1:18" x14ac:dyDescent="0.25">
      <c r="A1050" s="170">
        <v>45646</v>
      </c>
      <c r="B1050" s="116">
        <v>308.32</v>
      </c>
      <c r="C1050" s="116">
        <v>287.98</v>
      </c>
      <c r="D1050" s="116">
        <v>285.16500000000002</v>
      </c>
      <c r="E1050" s="116">
        <v>305.5</v>
      </c>
      <c r="F1050" s="116">
        <v>2879.8</v>
      </c>
      <c r="G1050">
        <v>59530</v>
      </c>
      <c r="H1050" s="116"/>
      <c r="I1050" s="116"/>
      <c r="L1050" s="170">
        <v>45646</v>
      </c>
      <c r="M1050" s="116">
        <v>288.17</v>
      </c>
      <c r="N1050" s="116">
        <v>308.46499999999997</v>
      </c>
      <c r="O1050" s="116">
        <v>285</v>
      </c>
      <c r="P1050" s="116">
        <v>306.36</v>
      </c>
      <c r="Q1050" s="116">
        <v>2881.7</v>
      </c>
      <c r="R1050">
        <v>2112311</v>
      </c>
    </row>
    <row r="1051" spans="1:18" x14ac:dyDescent="0.25">
      <c r="A1051" s="170">
        <v>45649</v>
      </c>
      <c r="B1051" s="116">
        <v>295.59500000000003</v>
      </c>
      <c r="C1051" s="116">
        <v>286.09500000000003</v>
      </c>
      <c r="D1051" s="116">
        <v>283.85000000000002</v>
      </c>
      <c r="E1051" s="116">
        <v>293.935</v>
      </c>
      <c r="F1051" s="116">
        <v>2860.95</v>
      </c>
      <c r="G1051">
        <v>39285</v>
      </c>
      <c r="H1051" s="116"/>
      <c r="I1051" s="116"/>
      <c r="L1051" s="170">
        <v>45649</v>
      </c>
      <c r="M1051" s="116">
        <v>285.95499999999998</v>
      </c>
      <c r="N1051" s="116">
        <v>295.87</v>
      </c>
      <c r="O1051" s="116">
        <v>283.63499999999999</v>
      </c>
      <c r="P1051" s="116">
        <v>293.49</v>
      </c>
      <c r="Q1051" s="116">
        <v>2859.55</v>
      </c>
      <c r="R1051">
        <v>1167690</v>
      </c>
    </row>
    <row r="1052" spans="1:18" x14ac:dyDescent="0.25">
      <c r="A1052" s="170">
        <v>45650</v>
      </c>
      <c r="B1052" s="116">
        <v>294.8</v>
      </c>
      <c r="C1052" s="116">
        <v>290.07499999999999</v>
      </c>
      <c r="D1052" s="116">
        <v>285.95999999999998</v>
      </c>
      <c r="E1052" s="116">
        <v>287.5</v>
      </c>
      <c r="F1052" s="116">
        <v>2900.75</v>
      </c>
      <c r="G1052">
        <v>72179</v>
      </c>
      <c r="H1052" s="116"/>
      <c r="I1052" s="116"/>
      <c r="L1052" s="170">
        <v>45650</v>
      </c>
      <c r="M1052" s="116">
        <v>290.04000000000002</v>
      </c>
      <c r="N1052" s="116">
        <v>294.69499999999999</v>
      </c>
      <c r="O1052" s="116">
        <v>285.8</v>
      </c>
      <c r="P1052" s="116">
        <v>287.5</v>
      </c>
      <c r="Q1052" s="116">
        <v>2900.4</v>
      </c>
      <c r="R1052">
        <v>1227190</v>
      </c>
    </row>
    <row r="1053" spans="1:18" x14ac:dyDescent="0.25">
      <c r="A1053" s="170">
        <v>45652</v>
      </c>
      <c r="B1053" s="116">
        <v>293.38499999999999</v>
      </c>
      <c r="C1053" s="116">
        <v>290.32</v>
      </c>
      <c r="D1053" s="116">
        <v>287.065</v>
      </c>
      <c r="E1053" s="116">
        <v>292.10500000000002</v>
      </c>
      <c r="F1053" s="116">
        <v>2903.2</v>
      </c>
      <c r="G1053">
        <v>50669</v>
      </c>
      <c r="H1053" s="116"/>
      <c r="I1053" s="116"/>
      <c r="L1053" s="170">
        <v>45652</v>
      </c>
      <c r="M1053" s="116">
        <v>290.39499999999998</v>
      </c>
      <c r="N1053" s="116">
        <v>293.495</v>
      </c>
      <c r="O1053" s="116">
        <v>287.02499999999998</v>
      </c>
      <c r="P1053" s="116">
        <v>293</v>
      </c>
      <c r="Q1053" s="116">
        <v>2903.95</v>
      </c>
      <c r="R1053">
        <v>738070</v>
      </c>
    </row>
    <row r="1054" spans="1:18" x14ac:dyDescent="0.25">
      <c r="A1054" s="170">
        <v>45653</v>
      </c>
      <c r="B1054" s="116">
        <v>295.58999999999997</v>
      </c>
      <c r="C1054" s="116">
        <v>288.44</v>
      </c>
      <c r="D1054" s="116">
        <v>283.37</v>
      </c>
      <c r="E1054" s="116">
        <v>293.18</v>
      </c>
      <c r="F1054" s="116">
        <v>2884.4</v>
      </c>
      <c r="G1054">
        <v>27352</v>
      </c>
      <c r="H1054" s="116"/>
      <c r="I1054" s="116"/>
      <c r="L1054" s="170">
        <v>45653</v>
      </c>
      <c r="M1054" s="116">
        <v>288.47500000000002</v>
      </c>
      <c r="N1054" s="116">
        <v>295.98500000000001</v>
      </c>
      <c r="O1054" s="116">
        <v>282.70499999999998</v>
      </c>
      <c r="P1054" s="116">
        <v>291</v>
      </c>
      <c r="Q1054" s="116">
        <v>2884.75</v>
      </c>
      <c r="R1054">
        <v>836757</v>
      </c>
    </row>
    <row r="1055" spans="1:18" x14ac:dyDescent="0.25">
      <c r="A1055" s="170">
        <v>45656</v>
      </c>
      <c r="B1055" s="116">
        <v>294.54000000000002</v>
      </c>
      <c r="C1055" s="116">
        <v>292.89999999999998</v>
      </c>
      <c r="D1055" s="116">
        <v>284.66500000000002</v>
      </c>
      <c r="E1055" s="116">
        <v>288.60500000000002</v>
      </c>
      <c r="F1055" s="116">
        <v>2929</v>
      </c>
      <c r="G1055">
        <v>30344</v>
      </c>
      <c r="H1055" s="116"/>
      <c r="I1055" s="116"/>
      <c r="L1055" s="170">
        <v>45656</v>
      </c>
      <c r="M1055" s="116">
        <v>292.88</v>
      </c>
      <c r="N1055" s="116">
        <v>294.5</v>
      </c>
      <c r="O1055" s="116">
        <v>284.69</v>
      </c>
      <c r="P1055" s="116">
        <v>288.90499999999997</v>
      </c>
      <c r="Q1055" s="116">
        <v>2928.8</v>
      </c>
      <c r="R1055">
        <v>1100014</v>
      </c>
    </row>
    <row r="1056" spans="1:18" x14ac:dyDescent="0.25">
      <c r="A1056" s="170">
        <v>45657</v>
      </c>
      <c r="B1056" s="116">
        <v>293.70999999999998</v>
      </c>
      <c r="C1056" s="116">
        <v>293.24</v>
      </c>
      <c r="D1056" s="116">
        <v>284</v>
      </c>
      <c r="E1056" s="116">
        <v>290.20499999999998</v>
      </c>
      <c r="F1056" s="116">
        <v>2932.4</v>
      </c>
      <c r="G1056">
        <v>50912</v>
      </c>
      <c r="H1056" s="116"/>
      <c r="I1056" s="116"/>
      <c r="L1056" s="170">
        <v>45657</v>
      </c>
      <c r="M1056" s="116">
        <v>293.16500000000002</v>
      </c>
      <c r="N1056" s="116">
        <v>293.69499999999999</v>
      </c>
      <c r="O1056" s="116">
        <v>283.755</v>
      </c>
      <c r="P1056" s="116">
        <v>290.5</v>
      </c>
      <c r="Q1056" s="116">
        <v>2931.65</v>
      </c>
      <c r="R1056">
        <v>823118</v>
      </c>
    </row>
    <row r="1057" spans="1:18" x14ac:dyDescent="0.25">
      <c r="A1057" s="170">
        <v>45658</v>
      </c>
      <c r="B1057" s="116">
        <v>304.32499999999999</v>
      </c>
      <c r="C1057" s="116">
        <v>301.67500000000001</v>
      </c>
      <c r="D1057" s="116">
        <v>293.24</v>
      </c>
      <c r="E1057" s="116">
        <v>294.005</v>
      </c>
      <c r="F1057" s="116">
        <v>3016.75</v>
      </c>
      <c r="G1057">
        <v>85466</v>
      </c>
      <c r="H1057" s="116"/>
      <c r="I1057" s="116"/>
      <c r="L1057" s="170">
        <v>45658</v>
      </c>
      <c r="M1057" s="116">
        <v>301.745</v>
      </c>
      <c r="N1057" s="116">
        <v>304.2</v>
      </c>
      <c r="O1057" s="116">
        <v>293.255</v>
      </c>
      <c r="P1057" s="116">
        <v>295</v>
      </c>
      <c r="Q1057" s="116">
        <v>3017.45</v>
      </c>
      <c r="R1057">
        <v>1591437</v>
      </c>
    </row>
    <row r="1058" spans="1:18" x14ac:dyDescent="0.25">
      <c r="A1058" s="170">
        <v>45659</v>
      </c>
      <c r="B1058" s="116">
        <v>304</v>
      </c>
      <c r="C1058" s="116">
        <v>297.60500000000002</v>
      </c>
      <c r="D1058" s="116">
        <v>296.39</v>
      </c>
      <c r="E1058" s="116">
        <v>302.005</v>
      </c>
      <c r="F1058" s="116">
        <v>2976.05</v>
      </c>
      <c r="G1058">
        <v>38228</v>
      </c>
      <c r="H1058" s="116"/>
      <c r="I1058" s="116"/>
      <c r="L1058" s="170">
        <v>45659</v>
      </c>
      <c r="M1058" s="116">
        <v>297.63499999999999</v>
      </c>
      <c r="N1058" s="116">
        <v>303.95499999999998</v>
      </c>
      <c r="O1058" s="116">
        <v>296.23500000000001</v>
      </c>
      <c r="P1058" s="116">
        <v>303.39499999999998</v>
      </c>
      <c r="Q1058" s="116">
        <v>2976.35</v>
      </c>
      <c r="R1058">
        <v>962882</v>
      </c>
    </row>
    <row r="1059" spans="1:18" x14ac:dyDescent="0.25">
      <c r="A1059" s="170">
        <v>45660</v>
      </c>
      <c r="B1059" s="116">
        <v>299.98</v>
      </c>
      <c r="C1059" s="116">
        <v>285.70999999999998</v>
      </c>
      <c r="D1059" s="116">
        <v>285</v>
      </c>
      <c r="E1059" s="116">
        <v>297.98</v>
      </c>
      <c r="F1059" s="116">
        <v>2857.1</v>
      </c>
      <c r="G1059">
        <v>54406</v>
      </c>
      <c r="H1059" s="116"/>
      <c r="I1059" s="116"/>
      <c r="L1059" s="170">
        <v>45660</v>
      </c>
      <c r="M1059" s="116">
        <v>285.62</v>
      </c>
      <c r="N1059" s="116">
        <v>299.89999999999998</v>
      </c>
      <c r="O1059" s="116">
        <v>284.92</v>
      </c>
      <c r="P1059" s="116">
        <v>297.63499999999999</v>
      </c>
      <c r="Q1059" s="116">
        <v>2856.2</v>
      </c>
      <c r="R1059">
        <v>1956072</v>
      </c>
    </row>
    <row r="1060" spans="1:18" x14ac:dyDescent="0.25">
      <c r="A1060" s="170">
        <v>45663</v>
      </c>
      <c r="B1060" s="116">
        <v>298.8</v>
      </c>
      <c r="C1060" s="116">
        <v>275.46499999999997</v>
      </c>
      <c r="D1060" s="116">
        <v>273.44499999999999</v>
      </c>
      <c r="E1060" s="116">
        <v>286.5</v>
      </c>
      <c r="F1060" s="116">
        <v>2754.65</v>
      </c>
      <c r="G1060">
        <v>196931</v>
      </c>
      <c r="H1060" s="116"/>
      <c r="I1060" s="116"/>
      <c r="L1060" s="170">
        <v>45663</v>
      </c>
      <c r="M1060" s="116">
        <v>275.185</v>
      </c>
      <c r="N1060" s="116">
        <v>299</v>
      </c>
      <c r="O1060" s="116">
        <v>273.25</v>
      </c>
      <c r="P1060" s="116">
        <v>288.5</v>
      </c>
      <c r="Q1060" s="116">
        <v>2751.85</v>
      </c>
      <c r="R1060">
        <v>2387281</v>
      </c>
    </row>
    <row r="1061" spans="1:18" x14ac:dyDescent="0.25">
      <c r="A1061" s="170">
        <v>45664</v>
      </c>
      <c r="B1061" s="116">
        <v>280</v>
      </c>
      <c r="C1061" s="116">
        <v>276.06</v>
      </c>
      <c r="D1061" s="116">
        <v>269.59500000000003</v>
      </c>
      <c r="E1061" s="116">
        <v>277.01499999999999</v>
      </c>
      <c r="F1061" s="116">
        <v>2760.6</v>
      </c>
      <c r="G1061">
        <v>121549</v>
      </c>
      <c r="H1061" s="116"/>
      <c r="I1061" s="116"/>
      <c r="L1061" s="170">
        <v>45664</v>
      </c>
      <c r="M1061" s="116">
        <v>276.14499999999998</v>
      </c>
      <c r="N1061" s="116">
        <v>280.26</v>
      </c>
      <c r="O1061" s="116">
        <v>269.51499999999999</v>
      </c>
      <c r="P1061" s="116">
        <v>277.5</v>
      </c>
      <c r="Q1061" s="116">
        <v>2761.45</v>
      </c>
      <c r="R1061">
        <v>1582035</v>
      </c>
    </row>
    <row r="1062" spans="1:18" x14ac:dyDescent="0.25">
      <c r="A1062" s="170">
        <v>45665</v>
      </c>
      <c r="B1062" s="116">
        <v>278.49</v>
      </c>
      <c r="C1062" s="116">
        <v>265.255</v>
      </c>
      <c r="D1062" s="116">
        <v>263.2</v>
      </c>
      <c r="E1062" s="116">
        <v>277.5</v>
      </c>
      <c r="F1062" s="116">
        <v>2652.55</v>
      </c>
      <c r="G1062">
        <v>71291</v>
      </c>
      <c r="H1062" s="116"/>
      <c r="I1062" s="116"/>
      <c r="L1062" s="170">
        <v>45665</v>
      </c>
      <c r="M1062" s="116">
        <v>265.36500000000001</v>
      </c>
      <c r="N1062" s="116">
        <v>278.48500000000001</v>
      </c>
      <c r="O1062" s="116">
        <v>263.005</v>
      </c>
      <c r="P1062" s="116">
        <v>278.39999999999998</v>
      </c>
      <c r="Q1062" s="116">
        <v>2653.65</v>
      </c>
      <c r="R1062">
        <v>1913994</v>
      </c>
    </row>
    <row r="1063" spans="1:18" x14ac:dyDescent="0.25">
      <c r="A1063" s="170">
        <v>45666</v>
      </c>
      <c r="B1063" s="116">
        <v>268.98500000000001</v>
      </c>
      <c r="C1063" s="116">
        <v>262.60000000000002</v>
      </c>
      <c r="D1063" s="116">
        <v>261.40499999999997</v>
      </c>
      <c r="E1063" s="116">
        <v>267.74</v>
      </c>
      <c r="F1063" s="116">
        <v>2626</v>
      </c>
      <c r="G1063">
        <v>45302</v>
      </c>
      <c r="H1063" s="116"/>
      <c r="I1063" s="116"/>
      <c r="L1063" s="170">
        <v>45666</v>
      </c>
      <c r="M1063" s="116">
        <v>262.58499999999998</v>
      </c>
      <c r="N1063" s="116">
        <v>268.8</v>
      </c>
      <c r="O1063" s="116">
        <v>261.2</v>
      </c>
      <c r="P1063" s="116">
        <v>266</v>
      </c>
      <c r="Q1063" s="116">
        <v>2625.85</v>
      </c>
      <c r="R1063">
        <v>1290101</v>
      </c>
    </row>
    <row r="1064" spans="1:18" x14ac:dyDescent="0.25">
      <c r="A1064" s="170">
        <v>45667</v>
      </c>
      <c r="B1064" s="116">
        <v>263.89999999999998</v>
      </c>
      <c r="C1064" s="116">
        <v>254.25</v>
      </c>
      <c r="D1064" s="116">
        <v>253.08500000000001</v>
      </c>
      <c r="E1064" s="116">
        <v>262.505</v>
      </c>
      <c r="F1064" s="116">
        <v>2542.5</v>
      </c>
      <c r="G1064">
        <v>125431</v>
      </c>
      <c r="H1064" s="116"/>
      <c r="I1064" s="116"/>
      <c r="L1064" s="170">
        <v>45667</v>
      </c>
      <c r="M1064" s="116">
        <v>254.405</v>
      </c>
      <c r="N1064" s="116">
        <v>264.39999999999998</v>
      </c>
      <c r="O1064" s="116">
        <v>253.3</v>
      </c>
      <c r="P1064" s="116">
        <v>262.8</v>
      </c>
      <c r="Q1064" s="116">
        <v>2544.0500000000002</v>
      </c>
      <c r="R1064">
        <v>1308452</v>
      </c>
    </row>
    <row r="1065" spans="1:18" x14ac:dyDescent="0.25">
      <c r="A1065" s="170">
        <v>45670</v>
      </c>
      <c r="B1065" s="116">
        <v>255.505</v>
      </c>
      <c r="C1065" s="116">
        <v>244.41</v>
      </c>
      <c r="D1065" s="116">
        <v>239.30500000000001</v>
      </c>
      <c r="E1065" s="116">
        <v>252.48</v>
      </c>
      <c r="F1065" s="116">
        <v>2444.1</v>
      </c>
      <c r="G1065">
        <v>121429</v>
      </c>
      <c r="H1065" s="116"/>
      <c r="I1065" s="116"/>
      <c r="L1065" s="170">
        <v>45670</v>
      </c>
      <c r="M1065" s="116">
        <v>244.655</v>
      </c>
      <c r="N1065" s="116">
        <v>255.57</v>
      </c>
      <c r="O1065" s="116">
        <v>239.2</v>
      </c>
      <c r="P1065" s="116">
        <v>251</v>
      </c>
      <c r="Q1065" s="116">
        <v>2446.5500000000002</v>
      </c>
      <c r="R1065">
        <v>2431897</v>
      </c>
    </row>
    <row r="1066" spans="1:18" x14ac:dyDescent="0.25">
      <c r="A1066" s="170">
        <v>45671</v>
      </c>
      <c r="B1066" s="116">
        <v>242.58500000000001</v>
      </c>
      <c r="C1066" s="116">
        <v>237.155</v>
      </c>
      <c r="D1066" s="116">
        <v>227.3</v>
      </c>
      <c r="E1066" s="116">
        <v>239.995</v>
      </c>
      <c r="F1066" s="116">
        <v>2371.5500000000002</v>
      </c>
      <c r="G1066">
        <v>197699</v>
      </c>
      <c r="H1066" s="116"/>
      <c r="I1066" s="116"/>
      <c r="L1066" s="170">
        <v>45671</v>
      </c>
      <c r="M1066" s="116">
        <v>237.05500000000001</v>
      </c>
      <c r="N1066" s="116">
        <v>242.59</v>
      </c>
      <c r="O1066" s="116">
        <v>227.4</v>
      </c>
      <c r="P1066" s="116">
        <v>237</v>
      </c>
      <c r="Q1066" s="116">
        <v>2370.5500000000002</v>
      </c>
      <c r="R1066">
        <v>6227921</v>
      </c>
    </row>
    <row r="1067" spans="1:18" x14ac:dyDescent="0.25">
      <c r="A1067" s="170">
        <v>45672</v>
      </c>
      <c r="B1067" s="116">
        <v>252.5</v>
      </c>
      <c r="C1067" s="116">
        <v>249.405</v>
      </c>
      <c r="D1067" s="116">
        <v>237.30500000000001</v>
      </c>
      <c r="E1067" s="116">
        <v>237.30500000000001</v>
      </c>
      <c r="F1067" s="116">
        <v>2494.0500000000002</v>
      </c>
      <c r="G1067">
        <v>178043</v>
      </c>
      <c r="H1067" s="116"/>
      <c r="I1067" s="116"/>
      <c r="L1067" s="170">
        <v>45672</v>
      </c>
      <c r="M1067" s="116">
        <v>249.73500000000001</v>
      </c>
      <c r="N1067" s="116">
        <v>252.7</v>
      </c>
      <c r="O1067" s="116">
        <v>237.7</v>
      </c>
      <c r="P1067" s="116">
        <v>238.05500000000001</v>
      </c>
      <c r="Q1067" s="116">
        <v>2497.35</v>
      </c>
      <c r="R1067">
        <v>2848896</v>
      </c>
    </row>
    <row r="1068" spans="1:18" x14ac:dyDescent="0.25">
      <c r="A1068" s="170">
        <v>45673</v>
      </c>
      <c r="B1068" s="116">
        <v>256.74</v>
      </c>
      <c r="C1068" s="116">
        <v>248.245</v>
      </c>
      <c r="D1068" s="116">
        <v>245.655</v>
      </c>
      <c r="E1068" s="116">
        <v>250.02</v>
      </c>
      <c r="F1068" s="116">
        <v>2482.4499999999998</v>
      </c>
      <c r="G1068">
        <v>67598</v>
      </c>
      <c r="H1068" s="116"/>
      <c r="I1068" s="116"/>
      <c r="L1068" s="170">
        <v>45673</v>
      </c>
      <c r="M1068" s="116">
        <v>248.55</v>
      </c>
      <c r="N1068" s="116">
        <v>256.77</v>
      </c>
      <c r="O1068" s="116">
        <v>245.52</v>
      </c>
      <c r="P1068" s="116">
        <v>251.1</v>
      </c>
      <c r="Q1068" s="116">
        <v>2485.5</v>
      </c>
      <c r="R1068">
        <v>1609570</v>
      </c>
    </row>
    <row r="1069" spans="1:18" x14ac:dyDescent="0.25">
      <c r="A1069" s="170">
        <v>45674</v>
      </c>
      <c r="B1069" s="116">
        <v>249.98</v>
      </c>
      <c r="C1069" s="116">
        <v>245.405</v>
      </c>
      <c r="D1069" s="116">
        <v>244.16</v>
      </c>
      <c r="E1069" s="116">
        <v>249.98</v>
      </c>
      <c r="F1069" s="116">
        <v>2454.0500000000002</v>
      </c>
      <c r="G1069">
        <v>24913</v>
      </c>
      <c r="H1069" s="116"/>
      <c r="I1069" s="116"/>
      <c r="L1069" s="170">
        <v>45674</v>
      </c>
      <c r="M1069" s="116">
        <v>245.45</v>
      </c>
      <c r="N1069" s="116">
        <v>249.44499999999999</v>
      </c>
      <c r="O1069" s="116">
        <v>244.2</v>
      </c>
      <c r="P1069" s="116">
        <v>248.5</v>
      </c>
      <c r="Q1069" s="116">
        <v>2454.5</v>
      </c>
      <c r="R1069">
        <v>685877</v>
      </c>
    </row>
    <row r="1070" spans="1:18" x14ac:dyDescent="0.25">
      <c r="A1070" s="170">
        <v>45677</v>
      </c>
      <c r="B1070" s="116">
        <v>260.88499999999999</v>
      </c>
      <c r="C1070" s="116">
        <v>258.875</v>
      </c>
      <c r="D1070" s="116">
        <v>243.08500000000001</v>
      </c>
      <c r="E1070" s="116">
        <v>247.48500000000001</v>
      </c>
      <c r="F1070" s="116">
        <v>2588.75</v>
      </c>
      <c r="G1070">
        <v>97766</v>
      </c>
      <c r="H1070" s="116"/>
      <c r="I1070" s="116"/>
      <c r="L1070" s="170">
        <v>45677</v>
      </c>
      <c r="M1070" s="116">
        <v>258.75</v>
      </c>
      <c r="N1070" s="116">
        <v>260.89999999999998</v>
      </c>
      <c r="O1070" s="116">
        <v>243.01499999999999</v>
      </c>
      <c r="P1070" s="116">
        <v>245.45</v>
      </c>
      <c r="Q1070" s="116">
        <v>2587.5</v>
      </c>
      <c r="R1070">
        <v>1957385</v>
      </c>
    </row>
    <row r="1071" spans="1:18" x14ac:dyDescent="0.25">
      <c r="A1071" s="170">
        <v>45678</v>
      </c>
      <c r="B1071" s="116">
        <v>258.69499999999999</v>
      </c>
      <c r="C1071" s="116">
        <v>252.82</v>
      </c>
      <c r="D1071" s="116">
        <v>248.4</v>
      </c>
      <c r="E1071" s="116">
        <v>258.69499999999999</v>
      </c>
      <c r="F1071" s="116">
        <v>2528.1999999999998</v>
      </c>
      <c r="G1071">
        <v>79816</v>
      </c>
      <c r="H1071" s="116"/>
      <c r="I1071" s="116"/>
      <c r="L1071" s="170">
        <v>45678</v>
      </c>
      <c r="M1071" s="116">
        <v>252.53</v>
      </c>
      <c r="N1071" s="116">
        <v>258.71499999999997</v>
      </c>
      <c r="O1071" s="116">
        <v>248.21</v>
      </c>
      <c r="P1071" s="116">
        <v>257.3</v>
      </c>
      <c r="Q1071" s="116">
        <v>2525.3000000000002</v>
      </c>
      <c r="R1071">
        <v>1096699</v>
      </c>
    </row>
    <row r="1072" spans="1:18" x14ac:dyDescent="0.25">
      <c r="A1072" s="170">
        <v>45679</v>
      </c>
      <c r="B1072" s="116">
        <v>252.5</v>
      </c>
      <c r="C1072" s="116">
        <v>244.05500000000001</v>
      </c>
      <c r="D1072" s="116">
        <v>239.1</v>
      </c>
      <c r="E1072" s="116">
        <v>251.5</v>
      </c>
      <c r="F1072" s="116">
        <v>2440.5500000000002</v>
      </c>
      <c r="G1072">
        <v>81956</v>
      </c>
      <c r="H1072" s="116"/>
      <c r="I1072" s="116"/>
      <c r="L1072" s="170">
        <v>45679</v>
      </c>
      <c r="M1072" s="116">
        <v>244.23500000000001</v>
      </c>
      <c r="N1072" s="116">
        <v>252.27500000000001</v>
      </c>
      <c r="O1072" s="116">
        <v>239</v>
      </c>
      <c r="P1072" s="116">
        <v>251.5</v>
      </c>
      <c r="Q1072" s="116">
        <v>2442.35</v>
      </c>
      <c r="R1072">
        <v>1310829</v>
      </c>
    </row>
    <row r="1073" spans="1:18" x14ac:dyDescent="0.25">
      <c r="A1073" s="170">
        <v>45680</v>
      </c>
      <c r="B1073" s="116">
        <v>249.33</v>
      </c>
      <c r="C1073" s="116">
        <v>242.8</v>
      </c>
      <c r="D1073" s="116">
        <v>240</v>
      </c>
      <c r="E1073" s="116">
        <v>243.995</v>
      </c>
      <c r="F1073" s="116">
        <v>2428</v>
      </c>
      <c r="G1073">
        <v>44380</v>
      </c>
      <c r="H1073" s="116"/>
      <c r="I1073" s="116"/>
      <c r="L1073" s="170">
        <v>45680</v>
      </c>
      <c r="M1073" s="116">
        <v>243.14500000000001</v>
      </c>
      <c r="N1073" s="116">
        <v>249.4</v>
      </c>
      <c r="O1073" s="116">
        <v>239.78</v>
      </c>
      <c r="P1073" s="116">
        <v>243.4</v>
      </c>
      <c r="Q1073" s="116">
        <v>2431.4499999999998</v>
      </c>
      <c r="R1073">
        <v>1226568</v>
      </c>
    </row>
    <row r="1074" spans="1:18" x14ac:dyDescent="0.25">
      <c r="A1074" s="170">
        <v>45681</v>
      </c>
      <c r="B1074" s="116">
        <v>243.76</v>
      </c>
      <c r="C1074" s="116">
        <v>233.38499999999999</v>
      </c>
      <c r="D1074" s="116">
        <v>231.72499999999999</v>
      </c>
      <c r="E1074" s="116">
        <v>242</v>
      </c>
      <c r="F1074" s="116">
        <v>2333.85</v>
      </c>
      <c r="G1074">
        <v>33366</v>
      </c>
      <c r="H1074" s="116"/>
      <c r="I1074" s="116"/>
      <c r="L1074" s="170">
        <v>45681</v>
      </c>
      <c r="M1074" s="116">
        <v>233.435</v>
      </c>
      <c r="N1074" s="116">
        <v>243.97</v>
      </c>
      <c r="O1074" s="116">
        <v>232</v>
      </c>
      <c r="P1074" s="116">
        <v>241.41</v>
      </c>
      <c r="Q1074" s="116">
        <v>2334.35</v>
      </c>
      <c r="R1074">
        <v>1348312</v>
      </c>
    </row>
    <row r="1075" spans="1:18" x14ac:dyDescent="0.25">
      <c r="A1075" s="170">
        <v>45684</v>
      </c>
      <c r="B1075" s="116">
        <v>231.495</v>
      </c>
      <c r="C1075" s="116">
        <v>221.255</v>
      </c>
      <c r="D1075" s="116">
        <v>218.88499999999999</v>
      </c>
      <c r="E1075" s="116">
        <v>231.495</v>
      </c>
      <c r="F1075" s="116">
        <v>2212.5500000000002</v>
      </c>
      <c r="G1075">
        <v>71646</v>
      </c>
      <c r="H1075" s="116"/>
      <c r="I1075" s="116"/>
      <c r="L1075" s="170">
        <v>45684</v>
      </c>
      <c r="M1075" s="116">
        <v>221.26499999999999</v>
      </c>
      <c r="N1075" s="116">
        <v>231.2</v>
      </c>
      <c r="O1075" s="116">
        <v>218.85</v>
      </c>
      <c r="P1075" s="116">
        <v>230.66499999999999</v>
      </c>
      <c r="Q1075" s="116">
        <v>2212.65</v>
      </c>
      <c r="R1075">
        <v>1867083</v>
      </c>
    </row>
    <row r="1076" spans="1:18" x14ac:dyDescent="0.25">
      <c r="A1076" s="170">
        <v>45685</v>
      </c>
      <c r="B1076" s="116">
        <v>225.01499999999999</v>
      </c>
      <c r="C1076" s="116">
        <v>218.34</v>
      </c>
      <c r="D1076" s="116">
        <v>215.1</v>
      </c>
      <c r="E1076" s="116">
        <v>221.27</v>
      </c>
      <c r="F1076" s="116">
        <v>2183.4</v>
      </c>
      <c r="G1076">
        <v>52820</v>
      </c>
      <c r="H1076" s="116"/>
      <c r="I1076" s="116"/>
      <c r="L1076" s="170">
        <v>45685</v>
      </c>
      <c r="M1076" s="116">
        <v>218.58</v>
      </c>
      <c r="N1076" s="116">
        <v>224.91</v>
      </c>
      <c r="O1076" s="116">
        <v>215.03</v>
      </c>
      <c r="P1076" s="116">
        <v>221.58</v>
      </c>
      <c r="Q1076" s="116">
        <v>2185.8000000000002</v>
      </c>
      <c r="R1076">
        <v>1604031</v>
      </c>
    </row>
    <row r="1077" spans="1:18" x14ac:dyDescent="0.25">
      <c r="A1077" s="170">
        <v>45686</v>
      </c>
      <c r="B1077" s="116">
        <v>231.76</v>
      </c>
      <c r="C1077" s="116">
        <v>229.435</v>
      </c>
      <c r="D1077" s="116">
        <v>218.34</v>
      </c>
      <c r="E1077" s="116">
        <v>220.97</v>
      </c>
      <c r="F1077" s="116">
        <v>2294.35</v>
      </c>
      <c r="G1077">
        <v>48410</v>
      </c>
      <c r="H1077" s="116"/>
      <c r="I1077" s="116"/>
      <c r="L1077" s="170">
        <v>45686</v>
      </c>
      <c r="M1077" s="116">
        <v>229.655</v>
      </c>
      <c r="N1077" s="116">
        <v>231.86500000000001</v>
      </c>
      <c r="O1077" s="116">
        <v>218.20500000000001</v>
      </c>
      <c r="P1077" s="116">
        <v>219.80500000000001</v>
      </c>
      <c r="Q1077" s="116">
        <v>2296.5500000000002</v>
      </c>
      <c r="R1077">
        <v>1277478</v>
      </c>
    </row>
    <row r="1078" spans="1:18" x14ac:dyDescent="0.25">
      <c r="A1078" s="170">
        <v>45687</v>
      </c>
      <c r="B1078" s="116">
        <v>232.87</v>
      </c>
      <c r="C1078" s="116">
        <v>227.74</v>
      </c>
      <c r="D1078" s="116">
        <v>225.45500000000001</v>
      </c>
      <c r="E1078" s="116">
        <v>231.995</v>
      </c>
      <c r="F1078" s="116">
        <v>2277.4</v>
      </c>
      <c r="G1078">
        <v>49668</v>
      </c>
      <c r="H1078" s="116"/>
      <c r="I1078" s="116"/>
      <c r="L1078" s="170">
        <v>45687</v>
      </c>
      <c r="M1078" s="116">
        <v>227.78</v>
      </c>
      <c r="N1078" s="116">
        <v>232.89500000000001</v>
      </c>
      <c r="O1078" s="116">
        <v>225.5</v>
      </c>
      <c r="P1078" s="116">
        <v>231</v>
      </c>
      <c r="Q1078" s="116">
        <v>2277.8000000000002</v>
      </c>
      <c r="R1078">
        <v>1305817</v>
      </c>
    </row>
    <row r="1079" spans="1:18" x14ac:dyDescent="0.25">
      <c r="A1079" s="170">
        <v>45688</v>
      </c>
      <c r="B1079" s="116">
        <v>235.62</v>
      </c>
      <c r="C1079" s="116">
        <v>234.43</v>
      </c>
      <c r="D1079" s="116">
        <v>226.18</v>
      </c>
      <c r="E1079" s="116">
        <v>229</v>
      </c>
      <c r="F1079" s="116">
        <v>2344.3000000000002</v>
      </c>
      <c r="G1079">
        <v>26837</v>
      </c>
      <c r="H1079" s="116"/>
      <c r="I1079" s="116"/>
      <c r="L1079" s="170">
        <v>45688</v>
      </c>
      <c r="M1079" s="116">
        <v>234.61</v>
      </c>
      <c r="N1079" s="116">
        <v>235.5</v>
      </c>
      <c r="O1079" s="116">
        <v>226.01</v>
      </c>
      <c r="P1079" s="116">
        <v>228.8</v>
      </c>
      <c r="Q1079" s="116">
        <v>2346.1</v>
      </c>
      <c r="R1079">
        <v>769979</v>
      </c>
    </row>
    <row r="1080" spans="1:18" x14ac:dyDescent="0.25">
      <c r="A1080" s="170">
        <v>45689</v>
      </c>
      <c r="B1080" s="116">
        <v>251.935</v>
      </c>
      <c r="C1080" s="116">
        <v>248.01</v>
      </c>
      <c r="D1080" s="116">
        <v>229.77</v>
      </c>
      <c r="E1080" s="116">
        <v>236.86</v>
      </c>
      <c r="F1080" s="116">
        <v>2480.1</v>
      </c>
      <c r="G1080">
        <v>36775</v>
      </c>
      <c r="H1080" s="116"/>
      <c r="I1080" s="116"/>
      <c r="L1080" s="170">
        <v>45689</v>
      </c>
      <c r="M1080" s="116">
        <v>247.89</v>
      </c>
      <c r="N1080" s="116">
        <v>252</v>
      </c>
      <c r="O1080" s="116">
        <v>229.65</v>
      </c>
      <c r="P1080" s="116">
        <v>234.48</v>
      </c>
      <c r="Q1080" s="116">
        <v>2478.9</v>
      </c>
      <c r="R1080">
        <v>1421743</v>
      </c>
    </row>
    <row r="1081" spans="1:18" x14ac:dyDescent="0.25">
      <c r="A1081" s="170">
        <v>45691</v>
      </c>
      <c r="B1081" s="116">
        <v>242.21</v>
      </c>
      <c r="C1081" s="116">
        <v>232.32499999999999</v>
      </c>
      <c r="D1081" s="116">
        <v>230</v>
      </c>
      <c r="E1081" s="116">
        <v>241.79</v>
      </c>
      <c r="F1081" s="116">
        <v>2323.25</v>
      </c>
      <c r="G1081">
        <v>87807</v>
      </c>
      <c r="H1081" s="116"/>
      <c r="I1081" s="116"/>
      <c r="L1081" s="170">
        <v>45691</v>
      </c>
      <c r="M1081" s="116">
        <v>232.57499999999999</v>
      </c>
      <c r="N1081" s="116">
        <v>242.39500000000001</v>
      </c>
      <c r="O1081" s="116">
        <v>230.47499999999999</v>
      </c>
      <c r="P1081" s="116">
        <v>242.39500000000001</v>
      </c>
      <c r="Q1081" s="116">
        <v>2325.75</v>
      </c>
      <c r="R1081">
        <v>1129582</v>
      </c>
    </row>
    <row r="1082" spans="1:18" x14ac:dyDescent="0.25">
      <c r="A1082" s="170">
        <v>45692</v>
      </c>
      <c r="B1082" s="116">
        <v>238.8</v>
      </c>
      <c r="C1082" s="116">
        <v>234.97499999999999</v>
      </c>
      <c r="D1082" s="116">
        <v>230.755</v>
      </c>
      <c r="E1082" s="116">
        <v>234.285</v>
      </c>
      <c r="F1082" s="116">
        <v>2349.75</v>
      </c>
      <c r="G1082">
        <v>33137</v>
      </c>
      <c r="H1082" s="116"/>
      <c r="I1082" s="116"/>
      <c r="L1082" s="170">
        <v>45692</v>
      </c>
      <c r="M1082" s="116">
        <v>235.035</v>
      </c>
      <c r="N1082" s="116">
        <v>238.82499999999999</v>
      </c>
      <c r="O1082" s="116">
        <v>230.71</v>
      </c>
      <c r="P1082" s="116">
        <v>233.60499999999999</v>
      </c>
      <c r="Q1082" s="116">
        <v>2350.35</v>
      </c>
      <c r="R1082">
        <v>838489</v>
      </c>
    </row>
    <row r="1083" spans="1:18" x14ac:dyDescent="0.25">
      <c r="A1083" s="170">
        <v>45693</v>
      </c>
      <c r="B1083" s="116">
        <v>253.61</v>
      </c>
      <c r="C1083" s="116">
        <v>249.715</v>
      </c>
      <c r="D1083" s="116">
        <v>238</v>
      </c>
      <c r="E1083" s="116">
        <v>238</v>
      </c>
      <c r="F1083" s="116">
        <v>2497.15</v>
      </c>
      <c r="G1083">
        <v>100834</v>
      </c>
      <c r="H1083" s="116"/>
      <c r="I1083" s="116"/>
      <c r="L1083" s="170">
        <v>45693</v>
      </c>
      <c r="M1083" s="116">
        <v>249.82</v>
      </c>
      <c r="N1083" s="116">
        <v>253.685</v>
      </c>
      <c r="O1083" s="116">
        <v>238</v>
      </c>
      <c r="P1083" s="116">
        <v>238</v>
      </c>
      <c r="Q1083" s="116">
        <v>2498.1999999999998</v>
      </c>
      <c r="R1083">
        <v>2741969</v>
      </c>
    </row>
    <row r="1084" spans="1:18" x14ac:dyDescent="0.25">
      <c r="A1084" s="170">
        <v>45694</v>
      </c>
      <c r="B1084" s="116">
        <v>250.32</v>
      </c>
      <c r="C1084" s="116">
        <v>244.01499999999999</v>
      </c>
      <c r="D1084" s="116">
        <v>243.26</v>
      </c>
      <c r="E1084" s="116">
        <v>250.02500000000001</v>
      </c>
      <c r="F1084" s="116">
        <v>2440.15</v>
      </c>
      <c r="G1084">
        <v>24318</v>
      </c>
      <c r="H1084" s="116"/>
      <c r="I1084" s="116"/>
      <c r="L1084" s="170">
        <v>45694</v>
      </c>
      <c r="M1084" s="116">
        <v>243.85</v>
      </c>
      <c r="N1084" s="116">
        <v>250.4</v>
      </c>
      <c r="O1084" s="116">
        <v>243.14500000000001</v>
      </c>
      <c r="P1084" s="116">
        <v>249.85</v>
      </c>
      <c r="Q1084" s="116">
        <v>2438.5</v>
      </c>
      <c r="R1084">
        <v>658313</v>
      </c>
    </row>
    <row r="1085" spans="1:18" x14ac:dyDescent="0.25">
      <c r="A1085" s="170">
        <v>45695</v>
      </c>
      <c r="B1085" s="116">
        <v>248.41</v>
      </c>
      <c r="C1085" s="116">
        <v>241.17500000000001</v>
      </c>
      <c r="D1085" s="116">
        <v>240.10499999999999</v>
      </c>
      <c r="E1085" s="116">
        <v>245</v>
      </c>
      <c r="F1085" s="116">
        <v>2411.75</v>
      </c>
      <c r="G1085">
        <v>49555</v>
      </c>
      <c r="H1085" s="116"/>
      <c r="I1085" s="116"/>
      <c r="L1085" s="170">
        <v>45695</v>
      </c>
      <c r="M1085" s="116">
        <v>241.28</v>
      </c>
      <c r="N1085" s="116">
        <v>248.46</v>
      </c>
      <c r="O1085" s="116">
        <v>240.13499999999999</v>
      </c>
      <c r="P1085" s="116">
        <v>244</v>
      </c>
      <c r="Q1085" s="116">
        <v>2412.8000000000002</v>
      </c>
      <c r="R1085">
        <v>730037</v>
      </c>
    </row>
    <row r="1086" spans="1:18" x14ac:dyDescent="0.25">
      <c r="A1086" s="170">
        <v>45698</v>
      </c>
      <c r="B1086" s="116">
        <v>242.4</v>
      </c>
      <c r="C1086" s="116">
        <v>234.12</v>
      </c>
      <c r="D1086" s="116">
        <v>232.905</v>
      </c>
      <c r="E1086" s="116">
        <v>242.29499999999999</v>
      </c>
      <c r="F1086" s="116">
        <v>2341.1999999999998</v>
      </c>
      <c r="G1086">
        <v>23322</v>
      </c>
      <c r="H1086" s="116"/>
      <c r="I1086" s="116"/>
      <c r="L1086" s="170">
        <v>45698</v>
      </c>
      <c r="M1086" s="116">
        <v>234.28</v>
      </c>
      <c r="N1086" s="116">
        <v>242.69499999999999</v>
      </c>
      <c r="O1086" s="116">
        <v>233</v>
      </c>
      <c r="P1086" s="116">
        <v>241.28</v>
      </c>
      <c r="Q1086" s="116">
        <v>2342.8000000000002</v>
      </c>
      <c r="R1086">
        <v>617701</v>
      </c>
    </row>
    <row r="1087" spans="1:18" x14ac:dyDescent="0.25">
      <c r="A1087" s="170">
        <v>45699</v>
      </c>
      <c r="B1087" s="116">
        <v>237.995</v>
      </c>
      <c r="C1087" s="116">
        <v>226.11500000000001</v>
      </c>
      <c r="D1087" s="116">
        <v>221.26499999999999</v>
      </c>
      <c r="E1087" s="116">
        <v>237.995</v>
      </c>
      <c r="F1087" s="116">
        <v>2261.15</v>
      </c>
      <c r="G1087">
        <v>27621</v>
      </c>
      <c r="H1087" s="116"/>
      <c r="I1087" s="116"/>
      <c r="L1087" s="170">
        <v>45699</v>
      </c>
      <c r="M1087" s="116">
        <v>226.05</v>
      </c>
      <c r="N1087" s="116">
        <v>235.94499999999999</v>
      </c>
      <c r="O1087" s="116">
        <v>221.20500000000001</v>
      </c>
      <c r="P1087" s="116">
        <v>234.99</v>
      </c>
      <c r="Q1087" s="116">
        <v>2260.5</v>
      </c>
      <c r="R1087">
        <v>1137159</v>
      </c>
    </row>
    <row r="1088" spans="1:18" x14ac:dyDescent="0.25">
      <c r="A1088" s="170">
        <v>45700</v>
      </c>
      <c r="B1088" s="116">
        <v>237.875</v>
      </c>
      <c r="C1088" s="116">
        <v>234.93</v>
      </c>
      <c r="D1088" s="116">
        <v>219.5</v>
      </c>
      <c r="E1088" s="116">
        <v>228.995</v>
      </c>
      <c r="F1088" s="116">
        <v>2349.3000000000002</v>
      </c>
      <c r="G1088">
        <v>124085</v>
      </c>
      <c r="H1088" s="116"/>
      <c r="I1088" s="116"/>
      <c r="L1088" s="170">
        <v>45700</v>
      </c>
      <c r="M1088" s="116">
        <v>234.86</v>
      </c>
      <c r="N1088" s="116">
        <v>238</v>
      </c>
      <c r="O1088" s="116">
        <v>219.5</v>
      </c>
      <c r="P1088" s="116">
        <v>227.875</v>
      </c>
      <c r="Q1088" s="116">
        <v>2348.6</v>
      </c>
      <c r="R1088">
        <v>2177325</v>
      </c>
    </row>
    <row r="1089" spans="1:18" x14ac:dyDescent="0.25">
      <c r="A1089" s="170">
        <v>45701</v>
      </c>
      <c r="B1089" s="116">
        <v>237.22499999999999</v>
      </c>
      <c r="C1089" s="116">
        <v>231.13</v>
      </c>
      <c r="D1089" s="116">
        <v>230.14</v>
      </c>
      <c r="E1089" s="116">
        <v>234.93</v>
      </c>
      <c r="F1089" s="116">
        <v>2311.3000000000002</v>
      </c>
      <c r="G1089">
        <v>52310</v>
      </c>
      <c r="H1089" s="116"/>
      <c r="I1089" s="116"/>
      <c r="L1089" s="170">
        <v>45701</v>
      </c>
      <c r="M1089" s="116">
        <v>231.26</v>
      </c>
      <c r="N1089" s="116">
        <v>236.905</v>
      </c>
      <c r="O1089" s="116">
        <v>230.1</v>
      </c>
      <c r="P1089" s="116">
        <v>234.86</v>
      </c>
      <c r="Q1089" s="116">
        <v>2312.6</v>
      </c>
      <c r="R1089">
        <v>702919</v>
      </c>
    </row>
    <row r="1090" spans="1:18" x14ac:dyDescent="0.25">
      <c r="A1090" s="170">
        <v>45702</v>
      </c>
      <c r="B1090" s="116">
        <v>234.29</v>
      </c>
      <c r="C1090" s="116">
        <v>220.99</v>
      </c>
      <c r="D1090" s="116">
        <v>219.81</v>
      </c>
      <c r="E1090" s="116">
        <v>231.80500000000001</v>
      </c>
      <c r="F1090" s="116">
        <v>2209.9</v>
      </c>
      <c r="G1090">
        <v>73755</v>
      </c>
      <c r="H1090" s="116"/>
      <c r="I1090" s="116"/>
      <c r="L1090" s="170">
        <v>45702</v>
      </c>
      <c r="M1090" s="116">
        <v>220.935</v>
      </c>
      <c r="N1090" s="116">
        <v>234.125</v>
      </c>
      <c r="O1090" s="116">
        <v>219.5</v>
      </c>
      <c r="P1090" s="116">
        <v>232.69499999999999</v>
      </c>
      <c r="Q1090" s="116">
        <v>2209.35</v>
      </c>
      <c r="R1090">
        <v>906535</v>
      </c>
    </row>
    <row r="1091" spans="1:18" x14ac:dyDescent="0.25">
      <c r="A1091" s="170">
        <v>45705</v>
      </c>
      <c r="B1091" s="116">
        <v>227</v>
      </c>
      <c r="C1091" s="116">
        <v>221.12</v>
      </c>
      <c r="D1091" s="116">
        <v>214.77500000000001</v>
      </c>
      <c r="E1091" s="116">
        <v>220</v>
      </c>
      <c r="F1091" s="116">
        <v>2211.1999999999998</v>
      </c>
      <c r="G1091">
        <v>80132</v>
      </c>
      <c r="H1091" s="116"/>
      <c r="I1091" s="116"/>
      <c r="L1091" s="170">
        <v>45705</v>
      </c>
      <c r="M1091" s="116">
        <v>221.16</v>
      </c>
      <c r="N1091" s="116">
        <v>227</v>
      </c>
      <c r="O1091" s="116">
        <v>215.01</v>
      </c>
      <c r="P1091" s="116">
        <v>220.12</v>
      </c>
      <c r="Q1091" s="116">
        <v>2211.6</v>
      </c>
      <c r="R1091">
        <v>1078376</v>
      </c>
    </row>
    <row r="1092" spans="1:18" x14ac:dyDescent="0.25">
      <c r="A1092" s="170">
        <v>45706</v>
      </c>
      <c r="B1092" s="116">
        <v>222.79499999999999</v>
      </c>
      <c r="C1092" s="116">
        <v>220.98</v>
      </c>
      <c r="D1092" s="116">
        <v>216.78</v>
      </c>
      <c r="E1092" s="116">
        <v>222.79499999999999</v>
      </c>
      <c r="F1092" s="116">
        <v>2209.8000000000002</v>
      </c>
      <c r="G1092">
        <v>32589</v>
      </c>
      <c r="H1092" s="116"/>
      <c r="I1092" s="116"/>
      <c r="L1092" s="170">
        <v>45706</v>
      </c>
      <c r="M1092" s="116">
        <v>221.34</v>
      </c>
      <c r="N1092" s="116">
        <v>223.05</v>
      </c>
      <c r="O1092" s="116">
        <v>216.67500000000001</v>
      </c>
      <c r="P1092" s="116">
        <v>222</v>
      </c>
      <c r="Q1092" s="116">
        <v>2213.4</v>
      </c>
      <c r="R1092">
        <v>690499</v>
      </c>
    </row>
    <row r="1093" spans="1:18" x14ac:dyDescent="0.25">
      <c r="A1093" s="170">
        <v>45707</v>
      </c>
      <c r="B1093" s="116">
        <v>233.14</v>
      </c>
      <c r="C1093" s="116">
        <v>232.27500000000001</v>
      </c>
      <c r="D1093" s="116">
        <v>217.5</v>
      </c>
      <c r="E1093" s="116">
        <v>220.3</v>
      </c>
      <c r="F1093" s="116">
        <v>2322.75</v>
      </c>
      <c r="G1093">
        <v>39902</v>
      </c>
      <c r="H1093" s="116"/>
      <c r="I1093" s="116"/>
      <c r="L1093" s="170">
        <v>45707</v>
      </c>
      <c r="M1093" s="116">
        <v>232.125</v>
      </c>
      <c r="N1093" s="116">
        <v>233.23</v>
      </c>
      <c r="O1093" s="116">
        <v>217.215</v>
      </c>
      <c r="P1093" s="116">
        <v>220.1</v>
      </c>
      <c r="Q1093" s="116">
        <v>2321.25</v>
      </c>
      <c r="R1093">
        <v>1142407</v>
      </c>
    </row>
    <row r="1094" spans="1:18" x14ac:dyDescent="0.25">
      <c r="A1094" s="170">
        <v>45708</v>
      </c>
      <c r="B1094" s="116">
        <v>240.25</v>
      </c>
      <c r="C1094" s="116">
        <v>239.27500000000001</v>
      </c>
      <c r="D1094" s="116">
        <v>228</v>
      </c>
      <c r="E1094" s="116">
        <v>230</v>
      </c>
      <c r="F1094" s="116">
        <v>2392.75</v>
      </c>
      <c r="G1094">
        <v>68864</v>
      </c>
      <c r="H1094" s="116"/>
      <c r="I1094" s="116"/>
      <c r="L1094" s="170">
        <v>45708</v>
      </c>
      <c r="M1094" s="116">
        <v>239.28</v>
      </c>
      <c r="N1094" s="116">
        <v>240.3</v>
      </c>
      <c r="O1094" s="116">
        <v>227.905</v>
      </c>
      <c r="P1094" s="116">
        <v>229.5</v>
      </c>
      <c r="Q1094" s="116">
        <v>2392.8000000000002</v>
      </c>
      <c r="R1094">
        <v>986218</v>
      </c>
    </row>
    <row r="1095" spans="1:18" x14ac:dyDescent="0.25">
      <c r="A1095" s="170">
        <v>45709</v>
      </c>
      <c r="B1095" s="116">
        <v>244.16499999999999</v>
      </c>
      <c r="C1095" s="116">
        <v>236.005</v>
      </c>
      <c r="D1095" s="116">
        <v>233.55500000000001</v>
      </c>
      <c r="E1095" s="116">
        <v>237</v>
      </c>
      <c r="F1095" s="116">
        <v>2360.0500000000002</v>
      </c>
      <c r="G1095">
        <v>33165</v>
      </c>
      <c r="H1095" s="116"/>
      <c r="I1095" s="116"/>
      <c r="L1095" s="170">
        <v>45709</v>
      </c>
      <c r="M1095" s="116">
        <v>235.66</v>
      </c>
      <c r="N1095" s="116">
        <v>244.12</v>
      </c>
      <c r="O1095" s="116">
        <v>233.43</v>
      </c>
      <c r="P1095" s="116">
        <v>237</v>
      </c>
      <c r="Q1095" s="116">
        <v>2356.6</v>
      </c>
      <c r="R1095">
        <v>848164</v>
      </c>
    </row>
    <row r="1096" spans="1:18" x14ac:dyDescent="0.25">
      <c r="A1096" s="170">
        <v>45712</v>
      </c>
      <c r="B1096" s="116">
        <v>234.36500000000001</v>
      </c>
      <c r="C1096" s="116">
        <v>227.17</v>
      </c>
      <c r="D1096" s="116">
        <v>225.3</v>
      </c>
      <c r="E1096" s="116">
        <v>232.02500000000001</v>
      </c>
      <c r="F1096" s="116">
        <v>2271.6999999999998</v>
      </c>
      <c r="G1096">
        <v>61091</v>
      </c>
      <c r="H1096" s="116"/>
      <c r="I1096" s="116"/>
      <c r="L1096" s="170">
        <v>45712</v>
      </c>
      <c r="M1096" s="116">
        <v>227.30500000000001</v>
      </c>
      <c r="N1096" s="116">
        <v>234.39500000000001</v>
      </c>
      <c r="O1096" s="116">
        <v>225.2</v>
      </c>
      <c r="P1096" s="116">
        <v>232.935</v>
      </c>
      <c r="Q1096" s="116">
        <v>2273.0500000000002</v>
      </c>
      <c r="R1096">
        <v>976008</v>
      </c>
    </row>
    <row r="1097" spans="1:18" x14ac:dyDescent="0.25">
      <c r="A1097" s="170">
        <v>45713</v>
      </c>
      <c r="B1097" s="116">
        <v>231.11500000000001</v>
      </c>
      <c r="C1097" s="116">
        <v>221.01</v>
      </c>
      <c r="D1097" s="116">
        <v>219.7</v>
      </c>
      <c r="E1097" s="116">
        <v>228.67</v>
      </c>
      <c r="F1097" s="116">
        <v>2210.1</v>
      </c>
      <c r="G1097">
        <v>43885</v>
      </c>
      <c r="H1097" s="116"/>
      <c r="I1097" s="116"/>
      <c r="L1097" s="170">
        <v>45713</v>
      </c>
      <c r="M1097" s="116">
        <v>221.315</v>
      </c>
      <c r="N1097" s="116">
        <v>230.76499999999999</v>
      </c>
      <c r="O1097" s="116">
        <v>219.55</v>
      </c>
      <c r="P1097" s="116">
        <v>228.44</v>
      </c>
      <c r="Q1097" s="116">
        <v>2213.15</v>
      </c>
      <c r="R1097">
        <v>943432</v>
      </c>
    </row>
    <row r="1098" spans="1:18" x14ac:dyDescent="0.25">
      <c r="A1098" s="170">
        <v>45715</v>
      </c>
      <c r="B1098" s="116">
        <v>223.495</v>
      </c>
      <c r="C1098" s="116">
        <v>219.72499999999999</v>
      </c>
      <c r="D1098" s="116">
        <v>214.08</v>
      </c>
      <c r="E1098" s="116">
        <v>223.495</v>
      </c>
      <c r="F1098" s="116">
        <v>2197.25</v>
      </c>
      <c r="G1098">
        <v>47206</v>
      </c>
      <c r="H1098" s="116"/>
      <c r="I1098" s="116"/>
      <c r="L1098" s="170">
        <v>45715</v>
      </c>
      <c r="M1098" s="116">
        <v>219.58</v>
      </c>
      <c r="N1098" s="116">
        <v>223.4</v>
      </c>
      <c r="O1098" s="116">
        <v>214</v>
      </c>
      <c r="P1098" s="116">
        <v>221.315</v>
      </c>
      <c r="Q1098" s="116">
        <v>2195.8000000000002</v>
      </c>
      <c r="R1098">
        <v>1139119</v>
      </c>
    </row>
    <row r="1099" spans="1:18" x14ac:dyDescent="0.25">
      <c r="A1099" s="170">
        <v>45716</v>
      </c>
      <c r="B1099" s="116">
        <v>222.1</v>
      </c>
      <c r="C1099" s="116">
        <v>216.79499999999999</v>
      </c>
      <c r="D1099" s="116">
        <v>209.01</v>
      </c>
      <c r="E1099" s="116">
        <v>218.995</v>
      </c>
      <c r="F1099" s="116">
        <v>2167.9499999999998</v>
      </c>
      <c r="G1099">
        <v>109837</v>
      </c>
      <c r="H1099" s="116"/>
      <c r="I1099" s="116"/>
      <c r="L1099" s="170">
        <v>45716</v>
      </c>
      <c r="M1099" s="116">
        <v>216.91499999999999</v>
      </c>
      <c r="N1099" s="116">
        <v>222.29499999999999</v>
      </c>
      <c r="O1099" s="116">
        <v>209.17</v>
      </c>
      <c r="P1099" s="116">
        <v>217.995</v>
      </c>
      <c r="Q1099" s="116">
        <v>2169.15</v>
      </c>
      <c r="R1099">
        <v>1494315</v>
      </c>
    </row>
    <row r="1100" spans="1:18" x14ac:dyDescent="0.25">
      <c r="A1100" s="170">
        <v>45719</v>
      </c>
      <c r="B1100" s="116">
        <v>219.995</v>
      </c>
      <c r="C1100" s="116">
        <v>197.76499999999999</v>
      </c>
      <c r="D1100" s="116">
        <v>195.12</v>
      </c>
      <c r="E1100" s="116">
        <v>218.495</v>
      </c>
      <c r="F1100" s="116">
        <v>1977.65</v>
      </c>
      <c r="G1100">
        <v>166648</v>
      </c>
      <c r="H1100" s="116"/>
      <c r="I1100" s="116"/>
      <c r="L1100" s="170">
        <v>45719</v>
      </c>
      <c r="M1100" s="116">
        <v>197.80500000000001</v>
      </c>
      <c r="N1100" s="116">
        <v>219.94499999999999</v>
      </c>
      <c r="O1100" s="116">
        <v>195.22499999999999</v>
      </c>
      <c r="P1100" s="116">
        <v>216.9</v>
      </c>
      <c r="Q1100" s="116">
        <v>1978.05</v>
      </c>
      <c r="R1100">
        <v>3993269</v>
      </c>
    </row>
    <row r="1101" spans="1:18" x14ac:dyDescent="0.25">
      <c r="A1101" s="170">
        <v>45720</v>
      </c>
      <c r="B1101" s="116">
        <v>206.8</v>
      </c>
      <c r="C1101" s="116">
        <v>201.36500000000001</v>
      </c>
      <c r="D1101" s="116">
        <v>194.41499999999999</v>
      </c>
      <c r="E1101" s="116">
        <v>194.505</v>
      </c>
      <c r="F1101" s="116">
        <v>2013.65</v>
      </c>
      <c r="G1101">
        <v>124471</v>
      </c>
      <c r="H1101" s="116"/>
      <c r="I1101" s="116"/>
      <c r="L1101" s="170">
        <v>45720</v>
      </c>
      <c r="M1101" s="116">
        <v>201.42</v>
      </c>
      <c r="N1101" s="116">
        <v>206.84</v>
      </c>
      <c r="O1101" s="116">
        <v>194.4</v>
      </c>
      <c r="P1101" s="116">
        <v>194.9</v>
      </c>
      <c r="Q1101" s="116">
        <v>2014.2</v>
      </c>
      <c r="R1101">
        <v>2190686</v>
      </c>
    </row>
    <row r="1102" spans="1:18" x14ac:dyDescent="0.25">
      <c r="A1102" s="170">
        <v>45721</v>
      </c>
      <c r="B1102" s="116">
        <v>212.8</v>
      </c>
      <c r="C1102" s="116">
        <v>210.32499999999999</v>
      </c>
      <c r="D1102" s="116">
        <v>199.54499999999999</v>
      </c>
      <c r="E1102" s="116">
        <v>200.04</v>
      </c>
      <c r="F1102" s="116">
        <v>2103.25</v>
      </c>
      <c r="G1102">
        <v>84221</v>
      </c>
      <c r="H1102" s="116"/>
      <c r="I1102" s="116"/>
      <c r="L1102" s="170">
        <v>45721</v>
      </c>
      <c r="M1102" s="116">
        <v>210.41</v>
      </c>
      <c r="N1102" s="116">
        <v>212.82</v>
      </c>
      <c r="O1102" s="116">
        <v>199.55</v>
      </c>
      <c r="P1102" s="116">
        <v>201.4</v>
      </c>
      <c r="Q1102" s="116">
        <v>2104.1</v>
      </c>
      <c r="R1102">
        <v>1664624</v>
      </c>
    </row>
    <row r="1103" spans="1:18" x14ac:dyDescent="0.25">
      <c r="A1103" s="170">
        <v>45722</v>
      </c>
      <c r="B1103" s="116">
        <v>213.36</v>
      </c>
      <c r="C1103" s="116">
        <v>211.83500000000001</v>
      </c>
      <c r="D1103" s="116">
        <v>206.98</v>
      </c>
      <c r="E1103" s="116">
        <v>209.495</v>
      </c>
      <c r="F1103" s="116">
        <v>2118.35</v>
      </c>
      <c r="G1103">
        <v>50591</v>
      </c>
      <c r="H1103" s="116"/>
      <c r="I1103" s="116"/>
      <c r="L1103" s="170">
        <v>45722</v>
      </c>
      <c r="M1103" s="116">
        <v>211.875</v>
      </c>
      <c r="N1103" s="116">
        <v>213.2</v>
      </c>
      <c r="O1103" s="116">
        <v>207.1</v>
      </c>
      <c r="P1103" s="116">
        <v>210.41499999999999</v>
      </c>
      <c r="Q1103" s="116">
        <v>2118.75</v>
      </c>
      <c r="R1103">
        <v>1256219</v>
      </c>
    </row>
    <row r="1104" spans="1:18" x14ac:dyDescent="0.25">
      <c r="A1104" s="170">
        <v>45723</v>
      </c>
      <c r="B1104" s="116">
        <v>215.89</v>
      </c>
      <c r="C1104" s="116">
        <v>209.78</v>
      </c>
      <c r="D1104" s="116">
        <v>209</v>
      </c>
      <c r="E1104" s="116">
        <v>211.12</v>
      </c>
      <c r="F1104" s="116">
        <v>2097.8000000000002</v>
      </c>
      <c r="G1104">
        <v>34103</v>
      </c>
      <c r="H1104" s="116"/>
      <c r="I1104" s="116"/>
      <c r="L1104" s="170">
        <v>45723</v>
      </c>
      <c r="M1104" s="116">
        <v>209.8</v>
      </c>
      <c r="N1104" s="116">
        <v>215.9</v>
      </c>
      <c r="O1104" s="116">
        <v>209</v>
      </c>
      <c r="P1104" s="116">
        <v>211.7</v>
      </c>
      <c r="Q1104" s="116">
        <v>2098</v>
      </c>
      <c r="R1104">
        <v>888336</v>
      </c>
    </row>
    <row r="1105" spans="1:18" x14ac:dyDescent="0.25">
      <c r="A1105" s="170">
        <v>45726</v>
      </c>
      <c r="B1105" s="116">
        <v>212.5</v>
      </c>
      <c r="C1105" s="116">
        <v>204.27</v>
      </c>
      <c r="D1105" s="116">
        <v>203</v>
      </c>
      <c r="E1105" s="116">
        <v>208.61500000000001</v>
      </c>
      <c r="F1105" s="116">
        <v>2042.7</v>
      </c>
      <c r="G1105">
        <v>33632</v>
      </c>
      <c r="H1105" s="116"/>
      <c r="I1105" s="116"/>
      <c r="L1105" s="170">
        <v>45726</v>
      </c>
      <c r="M1105" s="116">
        <v>204.41</v>
      </c>
      <c r="N1105" s="116">
        <v>212.64500000000001</v>
      </c>
      <c r="O1105" s="116">
        <v>203</v>
      </c>
      <c r="P1105" s="116">
        <v>209.5</v>
      </c>
      <c r="Q1105" s="116">
        <v>2044.1</v>
      </c>
      <c r="R1105">
        <v>828884</v>
      </c>
    </row>
    <row r="1106" spans="1:18" x14ac:dyDescent="0.25">
      <c r="A1106" s="170">
        <v>45727</v>
      </c>
      <c r="B1106" s="116">
        <v>204</v>
      </c>
      <c r="C1106" s="116">
        <v>200.23500000000001</v>
      </c>
      <c r="D1106" s="116">
        <v>198.47499999999999</v>
      </c>
      <c r="E1106" s="116">
        <v>202.5</v>
      </c>
      <c r="F1106" s="116">
        <v>2002.35</v>
      </c>
      <c r="G1106">
        <v>50353</v>
      </c>
      <c r="H1106" s="116"/>
      <c r="I1106" s="116"/>
      <c r="L1106" s="170">
        <v>45727</v>
      </c>
      <c r="M1106" s="116">
        <v>199.86</v>
      </c>
      <c r="N1106" s="116">
        <v>202.9</v>
      </c>
      <c r="O1106" s="116">
        <v>198.6</v>
      </c>
      <c r="P1106" s="116">
        <v>201.4</v>
      </c>
      <c r="Q1106" s="116">
        <v>1998.6</v>
      </c>
      <c r="R1106">
        <v>921516</v>
      </c>
    </row>
    <row r="1107" spans="1:18" x14ac:dyDescent="0.25">
      <c r="A1107" s="170">
        <v>45728</v>
      </c>
      <c r="B1107" s="116">
        <v>204.5</v>
      </c>
      <c r="C1107" s="116">
        <v>196.18</v>
      </c>
      <c r="D1107" s="116">
        <v>195.58500000000001</v>
      </c>
      <c r="E1107" s="116">
        <v>200.36</v>
      </c>
      <c r="F1107" s="116">
        <v>1961.8</v>
      </c>
      <c r="G1107">
        <v>61649</v>
      </c>
      <c r="H1107" s="116"/>
      <c r="I1107" s="116"/>
      <c r="L1107" s="170">
        <v>45728</v>
      </c>
      <c r="M1107" s="116">
        <v>196.23</v>
      </c>
      <c r="N1107" s="116">
        <v>204.7</v>
      </c>
      <c r="O1107" s="116">
        <v>195.6</v>
      </c>
      <c r="P1107" s="116">
        <v>201.1</v>
      </c>
      <c r="Q1107" s="116">
        <v>1962.3</v>
      </c>
      <c r="R1107">
        <v>1028344</v>
      </c>
    </row>
    <row r="1108" spans="1:18" x14ac:dyDescent="0.25">
      <c r="A1108" s="170">
        <v>45729</v>
      </c>
      <c r="B1108" s="116">
        <v>200.48500000000001</v>
      </c>
      <c r="C1108" s="116">
        <v>195.285</v>
      </c>
      <c r="D1108" s="116">
        <v>194.2</v>
      </c>
      <c r="E1108" s="116">
        <v>198.5</v>
      </c>
      <c r="F1108" s="116">
        <v>1952.85</v>
      </c>
      <c r="G1108">
        <v>41346</v>
      </c>
      <c r="H1108" s="116"/>
      <c r="I1108" s="116"/>
      <c r="L1108" s="170">
        <v>45729</v>
      </c>
      <c r="M1108" s="116">
        <v>195.35</v>
      </c>
      <c r="N1108" s="116">
        <v>200.6</v>
      </c>
      <c r="O1108" s="116">
        <v>194.1</v>
      </c>
      <c r="P1108" s="116">
        <v>198.595</v>
      </c>
      <c r="Q1108" s="116">
        <v>1953.5</v>
      </c>
      <c r="R1108">
        <v>1026345</v>
      </c>
    </row>
    <row r="1109" spans="1:18" x14ac:dyDescent="0.25">
      <c r="A1109" s="170">
        <v>45733</v>
      </c>
      <c r="B1109" s="116">
        <v>199.905</v>
      </c>
      <c r="C1109" s="116">
        <v>198.08500000000001</v>
      </c>
      <c r="D1109" s="116">
        <v>195.89500000000001</v>
      </c>
      <c r="E1109" s="116">
        <v>196.03</v>
      </c>
      <c r="F1109" s="116">
        <v>1980.85</v>
      </c>
      <c r="G1109">
        <v>35508</v>
      </c>
      <c r="H1109" s="116"/>
      <c r="I1109" s="116"/>
      <c r="L1109" s="170">
        <v>45733</v>
      </c>
      <c r="M1109" s="116">
        <v>197.98500000000001</v>
      </c>
      <c r="N1109" s="116">
        <v>199.9</v>
      </c>
      <c r="O1109" s="116">
        <v>195.7</v>
      </c>
      <c r="P1109" s="116">
        <v>197.9</v>
      </c>
      <c r="Q1109" s="116">
        <v>1979.85</v>
      </c>
      <c r="R1109">
        <v>829703</v>
      </c>
    </row>
    <row r="1110" spans="1:18" x14ac:dyDescent="0.25">
      <c r="A1110" s="170">
        <v>45734</v>
      </c>
      <c r="B1110" s="116">
        <v>209.89</v>
      </c>
      <c r="C1110" s="116">
        <v>209.28</v>
      </c>
      <c r="D1110" s="116">
        <v>199.11500000000001</v>
      </c>
      <c r="E1110" s="116">
        <v>199.78</v>
      </c>
      <c r="F1110" s="116">
        <v>2092.8000000000002</v>
      </c>
      <c r="G1110">
        <v>98060</v>
      </c>
      <c r="H1110" s="116"/>
      <c r="I1110" s="116"/>
      <c r="L1110" s="170">
        <v>45734</v>
      </c>
      <c r="M1110" s="116">
        <v>209.19499999999999</v>
      </c>
      <c r="N1110" s="116">
        <v>209.9</v>
      </c>
      <c r="O1110" s="116">
        <v>199.19</v>
      </c>
      <c r="P1110" s="116">
        <v>199.6</v>
      </c>
      <c r="Q1110" s="116">
        <v>2091.9499999999998</v>
      </c>
      <c r="R1110">
        <v>1139940</v>
      </c>
    </row>
    <row r="1111" spans="1:18" x14ac:dyDescent="0.25">
      <c r="A1111" s="170">
        <v>45735</v>
      </c>
      <c r="B1111" s="116">
        <v>223</v>
      </c>
      <c r="C1111" s="116">
        <v>221.23</v>
      </c>
      <c r="D1111" s="116">
        <v>209.53</v>
      </c>
      <c r="E1111" s="116">
        <v>211.42500000000001</v>
      </c>
      <c r="F1111" s="116">
        <v>2212.3000000000002</v>
      </c>
      <c r="G1111">
        <v>144968</v>
      </c>
      <c r="H1111" s="116"/>
      <c r="I1111" s="116"/>
      <c r="L1111" s="170">
        <v>45735</v>
      </c>
      <c r="M1111" s="116">
        <v>221.535</v>
      </c>
      <c r="N1111" s="116">
        <v>223.1</v>
      </c>
      <c r="O1111" s="116">
        <v>209.55500000000001</v>
      </c>
      <c r="P1111" s="116">
        <v>210.84</v>
      </c>
      <c r="Q1111" s="116">
        <v>2215.35</v>
      </c>
      <c r="R1111">
        <v>1615739</v>
      </c>
    </row>
    <row r="1112" spans="1:18" x14ac:dyDescent="0.25">
      <c r="A1112" s="170">
        <v>45736</v>
      </c>
      <c r="B1112" s="116">
        <v>228</v>
      </c>
      <c r="C1112" s="116">
        <v>226.1</v>
      </c>
      <c r="D1112" s="116">
        <v>217.94</v>
      </c>
      <c r="E1112" s="116">
        <v>222.47</v>
      </c>
      <c r="F1112" s="116">
        <v>2261</v>
      </c>
      <c r="G1112">
        <v>82924</v>
      </c>
      <c r="H1112" s="116"/>
      <c r="I1112" s="116"/>
      <c r="L1112" s="170">
        <v>45736</v>
      </c>
      <c r="M1112" s="116">
        <v>226.28</v>
      </c>
      <c r="N1112" s="116">
        <v>228</v>
      </c>
      <c r="O1112" s="116">
        <v>217.83500000000001</v>
      </c>
      <c r="P1112" s="116">
        <v>221.995</v>
      </c>
      <c r="Q1112" s="116">
        <v>2262.8000000000002</v>
      </c>
      <c r="R1112">
        <v>1906315</v>
      </c>
    </row>
    <row r="1113" spans="1:18" x14ac:dyDescent="0.25">
      <c r="A1113" s="170">
        <v>45737</v>
      </c>
      <c r="B1113" s="116">
        <v>234.48500000000001</v>
      </c>
      <c r="C1113" s="116">
        <v>233.81</v>
      </c>
      <c r="D1113" s="116">
        <v>223.86500000000001</v>
      </c>
      <c r="E1113" s="116">
        <v>226.28</v>
      </c>
      <c r="F1113" s="116">
        <v>2338.1</v>
      </c>
      <c r="G1113">
        <v>59641</v>
      </c>
      <c r="H1113" s="116"/>
      <c r="I1113" s="116"/>
      <c r="L1113" s="170">
        <v>45737</v>
      </c>
      <c r="M1113" s="116">
        <v>233.68</v>
      </c>
      <c r="N1113" s="116">
        <v>234.44</v>
      </c>
      <c r="O1113" s="116">
        <v>223.5</v>
      </c>
      <c r="P1113" s="116">
        <v>226</v>
      </c>
      <c r="Q1113" s="116">
        <v>2336.8000000000002</v>
      </c>
      <c r="R1113">
        <v>1585395</v>
      </c>
    </row>
    <row r="1114" spans="1:18" x14ac:dyDescent="0.25">
      <c r="A1114" s="170">
        <v>45740</v>
      </c>
      <c r="B1114" s="116">
        <v>242.4</v>
      </c>
      <c r="C1114" s="116">
        <v>237.22499999999999</v>
      </c>
      <c r="D1114" s="116">
        <v>233.815</v>
      </c>
      <c r="E1114" s="116">
        <v>237.595</v>
      </c>
      <c r="F1114" s="116">
        <v>2372.25</v>
      </c>
      <c r="G1114">
        <v>123835</v>
      </c>
      <c r="H1114" s="116"/>
      <c r="I1114" s="116"/>
      <c r="L1114" s="170">
        <v>45740</v>
      </c>
      <c r="M1114" s="116">
        <v>237.495</v>
      </c>
      <c r="N1114" s="116">
        <v>242.4</v>
      </c>
      <c r="O1114" s="116">
        <v>234.12</v>
      </c>
      <c r="P1114" s="116">
        <v>235</v>
      </c>
      <c r="Q1114" s="116">
        <v>2374.9499999999998</v>
      </c>
      <c r="R1114">
        <v>1572740</v>
      </c>
    </row>
    <row r="1115" spans="1:18" x14ac:dyDescent="0.25">
      <c r="A1115" s="170">
        <v>45741</v>
      </c>
      <c r="B1115" s="116">
        <v>240.94499999999999</v>
      </c>
      <c r="C1115" s="116">
        <v>230.11</v>
      </c>
      <c r="D1115" s="116">
        <v>229.02500000000001</v>
      </c>
      <c r="E1115" s="116">
        <v>239</v>
      </c>
      <c r="F1115" s="116">
        <v>2301.1</v>
      </c>
      <c r="G1115">
        <v>57758</v>
      </c>
      <c r="H1115" s="116"/>
      <c r="I1115" s="116"/>
      <c r="L1115" s="170">
        <v>45741</v>
      </c>
      <c r="M1115" s="116">
        <v>230.14500000000001</v>
      </c>
      <c r="N1115" s="116">
        <v>239.93</v>
      </c>
      <c r="O1115" s="116">
        <v>229</v>
      </c>
      <c r="P1115" s="116">
        <v>238.62</v>
      </c>
      <c r="Q1115" s="116">
        <v>2301.4499999999998</v>
      </c>
      <c r="R1115">
        <v>998781</v>
      </c>
    </row>
    <row r="1116" spans="1:18" x14ac:dyDescent="0.25">
      <c r="A1116" s="170">
        <v>45742</v>
      </c>
      <c r="B1116" s="116">
        <v>233.59</v>
      </c>
      <c r="C1116" s="116">
        <v>232.56</v>
      </c>
      <c r="D1116" s="116">
        <v>227</v>
      </c>
      <c r="E1116" s="116">
        <v>230.2</v>
      </c>
      <c r="F1116" s="116">
        <v>2325.6</v>
      </c>
      <c r="G1116">
        <v>56955</v>
      </c>
      <c r="H1116" s="116"/>
      <c r="I1116" s="116"/>
      <c r="L1116" s="170">
        <v>45742</v>
      </c>
      <c r="M1116" s="116">
        <v>232.465</v>
      </c>
      <c r="N1116" s="116">
        <v>233.72</v>
      </c>
      <c r="O1116" s="116">
        <v>226.75</v>
      </c>
      <c r="P1116" s="116">
        <v>230.14500000000001</v>
      </c>
      <c r="Q1116" s="116">
        <v>2324.65</v>
      </c>
      <c r="R1116">
        <v>1134580</v>
      </c>
    </row>
    <row r="1117" spans="1:18" x14ac:dyDescent="0.25">
      <c r="A1117" s="170">
        <v>45743</v>
      </c>
      <c r="B1117" s="116">
        <v>235</v>
      </c>
      <c r="C1117" s="116">
        <v>231.91</v>
      </c>
      <c r="D1117" s="116">
        <v>229.63499999999999</v>
      </c>
      <c r="E1117" s="116">
        <v>231.98</v>
      </c>
      <c r="F1117" s="116">
        <v>2319.1</v>
      </c>
      <c r="G1117">
        <v>86536</v>
      </c>
      <c r="H1117" s="116"/>
      <c r="I1117" s="116"/>
      <c r="L1117" s="170">
        <v>45743</v>
      </c>
      <c r="M1117" s="116">
        <v>231.82499999999999</v>
      </c>
      <c r="N1117" s="116">
        <v>234.88</v>
      </c>
      <c r="O1117" s="116">
        <v>229.54</v>
      </c>
      <c r="P1117" s="116">
        <v>231.5</v>
      </c>
      <c r="Q1117" s="116">
        <v>2318.25</v>
      </c>
      <c r="R1117">
        <v>891101</v>
      </c>
    </row>
    <row r="1118" spans="1:18" x14ac:dyDescent="0.25">
      <c r="A1118" s="170">
        <v>45744</v>
      </c>
      <c r="B1118" s="116">
        <v>239.7</v>
      </c>
      <c r="C1118" s="116">
        <v>231.26499999999999</v>
      </c>
      <c r="D1118" s="116">
        <v>230</v>
      </c>
      <c r="E1118" s="116">
        <v>235.89500000000001</v>
      </c>
      <c r="F1118" s="116">
        <v>2312.65</v>
      </c>
      <c r="G1118">
        <v>133549</v>
      </c>
      <c r="H1118" s="116"/>
      <c r="I1118" s="116"/>
      <c r="L1118" s="170">
        <v>45744</v>
      </c>
      <c r="M1118" s="116">
        <v>231.32</v>
      </c>
      <c r="N1118" s="116">
        <v>239.8</v>
      </c>
      <c r="O1118" s="116">
        <v>230</v>
      </c>
      <c r="P1118" s="116">
        <v>233.5</v>
      </c>
      <c r="Q1118" s="116">
        <v>2313.1999999999998</v>
      </c>
      <c r="R1118">
        <v>1120190</v>
      </c>
    </row>
    <row r="1119" spans="1:18" x14ac:dyDescent="0.25">
      <c r="A1119" s="170">
        <v>45748</v>
      </c>
      <c r="B1119" s="116">
        <v>237</v>
      </c>
      <c r="C1119" s="116">
        <v>232.10499999999999</v>
      </c>
      <c r="D1119" s="116">
        <v>227.12</v>
      </c>
      <c r="E1119" s="116">
        <v>230</v>
      </c>
      <c r="F1119" s="116">
        <v>2321.0500000000002</v>
      </c>
      <c r="G1119">
        <v>36783</v>
      </c>
      <c r="H1119" s="116"/>
      <c r="I1119" s="116"/>
      <c r="L1119" s="170">
        <v>45748</v>
      </c>
      <c r="M1119" s="116">
        <v>231.79499999999999</v>
      </c>
      <c r="N1119" s="116">
        <v>237</v>
      </c>
      <c r="O1119" s="116">
        <v>227.3</v>
      </c>
      <c r="P1119" s="116">
        <v>229.8</v>
      </c>
      <c r="Q1119" s="116">
        <v>2317.9499999999998</v>
      </c>
      <c r="R1119">
        <v>848734</v>
      </c>
    </row>
    <row r="1120" spans="1:18" x14ac:dyDescent="0.25">
      <c r="A1120" s="170">
        <v>45749</v>
      </c>
      <c r="B1120" s="116">
        <v>236.57</v>
      </c>
      <c r="C1120" s="116">
        <v>235.63</v>
      </c>
      <c r="D1120" s="116">
        <v>229.59</v>
      </c>
      <c r="E1120" s="116">
        <v>232.185</v>
      </c>
      <c r="F1120" s="116">
        <v>2356.3000000000002</v>
      </c>
      <c r="G1120">
        <v>48888</v>
      </c>
      <c r="H1120" s="116"/>
      <c r="I1120" s="116"/>
      <c r="L1120" s="170">
        <v>45749</v>
      </c>
      <c r="M1120" s="116">
        <v>235.44</v>
      </c>
      <c r="N1120" s="116">
        <v>236.44499999999999</v>
      </c>
      <c r="O1120" s="116">
        <v>229.6</v>
      </c>
      <c r="P1120" s="116">
        <v>232.39500000000001</v>
      </c>
      <c r="Q1120" s="116">
        <v>2354.4</v>
      </c>
      <c r="R1120">
        <v>619679</v>
      </c>
    </row>
    <row r="1121" spans="1:18" x14ac:dyDescent="0.25">
      <c r="A1121" s="170">
        <v>45750</v>
      </c>
      <c r="B1121" s="116">
        <v>247.5</v>
      </c>
      <c r="C1121" s="116">
        <v>246.23</v>
      </c>
      <c r="D1121" s="116">
        <v>233.70500000000001</v>
      </c>
      <c r="E1121" s="116">
        <v>233.70500000000001</v>
      </c>
      <c r="F1121" s="116">
        <v>2462.3000000000002</v>
      </c>
      <c r="G1121">
        <v>165957</v>
      </c>
      <c r="H1121" s="116"/>
      <c r="I1121" s="116"/>
      <c r="L1121" s="170">
        <v>45750</v>
      </c>
      <c r="M1121" s="116">
        <v>246.16499999999999</v>
      </c>
      <c r="N1121" s="116">
        <v>247.5</v>
      </c>
      <c r="O1121" s="116">
        <v>234.01499999999999</v>
      </c>
      <c r="P1121" s="116">
        <v>235.4</v>
      </c>
      <c r="Q1121" s="116">
        <v>2461.65</v>
      </c>
      <c r="R1121">
        <v>1527588</v>
      </c>
    </row>
    <row r="1122" spans="1:18" x14ac:dyDescent="0.25">
      <c r="A1122" s="170">
        <v>45751</v>
      </c>
      <c r="B1122" s="116">
        <v>243.435</v>
      </c>
      <c r="C1122" s="116">
        <v>228.58</v>
      </c>
      <c r="D1122" s="116">
        <v>227.10499999999999</v>
      </c>
      <c r="E1122" s="116">
        <v>242.55500000000001</v>
      </c>
      <c r="F1122" s="116">
        <v>2285.8000000000002</v>
      </c>
      <c r="G1122">
        <v>198360</v>
      </c>
      <c r="H1122" s="116"/>
      <c r="I1122" s="116"/>
      <c r="L1122" s="170">
        <v>45751</v>
      </c>
      <c r="M1122" s="116">
        <v>228.54</v>
      </c>
      <c r="N1122" s="116">
        <v>243.5</v>
      </c>
      <c r="O1122" s="116">
        <v>227.1</v>
      </c>
      <c r="P1122" s="116">
        <v>242.8</v>
      </c>
      <c r="Q1122" s="116">
        <v>2285.4</v>
      </c>
      <c r="R1122">
        <v>1968968</v>
      </c>
    </row>
    <row r="1123" spans="1:18" x14ac:dyDescent="0.25">
      <c r="A1123" s="170">
        <v>45754</v>
      </c>
      <c r="B1123" s="116">
        <v>217.095</v>
      </c>
      <c r="C1123" s="116">
        <v>212.91499999999999</v>
      </c>
      <c r="D1123" s="116">
        <v>205.72499999999999</v>
      </c>
      <c r="E1123" s="116">
        <v>205.72499999999999</v>
      </c>
      <c r="F1123" s="116">
        <v>2129.15</v>
      </c>
      <c r="G1123">
        <v>169238</v>
      </c>
      <c r="H1123" s="116"/>
      <c r="I1123" s="116"/>
      <c r="L1123" s="170">
        <v>45754</v>
      </c>
      <c r="M1123" s="116">
        <v>213.04499999999999</v>
      </c>
      <c r="N1123" s="116">
        <v>217.01</v>
      </c>
      <c r="O1123" s="116">
        <v>205.7</v>
      </c>
      <c r="P1123" s="116">
        <v>205.7</v>
      </c>
      <c r="Q1123" s="116">
        <v>2130.4499999999998</v>
      </c>
      <c r="R1123">
        <v>1461380</v>
      </c>
    </row>
    <row r="1124" spans="1:18" x14ac:dyDescent="0.25">
      <c r="A1124" s="170">
        <v>45755</v>
      </c>
      <c r="B1124" s="116">
        <v>226.95</v>
      </c>
      <c r="C1124" s="116">
        <v>222.67500000000001</v>
      </c>
      <c r="D1124" s="116">
        <v>216.79499999999999</v>
      </c>
      <c r="E1124" s="116">
        <v>221.1</v>
      </c>
      <c r="F1124" s="116">
        <v>2226.75</v>
      </c>
      <c r="G1124">
        <v>76035</v>
      </c>
      <c r="H1124" s="116"/>
      <c r="I1124" s="116"/>
      <c r="L1124" s="170">
        <v>45755</v>
      </c>
      <c r="M1124" s="116">
        <v>222.57</v>
      </c>
      <c r="N1124" s="116">
        <v>227</v>
      </c>
      <c r="O1124" s="116">
        <v>216.72</v>
      </c>
      <c r="P1124" s="116">
        <v>220.14</v>
      </c>
      <c r="Q1124" s="116">
        <v>2225.6999999999998</v>
      </c>
      <c r="R1124">
        <v>1604355</v>
      </c>
    </row>
    <row r="1125" spans="1:18" x14ac:dyDescent="0.25">
      <c r="A1125" s="170">
        <v>45756</v>
      </c>
      <c r="B1125" s="116">
        <v>223.72</v>
      </c>
      <c r="C1125" s="116">
        <v>222.73</v>
      </c>
      <c r="D1125" s="116">
        <v>215.6</v>
      </c>
      <c r="E1125" s="116">
        <v>219.26</v>
      </c>
      <c r="F1125" s="116">
        <v>2227.3000000000002</v>
      </c>
      <c r="G1125">
        <v>72808</v>
      </c>
      <c r="H1125" s="116"/>
      <c r="I1125" s="116"/>
      <c r="L1125" s="170">
        <v>45756</v>
      </c>
      <c r="M1125" s="116">
        <v>222.84</v>
      </c>
      <c r="N1125" s="116">
        <v>223.8</v>
      </c>
      <c r="O1125" s="116">
        <v>215.65</v>
      </c>
      <c r="P1125" s="116">
        <v>220</v>
      </c>
      <c r="Q1125" s="116">
        <v>2228.4</v>
      </c>
      <c r="R1125">
        <v>798164</v>
      </c>
    </row>
    <row r="1126" spans="1:18" x14ac:dyDescent="0.25">
      <c r="A1126" s="170">
        <v>45758</v>
      </c>
      <c r="B1126" s="116">
        <v>231.405</v>
      </c>
      <c r="C1126" s="116">
        <v>226.27</v>
      </c>
      <c r="D1126" s="116">
        <v>225.4</v>
      </c>
      <c r="E1126" s="116">
        <v>231.405</v>
      </c>
      <c r="F1126" s="116">
        <v>2262.6999999999998</v>
      </c>
      <c r="G1126">
        <v>31064</v>
      </c>
      <c r="H1126" s="116"/>
      <c r="I1126" s="116"/>
      <c r="L1126" s="170">
        <v>45758</v>
      </c>
      <c r="M1126" s="116">
        <v>226.5</v>
      </c>
      <c r="N1126" s="116">
        <v>230.9</v>
      </c>
      <c r="O1126" s="116">
        <v>225.125</v>
      </c>
      <c r="P1126" s="116">
        <v>229.875</v>
      </c>
      <c r="Q1126" s="116">
        <v>2265</v>
      </c>
      <c r="R1126">
        <v>606686</v>
      </c>
    </row>
    <row r="1127" spans="1:18" x14ac:dyDescent="0.25">
      <c r="A1127" s="170">
        <v>45762</v>
      </c>
      <c r="B1127" s="116">
        <v>232.66</v>
      </c>
      <c r="C1127" s="116">
        <v>231.94</v>
      </c>
      <c r="D1127" s="116">
        <v>229.005</v>
      </c>
      <c r="E1127" s="116">
        <v>230.505</v>
      </c>
      <c r="F1127" s="116">
        <v>2319.4</v>
      </c>
      <c r="G1127">
        <v>27205</v>
      </c>
      <c r="H1127" s="116"/>
      <c r="I1127" s="116"/>
      <c r="L1127" s="170">
        <v>45762</v>
      </c>
      <c r="M1127" s="116">
        <v>231.84</v>
      </c>
      <c r="N1127" s="116">
        <v>232.76</v>
      </c>
      <c r="O1127" s="116">
        <v>229.02</v>
      </c>
      <c r="P1127" s="116">
        <v>230.79</v>
      </c>
      <c r="Q1127" s="116">
        <v>2318.4</v>
      </c>
      <c r="R1127">
        <v>791025</v>
      </c>
    </row>
    <row r="1128" spans="1:18" x14ac:dyDescent="0.25">
      <c r="A1128" s="170">
        <v>45763</v>
      </c>
      <c r="B1128" s="116">
        <v>237</v>
      </c>
      <c r="C1128" s="116">
        <v>235.23</v>
      </c>
      <c r="D1128" s="116">
        <v>229</v>
      </c>
      <c r="E1128" s="116">
        <v>232.3</v>
      </c>
      <c r="F1128" s="116">
        <v>2352.3000000000002</v>
      </c>
      <c r="G1128">
        <v>107522</v>
      </c>
      <c r="H1128" s="116"/>
      <c r="I1128" s="116"/>
      <c r="L1128" s="170">
        <v>45763</v>
      </c>
      <c r="M1128" s="116">
        <v>235.26</v>
      </c>
      <c r="N1128" s="116">
        <v>237.2</v>
      </c>
      <c r="O1128" s="116">
        <v>229.02</v>
      </c>
      <c r="P1128" s="116">
        <v>231</v>
      </c>
      <c r="Q1128" s="116">
        <v>2352.6</v>
      </c>
      <c r="R1128">
        <v>1266420</v>
      </c>
    </row>
    <row r="1129" spans="1:18" x14ac:dyDescent="0.25">
      <c r="A1129" s="170">
        <v>45764</v>
      </c>
      <c r="B1129" s="116">
        <v>238.58500000000001</v>
      </c>
      <c r="C1129" s="116">
        <v>235.60499999999999</v>
      </c>
      <c r="D1129" s="116">
        <v>220</v>
      </c>
      <c r="E1129" s="116">
        <v>220</v>
      </c>
      <c r="F1129" s="116">
        <v>2356.0500000000002</v>
      </c>
      <c r="G1129">
        <v>282211</v>
      </c>
      <c r="H1129" s="116"/>
      <c r="I1129" s="116"/>
      <c r="L1129" s="170">
        <v>45764</v>
      </c>
      <c r="M1129" s="116">
        <v>235.62</v>
      </c>
      <c r="N1129" s="116">
        <v>238.58</v>
      </c>
      <c r="O1129" s="116">
        <v>220.1</v>
      </c>
      <c r="P1129" s="116">
        <v>220.1</v>
      </c>
      <c r="Q1129" s="116">
        <v>2356.1999999999998</v>
      </c>
      <c r="R1129">
        <v>5558254</v>
      </c>
    </row>
    <row r="1130" spans="1:18" x14ac:dyDescent="0.25">
      <c r="A1130" s="170">
        <v>45768</v>
      </c>
      <c r="B1130" s="116">
        <v>252.48500000000001</v>
      </c>
      <c r="C1130" s="116">
        <v>246.13</v>
      </c>
      <c r="D1130" s="116">
        <v>235.51</v>
      </c>
      <c r="E1130" s="116">
        <v>236.22</v>
      </c>
      <c r="F1130" s="116">
        <v>2461.3000000000002</v>
      </c>
      <c r="G1130">
        <v>181420</v>
      </c>
      <c r="H1130" s="116"/>
      <c r="I1130" s="116"/>
      <c r="L1130" s="170">
        <v>45768</v>
      </c>
      <c r="M1130" s="116">
        <v>246.33</v>
      </c>
      <c r="N1130" s="116">
        <v>252.4</v>
      </c>
      <c r="O1130" s="116">
        <v>235.62</v>
      </c>
      <c r="P1130" s="116">
        <v>235.62</v>
      </c>
      <c r="Q1130" s="116">
        <v>2463.3000000000002</v>
      </c>
      <c r="R1130">
        <v>2904113</v>
      </c>
    </row>
    <row r="1131" spans="1:18" x14ac:dyDescent="0.25">
      <c r="A1131" s="170">
        <v>45769</v>
      </c>
      <c r="B1131" s="116">
        <v>255.53</v>
      </c>
      <c r="C1131" s="116">
        <v>252.05</v>
      </c>
      <c r="D1131" s="116">
        <v>245.55500000000001</v>
      </c>
      <c r="E1131" s="116">
        <v>246.10499999999999</v>
      </c>
      <c r="F1131" s="116">
        <v>2520.5</v>
      </c>
      <c r="G1131">
        <v>85013</v>
      </c>
      <c r="H1131" s="116"/>
      <c r="I1131" s="116"/>
      <c r="L1131" s="170">
        <v>45769</v>
      </c>
      <c r="M1131" s="116">
        <v>252.07</v>
      </c>
      <c r="N1131" s="116">
        <v>255.25</v>
      </c>
      <c r="O1131" s="116">
        <v>245.42</v>
      </c>
      <c r="P1131" s="116">
        <v>247</v>
      </c>
      <c r="Q1131" s="116">
        <v>2520.6999999999998</v>
      </c>
      <c r="R1131">
        <v>1925473</v>
      </c>
    </row>
    <row r="1132" spans="1:18" x14ac:dyDescent="0.25">
      <c r="A1132" s="170">
        <v>45770</v>
      </c>
      <c r="B1132" s="116">
        <v>254.5</v>
      </c>
      <c r="C1132" s="116">
        <v>250.52</v>
      </c>
      <c r="D1132" s="116">
        <v>241.5</v>
      </c>
      <c r="E1132" s="116">
        <v>254.07499999999999</v>
      </c>
      <c r="F1132" s="116">
        <v>2505.1999999999998</v>
      </c>
      <c r="G1132">
        <v>147514</v>
      </c>
      <c r="H1132" s="116"/>
      <c r="I1132" s="116"/>
      <c r="L1132" s="170">
        <v>45770</v>
      </c>
      <c r="M1132" s="116">
        <v>250.78</v>
      </c>
      <c r="N1132" s="116">
        <v>254.51</v>
      </c>
      <c r="O1132" s="116">
        <v>241.5</v>
      </c>
      <c r="P1132" s="116">
        <v>253.33</v>
      </c>
      <c r="Q1132" s="116">
        <v>2507.8000000000002</v>
      </c>
      <c r="R1132">
        <v>2678338</v>
      </c>
    </row>
    <row r="1133" spans="1:18" x14ac:dyDescent="0.25">
      <c r="A1133" s="170">
        <v>45771</v>
      </c>
      <c r="B1133" s="116">
        <v>254</v>
      </c>
      <c r="C1133" s="116">
        <v>249.845</v>
      </c>
      <c r="D1133" s="116">
        <v>248.505</v>
      </c>
      <c r="E1133" s="116">
        <v>251</v>
      </c>
      <c r="F1133" s="116">
        <v>2498.4499999999998</v>
      </c>
      <c r="G1133">
        <v>50013</v>
      </c>
      <c r="H1133" s="116"/>
      <c r="I1133" s="116"/>
      <c r="L1133" s="170">
        <v>45771</v>
      </c>
      <c r="M1133" s="116">
        <v>249.86</v>
      </c>
      <c r="N1133" s="116">
        <v>254.1</v>
      </c>
      <c r="O1133" s="116">
        <v>248.3</v>
      </c>
      <c r="P1133" s="116">
        <v>250.73</v>
      </c>
      <c r="Q1133" s="116">
        <v>2498.6</v>
      </c>
      <c r="R1133">
        <v>1024075</v>
      </c>
    </row>
    <row r="1134" spans="1:18" x14ac:dyDescent="0.25">
      <c r="A1134" s="170">
        <v>45772</v>
      </c>
      <c r="B1134" s="116">
        <v>251</v>
      </c>
      <c r="C1134" s="116">
        <v>233.04499999999999</v>
      </c>
      <c r="D1134" s="116">
        <v>231</v>
      </c>
      <c r="E1134" s="116">
        <v>249.96</v>
      </c>
      <c r="F1134" s="116">
        <v>2330.4499999999998</v>
      </c>
      <c r="G1134">
        <v>82518</v>
      </c>
      <c r="H1134" s="116"/>
      <c r="I1134" s="116"/>
      <c r="L1134" s="170">
        <v>45772</v>
      </c>
      <c r="M1134" s="116">
        <v>232.84</v>
      </c>
      <c r="N1134" s="116">
        <v>251.27</v>
      </c>
      <c r="O1134" s="116">
        <v>230.51</v>
      </c>
      <c r="P1134" s="116">
        <v>249.86</v>
      </c>
      <c r="Q1134" s="116">
        <v>2328.4</v>
      </c>
      <c r="R1134">
        <v>2044434</v>
      </c>
    </row>
    <row r="1135" spans="1:18" x14ac:dyDescent="0.25">
      <c r="A1135" s="170">
        <v>45775</v>
      </c>
      <c r="B1135" s="116">
        <v>237.5</v>
      </c>
      <c r="C1135" s="116">
        <v>235.32</v>
      </c>
      <c r="D1135" s="116">
        <v>232.22499999999999</v>
      </c>
      <c r="E1135" s="116">
        <v>232.22499999999999</v>
      </c>
      <c r="F1135" s="116">
        <v>2353.1999999999998</v>
      </c>
      <c r="G1135">
        <v>67534</v>
      </c>
      <c r="H1135" s="116"/>
      <c r="I1135" s="116"/>
      <c r="L1135" s="170">
        <v>45775</v>
      </c>
      <c r="M1135" s="116">
        <v>235.42</v>
      </c>
      <c r="N1135" s="116">
        <v>237.6</v>
      </c>
      <c r="O1135" s="116">
        <v>232.11</v>
      </c>
      <c r="P1135" s="116">
        <v>232.84</v>
      </c>
      <c r="Q1135" s="116">
        <v>2354.1999999999998</v>
      </c>
      <c r="R1135">
        <v>885282</v>
      </c>
    </row>
    <row r="1136" spans="1:18" x14ac:dyDescent="0.25">
      <c r="A1136" s="170">
        <v>45776</v>
      </c>
      <c r="B1136" s="116">
        <v>240.33500000000001</v>
      </c>
      <c r="C1136" s="116">
        <v>234.995</v>
      </c>
      <c r="D1136" s="116">
        <v>234.245</v>
      </c>
      <c r="E1136" s="116">
        <v>237.87</v>
      </c>
      <c r="F1136" s="116">
        <v>2349.9499999999998</v>
      </c>
      <c r="G1136">
        <v>35460</v>
      </c>
      <c r="H1136" s="116"/>
      <c r="I1136" s="116"/>
      <c r="L1136" s="170">
        <v>45776</v>
      </c>
      <c r="M1136" s="116">
        <v>235.17</v>
      </c>
      <c r="N1136" s="116">
        <v>240.5</v>
      </c>
      <c r="O1136" s="116">
        <v>234.13</v>
      </c>
      <c r="P1136" s="116">
        <v>237</v>
      </c>
      <c r="Q1136" s="116">
        <v>2351.6999999999998</v>
      </c>
      <c r="R1136">
        <v>703705</v>
      </c>
    </row>
    <row r="1137" spans="1:18" x14ac:dyDescent="0.25">
      <c r="A1137" s="170">
        <v>45777</v>
      </c>
      <c r="B1137" s="116">
        <v>235.3</v>
      </c>
      <c r="C1137" s="116">
        <v>231.37</v>
      </c>
      <c r="D1137" s="116">
        <v>230</v>
      </c>
      <c r="E1137" s="116">
        <v>235.3</v>
      </c>
      <c r="F1137" s="116">
        <v>2313.6999999999998</v>
      </c>
      <c r="G1137">
        <v>40511</v>
      </c>
      <c r="H1137" s="116"/>
      <c r="I1137" s="116"/>
      <c r="L1137" s="170">
        <v>45777</v>
      </c>
      <c r="M1137" s="116">
        <v>231.23</v>
      </c>
      <c r="N1137" s="116">
        <v>235.17</v>
      </c>
      <c r="O1137" s="116">
        <v>230</v>
      </c>
      <c r="P1137" s="116">
        <v>235</v>
      </c>
      <c r="Q1137" s="116">
        <v>2312.3000000000002</v>
      </c>
      <c r="R1137">
        <v>658488</v>
      </c>
    </row>
    <row r="1138" spans="1:18" x14ac:dyDescent="0.25">
      <c r="A1138" s="170">
        <v>45779</v>
      </c>
      <c r="B1138" s="116">
        <v>234.79</v>
      </c>
      <c r="C1138" s="116">
        <v>231.76499999999999</v>
      </c>
      <c r="D1138" s="116">
        <v>229.125</v>
      </c>
      <c r="E1138" s="116">
        <v>231.37</v>
      </c>
      <c r="F1138" s="116">
        <v>2317.65</v>
      </c>
      <c r="G1138">
        <v>58687</v>
      </c>
      <c r="H1138" s="116"/>
      <c r="I1138" s="116"/>
      <c r="L1138" s="170">
        <v>45779</v>
      </c>
      <c r="M1138" s="116">
        <v>231.88</v>
      </c>
      <c r="N1138" s="116">
        <v>234.86</v>
      </c>
      <c r="O1138" s="116">
        <v>229.51</v>
      </c>
      <c r="P1138" s="116">
        <v>231.23</v>
      </c>
      <c r="Q1138" s="116">
        <v>2318.8000000000002</v>
      </c>
      <c r="R1138">
        <v>497213</v>
      </c>
    </row>
    <row r="1139" spans="1:18" x14ac:dyDescent="0.25">
      <c r="A1139" s="170">
        <v>45782</v>
      </c>
      <c r="B1139" s="116">
        <v>239.98</v>
      </c>
      <c r="C1139" s="116">
        <v>239.23</v>
      </c>
      <c r="D1139" s="116">
        <v>230.17500000000001</v>
      </c>
      <c r="E1139" s="116">
        <v>231.84</v>
      </c>
      <c r="F1139" s="116">
        <v>2392.3000000000002</v>
      </c>
      <c r="G1139">
        <v>42593</v>
      </c>
      <c r="H1139" s="116"/>
      <c r="I1139" s="116"/>
      <c r="L1139" s="170">
        <v>45782</v>
      </c>
      <c r="M1139" s="116">
        <v>239.18</v>
      </c>
      <c r="N1139" s="116">
        <v>239.9</v>
      </c>
      <c r="O1139" s="116">
        <v>230.18</v>
      </c>
      <c r="P1139" s="116">
        <v>232.5</v>
      </c>
      <c r="Q1139" s="116">
        <v>2391.8000000000002</v>
      </c>
      <c r="R1139">
        <v>776384</v>
      </c>
    </row>
    <row r="1140" spans="1:18" x14ac:dyDescent="0.25">
      <c r="A1140" s="170">
        <v>45783</v>
      </c>
      <c r="B1140" s="116">
        <v>239.39</v>
      </c>
      <c r="C1140" s="116">
        <v>229.67500000000001</v>
      </c>
      <c r="D1140" s="116">
        <v>228.5</v>
      </c>
      <c r="E1140" s="116">
        <v>239.375</v>
      </c>
      <c r="F1140" s="116">
        <v>2296.75</v>
      </c>
      <c r="G1140">
        <v>69990</v>
      </c>
      <c r="H1140" s="116"/>
      <c r="I1140" s="116"/>
      <c r="L1140" s="170">
        <v>45783</v>
      </c>
      <c r="M1140" s="116">
        <v>229.93</v>
      </c>
      <c r="N1140" s="116">
        <v>239.59</v>
      </c>
      <c r="O1140" s="116">
        <v>228.51</v>
      </c>
      <c r="P1140" s="116">
        <v>239</v>
      </c>
      <c r="Q1140" s="116">
        <v>2299.3000000000002</v>
      </c>
      <c r="R1140">
        <v>802348</v>
      </c>
    </row>
    <row r="1141" spans="1:18" x14ac:dyDescent="0.25">
      <c r="A1141" s="170">
        <v>45784</v>
      </c>
      <c r="B1141" s="116">
        <v>240.16</v>
      </c>
      <c r="C1141" s="116">
        <v>237.29</v>
      </c>
      <c r="D1141" s="116">
        <v>225.65</v>
      </c>
      <c r="E1141" s="116">
        <v>225.65</v>
      </c>
      <c r="F1141" s="116">
        <v>2372.9</v>
      </c>
      <c r="G1141">
        <v>83446</v>
      </c>
      <c r="H1141" s="116"/>
      <c r="I1141" s="116"/>
      <c r="L1141" s="170">
        <v>45784</v>
      </c>
      <c r="M1141" s="116">
        <v>237.57</v>
      </c>
      <c r="N1141" s="116">
        <v>240.5</v>
      </c>
      <c r="O1141" s="116">
        <v>225.9</v>
      </c>
      <c r="P1141" s="116">
        <v>226.59</v>
      </c>
      <c r="Q1141" s="116">
        <v>2375.6999999999998</v>
      </c>
      <c r="R1141">
        <v>1133248</v>
      </c>
    </row>
    <row r="1142" spans="1:18" x14ac:dyDescent="0.25">
      <c r="A1142" s="170">
        <v>45785</v>
      </c>
      <c r="B1142" s="116">
        <v>242.2</v>
      </c>
      <c r="C1142" s="116">
        <v>233.38</v>
      </c>
      <c r="D1142" s="116">
        <v>231.38</v>
      </c>
      <c r="E1142" s="116">
        <v>237.3</v>
      </c>
      <c r="F1142" s="116">
        <v>2333.8000000000002</v>
      </c>
      <c r="G1142">
        <v>46814</v>
      </c>
      <c r="H1142" s="116"/>
      <c r="I1142" s="116"/>
      <c r="L1142" s="170">
        <v>45785</v>
      </c>
      <c r="M1142" s="116">
        <v>233.02</v>
      </c>
      <c r="N1142" s="116">
        <v>242.42</v>
      </c>
      <c r="O1142" s="116">
        <v>231.21</v>
      </c>
      <c r="P1142" s="116">
        <v>237.15</v>
      </c>
      <c r="Q1142" s="116">
        <v>2330.1999999999998</v>
      </c>
      <c r="R1142">
        <v>881297</v>
      </c>
    </row>
    <row r="1143" spans="1:18" x14ac:dyDescent="0.25">
      <c r="A1143" s="170">
        <v>45786</v>
      </c>
      <c r="B1143" s="116">
        <v>234.7</v>
      </c>
      <c r="C1143" s="116">
        <v>232.85</v>
      </c>
      <c r="D1143" s="116">
        <v>225.3</v>
      </c>
      <c r="E1143" s="116">
        <v>226.095</v>
      </c>
      <c r="F1143" s="116">
        <v>2328.5</v>
      </c>
      <c r="G1143">
        <v>1640451</v>
      </c>
      <c r="H1143" s="116"/>
      <c r="I1143" s="116"/>
      <c r="L1143" s="170">
        <v>45786</v>
      </c>
      <c r="M1143" s="116">
        <v>232.65</v>
      </c>
      <c r="N1143" s="116">
        <v>234.68</v>
      </c>
      <c r="O1143" s="116">
        <v>225.29</v>
      </c>
      <c r="P1143" s="116">
        <v>226.96</v>
      </c>
      <c r="Q1143" s="116">
        <v>2326.5</v>
      </c>
      <c r="R1143">
        <v>778004</v>
      </c>
    </row>
    <row r="1144" spans="1:18" x14ac:dyDescent="0.25">
      <c r="A1144" s="170">
        <v>45789</v>
      </c>
      <c r="B1144" s="116">
        <v>249.05</v>
      </c>
      <c r="C1144" s="116">
        <v>248.61500000000001</v>
      </c>
      <c r="D1144" s="116">
        <v>238.375</v>
      </c>
      <c r="E1144" s="116">
        <v>239.88</v>
      </c>
      <c r="F1144" s="116">
        <v>2486.15</v>
      </c>
      <c r="G1144">
        <v>142291</v>
      </c>
      <c r="H1144" s="116"/>
      <c r="I1144" s="116"/>
      <c r="L1144" s="170">
        <v>45789</v>
      </c>
      <c r="M1144" s="116">
        <v>248.7</v>
      </c>
      <c r="N1144" s="116">
        <v>249</v>
      </c>
      <c r="O1144" s="116">
        <v>238.61</v>
      </c>
      <c r="P1144" s="116">
        <v>239</v>
      </c>
      <c r="Q1144" s="116">
        <v>2487</v>
      </c>
      <c r="R1144">
        <v>1111128</v>
      </c>
    </row>
    <row r="1145" spans="1:18" x14ac:dyDescent="0.25">
      <c r="A1145" s="170">
        <v>45790</v>
      </c>
      <c r="B1145" s="116">
        <v>250.35499999999999</v>
      </c>
      <c r="C1145" s="116">
        <v>248.58500000000001</v>
      </c>
      <c r="D1145" s="116">
        <v>245.08</v>
      </c>
      <c r="E1145" s="116">
        <v>248.61500000000001</v>
      </c>
      <c r="F1145" s="116">
        <v>2485.85</v>
      </c>
      <c r="G1145">
        <v>61346</v>
      </c>
      <c r="H1145" s="116"/>
      <c r="I1145" s="116"/>
      <c r="L1145" s="170">
        <v>45790</v>
      </c>
      <c r="M1145" s="116">
        <v>248.76</v>
      </c>
      <c r="N1145" s="116">
        <v>250.44</v>
      </c>
      <c r="O1145" s="116">
        <v>245.22</v>
      </c>
      <c r="P1145" s="116">
        <v>248</v>
      </c>
      <c r="Q1145" s="116">
        <v>2487.6</v>
      </c>
      <c r="R1145">
        <v>673786</v>
      </c>
    </row>
    <row r="1146" spans="1:18" x14ac:dyDescent="0.25">
      <c r="A1146" s="170">
        <v>45791</v>
      </c>
      <c r="B1146" s="116">
        <v>258</v>
      </c>
      <c r="C1146" s="116">
        <v>254.965</v>
      </c>
      <c r="D1146" s="116">
        <v>248.9</v>
      </c>
      <c r="E1146" s="116">
        <v>250.32499999999999</v>
      </c>
      <c r="F1146" s="116">
        <v>2549.65</v>
      </c>
      <c r="G1146">
        <v>47346</v>
      </c>
      <c r="H1146" s="116"/>
      <c r="I1146" s="116"/>
      <c r="L1146" s="170">
        <v>45791</v>
      </c>
      <c r="M1146" s="116">
        <v>254.87</v>
      </c>
      <c r="N1146" s="116">
        <v>257.95999999999998</v>
      </c>
      <c r="O1146" s="116">
        <v>248.76</v>
      </c>
      <c r="P1146" s="116">
        <v>249.5</v>
      </c>
      <c r="Q1146" s="116">
        <v>2548.6999999999998</v>
      </c>
      <c r="R1146">
        <v>1171422</v>
      </c>
    </row>
    <row r="1147" spans="1:18" x14ac:dyDescent="0.25">
      <c r="A1147" s="170">
        <v>45792</v>
      </c>
      <c r="B1147" s="116">
        <v>260.44</v>
      </c>
      <c r="C1147" s="116">
        <v>256.48500000000001</v>
      </c>
      <c r="D1147" s="116">
        <v>255.375</v>
      </c>
      <c r="E1147" s="116">
        <v>256</v>
      </c>
      <c r="F1147" s="116">
        <v>2564.85</v>
      </c>
      <c r="G1147">
        <v>100577</v>
      </c>
      <c r="H1147" s="116"/>
      <c r="I1147" s="116"/>
      <c r="L1147" s="170">
        <v>45792</v>
      </c>
      <c r="M1147" s="116">
        <v>256.86</v>
      </c>
      <c r="N1147" s="116">
        <v>260.5</v>
      </c>
      <c r="O1147" s="116">
        <v>255.37</v>
      </c>
      <c r="P1147" s="116">
        <v>256.14</v>
      </c>
      <c r="Q1147" s="116">
        <v>2568.6</v>
      </c>
      <c r="R1147">
        <v>749941</v>
      </c>
    </row>
    <row r="1148" spans="1:18" x14ac:dyDescent="0.25">
      <c r="A1148" s="170">
        <v>45793</v>
      </c>
      <c r="B1148" s="116">
        <v>282.13</v>
      </c>
      <c r="C1148" s="116">
        <v>279.92500000000001</v>
      </c>
      <c r="D1148" s="116">
        <v>257.02</v>
      </c>
      <c r="E1148" s="116">
        <v>259.39499999999998</v>
      </c>
      <c r="F1148" s="116">
        <v>2799.25</v>
      </c>
      <c r="G1148">
        <v>195852</v>
      </c>
      <c r="H1148" s="116"/>
      <c r="I1148" s="116"/>
      <c r="L1148" s="170">
        <v>45793</v>
      </c>
      <c r="M1148" s="116">
        <v>280.06</v>
      </c>
      <c r="N1148" s="116">
        <v>282.5</v>
      </c>
      <c r="O1148" s="116">
        <v>257.10000000000002</v>
      </c>
      <c r="P1148" s="116">
        <v>257.8</v>
      </c>
      <c r="Q1148" s="116">
        <v>2800.6</v>
      </c>
      <c r="R1148">
        <v>3659347</v>
      </c>
    </row>
    <row r="1149" spans="1:18" x14ac:dyDescent="0.25">
      <c r="A1149" s="170">
        <v>45796</v>
      </c>
      <c r="B1149" s="116">
        <v>283.68</v>
      </c>
      <c r="C1149" s="116">
        <v>280.32499999999999</v>
      </c>
      <c r="D1149" s="116">
        <v>276.13</v>
      </c>
      <c r="E1149" s="116">
        <v>278.03500000000003</v>
      </c>
      <c r="F1149" s="116">
        <v>2803.25</v>
      </c>
      <c r="G1149">
        <v>45021</v>
      </c>
      <c r="H1149" s="116"/>
      <c r="I1149" s="116"/>
      <c r="L1149" s="170">
        <v>45796</v>
      </c>
      <c r="M1149" s="116">
        <v>280.23</v>
      </c>
      <c r="N1149" s="116">
        <v>283.89</v>
      </c>
      <c r="O1149" s="116">
        <v>276.10000000000002</v>
      </c>
      <c r="P1149" s="116">
        <v>280</v>
      </c>
      <c r="Q1149" s="116">
        <v>2802.3</v>
      </c>
      <c r="R1149">
        <v>1265477</v>
      </c>
    </row>
    <row r="1150" spans="1:18" x14ac:dyDescent="0.25">
      <c r="A1150" s="170">
        <v>45797</v>
      </c>
      <c r="B1150" s="116">
        <v>286.60000000000002</v>
      </c>
      <c r="C1150" s="116">
        <v>277.71499999999997</v>
      </c>
      <c r="D1150" s="116">
        <v>274.99</v>
      </c>
      <c r="E1150" s="116">
        <v>281.83999999999997</v>
      </c>
      <c r="F1150" s="116">
        <v>2777.15</v>
      </c>
      <c r="G1150">
        <v>135619</v>
      </c>
      <c r="H1150" s="116"/>
      <c r="I1150" s="116"/>
      <c r="L1150" s="170">
        <v>45797</v>
      </c>
      <c r="M1150" s="116">
        <v>277.7</v>
      </c>
      <c r="N1150" s="116">
        <v>286.7</v>
      </c>
      <c r="O1150" s="116">
        <v>274.55</v>
      </c>
      <c r="P1150" s="116">
        <v>281</v>
      </c>
      <c r="Q1150" s="116">
        <v>2777</v>
      </c>
      <c r="R1150">
        <v>1779101</v>
      </c>
    </row>
    <row r="1151" spans="1:18" x14ac:dyDescent="0.25">
      <c r="A1151" s="170">
        <v>45798</v>
      </c>
      <c r="B1151" s="116">
        <v>289.29500000000002</v>
      </c>
      <c r="C1151" s="116">
        <v>286.44</v>
      </c>
      <c r="D1151" s="116">
        <v>275.66000000000003</v>
      </c>
      <c r="E1151" s="116">
        <v>277.71499999999997</v>
      </c>
      <c r="F1151" s="116">
        <v>2864.4</v>
      </c>
      <c r="G1151">
        <v>173886</v>
      </c>
      <c r="H1151" s="116"/>
      <c r="I1151" s="116"/>
      <c r="L1151" s="170">
        <v>45798</v>
      </c>
      <c r="M1151" s="116">
        <v>286.62</v>
      </c>
      <c r="N1151" s="116">
        <v>289.37</v>
      </c>
      <c r="O1151" s="116">
        <v>275.43</v>
      </c>
      <c r="P1151" s="116">
        <v>277.7</v>
      </c>
      <c r="Q1151" s="116">
        <v>2866.2</v>
      </c>
      <c r="R1151">
        <v>1420966</v>
      </c>
    </row>
    <row r="1152" spans="1:18" x14ac:dyDescent="0.25">
      <c r="A1152" s="170">
        <v>45799</v>
      </c>
      <c r="B1152" s="116">
        <v>294.85500000000002</v>
      </c>
      <c r="C1152" s="116">
        <v>291.26</v>
      </c>
      <c r="D1152" s="116">
        <v>278.44499999999999</v>
      </c>
      <c r="E1152" s="116">
        <v>287.85500000000002</v>
      </c>
      <c r="F1152" s="116">
        <v>2912.6</v>
      </c>
      <c r="G1152">
        <v>143164</v>
      </c>
      <c r="H1152" s="116"/>
      <c r="I1152" s="116"/>
      <c r="L1152" s="170">
        <v>45799</v>
      </c>
      <c r="M1152" s="116">
        <v>291.36</v>
      </c>
      <c r="N1152" s="116">
        <v>294.8</v>
      </c>
      <c r="O1152" s="116">
        <v>278.16000000000003</v>
      </c>
      <c r="P1152" s="116">
        <v>286.60000000000002</v>
      </c>
      <c r="Q1152" s="116">
        <v>2913.6</v>
      </c>
      <c r="R1152">
        <v>2502526</v>
      </c>
    </row>
    <row r="1153" spans="1:18" x14ac:dyDescent="0.25">
      <c r="A1153" s="170">
        <v>45800</v>
      </c>
      <c r="B1153" s="116">
        <v>310.02499999999998</v>
      </c>
      <c r="C1153" s="116">
        <v>308.02499999999998</v>
      </c>
      <c r="D1153" s="116">
        <v>290.12</v>
      </c>
      <c r="E1153" s="116">
        <v>291.23500000000001</v>
      </c>
      <c r="F1153" s="116">
        <v>3080.25</v>
      </c>
      <c r="G1153">
        <v>183976</v>
      </c>
      <c r="H1153" s="116"/>
      <c r="I1153" s="116"/>
      <c r="L1153" s="170">
        <v>45800</v>
      </c>
      <c r="M1153" s="116">
        <v>307.95</v>
      </c>
      <c r="N1153" s="116">
        <v>310</v>
      </c>
      <c r="O1153" s="116">
        <v>289.81</v>
      </c>
      <c r="P1153" s="116">
        <v>290.89999999999998</v>
      </c>
      <c r="Q1153" s="116">
        <v>3079.5</v>
      </c>
      <c r="R1153">
        <v>3230371</v>
      </c>
    </row>
    <row r="1154" spans="1:18" x14ac:dyDescent="0.25">
      <c r="A1154" s="170">
        <v>45803</v>
      </c>
      <c r="B1154" s="116">
        <v>311.95999999999998</v>
      </c>
      <c r="C1154" s="116">
        <v>298.875</v>
      </c>
      <c r="D1154" s="116">
        <v>298</v>
      </c>
      <c r="E1154" s="116">
        <v>308.02499999999998</v>
      </c>
      <c r="F1154" s="116">
        <v>2988.75</v>
      </c>
      <c r="G1154">
        <v>142679</v>
      </c>
      <c r="H1154" s="116"/>
      <c r="I1154" s="116"/>
      <c r="L1154" s="170">
        <v>45803</v>
      </c>
      <c r="M1154" s="116">
        <v>298.89999999999998</v>
      </c>
      <c r="N1154" s="116">
        <v>311.89999999999998</v>
      </c>
      <c r="O1154" s="116">
        <v>297.75</v>
      </c>
      <c r="P1154" s="116">
        <v>307.81</v>
      </c>
      <c r="Q1154" s="116">
        <v>2989</v>
      </c>
      <c r="R1154">
        <v>1452015</v>
      </c>
    </row>
    <row r="1155" spans="1:18" x14ac:dyDescent="0.25">
      <c r="A1155" s="170">
        <v>45804</v>
      </c>
      <c r="B1155" s="116">
        <v>306.17500000000001</v>
      </c>
      <c r="C1155" s="116">
        <v>301.32</v>
      </c>
      <c r="D1155" s="116">
        <v>298.5</v>
      </c>
      <c r="E1155" s="116">
        <v>298.92</v>
      </c>
      <c r="F1155" s="116">
        <v>3013.2</v>
      </c>
      <c r="G1155">
        <v>78249</v>
      </c>
      <c r="H1155" s="116"/>
      <c r="I1155" s="116"/>
      <c r="L1155" s="170">
        <v>45804</v>
      </c>
      <c r="M1155" s="116">
        <v>301.29000000000002</v>
      </c>
      <c r="N1155" s="116">
        <v>306.3</v>
      </c>
      <c r="O1155" s="116">
        <v>298.5</v>
      </c>
      <c r="P1155" s="116">
        <v>299.32</v>
      </c>
      <c r="Q1155" s="116">
        <v>3012.9</v>
      </c>
      <c r="R1155">
        <v>1236314</v>
      </c>
    </row>
    <row r="1156" spans="1:18" x14ac:dyDescent="0.25">
      <c r="A1156" s="170">
        <v>45805</v>
      </c>
      <c r="B1156" s="116">
        <v>307.99</v>
      </c>
      <c r="C1156" s="116">
        <v>301.86500000000001</v>
      </c>
      <c r="D1156" s="116">
        <v>300.55</v>
      </c>
      <c r="E1156" s="116">
        <v>301.995</v>
      </c>
      <c r="F1156" s="116">
        <v>3018.65</v>
      </c>
      <c r="G1156">
        <v>90861</v>
      </c>
      <c r="H1156" s="116"/>
      <c r="I1156" s="116"/>
      <c r="L1156" s="170">
        <v>45805</v>
      </c>
      <c r="M1156" s="116">
        <v>301.82</v>
      </c>
      <c r="N1156" s="116">
        <v>308</v>
      </c>
      <c r="O1156" s="116">
        <v>300.42</v>
      </c>
      <c r="P1156" s="116">
        <v>301.61</v>
      </c>
      <c r="Q1156" s="116">
        <v>3018.2</v>
      </c>
      <c r="R1156">
        <v>1055755</v>
      </c>
    </row>
    <row r="1157" spans="1:18" x14ac:dyDescent="0.25">
      <c r="A1157" s="170">
        <v>45806</v>
      </c>
      <c r="B1157" s="116">
        <v>304.89499999999998</v>
      </c>
      <c r="C1157" s="116">
        <v>300.20999999999998</v>
      </c>
      <c r="D1157" s="116">
        <v>298.22500000000002</v>
      </c>
      <c r="E1157" s="116">
        <v>304.89499999999998</v>
      </c>
      <c r="F1157" s="116">
        <v>3002.1</v>
      </c>
      <c r="G1157">
        <v>64108</v>
      </c>
      <c r="H1157" s="116"/>
      <c r="I1157" s="116"/>
      <c r="L1157" s="170">
        <v>45806</v>
      </c>
      <c r="M1157" s="116">
        <v>300.22000000000003</v>
      </c>
      <c r="N1157" s="116">
        <v>304.8</v>
      </c>
      <c r="O1157" s="116">
        <v>298.32</v>
      </c>
      <c r="P1157" s="116">
        <v>303.33</v>
      </c>
      <c r="Q1157" s="116">
        <v>3002.2</v>
      </c>
      <c r="R1157">
        <v>583893</v>
      </c>
    </row>
    <row r="1158" spans="1:18" x14ac:dyDescent="0.25">
      <c r="A1158" s="170">
        <v>45807</v>
      </c>
      <c r="B1158" s="116">
        <v>309.43</v>
      </c>
      <c r="C1158" s="116">
        <v>303.49</v>
      </c>
      <c r="D1158" s="116">
        <v>300.10000000000002</v>
      </c>
      <c r="E1158" s="116">
        <v>300.10000000000002</v>
      </c>
      <c r="F1158" s="116">
        <v>3034.9</v>
      </c>
      <c r="G1158">
        <v>82112</v>
      </c>
      <c r="H1158" s="116"/>
      <c r="I1158" s="116"/>
      <c r="L1158" s="170">
        <v>45807</v>
      </c>
      <c r="M1158" s="116">
        <v>303.56</v>
      </c>
      <c r="N1158" s="116">
        <v>309.3</v>
      </c>
      <c r="O1158" s="116">
        <v>299.81</v>
      </c>
      <c r="P1158" s="116">
        <v>300.10000000000002</v>
      </c>
      <c r="Q1158" s="116">
        <v>3035.6</v>
      </c>
      <c r="R1158">
        <v>1045810</v>
      </c>
    </row>
    <row r="1159" spans="1:18" x14ac:dyDescent="0.25">
      <c r="A1159" s="170">
        <v>45810</v>
      </c>
      <c r="B1159" s="116">
        <v>317.28500000000003</v>
      </c>
      <c r="C1159" s="116">
        <v>314.71499999999997</v>
      </c>
      <c r="D1159" s="116">
        <v>301.85000000000002</v>
      </c>
      <c r="E1159" s="116">
        <v>303.57499999999999</v>
      </c>
      <c r="F1159" s="116">
        <v>3147.15</v>
      </c>
      <c r="G1159">
        <v>117773</v>
      </c>
      <c r="H1159" s="116"/>
      <c r="I1159" s="116"/>
      <c r="L1159" s="170">
        <v>45810</v>
      </c>
      <c r="M1159" s="116">
        <v>314.94</v>
      </c>
      <c r="N1159" s="116">
        <v>317.19</v>
      </c>
      <c r="O1159" s="116">
        <v>301.60000000000002</v>
      </c>
      <c r="P1159" s="116">
        <v>303.87</v>
      </c>
      <c r="Q1159" s="116">
        <v>3149.4</v>
      </c>
      <c r="R1159">
        <v>1703099</v>
      </c>
    </row>
    <row r="1160" spans="1:18" x14ac:dyDescent="0.25">
      <c r="A1160" s="170">
        <v>45811</v>
      </c>
      <c r="B1160" s="116">
        <v>318.97500000000002</v>
      </c>
      <c r="C1160" s="116">
        <v>310.44499999999999</v>
      </c>
      <c r="D1160" s="116">
        <v>306</v>
      </c>
      <c r="E1160" s="116">
        <v>318.97500000000002</v>
      </c>
      <c r="F1160" s="116">
        <v>3104.45</v>
      </c>
      <c r="G1160">
        <v>88679</v>
      </c>
      <c r="H1160" s="116"/>
      <c r="I1160" s="116"/>
      <c r="L1160" s="170">
        <v>45811</v>
      </c>
      <c r="M1160" s="116">
        <v>310.58</v>
      </c>
      <c r="N1160" s="116">
        <v>318.5</v>
      </c>
      <c r="O1160" s="116">
        <v>306.04000000000002</v>
      </c>
      <c r="P1160" s="116">
        <v>316.85000000000002</v>
      </c>
      <c r="Q1160" s="116">
        <v>3105.8</v>
      </c>
      <c r="R1160">
        <v>1319977</v>
      </c>
    </row>
    <row r="1161" spans="1:18" x14ac:dyDescent="0.25">
      <c r="A1161" s="170">
        <v>45812</v>
      </c>
      <c r="B1161" s="116">
        <v>314.32499999999999</v>
      </c>
      <c r="C1161" s="116">
        <v>312.91500000000002</v>
      </c>
      <c r="D1161" s="116">
        <v>308.58</v>
      </c>
      <c r="E1161" s="116">
        <v>311.38</v>
      </c>
      <c r="F1161" s="116">
        <v>3129.15</v>
      </c>
      <c r="G1161">
        <v>26994</v>
      </c>
      <c r="H1161" s="116"/>
      <c r="I1161" s="116"/>
      <c r="L1161" s="170">
        <v>45812</v>
      </c>
      <c r="M1161" s="116">
        <v>312.86</v>
      </c>
      <c r="N1161" s="116">
        <v>314.29000000000002</v>
      </c>
      <c r="O1161" s="116">
        <v>308.25</v>
      </c>
      <c r="P1161" s="116">
        <v>310</v>
      </c>
      <c r="Q1161" s="116">
        <v>3128.6</v>
      </c>
      <c r="R1161">
        <v>669560</v>
      </c>
    </row>
    <row r="1162" spans="1:18" x14ac:dyDescent="0.25">
      <c r="A1162" s="170">
        <v>45813</v>
      </c>
      <c r="B1162" s="116">
        <v>328.3</v>
      </c>
      <c r="C1162" s="116">
        <v>327.11500000000001</v>
      </c>
      <c r="D1162" s="116">
        <v>312.20499999999998</v>
      </c>
      <c r="E1162" s="116">
        <v>315.005</v>
      </c>
      <c r="F1162" s="116">
        <v>3271.15</v>
      </c>
      <c r="G1162">
        <v>208611</v>
      </c>
      <c r="H1162" s="116"/>
      <c r="I1162" s="116"/>
      <c r="L1162" s="170">
        <v>45813</v>
      </c>
      <c r="M1162" s="116">
        <v>327.17</v>
      </c>
      <c r="N1162" s="116">
        <v>328.5</v>
      </c>
      <c r="O1162" s="116">
        <v>312.11</v>
      </c>
      <c r="P1162" s="116">
        <v>315.5</v>
      </c>
      <c r="Q1162" s="116">
        <v>3271.7</v>
      </c>
      <c r="R1162">
        <v>2143988</v>
      </c>
    </row>
    <row r="1163" spans="1:18" x14ac:dyDescent="0.25">
      <c r="A1163" s="170">
        <v>45814</v>
      </c>
      <c r="B1163" s="116">
        <v>327.7</v>
      </c>
      <c r="C1163" s="116">
        <v>321.55500000000001</v>
      </c>
      <c r="D1163" s="116">
        <v>320</v>
      </c>
      <c r="E1163" s="116">
        <v>325</v>
      </c>
      <c r="F1163" s="116">
        <v>3215.55</v>
      </c>
      <c r="G1163">
        <v>53703</v>
      </c>
      <c r="H1163" s="116"/>
      <c r="I1163" s="116"/>
      <c r="L1163" s="170">
        <v>45814</v>
      </c>
      <c r="M1163" s="116">
        <v>321.7</v>
      </c>
      <c r="N1163" s="116">
        <v>327.5</v>
      </c>
      <c r="O1163" s="116">
        <v>320</v>
      </c>
      <c r="P1163" s="116">
        <v>325.2</v>
      </c>
      <c r="Q1163" s="116">
        <v>3217</v>
      </c>
      <c r="R1163">
        <v>792282</v>
      </c>
    </row>
    <row r="1164" spans="1:18" x14ac:dyDescent="0.25">
      <c r="A1164" s="170">
        <v>45817</v>
      </c>
      <c r="B1164" s="116">
        <v>328.11500000000001</v>
      </c>
      <c r="C1164" s="116">
        <v>320.14999999999998</v>
      </c>
      <c r="D1164" s="116">
        <v>319.3</v>
      </c>
      <c r="E1164" s="116">
        <v>323.16000000000003</v>
      </c>
      <c r="F1164" s="116">
        <v>3201.5</v>
      </c>
      <c r="G1164">
        <v>34867</v>
      </c>
      <c r="H1164" s="116"/>
      <c r="I1164" s="116"/>
      <c r="L1164" s="170">
        <v>45817</v>
      </c>
      <c r="M1164" s="116">
        <v>320.23</v>
      </c>
      <c r="N1164" s="116">
        <v>328.4</v>
      </c>
      <c r="O1164" s="116">
        <v>319.3</v>
      </c>
      <c r="P1164" s="116">
        <v>321.74</v>
      </c>
      <c r="Q1164" s="116">
        <v>3202.3</v>
      </c>
      <c r="R1164">
        <v>696223</v>
      </c>
    </row>
    <row r="1165" spans="1:18" x14ac:dyDescent="0.25">
      <c r="A1165" s="170">
        <v>45818</v>
      </c>
      <c r="B1165" s="116">
        <v>323.42</v>
      </c>
      <c r="C1165" s="116">
        <v>314.565</v>
      </c>
      <c r="D1165" s="116">
        <v>312.39999999999998</v>
      </c>
      <c r="E1165" s="116">
        <v>323.42</v>
      </c>
      <c r="F1165" s="116">
        <v>3145.65</v>
      </c>
      <c r="G1165">
        <v>45827</v>
      </c>
      <c r="H1165" s="116"/>
      <c r="I1165" s="116"/>
      <c r="L1165" s="170">
        <v>45818</v>
      </c>
      <c r="M1165" s="116">
        <v>314.54000000000002</v>
      </c>
      <c r="N1165" s="116">
        <v>322.08999999999997</v>
      </c>
      <c r="O1165" s="116">
        <v>312.3</v>
      </c>
      <c r="P1165" s="116">
        <v>321.8</v>
      </c>
      <c r="Q1165" s="116">
        <v>3145.4</v>
      </c>
      <c r="R1165">
        <v>728254</v>
      </c>
    </row>
    <row r="1166" spans="1:18" x14ac:dyDescent="0.25">
      <c r="A1166" s="170">
        <v>45819</v>
      </c>
      <c r="B1166" s="116">
        <v>317.32</v>
      </c>
      <c r="C1166" s="116">
        <v>311.36</v>
      </c>
      <c r="D1166" s="116">
        <v>306.46499999999997</v>
      </c>
      <c r="E1166" s="116">
        <v>315</v>
      </c>
      <c r="F1166" s="116">
        <v>3113.6</v>
      </c>
      <c r="G1166">
        <v>69312</v>
      </c>
      <c r="H1166" s="116"/>
      <c r="I1166" s="116"/>
      <c r="L1166" s="170">
        <v>45819</v>
      </c>
      <c r="M1166" s="116">
        <v>311.45</v>
      </c>
      <c r="N1166" s="116">
        <v>317.44</v>
      </c>
      <c r="O1166" s="116">
        <v>306.3</v>
      </c>
      <c r="P1166" s="116">
        <v>315.89</v>
      </c>
      <c r="Q1166" s="116">
        <v>3114.5</v>
      </c>
      <c r="R1166">
        <v>641631</v>
      </c>
    </row>
    <row r="1167" spans="1:18" x14ac:dyDescent="0.25">
      <c r="A1167" s="170">
        <v>45820</v>
      </c>
      <c r="B1167" s="116">
        <v>311.60000000000002</v>
      </c>
      <c r="C1167" s="116">
        <v>301.61500000000001</v>
      </c>
      <c r="D1167" s="116">
        <v>300.42500000000001</v>
      </c>
      <c r="E1167" s="116">
        <v>311.33999999999997</v>
      </c>
      <c r="F1167" s="116">
        <v>3016.15</v>
      </c>
      <c r="G1167">
        <v>26783</v>
      </c>
      <c r="H1167" s="116"/>
      <c r="I1167" s="116"/>
      <c r="L1167" s="170">
        <v>45820</v>
      </c>
      <c r="M1167" s="116">
        <v>301.76</v>
      </c>
      <c r="N1167" s="116">
        <v>311.93</v>
      </c>
      <c r="O1167" s="116">
        <v>300.41000000000003</v>
      </c>
      <c r="P1167" s="116">
        <v>310</v>
      </c>
      <c r="Q1167" s="116">
        <v>3017.6</v>
      </c>
      <c r="R1167">
        <v>747422</v>
      </c>
    </row>
    <row r="1168" spans="1:18" x14ac:dyDescent="0.25">
      <c r="A1168" s="170">
        <v>45821</v>
      </c>
      <c r="B1168" s="116">
        <v>298.17</v>
      </c>
      <c r="C1168" s="116">
        <v>292.58499999999998</v>
      </c>
      <c r="D1168" s="116">
        <v>290.10000000000002</v>
      </c>
      <c r="E1168" s="116">
        <v>295.63</v>
      </c>
      <c r="F1168" s="116">
        <v>2925.85</v>
      </c>
      <c r="G1168">
        <v>39339</v>
      </c>
      <c r="H1168" s="116"/>
      <c r="I1168" s="116"/>
      <c r="L1168" s="170">
        <v>45821</v>
      </c>
      <c r="M1168" s="116">
        <v>292.49</v>
      </c>
      <c r="N1168" s="116">
        <v>298.45</v>
      </c>
      <c r="O1168" s="116">
        <v>290.10000000000002</v>
      </c>
      <c r="P1168" s="116">
        <v>294.56</v>
      </c>
      <c r="Q1168" s="116">
        <v>2924.9</v>
      </c>
      <c r="R1168">
        <v>901104</v>
      </c>
    </row>
    <row r="1169" spans="1:18" x14ac:dyDescent="0.25">
      <c r="A1169" s="170">
        <v>45824</v>
      </c>
      <c r="B1169" s="116">
        <v>295.10000000000002</v>
      </c>
      <c r="C1169" s="116">
        <v>293.03500000000003</v>
      </c>
      <c r="D1169" s="116">
        <v>285</v>
      </c>
      <c r="E1169" s="116">
        <v>291.68</v>
      </c>
      <c r="F1169" s="116">
        <v>2930.35</v>
      </c>
      <c r="G1169">
        <v>65105</v>
      </c>
      <c r="H1169" s="116"/>
      <c r="I1169" s="116"/>
      <c r="L1169" s="170">
        <v>45824</v>
      </c>
      <c r="M1169" s="116">
        <v>293.05</v>
      </c>
      <c r="N1169" s="116">
        <v>295.2</v>
      </c>
      <c r="O1169" s="116">
        <v>285</v>
      </c>
      <c r="P1169" s="116">
        <v>291.99</v>
      </c>
      <c r="Q1169" s="116">
        <v>2930.5</v>
      </c>
      <c r="R1169">
        <v>781858</v>
      </c>
    </row>
    <row r="1170" spans="1:18" x14ac:dyDescent="0.25">
      <c r="A1170" s="170">
        <v>45825</v>
      </c>
      <c r="B1170" s="116">
        <v>294.58999999999997</v>
      </c>
      <c r="C1170" s="116">
        <v>287.3</v>
      </c>
      <c r="D1170" s="116">
        <v>286.10000000000002</v>
      </c>
      <c r="E1170" s="116">
        <v>293.3</v>
      </c>
      <c r="F1170" s="116">
        <v>2873</v>
      </c>
      <c r="G1170">
        <v>16767</v>
      </c>
      <c r="H1170" s="116"/>
      <c r="I1170" s="116"/>
      <c r="L1170" s="170">
        <v>45825</v>
      </c>
      <c r="M1170" s="116">
        <v>287.36</v>
      </c>
      <c r="N1170" s="116">
        <v>294.27999999999997</v>
      </c>
      <c r="O1170" s="116">
        <v>286.05</v>
      </c>
      <c r="P1170" s="116">
        <v>293.2</v>
      </c>
      <c r="Q1170" s="116">
        <v>2873.6</v>
      </c>
      <c r="R1170">
        <v>671174</v>
      </c>
    </row>
    <row r="1171" spans="1:18" x14ac:dyDescent="0.25">
      <c r="A1171" s="170">
        <v>45826</v>
      </c>
      <c r="B1171" s="116">
        <v>291.82499999999999</v>
      </c>
      <c r="C1171" s="116">
        <v>286.67</v>
      </c>
      <c r="D1171" s="116">
        <v>285.95</v>
      </c>
      <c r="E1171" s="116">
        <v>288.71499999999997</v>
      </c>
      <c r="F1171" s="116">
        <v>2866.7</v>
      </c>
      <c r="G1171">
        <v>15768</v>
      </c>
      <c r="H1171" s="116"/>
      <c r="I1171" s="116"/>
      <c r="L1171" s="170">
        <v>45826</v>
      </c>
      <c r="M1171" s="116">
        <v>286.69</v>
      </c>
      <c r="N1171" s="116">
        <v>291.91000000000003</v>
      </c>
      <c r="O1171" s="116">
        <v>285.36</v>
      </c>
      <c r="P1171" s="116">
        <v>287.36</v>
      </c>
      <c r="Q1171" s="116">
        <v>2866.9</v>
      </c>
      <c r="R1171">
        <v>552700</v>
      </c>
    </row>
    <row r="1172" spans="1:18" x14ac:dyDescent="0.25">
      <c r="A1172" s="170">
        <v>45827</v>
      </c>
      <c r="B1172" s="116">
        <v>290.89999999999998</v>
      </c>
      <c r="C1172" s="116">
        <v>278.01</v>
      </c>
      <c r="D1172" s="116">
        <v>277.49</v>
      </c>
      <c r="E1172" s="116">
        <v>287.99</v>
      </c>
      <c r="F1172" s="116">
        <v>2780.1</v>
      </c>
      <c r="G1172">
        <v>30474</v>
      </c>
      <c r="H1172" s="116"/>
      <c r="I1172" s="116"/>
      <c r="L1172" s="170">
        <v>45827</v>
      </c>
      <c r="M1172" s="116">
        <v>278.16000000000003</v>
      </c>
      <c r="N1172" s="116">
        <v>290.95</v>
      </c>
      <c r="O1172" s="116">
        <v>277.52999999999997</v>
      </c>
      <c r="P1172" s="116">
        <v>286.89999999999998</v>
      </c>
      <c r="Q1172" s="116">
        <v>2781.6</v>
      </c>
      <c r="R1172">
        <v>675724</v>
      </c>
    </row>
    <row r="1173" spans="1:18" x14ac:dyDescent="0.25">
      <c r="A1173" s="170">
        <v>45828</v>
      </c>
      <c r="B1173" s="116">
        <v>284.3</v>
      </c>
      <c r="C1173" s="116">
        <v>282.82</v>
      </c>
      <c r="D1173" s="116">
        <v>275.73</v>
      </c>
      <c r="E1173" s="116">
        <v>278.755</v>
      </c>
      <c r="F1173" s="116">
        <v>2828.2</v>
      </c>
      <c r="G1173">
        <v>38785</v>
      </c>
      <c r="H1173" s="116"/>
      <c r="I1173" s="116"/>
      <c r="L1173" s="170">
        <v>45828</v>
      </c>
      <c r="M1173" s="116">
        <v>282.77</v>
      </c>
      <c r="N1173" s="116">
        <v>284.29000000000002</v>
      </c>
      <c r="O1173" s="116">
        <v>275.8</v>
      </c>
      <c r="P1173" s="116">
        <v>278.16000000000003</v>
      </c>
      <c r="Q1173" s="116">
        <v>2827.7</v>
      </c>
      <c r="R1173">
        <v>1445536</v>
      </c>
    </row>
    <row r="1174" spans="1:18" x14ac:dyDescent="0.25">
      <c r="A1174" s="170">
        <v>45831</v>
      </c>
      <c r="B1174" s="116">
        <v>294.3</v>
      </c>
      <c r="C1174" s="116">
        <v>293.44499999999999</v>
      </c>
      <c r="D1174" s="116">
        <v>276.05</v>
      </c>
      <c r="E1174" s="116">
        <v>276.05</v>
      </c>
      <c r="F1174" s="116">
        <v>2934.45</v>
      </c>
      <c r="G1174">
        <v>73915</v>
      </c>
      <c r="H1174" s="116"/>
      <c r="I1174" s="116"/>
      <c r="L1174" s="170">
        <v>45831</v>
      </c>
      <c r="M1174" s="116">
        <v>293.5</v>
      </c>
      <c r="N1174" s="116">
        <v>294.39</v>
      </c>
      <c r="O1174" s="116">
        <v>278.18</v>
      </c>
      <c r="P1174" s="116">
        <v>280</v>
      </c>
      <c r="Q1174" s="116">
        <v>2935</v>
      </c>
      <c r="R1174">
        <v>1182629</v>
      </c>
    </row>
    <row r="1175" spans="1:18" x14ac:dyDescent="0.25">
      <c r="A1175" s="170">
        <v>45832</v>
      </c>
      <c r="B1175" s="116">
        <v>300.73500000000001</v>
      </c>
      <c r="C1175" s="116">
        <v>295.755</v>
      </c>
      <c r="D1175" s="116">
        <v>293.94499999999999</v>
      </c>
      <c r="E1175" s="116">
        <v>298.39499999999998</v>
      </c>
      <c r="F1175" s="116">
        <v>2957.55</v>
      </c>
      <c r="G1175">
        <v>59506</v>
      </c>
      <c r="H1175" s="116"/>
      <c r="I1175" s="116"/>
      <c r="L1175" s="170">
        <v>45832</v>
      </c>
      <c r="M1175" s="116">
        <v>295.73</v>
      </c>
      <c r="N1175" s="116">
        <v>300.82</v>
      </c>
      <c r="O1175" s="116">
        <v>293.8</v>
      </c>
      <c r="P1175" s="116">
        <v>298.60000000000002</v>
      </c>
      <c r="Q1175" s="116">
        <v>2957.3</v>
      </c>
      <c r="R1175">
        <v>1088835</v>
      </c>
    </row>
    <row r="1176" spans="1:18" x14ac:dyDescent="0.25">
      <c r="A1176" s="170">
        <v>45833</v>
      </c>
      <c r="B1176" s="116">
        <v>301.48500000000001</v>
      </c>
      <c r="C1176" s="116">
        <v>286.2</v>
      </c>
      <c r="D1176" s="116">
        <v>284</v>
      </c>
      <c r="E1176" s="116">
        <v>297.10000000000002</v>
      </c>
      <c r="F1176" s="116">
        <v>2862</v>
      </c>
      <c r="G1176">
        <v>93990</v>
      </c>
      <c r="H1176" s="116"/>
      <c r="I1176" s="116"/>
      <c r="L1176" s="170">
        <v>45833</v>
      </c>
      <c r="M1176" s="116">
        <v>286.13</v>
      </c>
      <c r="N1176" s="116">
        <v>301.5</v>
      </c>
      <c r="O1176" s="116">
        <v>284.14999999999998</v>
      </c>
      <c r="P1176" s="116">
        <v>296.74</v>
      </c>
      <c r="Q1176" s="116">
        <v>2861.3</v>
      </c>
      <c r="R1176">
        <v>1446907</v>
      </c>
    </row>
    <row r="1177" spans="1:18" x14ac:dyDescent="0.25">
      <c r="A1177" s="170">
        <v>45834</v>
      </c>
      <c r="B1177" s="116">
        <v>291.2</v>
      </c>
      <c r="C1177" s="116">
        <v>290.28500000000003</v>
      </c>
      <c r="D1177" s="116">
        <v>283.35000000000002</v>
      </c>
      <c r="E1177" s="116">
        <v>288.39999999999998</v>
      </c>
      <c r="F1177" s="116">
        <v>2902.85</v>
      </c>
      <c r="G1177">
        <v>75473</v>
      </c>
      <c r="H1177" s="116"/>
      <c r="I1177" s="116"/>
      <c r="L1177" s="170">
        <v>45834</v>
      </c>
      <c r="M1177" s="116">
        <v>290.3</v>
      </c>
      <c r="N1177" s="116">
        <v>291.5</v>
      </c>
      <c r="O1177" s="116">
        <v>283.17</v>
      </c>
      <c r="P1177" s="116">
        <v>288</v>
      </c>
      <c r="Q1177" s="116">
        <v>2903</v>
      </c>
      <c r="R1177">
        <v>1113413</v>
      </c>
    </row>
    <row r="1178" spans="1:18" x14ac:dyDescent="0.25">
      <c r="A1178" s="170">
        <v>45835</v>
      </c>
      <c r="B1178" s="116">
        <v>298.26499999999999</v>
      </c>
      <c r="C1178" s="116">
        <v>291.06</v>
      </c>
      <c r="D1178" s="116">
        <v>289</v>
      </c>
      <c r="E1178" s="116">
        <v>291.73500000000001</v>
      </c>
      <c r="F1178" s="116">
        <v>2910.6</v>
      </c>
      <c r="G1178">
        <v>71478</v>
      </c>
      <c r="H1178" s="116"/>
      <c r="I1178" s="116"/>
      <c r="L1178" s="170">
        <v>45835</v>
      </c>
      <c r="M1178" s="116">
        <v>291.12</v>
      </c>
      <c r="N1178" s="116">
        <v>298.3</v>
      </c>
      <c r="O1178" s="116">
        <v>288.81</v>
      </c>
      <c r="P1178" s="116">
        <v>291.75</v>
      </c>
      <c r="Q1178" s="116">
        <v>2911.2</v>
      </c>
      <c r="R1178">
        <v>1181089</v>
      </c>
    </row>
    <row r="1179" spans="1:18" x14ac:dyDescent="0.25">
      <c r="A1179" s="170">
        <v>45838</v>
      </c>
      <c r="B1179" s="116">
        <v>298.36500000000001</v>
      </c>
      <c r="C1179" s="116">
        <v>292.315</v>
      </c>
      <c r="D1179" s="116">
        <v>291.57499999999999</v>
      </c>
      <c r="E1179" s="116">
        <v>293.40499999999997</v>
      </c>
      <c r="F1179" s="116">
        <v>2923.15</v>
      </c>
      <c r="G1179">
        <v>53352</v>
      </c>
      <c r="H1179" s="116"/>
      <c r="I1179" s="116"/>
      <c r="L1179" s="170">
        <v>45838</v>
      </c>
      <c r="M1179" s="116">
        <v>292.27999999999997</v>
      </c>
      <c r="N1179" s="116">
        <v>298.3</v>
      </c>
      <c r="O1179" s="116">
        <v>291.63</v>
      </c>
      <c r="P1179" s="116">
        <v>292.7</v>
      </c>
      <c r="Q1179" s="116">
        <v>2922.8</v>
      </c>
      <c r="R1179">
        <v>899633</v>
      </c>
    </row>
    <row r="1180" spans="1:18" x14ac:dyDescent="0.25">
      <c r="A1180" s="170">
        <v>45839</v>
      </c>
      <c r="B1180" s="116">
        <v>296.89999999999998</v>
      </c>
      <c r="C1180" s="116">
        <v>296.45499999999998</v>
      </c>
      <c r="D1180" s="116">
        <v>289.41500000000002</v>
      </c>
      <c r="E1180" s="116">
        <v>292.33999999999997</v>
      </c>
      <c r="F1180" s="116">
        <v>2964.55</v>
      </c>
      <c r="G1180">
        <v>57158</v>
      </c>
      <c r="H1180" s="116"/>
      <c r="I1180" s="116"/>
      <c r="L1180" s="170">
        <v>45839</v>
      </c>
      <c r="M1180" s="116">
        <v>296.43</v>
      </c>
      <c r="N1180" s="116">
        <v>296.99</v>
      </c>
      <c r="O1180" s="116">
        <v>289.31</v>
      </c>
      <c r="P1180" s="116">
        <v>292.52</v>
      </c>
      <c r="Q1180" s="116">
        <v>2964.3</v>
      </c>
      <c r="R1180">
        <v>737669</v>
      </c>
    </row>
    <row r="1181" spans="1:18" x14ac:dyDescent="0.25">
      <c r="A1181" s="170">
        <v>45840</v>
      </c>
      <c r="B1181" s="116">
        <v>297.39999999999998</v>
      </c>
      <c r="C1181" s="116">
        <v>290.79500000000002</v>
      </c>
      <c r="D1181" s="116">
        <v>289.72000000000003</v>
      </c>
      <c r="E1181" s="116">
        <v>296.47000000000003</v>
      </c>
      <c r="F1181" s="116">
        <v>2907.95</v>
      </c>
      <c r="G1181">
        <v>54221</v>
      </c>
      <c r="H1181" s="116"/>
      <c r="I1181" s="116"/>
      <c r="L1181" s="170">
        <v>45840</v>
      </c>
      <c r="M1181" s="116">
        <v>291.33999999999997</v>
      </c>
      <c r="N1181" s="116">
        <v>297.69</v>
      </c>
      <c r="O1181" s="116">
        <v>289.7</v>
      </c>
      <c r="P1181" s="116">
        <v>297.58999999999997</v>
      </c>
      <c r="Q1181" s="116">
        <v>2913.4</v>
      </c>
      <c r="R1181">
        <v>676926</v>
      </c>
    </row>
    <row r="1182" spans="1:18" x14ac:dyDescent="0.25">
      <c r="A1182" s="170">
        <v>45841</v>
      </c>
      <c r="B1182" s="116">
        <v>295.82</v>
      </c>
      <c r="C1182" s="116">
        <v>295.04000000000002</v>
      </c>
      <c r="D1182" s="116">
        <v>292.245</v>
      </c>
      <c r="E1182" s="116">
        <v>294.02499999999998</v>
      </c>
      <c r="F1182" s="116">
        <v>2950.4</v>
      </c>
      <c r="G1182">
        <v>32358</v>
      </c>
      <c r="H1182" s="116"/>
      <c r="I1182" s="116"/>
      <c r="L1182" s="170">
        <v>45841</v>
      </c>
      <c r="M1182" s="116">
        <v>295.06</v>
      </c>
      <c r="N1182" s="116">
        <v>295.69</v>
      </c>
      <c r="O1182" s="116">
        <v>292.14</v>
      </c>
      <c r="P1182" s="116">
        <v>292.60000000000002</v>
      </c>
      <c r="Q1182" s="116">
        <v>2950.6</v>
      </c>
      <c r="R1182">
        <v>459666</v>
      </c>
    </row>
    <row r="1183" spans="1:18" x14ac:dyDescent="0.25">
      <c r="A1183" s="170">
        <v>45842</v>
      </c>
      <c r="B1183" s="116">
        <v>288.2</v>
      </c>
      <c r="C1183" s="116">
        <v>277.505</v>
      </c>
      <c r="D1183" s="116">
        <v>274</v>
      </c>
      <c r="E1183" s="116">
        <v>288</v>
      </c>
      <c r="F1183" s="116">
        <v>2775.05</v>
      </c>
      <c r="G1183">
        <v>125062</v>
      </c>
      <c r="H1183" s="116"/>
      <c r="I1183" s="116"/>
      <c r="L1183" s="170">
        <v>45842</v>
      </c>
      <c r="M1183" s="116">
        <v>277.60000000000002</v>
      </c>
      <c r="N1183" s="116">
        <v>288.5</v>
      </c>
      <c r="O1183" s="116">
        <v>273.44</v>
      </c>
      <c r="P1183" s="116">
        <v>288.5</v>
      </c>
      <c r="Q1183" s="116">
        <v>2776</v>
      </c>
      <c r="R1183">
        <v>2854583</v>
      </c>
    </row>
    <row r="1184" spans="1:18" x14ac:dyDescent="0.25">
      <c r="A1184" s="170">
        <v>45845</v>
      </c>
      <c r="B1184" s="116">
        <v>281.89999999999998</v>
      </c>
      <c r="C1184" s="116">
        <v>279.29500000000002</v>
      </c>
      <c r="D1184" s="116">
        <v>270.315</v>
      </c>
      <c r="E1184" s="116">
        <v>277.48500000000001</v>
      </c>
      <c r="F1184" s="116">
        <v>2792.95</v>
      </c>
      <c r="G1184">
        <v>54098</v>
      </c>
      <c r="H1184" s="116"/>
      <c r="I1184" s="116"/>
      <c r="L1184" s="170">
        <v>45845</v>
      </c>
      <c r="M1184" s="116">
        <v>279.44</v>
      </c>
      <c r="N1184" s="116">
        <v>281.8</v>
      </c>
      <c r="O1184" s="116">
        <v>270.18</v>
      </c>
      <c r="P1184" s="116">
        <v>276.8</v>
      </c>
      <c r="Q1184" s="116">
        <v>2794.4</v>
      </c>
      <c r="R1184">
        <v>1395129</v>
      </c>
    </row>
    <row r="1185" spans="1:18" x14ac:dyDescent="0.25">
      <c r="A1185" s="170">
        <v>45846</v>
      </c>
      <c r="B1185" s="116">
        <v>279.39499999999998</v>
      </c>
      <c r="C1185" s="116">
        <v>269.255</v>
      </c>
      <c r="D1185" s="116">
        <v>260.755</v>
      </c>
      <c r="E1185" s="116">
        <v>279.39499999999998</v>
      </c>
      <c r="F1185" s="116">
        <v>2692.55</v>
      </c>
      <c r="G1185">
        <v>104562</v>
      </c>
      <c r="H1185" s="116"/>
      <c r="I1185" s="116"/>
      <c r="L1185" s="170">
        <v>45846</v>
      </c>
      <c r="M1185" s="116">
        <v>269.26</v>
      </c>
      <c r="N1185" s="116">
        <v>279.37</v>
      </c>
      <c r="O1185" s="116">
        <v>260.77</v>
      </c>
      <c r="P1185" s="116">
        <v>278.81</v>
      </c>
      <c r="Q1185" s="116">
        <v>2692.6</v>
      </c>
      <c r="R1185">
        <v>3415921</v>
      </c>
    </row>
    <row r="1186" spans="1:18" x14ac:dyDescent="0.25">
      <c r="A1186" s="170">
        <v>45847</v>
      </c>
      <c r="B1186" s="116">
        <v>274.83</v>
      </c>
      <c r="C1186" s="116">
        <v>273.61</v>
      </c>
      <c r="D1186" s="116">
        <v>269.41000000000003</v>
      </c>
      <c r="E1186" s="116">
        <v>269.5</v>
      </c>
      <c r="F1186" s="116">
        <v>2736.1</v>
      </c>
      <c r="G1186">
        <v>36218</v>
      </c>
      <c r="H1186" s="116"/>
      <c r="I1186" s="116"/>
      <c r="L1186" s="170">
        <v>45847</v>
      </c>
      <c r="M1186" s="116">
        <v>273.54000000000002</v>
      </c>
      <c r="N1186" s="116">
        <v>274.8</v>
      </c>
      <c r="O1186" s="116">
        <v>269.5</v>
      </c>
      <c r="P1186" s="116">
        <v>269.5</v>
      </c>
      <c r="Q1186" s="116">
        <v>2735.4</v>
      </c>
      <c r="R1186">
        <v>1150871</v>
      </c>
    </row>
    <row r="1187" spans="1:18" x14ac:dyDescent="0.25">
      <c r="A1187" s="170">
        <v>45848</v>
      </c>
      <c r="B1187" s="116">
        <v>278.005</v>
      </c>
      <c r="C1187" s="116">
        <v>272.61500000000001</v>
      </c>
      <c r="D1187" s="116">
        <v>271.01499999999999</v>
      </c>
      <c r="E1187" s="116">
        <v>271.01499999999999</v>
      </c>
      <c r="F1187" s="116">
        <v>2726.15</v>
      </c>
      <c r="G1187">
        <v>44859</v>
      </c>
      <c r="H1187" s="116"/>
      <c r="I1187" s="116"/>
      <c r="L1187" s="170">
        <v>45848</v>
      </c>
      <c r="M1187" s="116">
        <v>272.74</v>
      </c>
      <c r="N1187" s="116">
        <v>278.10000000000002</v>
      </c>
      <c r="O1187" s="116">
        <v>271.5</v>
      </c>
      <c r="P1187" s="116">
        <v>273.54000000000002</v>
      </c>
      <c r="Q1187" s="116">
        <v>2727.4</v>
      </c>
      <c r="R1187">
        <v>589061</v>
      </c>
    </row>
    <row r="1188" spans="1:18" x14ac:dyDescent="0.25">
      <c r="A1188" s="170">
        <v>45849</v>
      </c>
      <c r="B1188" s="116">
        <v>275.60000000000002</v>
      </c>
      <c r="C1188" s="116">
        <v>267.745</v>
      </c>
      <c r="D1188" s="116">
        <v>266.64999999999998</v>
      </c>
      <c r="E1188" s="116">
        <v>273.435</v>
      </c>
      <c r="F1188" s="116">
        <v>2677.45</v>
      </c>
      <c r="G1188">
        <v>33527</v>
      </c>
      <c r="H1188" s="116"/>
      <c r="I1188" s="116"/>
      <c r="L1188" s="170">
        <v>45849</v>
      </c>
      <c r="M1188" s="116">
        <v>267.89</v>
      </c>
      <c r="N1188" s="116">
        <v>275.7</v>
      </c>
      <c r="O1188" s="116">
        <v>266.5</v>
      </c>
      <c r="P1188" s="116">
        <v>271.60000000000002</v>
      </c>
      <c r="Q1188" s="116">
        <v>2678.9</v>
      </c>
      <c r="R1188">
        <v>752172</v>
      </c>
    </row>
    <row r="1189" spans="1:18" x14ac:dyDescent="0.25">
      <c r="A1189" s="170">
        <v>45852</v>
      </c>
      <c r="B1189" s="116">
        <v>275.96499999999997</v>
      </c>
      <c r="C1189" s="116">
        <v>267.72500000000002</v>
      </c>
      <c r="D1189" s="116">
        <v>264.875</v>
      </c>
      <c r="E1189" s="116">
        <v>269.505</v>
      </c>
      <c r="F1189" s="116">
        <v>2677.25</v>
      </c>
      <c r="G1189">
        <v>49468</v>
      </c>
      <c r="H1189" s="116"/>
      <c r="I1189" s="116"/>
      <c r="L1189" s="170">
        <v>45852</v>
      </c>
      <c r="M1189" s="116">
        <v>267.88</v>
      </c>
      <c r="N1189" s="116">
        <v>275.89999999999998</v>
      </c>
      <c r="O1189" s="116">
        <v>264.68</v>
      </c>
      <c r="P1189" s="116">
        <v>272.5</v>
      </c>
      <c r="Q1189" s="116">
        <v>2678.8</v>
      </c>
      <c r="R1189">
        <v>1194613</v>
      </c>
    </row>
    <row r="1190" spans="1:18" x14ac:dyDescent="0.25">
      <c r="A1190" s="170">
        <v>45853</v>
      </c>
      <c r="B1190" s="116">
        <v>269.97000000000003</v>
      </c>
      <c r="C1190" s="116">
        <v>267.36500000000001</v>
      </c>
      <c r="D1190" s="116">
        <v>263.18</v>
      </c>
      <c r="E1190" s="116">
        <v>269.04500000000002</v>
      </c>
      <c r="F1190" s="116">
        <v>2673.65</v>
      </c>
      <c r="G1190">
        <v>30199</v>
      </c>
      <c r="H1190" s="116"/>
      <c r="I1190" s="116"/>
      <c r="L1190" s="170">
        <v>45853</v>
      </c>
      <c r="M1190" s="116">
        <v>267.48</v>
      </c>
      <c r="N1190" s="116">
        <v>269.89999999999998</v>
      </c>
      <c r="O1190" s="116">
        <v>263.02999999999997</v>
      </c>
      <c r="P1190" s="116">
        <v>266.91000000000003</v>
      </c>
      <c r="Q1190" s="116">
        <v>2674.8</v>
      </c>
      <c r="R1190">
        <v>892131</v>
      </c>
    </row>
    <row r="1191" spans="1:18" x14ac:dyDescent="0.25">
      <c r="A1191" s="170">
        <v>45854</v>
      </c>
      <c r="B1191" s="116">
        <v>273</v>
      </c>
      <c r="C1191" s="116">
        <v>271.52499999999998</v>
      </c>
      <c r="D1191" s="116">
        <v>266.5</v>
      </c>
      <c r="E1191" s="116">
        <v>268.42500000000001</v>
      </c>
      <c r="F1191" s="116">
        <v>2715.25</v>
      </c>
      <c r="G1191">
        <v>48775</v>
      </c>
      <c r="H1191" s="116"/>
      <c r="I1191" s="116"/>
      <c r="L1191" s="170">
        <v>45854</v>
      </c>
      <c r="M1191" s="116">
        <v>271.68</v>
      </c>
      <c r="N1191" s="116">
        <v>273.18</v>
      </c>
      <c r="O1191" s="116">
        <v>266.08</v>
      </c>
      <c r="P1191" s="116">
        <v>267.5</v>
      </c>
      <c r="Q1191" s="116">
        <v>2716.8</v>
      </c>
      <c r="R1191">
        <v>1250057</v>
      </c>
    </row>
    <row r="1192" spans="1:18" x14ac:dyDescent="0.25">
      <c r="A1192" s="170">
        <v>45855</v>
      </c>
      <c r="B1192" s="116">
        <v>279.5</v>
      </c>
      <c r="C1192" s="116">
        <v>273.89999999999998</v>
      </c>
      <c r="D1192" s="116">
        <v>271.005</v>
      </c>
      <c r="E1192" s="116">
        <v>271.505</v>
      </c>
      <c r="F1192" s="116">
        <v>2739</v>
      </c>
      <c r="G1192">
        <v>153145</v>
      </c>
      <c r="H1192" s="116"/>
      <c r="I1192" s="116"/>
      <c r="L1192" s="170">
        <v>45855</v>
      </c>
      <c r="M1192" s="116">
        <v>274.01</v>
      </c>
      <c r="N1192" s="116">
        <v>279.54000000000002</v>
      </c>
      <c r="O1192" s="116">
        <v>270.92</v>
      </c>
      <c r="P1192" s="116">
        <v>274.5</v>
      </c>
      <c r="Q1192" s="116">
        <v>2740.1</v>
      </c>
      <c r="R1192">
        <v>3027394</v>
      </c>
    </row>
    <row r="1193" spans="1:18" x14ac:dyDescent="0.25">
      <c r="A1193" s="170">
        <v>45856</v>
      </c>
      <c r="B1193" s="116">
        <v>273.36500000000001</v>
      </c>
      <c r="C1193" s="116">
        <v>267.72500000000002</v>
      </c>
      <c r="D1193" s="116">
        <v>267</v>
      </c>
      <c r="E1193" s="116">
        <v>273.18</v>
      </c>
      <c r="F1193" s="116">
        <v>2677.25</v>
      </c>
      <c r="G1193">
        <v>25221</v>
      </c>
      <c r="H1193" s="116"/>
      <c r="I1193" s="116"/>
      <c r="L1193" s="170">
        <v>45856</v>
      </c>
      <c r="M1193" s="116">
        <v>267.8</v>
      </c>
      <c r="N1193" s="116">
        <v>273.89999999999998</v>
      </c>
      <c r="O1193" s="116">
        <v>267</v>
      </c>
      <c r="P1193" s="116">
        <v>273.89999999999998</v>
      </c>
      <c r="Q1193" s="116">
        <v>2678</v>
      </c>
      <c r="R1193">
        <v>738298</v>
      </c>
    </row>
    <row r="1194" spans="1:18" x14ac:dyDescent="0.25">
      <c r="A1194" s="170">
        <v>45859</v>
      </c>
      <c r="B1194" s="116">
        <v>273.60000000000002</v>
      </c>
      <c r="C1194" s="116">
        <v>270.62</v>
      </c>
      <c r="D1194" s="116">
        <v>267.75</v>
      </c>
      <c r="E1194" s="116">
        <v>267.75</v>
      </c>
      <c r="F1194" s="116">
        <v>2706.2</v>
      </c>
      <c r="G1194">
        <v>24472</v>
      </c>
      <c r="H1194" s="116"/>
      <c r="I1194" s="116"/>
      <c r="L1194" s="170">
        <v>45859</v>
      </c>
      <c r="M1194" s="116">
        <v>270.63</v>
      </c>
      <c r="N1194" s="116">
        <v>273.60000000000002</v>
      </c>
      <c r="O1194" s="116">
        <v>267.70999999999998</v>
      </c>
      <c r="P1194" s="116">
        <v>268.04000000000002</v>
      </c>
      <c r="Q1194" s="116">
        <v>2706.3</v>
      </c>
      <c r="R1194">
        <v>551539</v>
      </c>
    </row>
    <row r="1195" spans="1:18" x14ac:dyDescent="0.25">
      <c r="A1195" s="170">
        <v>45860</v>
      </c>
      <c r="B1195" s="116">
        <v>285.2</v>
      </c>
      <c r="C1195" s="116">
        <v>280.52</v>
      </c>
      <c r="D1195" s="116">
        <v>272.95499999999998</v>
      </c>
      <c r="E1195" s="116">
        <v>274.89499999999998</v>
      </c>
      <c r="F1195" s="116">
        <v>2805.2</v>
      </c>
      <c r="G1195">
        <v>161698</v>
      </c>
      <c r="H1195" s="116"/>
      <c r="I1195" s="116"/>
      <c r="L1195" s="170">
        <v>45860</v>
      </c>
      <c r="M1195" s="116">
        <v>280.54000000000002</v>
      </c>
      <c r="N1195" s="116">
        <v>285.2</v>
      </c>
      <c r="O1195" s="116">
        <v>273</v>
      </c>
      <c r="P1195" s="116">
        <v>274</v>
      </c>
      <c r="Q1195" s="116">
        <v>2805.4</v>
      </c>
      <c r="R1195">
        <v>3433443</v>
      </c>
    </row>
    <row r="1196" spans="1:18" x14ac:dyDescent="0.25">
      <c r="A1196" s="170">
        <v>45861</v>
      </c>
      <c r="B1196" s="116">
        <v>287.20499999999998</v>
      </c>
      <c r="C1196" s="116">
        <v>282.42</v>
      </c>
      <c r="D1196" s="116">
        <v>279.23500000000001</v>
      </c>
      <c r="E1196" s="116">
        <v>281.51</v>
      </c>
      <c r="F1196" s="116">
        <v>2824.2</v>
      </c>
      <c r="G1196">
        <v>50378</v>
      </c>
      <c r="H1196" s="116"/>
      <c r="I1196" s="116"/>
      <c r="L1196" s="170">
        <v>45861</v>
      </c>
      <c r="M1196" s="116">
        <v>282.58</v>
      </c>
      <c r="N1196" s="116">
        <v>287.2</v>
      </c>
      <c r="O1196" s="116">
        <v>279.17</v>
      </c>
      <c r="P1196" s="116">
        <v>281.60000000000002</v>
      </c>
      <c r="Q1196" s="116">
        <v>2825.8</v>
      </c>
      <c r="R1196">
        <v>1497960</v>
      </c>
    </row>
    <row r="1197" spans="1:18" x14ac:dyDescent="0.25">
      <c r="A1197" s="170">
        <v>45862</v>
      </c>
      <c r="B1197" s="116">
        <v>284.995</v>
      </c>
      <c r="C1197" s="116">
        <v>279.565</v>
      </c>
      <c r="D1197" s="116">
        <v>278.58</v>
      </c>
      <c r="E1197" s="116">
        <v>283.72000000000003</v>
      </c>
      <c r="F1197" s="116">
        <v>2795.65</v>
      </c>
      <c r="G1197">
        <v>26036</v>
      </c>
      <c r="H1197" s="116"/>
      <c r="I1197" s="116"/>
      <c r="L1197" s="170">
        <v>45862</v>
      </c>
      <c r="M1197" s="116">
        <v>279.69</v>
      </c>
      <c r="N1197" s="116">
        <v>285</v>
      </c>
      <c r="O1197" s="116">
        <v>278.60000000000002</v>
      </c>
      <c r="P1197" s="116">
        <v>285</v>
      </c>
      <c r="Q1197" s="116">
        <v>2796.9</v>
      </c>
      <c r="R1197">
        <v>714875</v>
      </c>
    </row>
    <row r="1198" spans="1:18" x14ac:dyDescent="0.25">
      <c r="A1198" s="170">
        <v>45863</v>
      </c>
      <c r="B1198" s="116">
        <v>278.70999999999998</v>
      </c>
      <c r="C1198" s="116">
        <v>271.995</v>
      </c>
      <c r="D1198" s="116">
        <v>271.10000000000002</v>
      </c>
      <c r="E1198" s="116">
        <v>278.70999999999998</v>
      </c>
      <c r="F1198" s="116">
        <v>2719.95</v>
      </c>
      <c r="G1198">
        <v>21426</v>
      </c>
      <c r="H1198" s="116"/>
      <c r="I1198" s="116"/>
      <c r="L1198" s="170">
        <v>45863</v>
      </c>
      <c r="M1198" s="116">
        <v>272.01</v>
      </c>
      <c r="N1198" s="116">
        <v>278.8</v>
      </c>
      <c r="O1198" s="116">
        <v>271.2</v>
      </c>
      <c r="P1198" s="116">
        <v>278.8</v>
      </c>
      <c r="Q1198" s="116">
        <v>2720.1</v>
      </c>
      <c r="R1198">
        <v>533016</v>
      </c>
    </row>
    <row r="1199" spans="1:18" x14ac:dyDescent="0.25">
      <c r="A1199" s="170">
        <v>45866</v>
      </c>
      <c r="B1199" s="116">
        <v>274.52499999999998</v>
      </c>
      <c r="C1199" s="116">
        <v>260.51</v>
      </c>
      <c r="D1199" s="116">
        <v>259.22500000000002</v>
      </c>
      <c r="E1199" s="116">
        <v>271.09500000000003</v>
      </c>
      <c r="F1199" s="116">
        <v>2605.1</v>
      </c>
      <c r="G1199">
        <v>31116</v>
      </c>
      <c r="H1199" s="116"/>
      <c r="I1199" s="116"/>
      <c r="L1199" s="170">
        <v>45866</v>
      </c>
      <c r="M1199" s="116">
        <v>260.8</v>
      </c>
      <c r="N1199" s="116">
        <v>274.5</v>
      </c>
      <c r="O1199" s="116">
        <v>260.10000000000002</v>
      </c>
      <c r="P1199" s="116">
        <v>271</v>
      </c>
      <c r="Q1199" s="116">
        <v>2608</v>
      </c>
      <c r="R1199">
        <v>803786</v>
      </c>
    </row>
    <row r="1200" spans="1:18" x14ac:dyDescent="0.25">
      <c r="A1200" s="170">
        <v>45867</v>
      </c>
      <c r="B1200" s="116">
        <v>265.44499999999999</v>
      </c>
      <c r="C1200" s="116">
        <v>263.23</v>
      </c>
      <c r="D1200" s="116">
        <v>258.08</v>
      </c>
      <c r="E1200" s="116">
        <v>265.44499999999999</v>
      </c>
      <c r="F1200" s="116">
        <v>2632.3</v>
      </c>
      <c r="G1200">
        <v>20935</v>
      </c>
      <c r="H1200" s="116"/>
      <c r="I1200" s="116"/>
      <c r="L1200" s="170">
        <v>45867</v>
      </c>
      <c r="M1200" s="116">
        <v>263.20999999999998</v>
      </c>
      <c r="N1200" s="116">
        <v>264.89999999999998</v>
      </c>
      <c r="O1200" s="116">
        <v>258</v>
      </c>
      <c r="P1200" s="116">
        <v>260.8</v>
      </c>
      <c r="Q1200" s="116">
        <v>2632.1</v>
      </c>
      <c r="R1200">
        <v>698116</v>
      </c>
    </row>
    <row r="1201" spans="1:18" x14ac:dyDescent="0.25">
      <c r="A1201" s="170">
        <v>45868</v>
      </c>
      <c r="B1201" s="116">
        <v>265.16000000000003</v>
      </c>
      <c r="C1201" s="116">
        <v>264.10500000000002</v>
      </c>
      <c r="D1201" s="116">
        <v>260.02</v>
      </c>
      <c r="E1201" s="116">
        <v>264.51499999999999</v>
      </c>
      <c r="F1201" s="116">
        <v>2641.05</v>
      </c>
      <c r="G1201">
        <v>38056</v>
      </c>
      <c r="H1201" s="116"/>
      <c r="I1201" s="116"/>
      <c r="L1201" s="170">
        <v>45868</v>
      </c>
      <c r="M1201" s="116">
        <v>264.12</v>
      </c>
      <c r="N1201" s="116">
        <v>265.23</v>
      </c>
      <c r="O1201" s="116">
        <v>260.10000000000002</v>
      </c>
      <c r="P1201" s="116">
        <v>264.79000000000002</v>
      </c>
      <c r="Q1201" s="116">
        <v>2641.2</v>
      </c>
      <c r="R1201">
        <v>484678</v>
      </c>
    </row>
    <row r="1202" spans="1:18" x14ac:dyDescent="0.25">
      <c r="A1202" s="170">
        <v>45869</v>
      </c>
      <c r="B1202" s="116">
        <v>263.54000000000002</v>
      </c>
      <c r="C1202" s="116">
        <v>259.87</v>
      </c>
      <c r="D1202" s="116">
        <v>259</v>
      </c>
      <c r="E1202" s="116">
        <v>260.15499999999997</v>
      </c>
      <c r="F1202" s="116">
        <v>2598.6999999999998</v>
      </c>
      <c r="G1202">
        <v>16787</v>
      </c>
      <c r="H1202" s="116"/>
      <c r="I1202" s="116"/>
      <c r="L1202" s="170">
        <v>45869</v>
      </c>
      <c r="M1202" s="116">
        <v>260.08999999999997</v>
      </c>
      <c r="N1202" s="116">
        <v>263.79000000000002</v>
      </c>
      <c r="O1202" s="116">
        <v>258.89999999999998</v>
      </c>
      <c r="P1202" s="116">
        <v>261.8</v>
      </c>
      <c r="Q1202" s="116">
        <v>2600.9</v>
      </c>
      <c r="R1202">
        <v>455411</v>
      </c>
    </row>
    <row r="1203" spans="1:18" x14ac:dyDescent="0.25">
      <c r="A1203" s="170">
        <v>45870</v>
      </c>
      <c r="B1203" s="116">
        <v>265.08999999999997</v>
      </c>
      <c r="C1203" s="116">
        <v>256.77999999999997</v>
      </c>
      <c r="D1203" s="116">
        <v>256.19499999999999</v>
      </c>
      <c r="E1203" s="116">
        <v>258.22000000000003</v>
      </c>
      <c r="F1203" s="116">
        <v>2567.8000000000002</v>
      </c>
      <c r="G1203">
        <v>14900</v>
      </c>
      <c r="H1203" s="116"/>
      <c r="I1203" s="116"/>
      <c r="L1203" s="170">
        <v>45870</v>
      </c>
      <c r="M1203" s="116">
        <v>256.98</v>
      </c>
      <c r="N1203" s="116">
        <v>261.48</v>
      </c>
      <c r="O1203" s="116">
        <v>256.2</v>
      </c>
      <c r="P1203" s="116">
        <v>259.89999999999998</v>
      </c>
      <c r="Q1203" s="116">
        <v>2569.8000000000002</v>
      </c>
      <c r="R1203">
        <v>429035</v>
      </c>
    </row>
    <row r="1204" spans="1:18" x14ac:dyDescent="0.25">
      <c r="A1204" s="170">
        <v>45873</v>
      </c>
      <c r="B1204" s="116">
        <v>263.39999999999998</v>
      </c>
      <c r="C1204" s="116">
        <v>262.80500000000001</v>
      </c>
      <c r="D1204" s="116">
        <v>256</v>
      </c>
      <c r="E1204" s="116">
        <v>259.96499999999997</v>
      </c>
      <c r="F1204" s="116">
        <v>2628.05</v>
      </c>
      <c r="G1204">
        <v>14696</v>
      </c>
      <c r="H1204" s="116"/>
      <c r="I1204" s="116"/>
      <c r="L1204" s="170">
        <v>45873</v>
      </c>
      <c r="M1204" s="116">
        <v>262.76</v>
      </c>
      <c r="N1204" s="116">
        <v>263.49</v>
      </c>
      <c r="O1204" s="116">
        <v>255.87</v>
      </c>
      <c r="P1204" s="116">
        <v>257.8</v>
      </c>
      <c r="Q1204" s="116">
        <v>2627.6</v>
      </c>
      <c r="R1204">
        <v>422722</v>
      </c>
    </row>
    <row r="1205" spans="1:18" x14ac:dyDescent="0.25">
      <c r="A1205" s="170">
        <v>45874</v>
      </c>
      <c r="B1205" s="116">
        <v>266.82499999999999</v>
      </c>
      <c r="C1205" s="116">
        <v>260.41000000000003</v>
      </c>
      <c r="D1205" s="116">
        <v>255.095</v>
      </c>
      <c r="E1205" s="116">
        <v>263.57</v>
      </c>
      <c r="F1205" s="116">
        <v>2604.1</v>
      </c>
      <c r="G1205">
        <v>57785</v>
      </c>
      <c r="H1205" s="116"/>
      <c r="I1205" s="116"/>
      <c r="L1205" s="170">
        <v>45874</v>
      </c>
      <c r="M1205" s="116">
        <v>260.13</v>
      </c>
      <c r="N1205" s="116">
        <v>266.86</v>
      </c>
      <c r="O1205" s="116">
        <v>255.2</v>
      </c>
      <c r="P1205" s="116">
        <v>264</v>
      </c>
      <c r="Q1205" s="116">
        <v>2601.3000000000002</v>
      </c>
      <c r="R1205">
        <v>1020665</v>
      </c>
    </row>
    <row r="1206" spans="1:18" x14ac:dyDescent="0.25">
      <c r="A1206" s="170">
        <v>45875</v>
      </c>
      <c r="B1206" s="116">
        <v>263.8</v>
      </c>
      <c r="C1206" s="116">
        <v>260.98</v>
      </c>
      <c r="D1206" s="116">
        <v>254.3</v>
      </c>
      <c r="E1206" s="116">
        <v>260.005</v>
      </c>
      <c r="F1206" s="116">
        <v>2609.8000000000002</v>
      </c>
      <c r="G1206">
        <v>57003</v>
      </c>
      <c r="H1206" s="116"/>
      <c r="I1206" s="116"/>
      <c r="L1206" s="170">
        <v>45875</v>
      </c>
      <c r="M1206" s="116">
        <v>261.08999999999997</v>
      </c>
      <c r="N1206" s="116">
        <v>263.89999999999998</v>
      </c>
      <c r="O1206" s="116">
        <v>254.24</v>
      </c>
      <c r="P1206" s="116">
        <v>260.79000000000002</v>
      </c>
      <c r="Q1206" s="116">
        <v>2610.9</v>
      </c>
      <c r="R1206">
        <v>1180598</v>
      </c>
    </row>
    <row r="1207" spans="1:18" x14ac:dyDescent="0.25">
      <c r="A1207" s="170">
        <v>45876</v>
      </c>
      <c r="B1207" s="116">
        <v>265.10500000000002</v>
      </c>
      <c r="C1207" s="116">
        <v>264.185</v>
      </c>
      <c r="D1207" s="116">
        <v>256.625</v>
      </c>
      <c r="E1207" s="116">
        <v>256.625</v>
      </c>
      <c r="F1207" s="116">
        <v>2641.85</v>
      </c>
      <c r="G1207">
        <v>12917</v>
      </c>
      <c r="H1207" s="116"/>
      <c r="I1207" s="116"/>
      <c r="L1207" s="170">
        <v>45876</v>
      </c>
      <c r="M1207" s="116">
        <v>264.2</v>
      </c>
      <c r="N1207" s="116">
        <v>265.3</v>
      </c>
      <c r="O1207" s="116">
        <v>257.60000000000002</v>
      </c>
      <c r="P1207" s="116">
        <v>257.60000000000002</v>
      </c>
      <c r="Q1207" s="116">
        <v>2642</v>
      </c>
      <c r="R1207">
        <v>543383</v>
      </c>
    </row>
    <row r="1208" spans="1:18" x14ac:dyDescent="0.25">
      <c r="A1208" s="170">
        <v>45877</v>
      </c>
      <c r="B1208" s="116">
        <v>264.67500000000001</v>
      </c>
      <c r="C1208" s="116">
        <v>255.375</v>
      </c>
      <c r="D1208" s="116">
        <v>254.45</v>
      </c>
      <c r="E1208" s="116">
        <v>264.185</v>
      </c>
      <c r="F1208" s="116">
        <v>2553.75</v>
      </c>
      <c r="G1208">
        <v>16915</v>
      </c>
      <c r="H1208" s="116"/>
      <c r="I1208" s="116"/>
      <c r="L1208" s="170">
        <v>45877</v>
      </c>
      <c r="M1208" s="116">
        <v>255.26</v>
      </c>
      <c r="N1208" s="116">
        <v>265.27</v>
      </c>
      <c r="O1208" s="116">
        <v>254.08</v>
      </c>
      <c r="P1208" s="116">
        <v>264.48</v>
      </c>
      <c r="Q1208" s="116">
        <v>2552.6</v>
      </c>
      <c r="R1208">
        <v>537255</v>
      </c>
    </row>
    <row r="1209" spans="1:18" x14ac:dyDescent="0.25">
      <c r="A1209" s="170">
        <v>45880</v>
      </c>
      <c r="B1209" s="116">
        <v>256.505</v>
      </c>
      <c r="C1209" s="116">
        <v>254.6</v>
      </c>
      <c r="D1209" s="116">
        <v>252.07499999999999</v>
      </c>
      <c r="E1209" s="116">
        <v>254.73</v>
      </c>
      <c r="F1209" s="116">
        <v>2546</v>
      </c>
      <c r="G1209">
        <v>29768</v>
      </c>
      <c r="H1209" s="116"/>
      <c r="I1209" s="116"/>
      <c r="L1209" s="170">
        <v>45880</v>
      </c>
      <c r="M1209" s="116">
        <v>254.81</v>
      </c>
      <c r="N1209" s="116">
        <v>256.47000000000003</v>
      </c>
      <c r="O1209" s="116">
        <v>252.84</v>
      </c>
      <c r="P1209" s="116">
        <v>255</v>
      </c>
      <c r="Q1209" s="116">
        <v>2548.1</v>
      </c>
      <c r="R1209">
        <v>499389</v>
      </c>
    </row>
    <row r="1210" spans="1:18" x14ac:dyDescent="0.25">
      <c r="A1210" s="170">
        <v>45881</v>
      </c>
      <c r="B1210" s="116">
        <v>256.29000000000002</v>
      </c>
      <c r="C1210" s="116">
        <v>250.76</v>
      </c>
      <c r="D1210" s="116">
        <v>250.39</v>
      </c>
      <c r="E1210" s="116">
        <v>255.875</v>
      </c>
      <c r="F1210" s="116">
        <v>2507.6</v>
      </c>
      <c r="G1210">
        <v>14869</v>
      </c>
      <c r="H1210" s="116"/>
      <c r="I1210" s="116"/>
      <c r="L1210" s="170">
        <v>45881</v>
      </c>
      <c r="M1210" s="116">
        <v>250.68</v>
      </c>
      <c r="N1210" s="116">
        <v>256.22000000000003</v>
      </c>
      <c r="O1210" s="116">
        <v>250.2</v>
      </c>
      <c r="P1210" s="116">
        <v>255.06</v>
      </c>
      <c r="Q1210" s="116">
        <v>2506.8000000000002</v>
      </c>
      <c r="R1210">
        <v>479858</v>
      </c>
    </row>
    <row r="1211" spans="1:18" x14ac:dyDescent="0.25">
      <c r="A1211" s="170">
        <v>45882</v>
      </c>
      <c r="B1211" s="116">
        <v>263.72000000000003</v>
      </c>
      <c r="C1211" s="116">
        <v>263.15499999999997</v>
      </c>
      <c r="D1211" s="116">
        <v>251.66</v>
      </c>
      <c r="E1211" s="116">
        <v>251.66</v>
      </c>
      <c r="F1211" s="116">
        <v>2631.55</v>
      </c>
      <c r="G1211">
        <v>72284</v>
      </c>
      <c r="H1211" s="116"/>
      <c r="I1211" s="116"/>
      <c r="L1211" s="170">
        <v>45882</v>
      </c>
      <c r="M1211" s="116">
        <v>263.18</v>
      </c>
      <c r="N1211" s="116">
        <v>263.79000000000002</v>
      </c>
      <c r="O1211" s="116">
        <v>251.9</v>
      </c>
      <c r="P1211" s="116">
        <v>251.9</v>
      </c>
      <c r="Q1211" s="116">
        <v>2631.8</v>
      </c>
      <c r="R1211">
        <v>912332</v>
      </c>
    </row>
    <row r="1212" spans="1:18" x14ac:dyDescent="0.25">
      <c r="A1212" s="170">
        <v>45883</v>
      </c>
      <c r="B1212" s="116">
        <v>267.25</v>
      </c>
      <c r="C1212" s="116">
        <v>264.27</v>
      </c>
      <c r="D1212" s="116">
        <v>261.75</v>
      </c>
      <c r="E1212" s="116">
        <v>263.05500000000001</v>
      </c>
      <c r="F1212" s="116">
        <v>2642.7</v>
      </c>
      <c r="G1212">
        <v>32482</v>
      </c>
      <c r="H1212" s="116"/>
      <c r="I1212" s="116"/>
      <c r="L1212" s="170">
        <v>45883</v>
      </c>
      <c r="M1212" s="116">
        <v>264.22000000000003</v>
      </c>
      <c r="N1212" s="116">
        <v>267.33999999999997</v>
      </c>
      <c r="O1212" s="116">
        <v>261.51</v>
      </c>
      <c r="P1212" s="116">
        <v>263.18</v>
      </c>
      <c r="Q1212" s="116">
        <v>2642.2</v>
      </c>
      <c r="R1212">
        <v>731823</v>
      </c>
    </row>
    <row r="1213" spans="1:18" x14ac:dyDescent="0.25">
      <c r="A1213" s="170">
        <v>45887</v>
      </c>
      <c r="B1213" s="116">
        <v>273.60000000000002</v>
      </c>
      <c r="C1213" s="116">
        <v>266.67</v>
      </c>
      <c r="D1213" s="116">
        <v>264.39999999999998</v>
      </c>
      <c r="E1213" s="116">
        <v>265.12</v>
      </c>
      <c r="F1213" s="116">
        <v>2666.7</v>
      </c>
      <c r="G1213">
        <v>61974</v>
      </c>
      <c r="H1213" s="116"/>
      <c r="I1213" s="116"/>
      <c r="L1213" s="170">
        <v>45887</v>
      </c>
      <c r="M1213" s="116">
        <v>266.69</v>
      </c>
      <c r="N1213" s="116">
        <v>273.68</v>
      </c>
      <c r="O1213" s="116">
        <v>264.3</v>
      </c>
      <c r="P1213" s="116">
        <v>266.99</v>
      </c>
      <c r="Q1213" s="116">
        <v>2666.9</v>
      </c>
      <c r="R1213">
        <v>695745</v>
      </c>
    </row>
    <row r="1214" spans="1:18" x14ac:dyDescent="0.25">
      <c r="A1214" s="170">
        <v>45888</v>
      </c>
      <c r="B1214" s="116">
        <v>269.15499999999997</v>
      </c>
      <c r="C1214" s="116">
        <v>267.73</v>
      </c>
      <c r="D1214" s="116">
        <v>263.70499999999998</v>
      </c>
      <c r="E1214" s="116">
        <v>267.7</v>
      </c>
      <c r="F1214" s="116">
        <v>2677.3</v>
      </c>
      <c r="G1214">
        <v>17607</v>
      </c>
      <c r="H1214" s="116"/>
      <c r="I1214" s="116"/>
      <c r="L1214" s="170">
        <v>45888</v>
      </c>
      <c r="M1214" s="116">
        <v>267.77999999999997</v>
      </c>
      <c r="N1214" s="116">
        <v>269.08999999999997</v>
      </c>
      <c r="O1214" s="116">
        <v>263.7</v>
      </c>
      <c r="P1214" s="116">
        <v>267.5</v>
      </c>
      <c r="Q1214" s="116">
        <v>2677.8</v>
      </c>
      <c r="R1214">
        <v>454427</v>
      </c>
    </row>
    <row r="1215" spans="1:18" x14ac:dyDescent="0.25">
      <c r="A1215" s="170">
        <v>45889</v>
      </c>
      <c r="B1215" s="116">
        <v>272.7</v>
      </c>
      <c r="C1215" s="116">
        <v>272.09500000000003</v>
      </c>
      <c r="D1215" s="116">
        <v>264.8</v>
      </c>
      <c r="E1215" s="116">
        <v>265.60500000000002</v>
      </c>
      <c r="F1215" s="116">
        <v>2720.95</v>
      </c>
      <c r="G1215">
        <v>18850</v>
      </c>
      <c r="H1215" s="116"/>
      <c r="I1215" s="116"/>
      <c r="L1215" s="170">
        <v>45889</v>
      </c>
      <c r="M1215" s="116">
        <v>272.08</v>
      </c>
      <c r="N1215" s="116">
        <v>272.75</v>
      </c>
      <c r="O1215" s="116">
        <v>264.70999999999998</v>
      </c>
      <c r="P1215" s="116">
        <v>268.16000000000003</v>
      </c>
      <c r="Q1215" s="116">
        <v>2720.8</v>
      </c>
      <c r="R1215">
        <v>658250</v>
      </c>
    </row>
    <row r="1216" spans="1:18" x14ac:dyDescent="0.25">
      <c r="A1216" s="170">
        <v>45890</v>
      </c>
      <c r="B1216" s="116">
        <v>273.45499999999998</v>
      </c>
      <c r="C1216" s="116">
        <v>253.905</v>
      </c>
      <c r="D1216" s="116">
        <v>253.01499999999999</v>
      </c>
      <c r="E1216" s="116">
        <v>272.47500000000002</v>
      </c>
      <c r="F1216" s="116">
        <v>2539.0500000000002</v>
      </c>
      <c r="G1216">
        <v>183953</v>
      </c>
      <c r="H1216" s="116"/>
      <c r="I1216" s="116"/>
      <c r="L1216" s="170">
        <v>45890</v>
      </c>
      <c r="M1216" s="116">
        <v>253.78</v>
      </c>
      <c r="N1216" s="116">
        <v>273.5</v>
      </c>
      <c r="O1216" s="116">
        <v>252.96</v>
      </c>
      <c r="P1216" s="116">
        <v>272.08</v>
      </c>
      <c r="Q1216" s="116">
        <v>2537.8000000000002</v>
      </c>
      <c r="R1216">
        <v>2567524</v>
      </c>
    </row>
    <row r="1217" spans="1:18" x14ac:dyDescent="0.25">
      <c r="A1217" s="170">
        <v>45891</v>
      </c>
      <c r="B1217" s="116">
        <v>256.8</v>
      </c>
      <c r="C1217" s="116">
        <v>251.86500000000001</v>
      </c>
      <c r="D1217" s="116">
        <v>250.86500000000001</v>
      </c>
      <c r="E1217" s="116">
        <v>255.77</v>
      </c>
      <c r="F1217" s="116">
        <v>2518.65</v>
      </c>
      <c r="G1217">
        <v>70359</v>
      </c>
      <c r="H1217" s="116"/>
      <c r="I1217" s="116"/>
      <c r="L1217" s="170">
        <v>45891</v>
      </c>
      <c r="M1217" s="116">
        <v>251.86</v>
      </c>
      <c r="N1217" s="116">
        <v>256.8</v>
      </c>
      <c r="O1217" s="116">
        <v>250.82</v>
      </c>
      <c r="P1217" s="116">
        <v>254.5</v>
      </c>
      <c r="Q1217" s="116">
        <v>2518.6</v>
      </c>
      <c r="R1217">
        <v>1200174</v>
      </c>
    </row>
    <row r="1218" spans="1:18" x14ac:dyDescent="0.25">
      <c r="A1218" s="170">
        <v>45894</v>
      </c>
      <c r="B1218" s="116">
        <v>253.715</v>
      </c>
      <c r="C1218" s="116">
        <v>244.73500000000001</v>
      </c>
      <c r="D1218" s="116">
        <v>243.56</v>
      </c>
      <c r="E1218" s="116">
        <v>252.8</v>
      </c>
      <c r="F1218" s="116">
        <v>2447.35</v>
      </c>
      <c r="G1218">
        <v>100951</v>
      </c>
      <c r="H1218" s="116"/>
      <c r="I1218" s="116"/>
      <c r="L1218" s="170">
        <v>45894</v>
      </c>
      <c r="M1218" s="116">
        <v>244.69</v>
      </c>
      <c r="N1218" s="116">
        <v>253.9</v>
      </c>
      <c r="O1218" s="116">
        <v>243.52</v>
      </c>
      <c r="P1218" s="116">
        <v>252.6</v>
      </c>
      <c r="Q1218" s="116">
        <v>2446.9</v>
      </c>
      <c r="R1218">
        <v>1562966</v>
      </c>
    </row>
    <row r="1219" spans="1:18" x14ac:dyDescent="0.25">
      <c r="A1219" s="170">
        <v>45895</v>
      </c>
      <c r="B1219" s="116">
        <v>245.11</v>
      </c>
      <c r="C1219" s="116">
        <v>233.935</v>
      </c>
      <c r="D1219" s="116">
        <v>233.375</v>
      </c>
      <c r="E1219" s="116">
        <v>244.5</v>
      </c>
      <c r="F1219" s="116">
        <v>2339.35</v>
      </c>
      <c r="G1219">
        <v>119035</v>
      </c>
      <c r="H1219" s="116"/>
      <c r="I1219" s="116"/>
      <c r="L1219" s="170">
        <v>45895</v>
      </c>
      <c r="M1219" s="116">
        <v>233.91</v>
      </c>
      <c r="N1219" s="116">
        <v>245.12</v>
      </c>
      <c r="O1219" s="116">
        <v>233.26</v>
      </c>
      <c r="P1219" s="116">
        <v>244.7</v>
      </c>
      <c r="Q1219" s="116">
        <v>2339.1</v>
      </c>
      <c r="R1219">
        <v>1673085</v>
      </c>
    </row>
    <row r="1220" spans="1:18" x14ac:dyDescent="0.25">
      <c r="A1220" s="170">
        <v>45897</v>
      </c>
      <c r="B1220" s="116">
        <v>235.09</v>
      </c>
      <c r="C1220" s="116">
        <v>226.03</v>
      </c>
      <c r="D1220" s="116">
        <v>225.26</v>
      </c>
      <c r="E1220" s="116">
        <v>233.94</v>
      </c>
      <c r="F1220" s="116">
        <v>2260.3000000000002</v>
      </c>
      <c r="G1220">
        <v>116966</v>
      </c>
      <c r="H1220" s="116"/>
      <c r="I1220" s="116"/>
      <c r="L1220" s="170">
        <v>45897</v>
      </c>
      <c r="M1220" s="116">
        <v>225.94</v>
      </c>
      <c r="N1220" s="116">
        <v>234.96</v>
      </c>
      <c r="O1220" s="116">
        <v>225.1</v>
      </c>
      <c r="P1220" s="116">
        <v>234</v>
      </c>
      <c r="Q1220" s="116">
        <v>2259.4</v>
      </c>
      <c r="R1220">
        <v>1504243</v>
      </c>
    </row>
    <row r="1221" spans="1:18" x14ac:dyDescent="0.25">
      <c r="A1221" s="170">
        <v>45898</v>
      </c>
      <c r="B1221" s="116">
        <v>229.6</v>
      </c>
      <c r="C1221" s="116">
        <v>220.95</v>
      </c>
      <c r="D1221" s="116">
        <v>219.8</v>
      </c>
      <c r="E1221" s="116">
        <v>227.23</v>
      </c>
      <c r="F1221" s="116">
        <v>2209.5</v>
      </c>
      <c r="G1221">
        <v>122462</v>
      </c>
      <c r="H1221" s="116"/>
      <c r="I1221" s="116"/>
      <c r="L1221" s="170">
        <v>45898</v>
      </c>
      <c r="M1221" s="116">
        <v>220.98</v>
      </c>
      <c r="N1221" s="116">
        <v>229.75</v>
      </c>
      <c r="O1221" s="116">
        <v>219.84</v>
      </c>
      <c r="P1221" s="116">
        <v>227.99</v>
      </c>
      <c r="Q1221" s="116">
        <v>2209.8000000000002</v>
      </c>
      <c r="R1221">
        <v>1577470</v>
      </c>
    </row>
    <row r="1222" spans="1:18" x14ac:dyDescent="0.25">
      <c r="A1222" s="170">
        <v>45901</v>
      </c>
      <c r="B1222" s="116">
        <v>227.5</v>
      </c>
      <c r="C1222" s="116">
        <v>226.69499999999999</v>
      </c>
      <c r="D1222" s="116">
        <v>219.505</v>
      </c>
      <c r="E1222" s="116">
        <v>222.92</v>
      </c>
      <c r="F1222" s="116">
        <v>2266.9499999999998</v>
      </c>
      <c r="G1222">
        <v>63054</v>
      </c>
      <c r="H1222" s="116"/>
      <c r="I1222" s="116"/>
      <c r="L1222" s="170">
        <v>45901</v>
      </c>
      <c r="M1222" s="116">
        <v>226.66</v>
      </c>
      <c r="N1222" s="116">
        <v>227.6</v>
      </c>
      <c r="O1222" s="116">
        <v>219.5</v>
      </c>
      <c r="P1222" s="116">
        <v>222.6</v>
      </c>
      <c r="Q1222" s="116">
        <v>2266.6</v>
      </c>
      <c r="R1222">
        <v>1115501</v>
      </c>
    </row>
    <row r="1223" spans="1:18" x14ac:dyDescent="0.25">
      <c r="A1223" s="170">
        <v>45902</v>
      </c>
      <c r="B1223" s="116">
        <v>232.45500000000001</v>
      </c>
      <c r="C1223" s="116">
        <v>227.73</v>
      </c>
      <c r="D1223" s="116">
        <v>224.4</v>
      </c>
      <c r="E1223" s="116">
        <v>227.19</v>
      </c>
      <c r="F1223" s="116">
        <v>2277.3000000000002</v>
      </c>
      <c r="G1223">
        <v>82620</v>
      </c>
      <c r="H1223" s="116"/>
      <c r="I1223" s="116"/>
      <c r="L1223" s="170">
        <v>45902</v>
      </c>
      <c r="M1223" s="116">
        <v>227.64</v>
      </c>
      <c r="N1223" s="116">
        <v>232.41</v>
      </c>
      <c r="O1223" s="116">
        <v>224.3</v>
      </c>
      <c r="P1223" s="116">
        <v>228.7</v>
      </c>
      <c r="Q1223" s="116">
        <v>2276.4</v>
      </c>
      <c r="R1223">
        <v>983624</v>
      </c>
    </row>
    <row r="1224" spans="1:18" x14ac:dyDescent="0.25">
      <c r="A1224" s="170">
        <v>45903</v>
      </c>
      <c r="B1224" s="116">
        <v>229.78</v>
      </c>
      <c r="C1224" s="116">
        <v>227.14500000000001</v>
      </c>
      <c r="D1224" s="116">
        <v>225.1</v>
      </c>
      <c r="E1224" s="116">
        <v>229.78</v>
      </c>
      <c r="F1224" s="116">
        <v>2271.4499999999998</v>
      </c>
      <c r="G1224">
        <v>62351</v>
      </c>
      <c r="H1224" s="116"/>
      <c r="I1224" s="116"/>
      <c r="L1224" s="170">
        <v>45903</v>
      </c>
      <c r="M1224" s="116">
        <v>227.22</v>
      </c>
      <c r="N1224" s="116">
        <v>228.9</v>
      </c>
      <c r="O1224" s="116">
        <v>225.1</v>
      </c>
      <c r="P1224" s="116">
        <v>228.9</v>
      </c>
      <c r="Q1224" s="116">
        <v>2272.1999999999998</v>
      </c>
      <c r="R1224">
        <v>824181</v>
      </c>
    </row>
    <row r="1225" spans="1:18" x14ac:dyDescent="0.25">
      <c r="A1225" s="170">
        <v>45904</v>
      </c>
      <c r="B1225" s="116">
        <v>233.77500000000001</v>
      </c>
      <c r="C1225" s="116">
        <v>225.91499999999999</v>
      </c>
      <c r="D1225" s="116">
        <v>225.155</v>
      </c>
      <c r="E1225" s="116">
        <v>229.9</v>
      </c>
      <c r="F1225" s="116">
        <v>2259.15</v>
      </c>
      <c r="G1225">
        <v>30225</v>
      </c>
      <c r="H1225" s="116"/>
      <c r="I1225" s="116"/>
      <c r="L1225" s="170">
        <v>45904</v>
      </c>
      <c r="M1225" s="116">
        <v>225.71</v>
      </c>
      <c r="N1225" s="116">
        <v>234</v>
      </c>
      <c r="O1225" s="116">
        <v>224.96</v>
      </c>
      <c r="P1225" s="116">
        <v>229.9</v>
      </c>
      <c r="Q1225" s="116">
        <v>2257.1</v>
      </c>
      <c r="R1225">
        <v>686876</v>
      </c>
    </row>
    <row r="1226" spans="1:18" x14ac:dyDescent="0.25">
      <c r="A1226" s="170">
        <v>45905</v>
      </c>
      <c r="B1226" s="116">
        <v>230.4</v>
      </c>
      <c r="C1226" s="116">
        <v>229.77500000000001</v>
      </c>
      <c r="D1226" s="116">
        <v>225.285</v>
      </c>
      <c r="E1226" s="116">
        <v>226.51499999999999</v>
      </c>
      <c r="F1226" s="116">
        <v>2297.75</v>
      </c>
      <c r="G1226">
        <v>61838</v>
      </c>
      <c r="H1226" s="116"/>
      <c r="I1226" s="116"/>
      <c r="L1226" s="170">
        <v>45905</v>
      </c>
      <c r="M1226" s="116">
        <v>229.68</v>
      </c>
      <c r="N1226" s="116">
        <v>230.45</v>
      </c>
      <c r="O1226" s="116">
        <v>225.28</v>
      </c>
      <c r="P1226" s="116">
        <v>226.99</v>
      </c>
      <c r="Q1226" s="116">
        <v>2296.8000000000002</v>
      </c>
      <c r="R1226">
        <v>837315</v>
      </c>
    </row>
    <row r="1227" spans="1:18" x14ac:dyDescent="0.25">
      <c r="A1227" s="170">
        <v>45908</v>
      </c>
      <c r="B1227" s="116">
        <v>234.87</v>
      </c>
      <c r="C1227" s="116">
        <v>233.94</v>
      </c>
      <c r="D1227" s="116">
        <v>230.685</v>
      </c>
      <c r="E1227" s="116">
        <v>231</v>
      </c>
      <c r="F1227" s="116">
        <v>2339.4</v>
      </c>
      <c r="G1227">
        <v>69330</v>
      </c>
      <c r="H1227" s="116"/>
      <c r="I1227" s="116"/>
      <c r="L1227" s="170">
        <v>45908</v>
      </c>
      <c r="M1227" s="116">
        <v>234.1</v>
      </c>
      <c r="N1227" s="116">
        <v>234.9</v>
      </c>
      <c r="O1227" s="116">
        <v>230.51</v>
      </c>
      <c r="P1227" s="116">
        <v>232.07</v>
      </c>
      <c r="Q1227" s="116">
        <v>2341</v>
      </c>
      <c r="R1227">
        <v>786620</v>
      </c>
    </row>
    <row r="1228" spans="1:18" x14ac:dyDescent="0.25">
      <c r="A1228" s="170">
        <v>45909</v>
      </c>
      <c r="B1228" s="116">
        <v>235.785</v>
      </c>
      <c r="C1228" s="116">
        <v>233.715</v>
      </c>
      <c r="D1228" s="116">
        <v>232.465</v>
      </c>
      <c r="E1228" s="116">
        <v>235</v>
      </c>
      <c r="F1228" s="116">
        <v>2337.15</v>
      </c>
      <c r="G1228">
        <v>19331</v>
      </c>
      <c r="H1228" s="116"/>
      <c r="I1228" s="116"/>
      <c r="L1228" s="170">
        <v>45909</v>
      </c>
      <c r="M1228" s="116">
        <v>233.6</v>
      </c>
      <c r="N1228" s="116">
        <v>235.6</v>
      </c>
      <c r="O1228" s="116">
        <v>232.31</v>
      </c>
      <c r="P1228" s="116">
        <v>235</v>
      </c>
      <c r="Q1228" s="116">
        <v>2336</v>
      </c>
      <c r="R1228">
        <v>338579</v>
      </c>
    </row>
    <row r="1229" spans="1:18" x14ac:dyDescent="0.25">
      <c r="A1229" s="170">
        <v>45910</v>
      </c>
      <c r="B1229" s="116">
        <v>237.435</v>
      </c>
      <c r="C1229" s="116">
        <v>233.57499999999999</v>
      </c>
      <c r="D1229" s="116">
        <v>227.505</v>
      </c>
      <c r="E1229" s="116">
        <v>234.51499999999999</v>
      </c>
      <c r="F1229" s="116">
        <v>2335.75</v>
      </c>
      <c r="G1229">
        <v>85568</v>
      </c>
      <c r="H1229" s="116"/>
      <c r="I1229" s="116"/>
      <c r="L1229" s="170">
        <v>45910</v>
      </c>
      <c r="M1229" s="116">
        <v>233.66</v>
      </c>
      <c r="N1229" s="116">
        <v>237.5</v>
      </c>
      <c r="O1229" s="116">
        <v>227.32</v>
      </c>
      <c r="P1229" s="116">
        <v>235</v>
      </c>
      <c r="Q1229" s="116">
        <v>2336.6</v>
      </c>
      <c r="R1229">
        <v>814113</v>
      </c>
    </row>
    <row r="1230" spans="1:18" x14ac:dyDescent="0.25">
      <c r="A1230" s="170">
        <v>45911</v>
      </c>
      <c r="B1230" s="116">
        <v>233.66499999999999</v>
      </c>
      <c r="C1230" s="116">
        <v>221.64500000000001</v>
      </c>
      <c r="D1230" s="116">
        <v>220.98</v>
      </c>
      <c r="E1230" s="116">
        <v>233.66</v>
      </c>
      <c r="F1230" s="116">
        <v>2216.4499999999998</v>
      </c>
      <c r="G1230">
        <v>115852</v>
      </c>
      <c r="H1230" s="116"/>
      <c r="I1230" s="116"/>
      <c r="L1230" s="170">
        <v>45911</v>
      </c>
      <c r="M1230" s="116">
        <v>221.6</v>
      </c>
      <c r="N1230" s="116">
        <v>233.9</v>
      </c>
      <c r="O1230" s="116">
        <v>220.82</v>
      </c>
      <c r="P1230" s="116">
        <v>233.8</v>
      </c>
      <c r="Q1230" s="116">
        <v>2216</v>
      </c>
      <c r="R1230">
        <v>2185343</v>
      </c>
    </row>
    <row r="1231" spans="1:18" x14ac:dyDescent="0.25">
      <c r="A1231" s="170">
        <v>45912</v>
      </c>
      <c r="B1231" s="116">
        <v>225.1</v>
      </c>
      <c r="C1231" s="116">
        <v>222.27500000000001</v>
      </c>
      <c r="D1231" s="116">
        <v>221.02</v>
      </c>
      <c r="E1231" s="116">
        <v>222.02</v>
      </c>
      <c r="F1231" s="116">
        <v>2222.75</v>
      </c>
      <c r="G1231">
        <v>83313</v>
      </c>
      <c r="H1231" s="116"/>
      <c r="I1231" s="116"/>
      <c r="L1231" s="170">
        <v>45912</v>
      </c>
      <c r="M1231" s="116">
        <v>222.23</v>
      </c>
      <c r="N1231" s="116">
        <v>225.1</v>
      </c>
      <c r="O1231" s="116">
        <v>221</v>
      </c>
      <c r="P1231" s="116">
        <v>223</v>
      </c>
      <c r="Q1231" s="116">
        <v>2222.3000000000002</v>
      </c>
      <c r="R1231">
        <v>999466</v>
      </c>
    </row>
    <row r="1232" spans="1:18" x14ac:dyDescent="0.25">
      <c r="A1232" s="170">
        <v>45915</v>
      </c>
      <c r="B1232" s="116">
        <v>227.27</v>
      </c>
      <c r="C1232" s="116">
        <v>225.19</v>
      </c>
      <c r="D1232" s="116">
        <v>221.285</v>
      </c>
      <c r="E1232" s="116">
        <v>223.03</v>
      </c>
      <c r="F1232" s="116">
        <v>2251.9</v>
      </c>
      <c r="G1232">
        <v>110388</v>
      </c>
      <c r="H1232" s="116"/>
      <c r="I1232" s="116"/>
      <c r="L1232" s="170">
        <v>45915</v>
      </c>
      <c r="M1232" s="116">
        <v>225.2</v>
      </c>
      <c r="N1232" s="116">
        <v>227.4</v>
      </c>
      <c r="O1232" s="116">
        <v>221.26</v>
      </c>
      <c r="P1232" s="116">
        <v>223.5</v>
      </c>
      <c r="Q1232" s="116">
        <v>2252</v>
      </c>
      <c r="R1232">
        <v>1432290</v>
      </c>
    </row>
    <row r="1233" spans="1:18" x14ac:dyDescent="0.25">
      <c r="A1233" s="170">
        <v>45916</v>
      </c>
      <c r="B1233" s="116">
        <v>225.5</v>
      </c>
      <c r="C1233" s="116">
        <v>223.02</v>
      </c>
      <c r="D1233" s="116">
        <v>221.55</v>
      </c>
      <c r="E1233" s="116">
        <v>225.3</v>
      </c>
      <c r="F1233" s="116">
        <v>2230.1999999999998</v>
      </c>
      <c r="G1233">
        <v>78910</v>
      </c>
      <c r="H1233" s="116"/>
      <c r="I1233" s="116"/>
      <c r="L1233" s="170">
        <v>45916</v>
      </c>
      <c r="M1233" s="116">
        <v>223.04</v>
      </c>
      <c r="N1233" s="116">
        <v>225.6</v>
      </c>
      <c r="O1233" s="116">
        <v>221.5</v>
      </c>
      <c r="P1233" s="116">
        <v>225.6</v>
      </c>
      <c r="Q1233" s="116">
        <v>2230.4</v>
      </c>
      <c r="R1233">
        <v>628221</v>
      </c>
    </row>
    <row r="1234" spans="1:18" x14ac:dyDescent="0.25">
      <c r="A1234" s="170">
        <v>45917</v>
      </c>
      <c r="B1234" s="116">
        <v>226.64</v>
      </c>
      <c r="C1234" s="116">
        <v>224.89</v>
      </c>
      <c r="D1234" s="116">
        <v>223.2</v>
      </c>
      <c r="E1234" s="116">
        <v>223.99</v>
      </c>
      <c r="F1234" s="116">
        <v>2248.9</v>
      </c>
      <c r="G1234">
        <v>25764</v>
      </c>
      <c r="H1234" s="116"/>
      <c r="I1234" s="116"/>
      <c r="L1234" s="170">
        <v>45917</v>
      </c>
      <c r="M1234" s="116">
        <v>224.85</v>
      </c>
      <c r="N1234" s="116">
        <v>226.6</v>
      </c>
      <c r="O1234" s="116">
        <v>222.99</v>
      </c>
      <c r="P1234" s="116">
        <v>224</v>
      </c>
      <c r="Q1234" s="116">
        <v>2248.5</v>
      </c>
      <c r="R1234">
        <v>599592</v>
      </c>
    </row>
    <row r="1235" spans="1:18" x14ac:dyDescent="0.25">
      <c r="A1235" s="170">
        <v>45918</v>
      </c>
      <c r="B1235" s="116">
        <v>228.16</v>
      </c>
      <c r="C1235" s="116">
        <v>226.49</v>
      </c>
      <c r="D1235" s="116">
        <v>224.905</v>
      </c>
      <c r="E1235" s="116">
        <v>226.36500000000001</v>
      </c>
      <c r="F1235" s="116">
        <v>2264.9</v>
      </c>
      <c r="G1235">
        <v>49633</v>
      </c>
      <c r="H1235" s="116"/>
      <c r="I1235" s="116"/>
      <c r="L1235" s="170">
        <v>45918</v>
      </c>
      <c r="M1235" s="116">
        <v>226.56</v>
      </c>
      <c r="N1235" s="116">
        <v>228.2</v>
      </c>
      <c r="O1235" s="116">
        <v>225.08</v>
      </c>
      <c r="P1235" s="116">
        <v>225.83</v>
      </c>
      <c r="Q1235" s="116">
        <v>2265.6</v>
      </c>
      <c r="R1235">
        <v>508314</v>
      </c>
    </row>
    <row r="1236" spans="1:18" x14ac:dyDescent="0.25">
      <c r="A1236" s="170">
        <v>45919</v>
      </c>
      <c r="B1236" s="116">
        <v>227.8</v>
      </c>
      <c r="C1236" s="116">
        <v>226.6</v>
      </c>
      <c r="D1236" s="116">
        <v>223.58500000000001</v>
      </c>
      <c r="E1236" s="116">
        <v>225.8</v>
      </c>
      <c r="F1236" s="116">
        <v>2266</v>
      </c>
      <c r="G1236">
        <v>24291</v>
      </c>
      <c r="H1236" s="116"/>
      <c r="I1236" s="116"/>
      <c r="L1236" s="170">
        <v>45919</v>
      </c>
      <c r="M1236" s="116">
        <v>226.66</v>
      </c>
      <c r="N1236" s="116">
        <v>227.8</v>
      </c>
      <c r="O1236" s="116">
        <v>223.5</v>
      </c>
      <c r="P1236" s="116">
        <v>225.26</v>
      </c>
      <c r="Q1236" s="116">
        <v>2266.6</v>
      </c>
      <c r="R1236">
        <v>494144</v>
      </c>
    </row>
    <row r="1237" spans="1:18" x14ac:dyDescent="0.25">
      <c r="A1237" s="170">
        <v>45922</v>
      </c>
      <c r="B1237" s="116">
        <v>226.54499999999999</v>
      </c>
      <c r="C1237" s="116">
        <v>224.70500000000001</v>
      </c>
      <c r="D1237" s="116">
        <v>223.1</v>
      </c>
      <c r="E1237" s="116">
        <v>226.54499999999999</v>
      </c>
      <c r="F1237" s="116">
        <v>2247.0500000000002</v>
      </c>
      <c r="G1237">
        <v>21422</v>
      </c>
      <c r="H1237" s="116"/>
      <c r="I1237" s="116"/>
      <c r="L1237" s="170">
        <v>45922</v>
      </c>
      <c r="M1237" s="116">
        <v>224.8</v>
      </c>
      <c r="N1237" s="116">
        <v>226.5</v>
      </c>
      <c r="O1237" s="116">
        <v>223.01</v>
      </c>
      <c r="P1237" s="116">
        <v>226</v>
      </c>
      <c r="Q1237" s="116">
        <v>2248</v>
      </c>
      <c r="R1237">
        <v>371998</v>
      </c>
    </row>
    <row r="1238" spans="1:18" x14ac:dyDescent="0.25">
      <c r="A1238" s="170">
        <v>45923</v>
      </c>
      <c r="B1238" s="116">
        <v>226.495</v>
      </c>
      <c r="C1238" s="116">
        <v>222.77500000000001</v>
      </c>
      <c r="D1238" s="116">
        <v>218.30500000000001</v>
      </c>
      <c r="E1238" s="116">
        <v>226.495</v>
      </c>
      <c r="F1238" s="116">
        <v>2227.75</v>
      </c>
      <c r="G1238">
        <v>47133</v>
      </c>
      <c r="H1238" s="116"/>
      <c r="I1238" s="116"/>
      <c r="L1238" s="170">
        <v>45923</v>
      </c>
      <c r="M1238" s="116">
        <v>222.79</v>
      </c>
      <c r="N1238" s="116">
        <v>225.6</v>
      </c>
      <c r="O1238" s="116">
        <v>218.21</v>
      </c>
      <c r="P1238" s="116">
        <v>224</v>
      </c>
      <c r="Q1238" s="116">
        <v>2227.9</v>
      </c>
      <c r="R1238">
        <v>806750</v>
      </c>
    </row>
    <row r="1239" spans="1:18" x14ac:dyDescent="0.25">
      <c r="A1239" s="170">
        <v>45924</v>
      </c>
      <c r="B1239" s="116">
        <v>226.685</v>
      </c>
      <c r="C1239" s="116">
        <v>219.92</v>
      </c>
      <c r="D1239" s="116">
        <v>218.5</v>
      </c>
      <c r="E1239" s="116">
        <v>221.96</v>
      </c>
      <c r="F1239" s="116">
        <v>2199.1999999999998</v>
      </c>
      <c r="G1239">
        <v>31969</v>
      </c>
      <c r="H1239" s="116"/>
      <c r="I1239" s="116"/>
      <c r="L1239" s="170">
        <v>45924</v>
      </c>
      <c r="M1239" s="116">
        <v>220.24</v>
      </c>
      <c r="N1239" s="116">
        <v>226.72</v>
      </c>
      <c r="O1239" s="116">
        <v>218.28</v>
      </c>
      <c r="P1239" s="116">
        <v>222.8</v>
      </c>
      <c r="Q1239" s="116">
        <v>2202.4</v>
      </c>
      <c r="R1239">
        <v>616548</v>
      </c>
    </row>
    <row r="1240" spans="1:18" x14ac:dyDescent="0.25">
      <c r="A1240" s="170">
        <v>45925</v>
      </c>
      <c r="B1240" s="116">
        <v>223.13</v>
      </c>
      <c r="C1240" s="116">
        <v>219.565</v>
      </c>
      <c r="D1240" s="116">
        <v>218.98</v>
      </c>
      <c r="E1240" s="116">
        <v>220</v>
      </c>
      <c r="F1240" s="116">
        <v>2195.65</v>
      </c>
      <c r="G1240">
        <v>21347</v>
      </c>
      <c r="H1240" s="116"/>
      <c r="I1240" s="116"/>
      <c r="L1240" s="170">
        <v>45925</v>
      </c>
      <c r="M1240" s="116">
        <v>219.49</v>
      </c>
      <c r="N1240" s="116">
        <v>223</v>
      </c>
      <c r="O1240" s="116">
        <v>218.8</v>
      </c>
      <c r="P1240" s="116">
        <v>219.5</v>
      </c>
      <c r="Q1240" s="116">
        <v>2194.9</v>
      </c>
      <c r="R1240">
        <v>548073</v>
      </c>
    </row>
    <row r="1241" spans="1:18" x14ac:dyDescent="0.25">
      <c r="A1241" s="170">
        <v>45926</v>
      </c>
      <c r="B1241" s="116">
        <v>219.95500000000001</v>
      </c>
      <c r="C1241" s="116">
        <v>213.935</v>
      </c>
      <c r="D1241" s="116">
        <v>212.1</v>
      </c>
      <c r="E1241" s="116">
        <v>219.95500000000001</v>
      </c>
      <c r="F1241" s="116">
        <v>2139.35</v>
      </c>
      <c r="G1241">
        <v>69705</v>
      </c>
      <c r="H1241" s="116"/>
      <c r="I1241" s="116"/>
      <c r="L1241" s="170">
        <v>45926</v>
      </c>
      <c r="M1241" s="116">
        <v>213.64</v>
      </c>
      <c r="N1241" s="116">
        <v>220.1</v>
      </c>
      <c r="O1241" s="116">
        <v>212</v>
      </c>
      <c r="P1241" s="116">
        <v>219</v>
      </c>
      <c r="Q1241" s="116">
        <v>2136.4</v>
      </c>
      <c r="R1241">
        <v>647903</v>
      </c>
    </row>
    <row r="1242" spans="1:18" x14ac:dyDescent="0.25">
      <c r="A1242" s="170">
        <v>45929</v>
      </c>
      <c r="B1242" s="116">
        <v>215.3</v>
      </c>
      <c r="C1242" s="116">
        <v>212.46</v>
      </c>
      <c r="D1242" s="116">
        <v>210.32499999999999</v>
      </c>
      <c r="E1242" s="116">
        <v>214</v>
      </c>
      <c r="F1242" s="116">
        <v>2124.6</v>
      </c>
      <c r="G1242">
        <v>76137</v>
      </c>
      <c r="H1242" s="116"/>
      <c r="I1242" s="116"/>
      <c r="L1242" s="170">
        <v>45929</v>
      </c>
      <c r="M1242" s="116">
        <v>212.49</v>
      </c>
      <c r="N1242" s="116">
        <v>215.25</v>
      </c>
      <c r="O1242" s="116">
        <v>210.21</v>
      </c>
      <c r="P1242" s="116">
        <v>213.8</v>
      </c>
      <c r="Q1242" s="116">
        <v>2124.9</v>
      </c>
      <c r="R1242">
        <v>1341520</v>
      </c>
    </row>
    <row r="1243" spans="1:18" x14ac:dyDescent="0.25">
      <c r="A1243" s="170">
        <v>45930</v>
      </c>
      <c r="B1243" s="116">
        <v>214</v>
      </c>
      <c r="C1243" s="116">
        <v>213.215</v>
      </c>
      <c r="D1243" s="116">
        <v>210.2</v>
      </c>
      <c r="E1243" s="116">
        <v>212.505</v>
      </c>
      <c r="F1243" s="116">
        <v>2132.15</v>
      </c>
      <c r="G1243">
        <v>28388</v>
      </c>
      <c r="H1243" s="116"/>
      <c r="I1243" s="116"/>
      <c r="L1243" s="170">
        <v>45930</v>
      </c>
      <c r="M1243" s="116">
        <v>213.25</v>
      </c>
      <c r="N1243" s="116">
        <v>213.9</v>
      </c>
      <c r="O1243" s="116">
        <v>210.1</v>
      </c>
      <c r="P1243" s="116">
        <v>213.9</v>
      </c>
      <c r="Q1243" s="116">
        <v>2132.5</v>
      </c>
      <c r="R1243">
        <v>662023</v>
      </c>
    </row>
    <row r="1244" spans="1:18" x14ac:dyDescent="0.25">
      <c r="A1244" s="170">
        <v>45931</v>
      </c>
      <c r="B1244" s="116">
        <v>218.26</v>
      </c>
      <c r="C1244" s="116">
        <v>217.57</v>
      </c>
      <c r="D1244" s="116">
        <v>211.71</v>
      </c>
      <c r="E1244" s="116">
        <v>214.845</v>
      </c>
      <c r="F1244" s="116">
        <v>2175.6999999999998</v>
      </c>
      <c r="G1244">
        <v>26159</v>
      </c>
      <c r="H1244" s="116"/>
      <c r="I1244" s="116"/>
      <c r="L1244" s="170">
        <v>45931</v>
      </c>
      <c r="M1244" s="116">
        <v>217.35</v>
      </c>
      <c r="N1244" s="116">
        <v>218.29</v>
      </c>
      <c r="O1244" s="116">
        <v>211.76</v>
      </c>
      <c r="P1244" s="116">
        <v>214</v>
      </c>
      <c r="Q1244" s="116">
        <v>2173.5</v>
      </c>
      <c r="R1244">
        <v>518648</v>
      </c>
    </row>
    <row r="1245" spans="1:18" x14ac:dyDescent="0.25">
      <c r="A1245" s="170">
        <v>45933</v>
      </c>
      <c r="B1245" s="116">
        <v>221.755</v>
      </c>
      <c r="C1245" s="116">
        <v>220.14500000000001</v>
      </c>
      <c r="D1245" s="116">
        <v>217.04</v>
      </c>
      <c r="E1245" s="116">
        <v>217.57499999999999</v>
      </c>
      <c r="F1245" s="116">
        <v>2201.4499999999998</v>
      </c>
      <c r="G1245">
        <v>50805</v>
      </c>
      <c r="H1245" s="116"/>
      <c r="I1245" s="116"/>
      <c r="L1245" s="170">
        <v>45933</v>
      </c>
      <c r="M1245" s="116">
        <v>220.13</v>
      </c>
      <c r="N1245" s="116">
        <v>221.87</v>
      </c>
      <c r="O1245" s="116">
        <v>217.18</v>
      </c>
      <c r="P1245" s="116">
        <v>218.5</v>
      </c>
      <c r="Q1245" s="116">
        <v>2201.3000000000002</v>
      </c>
      <c r="R1245">
        <v>429291</v>
      </c>
    </row>
    <row r="1246" spans="1:18" x14ac:dyDescent="0.25">
      <c r="A1246" s="170">
        <v>45936</v>
      </c>
      <c r="B1246" s="116">
        <v>227</v>
      </c>
      <c r="C1246" s="116">
        <v>226.375</v>
      </c>
      <c r="D1246" s="116">
        <v>217.26499999999999</v>
      </c>
      <c r="E1246" s="116">
        <v>220.52</v>
      </c>
      <c r="F1246" s="116">
        <v>2263.75</v>
      </c>
      <c r="G1246">
        <v>116259</v>
      </c>
      <c r="H1246" s="116"/>
      <c r="I1246" s="116"/>
      <c r="L1246" s="170">
        <v>45936</v>
      </c>
      <c r="M1246" s="116">
        <v>226.52</v>
      </c>
      <c r="N1246" s="116">
        <v>227.16</v>
      </c>
      <c r="O1246" s="116">
        <v>217.27</v>
      </c>
      <c r="P1246" s="116">
        <v>221.1</v>
      </c>
      <c r="Q1246" s="116">
        <v>2265.1999999999998</v>
      </c>
      <c r="R1246">
        <v>1059917</v>
      </c>
    </row>
    <row r="1247" spans="1:18" x14ac:dyDescent="0.25">
      <c r="A1247" s="170">
        <v>45937</v>
      </c>
      <c r="B1247" s="116">
        <v>230.85</v>
      </c>
      <c r="C1247" s="116">
        <v>224.97</v>
      </c>
      <c r="D1247" s="116">
        <v>223.20500000000001</v>
      </c>
      <c r="E1247" s="116">
        <v>227.5</v>
      </c>
      <c r="F1247" s="116">
        <v>2249.6999999999998</v>
      </c>
      <c r="G1247">
        <v>68997</v>
      </c>
      <c r="H1247" s="116"/>
      <c r="I1247" s="116"/>
      <c r="L1247" s="170">
        <v>45937</v>
      </c>
      <c r="M1247" s="116">
        <v>225.05</v>
      </c>
      <c r="N1247" s="116">
        <v>230.9</v>
      </c>
      <c r="O1247" s="116">
        <v>223.04</v>
      </c>
      <c r="P1247" s="116">
        <v>227.7</v>
      </c>
      <c r="Q1247" s="116">
        <v>2250.5</v>
      </c>
      <c r="R1247">
        <v>1137247</v>
      </c>
    </row>
    <row r="1248" spans="1:18" x14ac:dyDescent="0.25">
      <c r="A1248" s="170">
        <v>45938</v>
      </c>
      <c r="B1248" s="116">
        <v>226.04</v>
      </c>
      <c r="C1248" s="116">
        <v>221.77</v>
      </c>
      <c r="D1248" s="116">
        <v>221.05</v>
      </c>
      <c r="E1248" s="116">
        <v>224</v>
      </c>
      <c r="F1248" s="116">
        <v>2217.6999999999998</v>
      </c>
      <c r="G1248">
        <v>31956</v>
      </c>
      <c r="H1248" s="116"/>
      <c r="I1248" s="116"/>
      <c r="L1248" s="170">
        <v>45938</v>
      </c>
      <c r="M1248" s="116">
        <v>221.75</v>
      </c>
      <c r="N1248" s="116">
        <v>225.9</v>
      </c>
      <c r="O1248" s="116">
        <v>221.02</v>
      </c>
      <c r="P1248" s="116">
        <v>224.2</v>
      </c>
      <c r="Q1248" s="116">
        <v>2217.5</v>
      </c>
      <c r="R1248">
        <v>555881</v>
      </c>
    </row>
    <row r="1249" spans="1:18" x14ac:dyDescent="0.25">
      <c r="A1249" s="170">
        <v>45939</v>
      </c>
      <c r="B1249" s="116">
        <v>227.8</v>
      </c>
      <c r="C1249" s="116">
        <v>226.43</v>
      </c>
      <c r="D1249" s="116">
        <v>221.32499999999999</v>
      </c>
      <c r="E1249" s="116">
        <v>221.85</v>
      </c>
      <c r="F1249" s="116">
        <v>2264.3000000000002</v>
      </c>
      <c r="G1249">
        <v>82728</v>
      </c>
      <c r="H1249" s="116"/>
      <c r="I1249" s="116"/>
      <c r="L1249" s="170">
        <v>45939</v>
      </c>
      <c r="M1249" s="116">
        <v>226.46</v>
      </c>
      <c r="N1249" s="116">
        <v>227.9</v>
      </c>
      <c r="O1249" s="116">
        <v>221.3</v>
      </c>
      <c r="P1249" s="116">
        <v>222.5</v>
      </c>
      <c r="Q1249" s="116">
        <v>2264.6</v>
      </c>
      <c r="R1249">
        <v>723562</v>
      </c>
    </row>
    <row r="1250" spans="1:18" x14ac:dyDescent="0.25">
      <c r="A1250" s="170">
        <v>45940</v>
      </c>
      <c r="B1250" s="116">
        <v>231.94</v>
      </c>
      <c r="C1250" s="116">
        <v>230.30500000000001</v>
      </c>
      <c r="D1250" s="116">
        <v>225.30500000000001</v>
      </c>
      <c r="E1250" s="116">
        <v>226.43</v>
      </c>
      <c r="F1250" s="116">
        <v>2303.0500000000002</v>
      </c>
      <c r="G1250">
        <v>72960</v>
      </c>
      <c r="H1250" s="116"/>
      <c r="I1250" s="116"/>
      <c r="L1250" s="170">
        <v>45940</v>
      </c>
      <c r="M1250" s="116">
        <v>230.33</v>
      </c>
      <c r="N1250" s="116">
        <v>231.94</v>
      </c>
      <c r="O1250" s="116">
        <v>225.3</v>
      </c>
      <c r="P1250" s="116">
        <v>226.45</v>
      </c>
      <c r="Q1250" s="116">
        <v>2303.3000000000002</v>
      </c>
      <c r="R1250">
        <v>1026736</v>
      </c>
    </row>
    <row r="1251" spans="1:18" x14ac:dyDescent="0.25">
      <c r="A1251" s="170">
        <v>45943</v>
      </c>
      <c r="B1251" s="116">
        <v>236.5</v>
      </c>
      <c r="C1251" s="116">
        <v>234.21</v>
      </c>
      <c r="D1251" s="116">
        <v>225.6</v>
      </c>
      <c r="E1251" s="116">
        <v>228.2</v>
      </c>
      <c r="F1251" s="116">
        <v>2342.1</v>
      </c>
      <c r="G1251">
        <v>73480</v>
      </c>
      <c r="H1251" s="116"/>
      <c r="I1251" s="116"/>
      <c r="L1251" s="170">
        <v>45943</v>
      </c>
      <c r="M1251" s="116">
        <v>234.07</v>
      </c>
      <c r="N1251" s="116">
        <v>236.6</v>
      </c>
      <c r="O1251" s="116">
        <v>225.54</v>
      </c>
      <c r="P1251" s="116">
        <v>228.93</v>
      </c>
      <c r="Q1251" s="116">
        <v>2340.6999999999998</v>
      </c>
      <c r="R1251">
        <v>1209214</v>
      </c>
    </row>
    <row r="1252" spans="1:18" x14ac:dyDescent="0.25">
      <c r="A1252" s="170">
        <v>45944</v>
      </c>
      <c r="B1252" s="116">
        <v>243.41</v>
      </c>
      <c r="C1252" s="116">
        <v>240.565</v>
      </c>
      <c r="D1252" s="116">
        <v>234.85</v>
      </c>
      <c r="E1252" s="116">
        <v>235.21</v>
      </c>
      <c r="F1252" s="116">
        <v>2405.65</v>
      </c>
      <c r="G1252">
        <v>253173</v>
      </c>
      <c r="H1252" s="116"/>
      <c r="I1252" s="116"/>
      <c r="L1252" s="170">
        <v>45944</v>
      </c>
      <c r="M1252" s="116">
        <v>240.46</v>
      </c>
      <c r="N1252" s="116">
        <v>243.5</v>
      </c>
      <c r="O1252" s="116">
        <v>234.74</v>
      </c>
      <c r="P1252" s="116">
        <v>236.39</v>
      </c>
      <c r="Q1252" s="116">
        <v>2404.6</v>
      </c>
      <c r="R1252">
        <v>3116178</v>
      </c>
    </row>
    <row r="1253" spans="1:18" x14ac:dyDescent="0.25">
      <c r="A1253" s="170">
        <v>45945</v>
      </c>
      <c r="B1253" s="116">
        <v>245.93</v>
      </c>
      <c r="C1253" s="116">
        <v>244.53</v>
      </c>
      <c r="D1253" s="116">
        <v>238.10499999999999</v>
      </c>
      <c r="E1253" s="116">
        <v>240.9</v>
      </c>
      <c r="F1253" s="116">
        <v>2445.3000000000002</v>
      </c>
      <c r="G1253">
        <v>135323</v>
      </c>
      <c r="H1253" s="116"/>
      <c r="I1253" s="116"/>
      <c r="L1253" s="170">
        <v>45945</v>
      </c>
      <c r="M1253" s="116">
        <v>244.52</v>
      </c>
      <c r="N1253" s="116">
        <v>246.07</v>
      </c>
      <c r="O1253" s="116">
        <v>238.1</v>
      </c>
      <c r="P1253" s="116">
        <v>240.69</v>
      </c>
      <c r="Q1253" s="116">
        <v>2445.1999999999998</v>
      </c>
      <c r="R1253">
        <v>1343403</v>
      </c>
    </row>
    <row r="1254" spans="1:18" x14ac:dyDescent="0.25">
      <c r="A1254" s="170">
        <v>45946</v>
      </c>
      <c r="B1254" s="116">
        <v>253</v>
      </c>
      <c r="C1254" s="116">
        <v>247.94</v>
      </c>
      <c r="D1254" s="116">
        <v>242.125</v>
      </c>
      <c r="E1254" s="116">
        <v>242.125</v>
      </c>
      <c r="F1254" s="116">
        <v>2479.4</v>
      </c>
      <c r="G1254">
        <v>299606</v>
      </c>
      <c r="H1254" s="116"/>
      <c r="I1254" s="116"/>
      <c r="L1254" s="170">
        <v>45946</v>
      </c>
      <c r="M1254" s="116">
        <v>248.26</v>
      </c>
      <c r="N1254" s="116">
        <v>253.03</v>
      </c>
      <c r="O1254" s="116">
        <v>243.31</v>
      </c>
      <c r="P1254" s="116">
        <v>244</v>
      </c>
      <c r="Q1254" s="116">
        <v>2482.6</v>
      </c>
      <c r="R1254">
        <v>3242812</v>
      </c>
    </row>
    <row r="1255" spans="1:18" x14ac:dyDescent="0.25">
      <c r="A1255" s="170">
        <v>45947</v>
      </c>
      <c r="B1255" s="116">
        <v>255.9</v>
      </c>
      <c r="C1255" s="116">
        <v>249.73</v>
      </c>
      <c r="D1255" s="116">
        <v>246.33500000000001</v>
      </c>
      <c r="E1255" s="116">
        <v>247.185</v>
      </c>
      <c r="F1255" s="116">
        <v>2497.3000000000002</v>
      </c>
      <c r="G1255">
        <v>72792</v>
      </c>
      <c r="H1255" s="116"/>
      <c r="I1255" s="116"/>
      <c r="L1255" s="170">
        <v>45947</v>
      </c>
      <c r="M1255" s="116">
        <v>249.65</v>
      </c>
      <c r="N1255" s="116">
        <v>255.9</v>
      </c>
      <c r="O1255" s="116">
        <v>246.07</v>
      </c>
      <c r="P1255" s="116">
        <v>246.81</v>
      </c>
      <c r="Q1255" s="116">
        <v>2496.5</v>
      </c>
      <c r="R1255">
        <v>1585685</v>
      </c>
    </row>
    <row r="1256" spans="1:18" x14ac:dyDescent="0.25">
      <c r="A1256" s="170">
        <v>45950</v>
      </c>
      <c r="B1256" s="116">
        <v>252.375</v>
      </c>
      <c r="C1256" s="116">
        <v>250.005</v>
      </c>
      <c r="D1256" s="116">
        <v>249.20500000000001</v>
      </c>
      <c r="E1256" s="116">
        <v>250.005</v>
      </c>
      <c r="F1256" s="116">
        <v>2500.0500000000002</v>
      </c>
      <c r="G1256">
        <v>48134</v>
      </c>
      <c r="H1256" s="116"/>
      <c r="I1256" s="116"/>
      <c r="L1256" s="170">
        <v>45950</v>
      </c>
      <c r="M1256" s="116">
        <v>249.96</v>
      </c>
      <c r="N1256" s="116">
        <v>252.5</v>
      </c>
      <c r="O1256" s="116">
        <v>249.25</v>
      </c>
      <c r="P1256" s="116">
        <v>250.88</v>
      </c>
      <c r="Q1256" s="116">
        <v>2499.6</v>
      </c>
      <c r="R1256">
        <v>583078</v>
      </c>
    </row>
    <row r="1257" spans="1:18" x14ac:dyDescent="0.25">
      <c r="A1257" s="170">
        <v>45951</v>
      </c>
      <c r="B1257" s="116">
        <v>251.4</v>
      </c>
      <c r="C1257" s="116">
        <v>249.69499999999999</v>
      </c>
      <c r="D1257" s="116">
        <v>248.5</v>
      </c>
      <c r="E1257" s="116">
        <v>250.01</v>
      </c>
      <c r="F1257" s="116">
        <v>2496.9499999999998</v>
      </c>
      <c r="G1257">
        <v>17041</v>
      </c>
      <c r="H1257" s="116"/>
      <c r="I1257" s="116"/>
      <c r="L1257" s="170">
        <v>45951</v>
      </c>
      <c r="M1257" s="116">
        <v>249.78</v>
      </c>
      <c r="N1257" s="116">
        <v>251.38</v>
      </c>
      <c r="O1257" s="116">
        <v>248.6</v>
      </c>
      <c r="P1257" s="116">
        <v>250.9</v>
      </c>
      <c r="Q1257" s="116">
        <v>2497.8000000000002</v>
      </c>
      <c r="R1257">
        <v>109769</v>
      </c>
    </row>
    <row r="1258" spans="1:18" x14ac:dyDescent="0.25">
      <c r="A1258" s="170">
        <v>45953</v>
      </c>
      <c r="B1258" s="116">
        <v>253.25</v>
      </c>
      <c r="C1258" s="116">
        <v>250.78</v>
      </c>
      <c r="D1258" s="116">
        <v>248.2</v>
      </c>
      <c r="E1258" s="116">
        <v>250.04</v>
      </c>
      <c r="F1258" s="116">
        <v>2507.8000000000002</v>
      </c>
      <c r="G1258">
        <v>16468</v>
      </c>
      <c r="H1258" s="116"/>
      <c r="I1258" s="116"/>
      <c r="L1258" s="170">
        <v>45953</v>
      </c>
      <c r="M1258" s="116">
        <v>251.1</v>
      </c>
      <c r="N1258" s="116">
        <v>253.34</v>
      </c>
      <c r="O1258" s="116">
        <v>248.05</v>
      </c>
      <c r="P1258" s="116">
        <v>250.59</v>
      </c>
      <c r="Q1258" s="116">
        <v>2511</v>
      </c>
      <c r="R1258">
        <v>525144</v>
      </c>
    </row>
    <row r="1259" spans="1:18" x14ac:dyDescent="0.25">
      <c r="A1259" s="170">
        <v>45954</v>
      </c>
      <c r="B1259" s="116">
        <v>251.8</v>
      </c>
      <c r="C1259" s="116">
        <v>251.42</v>
      </c>
      <c r="D1259" s="116">
        <v>248.8</v>
      </c>
      <c r="E1259" s="116">
        <v>250.20500000000001</v>
      </c>
      <c r="F1259" s="116">
        <v>2514.1999999999998</v>
      </c>
      <c r="G1259">
        <v>12844</v>
      </c>
      <c r="H1259" s="116"/>
      <c r="I1259" s="116"/>
      <c r="L1259" s="170">
        <v>45954</v>
      </c>
      <c r="M1259" s="116">
        <v>251.45</v>
      </c>
      <c r="N1259" s="116">
        <v>251.9</v>
      </c>
      <c r="O1259" s="116">
        <v>248.65</v>
      </c>
      <c r="P1259" s="116">
        <v>250.8</v>
      </c>
      <c r="Q1259" s="116">
        <v>2514.5</v>
      </c>
      <c r="R1259">
        <v>397482</v>
      </c>
    </row>
    <row r="1260" spans="1:18" x14ac:dyDescent="0.25">
      <c r="A1260" s="170">
        <v>45957</v>
      </c>
      <c r="B1260" s="116">
        <v>258.39999999999998</v>
      </c>
      <c r="C1260" s="116">
        <v>257.70499999999998</v>
      </c>
      <c r="D1260" s="116">
        <v>249.11500000000001</v>
      </c>
      <c r="E1260" s="116">
        <v>249.11500000000001</v>
      </c>
      <c r="F1260" s="116">
        <v>2577.0500000000002</v>
      </c>
      <c r="G1260">
        <v>24755</v>
      </c>
      <c r="H1260" s="116"/>
      <c r="I1260" s="116"/>
      <c r="L1260" s="170">
        <v>45957</v>
      </c>
      <c r="M1260" s="116">
        <v>257.7</v>
      </c>
      <c r="N1260" s="116">
        <v>258.51</v>
      </c>
      <c r="O1260" s="116">
        <v>250.81</v>
      </c>
      <c r="P1260" s="116">
        <v>251.4</v>
      </c>
      <c r="Q1260" s="116">
        <v>2577</v>
      </c>
      <c r="R1260">
        <v>736854</v>
      </c>
    </row>
    <row r="1261" spans="1:18" x14ac:dyDescent="0.25">
      <c r="A1261" s="170">
        <v>45958</v>
      </c>
      <c r="B1261" s="116">
        <v>258.93</v>
      </c>
      <c r="C1261" s="116">
        <v>253.68</v>
      </c>
      <c r="D1261" s="116">
        <v>251.2</v>
      </c>
      <c r="E1261" s="116">
        <v>257.73</v>
      </c>
      <c r="F1261" s="116">
        <v>2536.8000000000002</v>
      </c>
      <c r="G1261">
        <v>49359</v>
      </c>
      <c r="H1261" s="116"/>
      <c r="I1261" s="116"/>
      <c r="L1261" s="170">
        <v>45958</v>
      </c>
      <c r="M1261" s="116">
        <v>253.79</v>
      </c>
      <c r="N1261" s="116">
        <v>258.8</v>
      </c>
      <c r="O1261" s="116">
        <v>251.31</v>
      </c>
      <c r="P1261" s="116">
        <v>258</v>
      </c>
      <c r="Q1261" s="116">
        <v>2537.9</v>
      </c>
      <c r="R1261">
        <v>535221</v>
      </c>
    </row>
    <row r="1262" spans="1:18" x14ac:dyDescent="0.25">
      <c r="A1262" s="170">
        <v>45959</v>
      </c>
      <c r="B1262" s="116">
        <v>252</v>
      </c>
      <c r="C1262" s="116">
        <v>251.12</v>
      </c>
      <c r="D1262" s="116">
        <v>245.4</v>
      </c>
      <c r="E1262" s="116">
        <v>250.995</v>
      </c>
      <c r="F1262" s="116">
        <v>2511.1999999999998</v>
      </c>
      <c r="G1262">
        <v>41837</v>
      </c>
      <c r="H1262" s="116"/>
      <c r="I1262" s="116"/>
      <c r="L1262" s="170">
        <v>45959</v>
      </c>
      <c r="M1262" s="116">
        <v>251.17</v>
      </c>
      <c r="N1262" s="116">
        <v>252.18</v>
      </c>
      <c r="O1262" s="116">
        <v>245.04</v>
      </c>
      <c r="P1262" s="116">
        <v>249.1</v>
      </c>
      <c r="Q1262" s="116">
        <v>2511.6999999999998</v>
      </c>
      <c r="R1262">
        <v>716950</v>
      </c>
    </row>
    <row r="1263" spans="1:18" x14ac:dyDescent="0.25">
      <c r="A1263" s="170">
        <v>45960</v>
      </c>
      <c r="B1263" s="116">
        <v>253.57</v>
      </c>
      <c r="C1263" s="116">
        <v>251.13499999999999</v>
      </c>
      <c r="D1263" s="116">
        <v>249.82499999999999</v>
      </c>
      <c r="E1263" s="116">
        <v>253.57</v>
      </c>
      <c r="F1263" s="116">
        <v>2511.35</v>
      </c>
      <c r="G1263">
        <v>11792</v>
      </c>
      <c r="H1263" s="116"/>
      <c r="I1263" s="116"/>
      <c r="L1263" s="170">
        <v>45960</v>
      </c>
      <c r="M1263" s="116">
        <v>251.31</v>
      </c>
      <c r="N1263" s="116">
        <v>253.29</v>
      </c>
      <c r="O1263" s="116">
        <v>249.51</v>
      </c>
      <c r="P1263" s="116">
        <v>251.3</v>
      </c>
      <c r="Q1263" s="116">
        <v>2513.1</v>
      </c>
      <c r="R1263">
        <v>324753</v>
      </c>
    </row>
    <row r="1264" spans="1:18" x14ac:dyDescent="0.25">
      <c r="A1264" s="170">
        <v>45961</v>
      </c>
      <c r="B1264" s="116">
        <v>253.51</v>
      </c>
      <c r="C1264" s="116">
        <v>249.22499999999999</v>
      </c>
      <c r="D1264" s="116">
        <v>241</v>
      </c>
      <c r="E1264" s="116">
        <v>251.73500000000001</v>
      </c>
      <c r="F1264" s="116">
        <v>2492.25</v>
      </c>
      <c r="G1264">
        <v>48145</v>
      </c>
      <c r="H1264" s="116"/>
      <c r="I1264" s="116"/>
      <c r="L1264" s="170">
        <v>45961</v>
      </c>
      <c r="M1264" s="116">
        <v>249.24</v>
      </c>
      <c r="N1264" s="116">
        <v>253.6</v>
      </c>
      <c r="O1264" s="116">
        <v>240.9</v>
      </c>
      <c r="P1264" s="116">
        <v>251.31</v>
      </c>
      <c r="Q1264" s="116">
        <v>2492.4</v>
      </c>
      <c r="R1264">
        <v>1011363</v>
      </c>
    </row>
    <row r="1265" spans="1:18" x14ac:dyDescent="0.25">
      <c r="A1265" s="170">
        <v>45964</v>
      </c>
      <c r="B1265" s="116">
        <v>256.97000000000003</v>
      </c>
      <c r="C1265" s="116">
        <v>256.37</v>
      </c>
      <c r="D1265" s="116">
        <v>248.94</v>
      </c>
      <c r="E1265" s="116">
        <v>249.70500000000001</v>
      </c>
      <c r="F1265" s="116">
        <v>2563.6999999999998</v>
      </c>
      <c r="G1265">
        <v>20974</v>
      </c>
      <c r="H1265" s="116"/>
      <c r="I1265" s="116"/>
      <c r="L1265" s="170">
        <v>45964</v>
      </c>
      <c r="M1265" s="116">
        <v>256.38</v>
      </c>
      <c r="N1265" s="116">
        <v>256.98</v>
      </c>
      <c r="O1265" s="116">
        <v>248.62</v>
      </c>
      <c r="P1265" s="116">
        <v>249.24</v>
      </c>
      <c r="Q1265" s="116">
        <v>2563.8000000000002</v>
      </c>
      <c r="R1265">
        <v>623626</v>
      </c>
    </row>
    <row r="1266" spans="1:18" x14ac:dyDescent="0.25">
      <c r="A1266" s="170">
        <v>45965</v>
      </c>
      <c r="B1266" s="116">
        <v>258.565</v>
      </c>
      <c r="C1266" s="116">
        <v>252.07</v>
      </c>
      <c r="D1266" s="116">
        <v>251.10499999999999</v>
      </c>
      <c r="E1266" s="116">
        <v>256.37</v>
      </c>
      <c r="F1266" s="116">
        <v>2520.6999999999998</v>
      </c>
      <c r="G1266">
        <v>21106</v>
      </c>
      <c r="H1266" s="116"/>
      <c r="I1266" s="116"/>
      <c r="L1266" s="170">
        <v>45965</v>
      </c>
      <c r="M1266" s="116">
        <v>251.84</v>
      </c>
      <c r="N1266" s="116">
        <v>258.42</v>
      </c>
      <c r="O1266" s="116">
        <v>250.99</v>
      </c>
      <c r="P1266" s="116">
        <v>256</v>
      </c>
      <c r="Q1266" s="116">
        <v>2518.4</v>
      </c>
      <c r="R1266">
        <v>621997</v>
      </c>
    </row>
    <row r="1267" spans="1:18" x14ac:dyDescent="0.25">
      <c r="A1267" s="170">
        <v>45967</v>
      </c>
      <c r="B1267" s="116">
        <v>255.9</v>
      </c>
      <c r="C1267" s="116">
        <v>248.58500000000001</v>
      </c>
      <c r="D1267" s="116">
        <v>248</v>
      </c>
      <c r="E1267" s="116">
        <v>252.26</v>
      </c>
      <c r="F1267" s="116">
        <v>2485.85</v>
      </c>
      <c r="G1267">
        <v>37003</v>
      </c>
      <c r="H1267" s="116"/>
      <c r="I1267" s="116"/>
      <c r="L1267" s="170">
        <v>45967</v>
      </c>
      <c r="M1267" s="116">
        <v>248.65</v>
      </c>
      <c r="N1267" s="116">
        <v>255.98</v>
      </c>
      <c r="O1267" s="116">
        <v>248</v>
      </c>
      <c r="P1267" s="116">
        <v>253</v>
      </c>
      <c r="Q1267" s="116">
        <v>2486.5</v>
      </c>
      <c r="R1267">
        <v>721587</v>
      </c>
    </row>
    <row r="1268" spans="1:18" x14ac:dyDescent="0.25">
      <c r="A1268" s="170">
        <v>45968</v>
      </c>
      <c r="B1268" s="116">
        <v>262.5</v>
      </c>
      <c r="C1268" s="116">
        <v>261.64999999999998</v>
      </c>
      <c r="D1268" s="116">
        <v>244.57499999999999</v>
      </c>
      <c r="E1268" s="116">
        <v>248</v>
      </c>
      <c r="F1268" s="116">
        <v>2616.5</v>
      </c>
      <c r="G1268">
        <v>94587</v>
      </c>
      <c r="H1268" s="116"/>
      <c r="I1268" s="116"/>
      <c r="L1268" s="170">
        <v>45968</v>
      </c>
      <c r="M1268" s="116">
        <v>261.64</v>
      </c>
      <c r="N1268" s="116">
        <v>262.5</v>
      </c>
      <c r="O1268" s="116">
        <v>244.6</v>
      </c>
      <c r="P1268" s="116">
        <v>248</v>
      </c>
      <c r="Q1268" s="116">
        <v>2616.4</v>
      </c>
      <c r="R1268">
        <v>1865591</v>
      </c>
    </row>
    <row r="1269" spans="1:18" x14ac:dyDescent="0.25">
      <c r="A1269" s="170">
        <v>45971</v>
      </c>
      <c r="B1269" s="116">
        <v>267.27999999999997</v>
      </c>
      <c r="C1269" s="116">
        <v>260.52999999999997</v>
      </c>
      <c r="D1269" s="116">
        <v>260</v>
      </c>
      <c r="E1269" s="116">
        <v>262.39</v>
      </c>
      <c r="F1269" s="116">
        <v>2605.3000000000002</v>
      </c>
      <c r="G1269">
        <v>110248</v>
      </c>
      <c r="H1269" s="116"/>
      <c r="I1269" s="116"/>
      <c r="L1269" s="170">
        <v>45971</v>
      </c>
      <c r="M1269" s="116">
        <v>260.64</v>
      </c>
      <c r="N1269" s="116">
        <v>267.33</v>
      </c>
      <c r="O1269" s="116">
        <v>260</v>
      </c>
      <c r="P1269" s="116">
        <v>262.2</v>
      </c>
      <c r="Q1269" s="116">
        <v>2606.4</v>
      </c>
      <c r="R1269">
        <v>1230066</v>
      </c>
    </row>
    <row r="1270" spans="1:18" x14ac:dyDescent="0.25">
      <c r="A1270" s="170">
        <v>45972</v>
      </c>
      <c r="B1270" s="116">
        <v>265.72000000000003</v>
      </c>
      <c r="C1270" s="116">
        <v>264</v>
      </c>
      <c r="D1270" s="116">
        <v>260.11500000000001</v>
      </c>
      <c r="E1270" s="116">
        <v>260.11500000000001</v>
      </c>
      <c r="F1270" s="116">
        <v>2640</v>
      </c>
      <c r="G1270">
        <v>23255</v>
      </c>
      <c r="H1270" s="116"/>
      <c r="I1270" s="116"/>
      <c r="L1270" s="170">
        <v>45972</v>
      </c>
      <c r="M1270" s="116">
        <v>264.14</v>
      </c>
      <c r="N1270" s="116">
        <v>265.69</v>
      </c>
      <c r="O1270" s="116">
        <v>260.2</v>
      </c>
      <c r="P1270" s="116">
        <v>260.64</v>
      </c>
      <c r="Q1270" s="116">
        <v>2641.4</v>
      </c>
      <c r="R1270">
        <v>750372</v>
      </c>
    </row>
    <row r="1271" spans="1:18" x14ac:dyDescent="0.25">
      <c r="A1271" s="170">
        <v>45973</v>
      </c>
      <c r="B1271" s="116">
        <v>270.98500000000001</v>
      </c>
      <c r="C1271" s="116">
        <v>268.17</v>
      </c>
      <c r="D1271" s="116">
        <v>264.05</v>
      </c>
      <c r="E1271" s="116">
        <v>265.37</v>
      </c>
      <c r="F1271" s="116">
        <v>2681.7</v>
      </c>
      <c r="G1271">
        <v>57269</v>
      </c>
      <c r="H1271" s="116"/>
      <c r="I1271" s="116"/>
      <c r="L1271" s="170">
        <v>45973</v>
      </c>
      <c r="M1271" s="116">
        <v>267.95</v>
      </c>
      <c r="N1271" s="116">
        <v>271</v>
      </c>
      <c r="O1271" s="116">
        <v>263.77999999999997</v>
      </c>
      <c r="P1271" s="116">
        <v>266.3</v>
      </c>
      <c r="Q1271" s="116">
        <v>2679.5</v>
      </c>
      <c r="R1271">
        <v>1783272</v>
      </c>
    </row>
    <row r="1272" spans="1:18" x14ac:dyDescent="0.25">
      <c r="A1272" s="170">
        <v>45974</v>
      </c>
      <c r="B1272" s="116">
        <v>276.7</v>
      </c>
      <c r="C1272" s="116">
        <v>271.39</v>
      </c>
      <c r="D1272" s="116">
        <v>266.86</v>
      </c>
      <c r="E1272" s="116">
        <v>268.495</v>
      </c>
      <c r="F1272" s="116">
        <v>2713.9</v>
      </c>
      <c r="G1272">
        <v>86714</v>
      </c>
      <c r="H1272" s="116"/>
      <c r="I1272" s="116"/>
      <c r="L1272" s="170">
        <v>45974</v>
      </c>
      <c r="M1272" s="116">
        <v>271.35000000000002</v>
      </c>
      <c r="N1272" s="116">
        <v>276.83</v>
      </c>
      <c r="O1272" s="116">
        <v>266.64</v>
      </c>
      <c r="P1272" s="116">
        <v>268</v>
      </c>
      <c r="Q1272" s="116">
        <v>2713.5</v>
      </c>
      <c r="R1272">
        <v>1167192</v>
      </c>
    </row>
    <row r="1273" spans="1:18" x14ac:dyDescent="0.25">
      <c r="A1273" s="170">
        <v>45975</v>
      </c>
      <c r="B1273" s="116">
        <v>275.70999999999998</v>
      </c>
      <c r="C1273" s="116">
        <v>274.57</v>
      </c>
      <c r="D1273" s="116">
        <v>270.11</v>
      </c>
      <c r="E1273" s="116">
        <v>270.11</v>
      </c>
      <c r="F1273" s="116">
        <v>2745.7</v>
      </c>
      <c r="G1273">
        <v>43821</v>
      </c>
      <c r="H1273" s="116"/>
      <c r="I1273" s="116"/>
      <c r="L1273" s="170">
        <v>45975</v>
      </c>
      <c r="M1273" s="116">
        <v>274.52999999999997</v>
      </c>
      <c r="N1273" s="116">
        <v>275.7</v>
      </c>
      <c r="O1273" s="116">
        <v>271.07</v>
      </c>
      <c r="P1273" s="116">
        <v>271.35000000000002</v>
      </c>
      <c r="Q1273" s="116">
        <v>2745.3</v>
      </c>
      <c r="R1273">
        <v>536041</v>
      </c>
    </row>
    <row r="1274" spans="1:18" x14ac:dyDescent="0.25">
      <c r="A1274" s="170">
        <v>45978</v>
      </c>
      <c r="B1274" s="116">
        <v>286.41000000000003</v>
      </c>
      <c r="C1274" s="116">
        <v>284.64</v>
      </c>
      <c r="D1274" s="116">
        <v>274.80500000000001</v>
      </c>
      <c r="E1274" s="116">
        <v>274.80500000000001</v>
      </c>
      <c r="F1274" s="116">
        <v>2846.4</v>
      </c>
      <c r="G1274">
        <v>311056</v>
      </c>
      <c r="H1274" s="116"/>
      <c r="I1274" s="116"/>
      <c r="L1274" s="170">
        <v>45978</v>
      </c>
      <c r="M1274" s="116">
        <v>284.74</v>
      </c>
      <c r="N1274" s="116">
        <v>286.49</v>
      </c>
      <c r="O1274" s="116">
        <v>275.51</v>
      </c>
      <c r="P1274" s="116">
        <v>275.89999999999998</v>
      </c>
      <c r="Q1274" s="116">
        <v>2847.4</v>
      </c>
      <c r="R1274">
        <v>1513166</v>
      </c>
    </row>
    <row r="1275" spans="1:18" x14ac:dyDescent="0.25">
      <c r="A1275" s="170">
        <v>45979</v>
      </c>
      <c r="B1275" s="116">
        <v>286.42500000000001</v>
      </c>
      <c r="C1275" s="116">
        <v>279.22000000000003</v>
      </c>
      <c r="D1275" s="116">
        <v>278.39499999999998</v>
      </c>
      <c r="E1275" s="116">
        <v>283.245</v>
      </c>
      <c r="F1275" s="116">
        <v>2792.2</v>
      </c>
      <c r="G1275">
        <v>37582</v>
      </c>
      <c r="H1275" s="116"/>
      <c r="I1275" s="116"/>
      <c r="L1275" s="170">
        <v>45979</v>
      </c>
      <c r="M1275" s="116">
        <v>279.33999999999997</v>
      </c>
      <c r="N1275" s="116">
        <v>286.7</v>
      </c>
      <c r="O1275" s="116">
        <v>278.5</v>
      </c>
      <c r="P1275" s="116">
        <v>283.89999999999998</v>
      </c>
      <c r="Q1275" s="116">
        <v>2793.4</v>
      </c>
      <c r="R1275">
        <v>744032</v>
      </c>
    </row>
    <row r="1276" spans="1:18" x14ac:dyDescent="0.25">
      <c r="A1276" s="170">
        <v>45980</v>
      </c>
      <c r="B1276" s="116">
        <v>285</v>
      </c>
      <c r="C1276" s="116">
        <v>281.255</v>
      </c>
      <c r="D1276" s="116">
        <v>278.10000000000002</v>
      </c>
      <c r="E1276" s="116">
        <v>279.3</v>
      </c>
      <c r="F1276" s="116">
        <v>2812.55</v>
      </c>
      <c r="G1276">
        <v>29541</v>
      </c>
      <c r="H1276" s="116"/>
      <c r="I1276" s="116"/>
      <c r="L1276" s="170">
        <v>45980</v>
      </c>
      <c r="M1276" s="116">
        <v>281.39</v>
      </c>
      <c r="N1276" s="116">
        <v>285</v>
      </c>
      <c r="O1276" s="116">
        <v>277.89999999999998</v>
      </c>
      <c r="P1276" s="116">
        <v>279.39999999999998</v>
      </c>
      <c r="Q1276" s="116">
        <v>2813.9</v>
      </c>
      <c r="R1276">
        <v>714090</v>
      </c>
    </row>
    <row r="1277" spans="1:18" x14ac:dyDescent="0.25">
      <c r="A1277" s="170">
        <v>45981</v>
      </c>
      <c r="B1277" s="116">
        <v>284.99</v>
      </c>
      <c r="C1277" s="116">
        <v>281.435</v>
      </c>
      <c r="D1277" s="116">
        <v>279.255</v>
      </c>
      <c r="E1277" s="116">
        <v>281.04500000000002</v>
      </c>
      <c r="F1277" s="116">
        <v>2814.35</v>
      </c>
      <c r="G1277">
        <v>23647</v>
      </c>
      <c r="H1277" s="116"/>
      <c r="I1277" s="116"/>
      <c r="L1277" s="170">
        <v>45981</v>
      </c>
      <c r="M1277" s="116">
        <v>281.43</v>
      </c>
      <c r="N1277" s="116">
        <v>285</v>
      </c>
      <c r="O1277" s="116">
        <v>279.33</v>
      </c>
      <c r="P1277" s="116">
        <v>281.39</v>
      </c>
      <c r="Q1277" s="116">
        <v>2814.3</v>
      </c>
      <c r="R1277">
        <v>700861</v>
      </c>
    </row>
    <row r="1278" spans="1:18" x14ac:dyDescent="0.25">
      <c r="A1278" s="170">
        <v>45982</v>
      </c>
      <c r="B1278" s="116">
        <v>282.02</v>
      </c>
      <c r="C1278" s="116">
        <v>274.685</v>
      </c>
      <c r="D1278" s="116">
        <v>274.07499999999999</v>
      </c>
      <c r="E1278" s="116">
        <v>281.435</v>
      </c>
      <c r="F1278" s="116">
        <v>2746.85</v>
      </c>
      <c r="G1278">
        <v>48345</v>
      </c>
      <c r="H1278" s="116"/>
      <c r="I1278" s="116"/>
      <c r="L1278" s="170">
        <v>45982</v>
      </c>
      <c r="M1278" s="116">
        <v>274.81</v>
      </c>
      <c r="N1278" s="116">
        <v>281.89999999999998</v>
      </c>
      <c r="O1278" s="116">
        <v>274.10000000000002</v>
      </c>
      <c r="P1278" s="116">
        <v>281.2</v>
      </c>
      <c r="Q1278" s="116">
        <v>2748.1</v>
      </c>
      <c r="R1278">
        <v>554218</v>
      </c>
    </row>
    <row r="1279" spans="1:18" x14ac:dyDescent="0.25">
      <c r="A1279" s="170">
        <v>45985</v>
      </c>
      <c r="B1279" s="116">
        <v>276.5</v>
      </c>
      <c r="C1279" s="116">
        <v>267.745</v>
      </c>
      <c r="D1279" s="116">
        <v>267.15499999999997</v>
      </c>
      <c r="E1279" s="116">
        <v>275.01499999999999</v>
      </c>
      <c r="F1279" s="116">
        <v>2677.45</v>
      </c>
      <c r="G1279">
        <v>22328</v>
      </c>
      <c r="H1279" s="116"/>
      <c r="I1279" s="116"/>
      <c r="L1279" s="170">
        <v>45985</v>
      </c>
      <c r="M1279" s="116">
        <v>267.85000000000002</v>
      </c>
      <c r="N1279" s="116">
        <v>276.54000000000002</v>
      </c>
      <c r="O1279" s="116">
        <v>267.39</v>
      </c>
      <c r="P1279" s="116">
        <v>275.3</v>
      </c>
      <c r="Q1279" s="116">
        <v>2678.5</v>
      </c>
      <c r="R1279">
        <v>487775</v>
      </c>
    </row>
    <row r="1280" spans="1:18" x14ac:dyDescent="0.25">
      <c r="A1280" s="170">
        <v>45986</v>
      </c>
      <c r="B1280" s="116">
        <v>270.57</v>
      </c>
      <c r="C1280" s="116">
        <v>269.11</v>
      </c>
      <c r="D1280" s="116">
        <v>266.3</v>
      </c>
      <c r="E1280" s="116">
        <v>267.47000000000003</v>
      </c>
      <c r="F1280" s="116">
        <v>2691.1</v>
      </c>
      <c r="G1280">
        <v>16255</v>
      </c>
      <c r="H1280" s="116"/>
      <c r="I1280" s="116"/>
      <c r="L1280" s="170">
        <v>45986</v>
      </c>
      <c r="M1280" s="116">
        <v>268.77</v>
      </c>
      <c r="N1280" s="116">
        <v>270.69</v>
      </c>
      <c r="O1280" s="116">
        <v>266.10000000000002</v>
      </c>
      <c r="P1280" s="116">
        <v>266.5</v>
      </c>
      <c r="Q1280" s="116">
        <v>2687.7</v>
      </c>
      <c r="R1280">
        <v>427865</v>
      </c>
    </row>
    <row r="1281" spans="1:18" x14ac:dyDescent="0.25">
      <c r="A1281" s="170">
        <v>45987</v>
      </c>
      <c r="B1281" s="116">
        <v>276</v>
      </c>
      <c r="C1281" s="116">
        <v>274.77499999999998</v>
      </c>
      <c r="D1281" s="116">
        <v>268.08499999999998</v>
      </c>
      <c r="E1281" s="116">
        <v>269.12</v>
      </c>
      <c r="F1281" s="116">
        <v>2747.75</v>
      </c>
      <c r="G1281">
        <v>22833</v>
      </c>
      <c r="H1281" s="116"/>
      <c r="I1281" s="116"/>
      <c r="L1281" s="170">
        <v>45987</v>
      </c>
      <c r="M1281" s="116">
        <v>274.95</v>
      </c>
      <c r="N1281" s="116">
        <v>276</v>
      </c>
      <c r="O1281" s="116">
        <v>268.25</v>
      </c>
      <c r="P1281" s="116">
        <v>269.39999999999998</v>
      </c>
      <c r="Q1281" s="116">
        <v>2749.5</v>
      </c>
      <c r="R1281">
        <v>456508</v>
      </c>
    </row>
    <row r="1282" spans="1:18" x14ac:dyDescent="0.25">
      <c r="A1282" s="170">
        <v>45988</v>
      </c>
      <c r="B1282" s="116">
        <v>277.76</v>
      </c>
      <c r="C1282" s="116">
        <v>276.39</v>
      </c>
      <c r="D1282" s="116">
        <v>273.5</v>
      </c>
      <c r="E1282" s="116">
        <v>277.76</v>
      </c>
      <c r="F1282" s="116">
        <v>2763.9</v>
      </c>
      <c r="G1282">
        <v>9508</v>
      </c>
      <c r="H1282" s="116"/>
      <c r="I1282" s="116"/>
      <c r="L1282" s="170">
        <v>45988</v>
      </c>
      <c r="M1282" s="116">
        <v>276.42</v>
      </c>
      <c r="N1282" s="116">
        <v>277</v>
      </c>
      <c r="O1282" s="116">
        <v>273.27999999999997</v>
      </c>
      <c r="P1282" s="116">
        <v>275.99</v>
      </c>
      <c r="Q1282" s="116">
        <v>2764.2</v>
      </c>
      <c r="R1282">
        <v>444280</v>
      </c>
    </row>
    <row r="1283" spans="1:18" x14ac:dyDescent="0.25">
      <c r="A1283" s="170">
        <v>45989</v>
      </c>
      <c r="B1283" s="116">
        <v>276.5</v>
      </c>
      <c r="C1283" s="116">
        <v>270.3</v>
      </c>
      <c r="D1283" s="116">
        <v>267.7</v>
      </c>
      <c r="E1283" s="116">
        <v>276.5</v>
      </c>
      <c r="F1283" s="116">
        <v>2703</v>
      </c>
      <c r="G1283">
        <v>14650</v>
      </c>
      <c r="H1283" s="116"/>
      <c r="I1283" s="116"/>
      <c r="L1283" s="170">
        <v>45989</v>
      </c>
      <c r="M1283" s="116">
        <v>270.38</v>
      </c>
      <c r="N1283" s="116">
        <v>276.39</v>
      </c>
      <c r="O1283" s="116">
        <v>267.60000000000002</v>
      </c>
      <c r="P1283" s="116">
        <v>276.39</v>
      </c>
      <c r="Q1283" s="116">
        <v>2703.8</v>
      </c>
      <c r="R1283">
        <v>733603</v>
      </c>
    </row>
    <row r="1284" spans="1:18" x14ac:dyDescent="0.25">
      <c r="A1284" s="170">
        <v>45992</v>
      </c>
      <c r="B1284" s="116">
        <v>277.565</v>
      </c>
      <c r="C1284" s="116">
        <v>276.22500000000002</v>
      </c>
      <c r="D1284" s="116">
        <v>270.565</v>
      </c>
      <c r="E1284" s="116">
        <v>270.565</v>
      </c>
      <c r="F1284" s="116">
        <v>2762.25</v>
      </c>
      <c r="G1284">
        <v>48270</v>
      </c>
      <c r="H1284" s="116"/>
      <c r="I1284" s="116"/>
      <c r="L1284" s="170">
        <v>45992</v>
      </c>
      <c r="M1284" s="116">
        <v>276.33999999999997</v>
      </c>
      <c r="N1284" s="116">
        <v>277.60000000000002</v>
      </c>
      <c r="O1284" s="116">
        <v>270.77999999999997</v>
      </c>
      <c r="P1284" s="116">
        <v>270.89999999999998</v>
      </c>
      <c r="Q1284" s="116">
        <v>2763.4</v>
      </c>
      <c r="R1284">
        <v>658606</v>
      </c>
    </row>
    <row r="1285" spans="1:18" x14ac:dyDescent="0.25">
      <c r="A1285" s="170">
        <v>45993</v>
      </c>
      <c r="B1285" s="116">
        <v>282.5</v>
      </c>
      <c r="C1285" s="116">
        <v>281.33499999999998</v>
      </c>
      <c r="D1285" s="116">
        <v>273.38</v>
      </c>
      <c r="E1285" s="116">
        <v>273.38</v>
      </c>
      <c r="F1285" s="116">
        <v>2813.35</v>
      </c>
      <c r="G1285">
        <v>132859</v>
      </c>
      <c r="H1285" s="116"/>
      <c r="I1285" s="116"/>
      <c r="L1285" s="170">
        <v>45993</v>
      </c>
      <c r="M1285" s="116">
        <v>281.42</v>
      </c>
      <c r="N1285" s="116">
        <v>282.5</v>
      </c>
      <c r="O1285" s="116">
        <v>274.69</v>
      </c>
      <c r="P1285" s="116">
        <v>275.27</v>
      </c>
      <c r="Q1285" s="116">
        <v>2814.2</v>
      </c>
      <c r="R1285">
        <v>1167875</v>
      </c>
    </row>
    <row r="1286" spans="1:18" x14ac:dyDescent="0.25">
      <c r="A1286" s="170">
        <v>45994</v>
      </c>
      <c r="B1286" s="116">
        <v>279.39999999999998</v>
      </c>
      <c r="C1286" s="116">
        <v>266.69</v>
      </c>
      <c r="D1286" s="116">
        <v>264.39</v>
      </c>
      <c r="E1286" s="116">
        <v>279.39999999999998</v>
      </c>
      <c r="F1286" s="116">
        <v>2666.9</v>
      </c>
      <c r="G1286">
        <v>102554</v>
      </c>
      <c r="H1286" s="116"/>
      <c r="I1286" s="116"/>
      <c r="L1286" s="170">
        <v>45994</v>
      </c>
      <c r="M1286" s="116">
        <v>267.02</v>
      </c>
      <c r="N1286" s="116">
        <v>277.5</v>
      </c>
      <c r="O1286" s="116">
        <v>264.41000000000003</v>
      </c>
      <c r="P1286" s="116">
        <v>277.5</v>
      </c>
      <c r="Q1286" s="116">
        <v>2670.2</v>
      </c>
      <c r="R1286">
        <v>2600046</v>
      </c>
    </row>
    <row r="1287" spans="1:18" x14ac:dyDescent="0.25">
      <c r="A1287" s="170">
        <v>45995</v>
      </c>
      <c r="B1287" s="116">
        <v>268.23</v>
      </c>
      <c r="C1287" s="116">
        <v>262.44499999999999</v>
      </c>
      <c r="D1287" s="116">
        <v>261.77</v>
      </c>
      <c r="E1287" s="116">
        <v>265.79500000000002</v>
      </c>
      <c r="F1287" s="116">
        <v>2624.45</v>
      </c>
      <c r="G1287">
        <v>36372</v>
      </c>
      <c r="H1287" s="116"/>
      <c r="I1287" s="116"/>
      <c r="L1287" s="170">
        <v>45995</v>
      </c>
      <c r="M1287" s="116">
        <v>262.5</v>
      </c>
      <c r="N1287" s="116">
        <v>268.5</v>
      </c>
      <c r="O1287" s="116">
        <v>261.8</v>
      </c>
      <c r="P1287" s="116">
        <v>266.02999999999997</v>
      </c>
      <c r="Q1287" s="116">
        <v>2625</v>
      </c>
      <c r="R1287">
        <v>1042860</v>
      </c>
    </row>
    <row r="1288" spans="1:18" x14ac:dyDescent="0.25">
      <c r="A1288" s="170">
        <v>45996</v>
      </c>
      <c r="B1288" s="116">
        <v>265.10000000000002</v>
      </c>
      <c r="C1288" s="116">
        <v>264.245</v>
      </c>
      <c r="D1288" s="116">
        <v>260.04500000000002</v>
      </c>
      <c r="E1288" s="116">
        <v>262.5</v>
      </c>
      <c r="F1288" s="116">
        <v>2642.45</v>
      </c>
      <c r="G1288">
        <v>11025</v>
      </c>
      <c r="H1288" s="116"/>
      <c r="I1288" s="116"/>
      <c r="L1288" s="170">
        <v>45996</v>
      </c>
      <c r="M1288" s="116">
        <v>264.17</v>
      </c>
      <c r="N1288" s="116">
        <v>265.3</v>
      </c>
      <c r="O1288" s="116">
        <v>260.01</v>
      </c>
      <c r="P1288" s="116">
        <v>262.20999999999998</v>
      </c>
      <c r="Q1288" s="116">
        <v>2641.7</v>
      </c>
      <c r="R1288">
        <v>511846</v>
      </c>
    </row>
    <row r="1289" spans="1:18" x14ac:dyDescent="0.25">
      <c r="A1289" s="170">
        <v>45999</v>
      </c>
      <c r="B1289" s="116">
        <v>265.45999999999998</v>
      </c>
      <c r="C1289" s="116">
        <v>254.05500000000001</v>
      </c>
      <c r="D1289" s="116">
        <v>252.29499999999999</v>
      </c>
      <c r="E1289" s="116">
        <v>261.14</v>
      </c>
      <c r="F1289" s="116">
        <v>2540.5500000000002</v>
      </c>
      <c r="G1289">
        <v>43100</v>
      </c>
      <c r="H1289" s="116"/>
      <c r="I1289" s="116"/>
      <c r="L1289" s="170">
        <v>45999</v>
      </c>
      <c r="M1289" s="116">
        <v>254.26</v>
      </c>
      <c r="N1289" s="116">
        <v>265.5</v>
      </c>
      <c r="O1289" s="116">
        <v>252.15</v>
      </c>
      <c r="P1289" s="116">
        <v>262.60000000000002</v>
      </c>
      <c r="Q1289" s="116">
        <v>2542.6</v>
      </c>
      <c r="R1289">
        <v>662965</v>
      </c>
    </row>
    <row r="1290" spans="1:18" x14ac:dyDescent="0.25">
      <c r="A1290" s="170">
        <v>46000</v>
      </c>
      <c r="B1290" s="116">
        <v>254.14500000000001</v>
      </c>
      <c r="C1290" s="116">
        <v>253.315</v>
      </c>
      <c r="D1290" s="116">
        <v>245.93</v>
      </c>
      <c r="E1290" s="116">
        <v>253.6</v>
      </c>
      <c r="F1290" s="116">
        <v>2533.15</v>
      </c>
      <c r="G1290">
        <v>15154</v>
      </c>
      <c r="H1290" s="116"/>
      <c r="I1290" s="116"/>
      <c r="L1290" s="170">
        <v>46000</v>
      </c>
      <c r="M1290" s="116">
        <v>253.35</v>
      </c>
      <c r="N1290" s="116">
        <v>254.04</v>
      </c>
      <c r="O1290" s="116">
        <v>245.92</v>
      </c>
      <c r="P1290" s="116">
        <v>253.3</v>
      </c>
      <c r="Q1290" s="116">
        <v>2533.5</v>
      </c>
      <c r="R1290">
        <v>506923</v>
      </c>
    </row>
    <row r="1291" spans="1:18" x14ac:dyDescent="0.25">
      <c r="A1291" s="170">
        <v>46001</v>
      </c>
      <c r="B1291" s="116">
        <v>254.88</v>
      </c>
      <c r="C1291" s="116">
        <v>247.8</v>
      </c>
      <c r="D1291" s="116">
        <v>245.94499999999999</v>
      </c>
      <c r="E1291" s="116">
        <v>250.55500000000001</v>
      </c>
      <c r="F1291" s="116">
        <v>2478</v>
      </c>
      <c r="G1291">
        <v>14807</v>
      </c>
      <c r="H1291" s="116"/>
      <c r="I1291" s="116"/>
      <c r="L1291" s="170">
        <v>46001</v>
      </c>
      <c r="M1291" s="116">
        <v>247.83</v>
      </c>
      <c r="N1291" s="116">
        <v>255</v>
      </c>
      <c r="O1291" s="116">
        <v>246</v>
      </c>
      <c r="P1291" s="116">
        <v>253.49</v>
      </c>
      <c r="Q1291" s="116">
        <v>2478.3000000000002</v>
      </c>
      <c r="R1291">
        <v>507470</v>
      </c>
    </row>
    <row r="1292" spans="1:18" x14ac:dyDescent="0.25">
      <c r="A1292" s="170">
        <v>46002</v>
      </c>
      <c r="B1292" s="116">
        <v>258.42</v>
      </c>
      <c r="C1292" s="116">
        <v>257.77499999999998</v>
      </c>
      <c r="D1292" s="116">
        <v>246.5</v>
      </c>
      <c r="E1292" s="116">
        <v>247.85</v>
      </c>
      <c r="F1292" s="116">
        <v>2577.75</v>
      </c>
      <c r="G1292">
        <v>18910</v>
      </c>
      <c r="H1292" s="116"/>
      <c r="I1292" s="116"/>
      <c r="L1292" s="170">
        <v>46002</v>
      </c>
      <c r="M1292" s="116">
        <v>257.74</v>
      </c>
      <c r="N1292" s="116">
        <v>258.39</v>
      </c>
      <c r="O1292" s="116">
        <v>246.45</v>
      </c>
      <c r="P1292" s="116">
        <v>249</v>
      </c>
      <c r="Q1292" s="116">
        <v>2577.4</v>
      </c>
      <c r="R1292">
        <v>638720</v>
      </c>
    </row>
    <row r="1293" spans="1:18" x14ac:dyDescent="0.25">
      <c r="A1293" s="170">
        <v>46003</v>
      </c>
      <c r="B1293" s="116">
        <v>260.58499999999998</v>
      </c>
      <c r="C1293" s="116">
        <v>259.40499999999997</v>
      </c>
      <c r="D1293" s="116">
        <v>256.01</v>
      </c>
      <c r="E1293" s="116">
        <v>258.02</v>
      </c>
      <c r="F1293" s="116">
        <v>2594.0500000000002</v>
      </c>
      <c r="G1293">
        <v>18937</v>
      </c>
      <c r="H1293" s="116"/>
      <c r="I1293" s="116"/>
      <c r="L1293" s="170">
        <v>46003</v>
      </c>
      <c r="M1293" s="116">
        <v>259.52999999999997</v>
      </c>
      <c r="N1293" s="116">
        <v>260.45999999999998</v>
      </c>
      <c r="O1293" s="116">
        <v>256</v>
      </c>
      <c r="P1293" s="116">
        <v>258.8</v>
      </c>
      <c r="Q1293" s="116">
        <v>2595.3000000000002</v>
      </c>
      <c r="R1293">
        <v>425175</v>
      </c>
    </row>
    <row r="1294" spans="1:18" x14ac:dyDescent="0.25">
      <c r="A1294" s="170">
        <v>46006</v>
      </c>
      <c r="B1294" s="116">
        <v>260.91500000000002</v>
      </c>
      <c r="C1294" s="116">
        <v>258.17</v>
      </c>
      <c r="D1294" s="116">
        <v>256</v>
      </c>
      <c r="E1294" s="116">
        <v>257.125</v>
      </c>
      <c r="F1294" s="116">
        <v>2581.6999999999998</v>
      </c>
      <c r="G1294">
        <v>12797</v>
      </c>
      <c r="H1294" s="116"/>
      <c r="I1294" s="116"/>
      <c r="L1294" s="170">
        <v>46006</v>
      </c>
      <c r="M1294" s="116">
        <v>258.25</v>
      </c>
      <c r="N1294" s="116">
        <v>260.8</v>
      </c>
      <c r="O1294" s="116">
        <v>256</v>
      </c>
      <c r="P1294" s="116">
        <v>258</v>
      </c>
      <c r="Q1294" s="116">
        <v>2582.5</v>
      </c>
      <c r="R1294">
        <v>311330</v>
      </c>
    </row>
    <row r="1295" spans="1:18" x14ac:dyDescent="0.25">
      <c r="A1295" s="170">
        <v>46007</v>
      </c>
      <c r="B1295" s="116">
        <v>264.77</v>
      </c>
      <c r="C1295" s="116">
        <v>253.035</v>
      </c>
      <c r="D1295" s="116">
        <v>252.215</v>
      </c>
      <c r="E1295" s="116">
        <v>264.77</v>
      </c>
      <c r="F1295" s="116">
        <v>2530.35</v>
      </c>
      <c r="G1295">
        <v>8736</v>
      </c>
      <c r="H1295" s="116"/>
      <c r="I1295" s="116"/>
      <c r="L1295" s="170">
        <v>46007</v>
      </c>
      <c r="M1295" s="116">
        <v>253.24</v>
      </c>
      <c r="N1295" s="116">
        <v>258.11</v>
      </c>
      <c r="O1295" s="116">
        <v>252.21</v>
      </c>
      <c r="P1295" s="116">
        <v>257.79000000000002</v>
      </c>
      <c r="Q1295" s="116">
        <v>2532.4</v>
      </c>
      <c r="R1295">
        <v>366458</v>
      </c>
    </row>
    <row r="1296" spans="1:18" x14ac:dyDescent="0.25">
      <c r="A1296" s="170">
        <v>46008</v>
      </c>
      <c r="B1296" s="116">
        <v>255</v>
      </c>
      <c r="C1296" s="116">
        <v>250.255</v>
      </c>
      <c r="D1296" s="116">
        <v>249.08500000000001</v>
      </c>
      <c r="E1296" s="116">
        <v>253.29499999999999</v>
      </c>
      <c r="F1296" s="116">
        <v>2502.5500000000002</v>
      </c>
      <c r="G1296">
        <v>8214</v>
      </c>
      <c r="H1296" s="116"/>
      <c r="I1296" s="116"/>
      <c r="L1296" s="170">
        <v>46008</v>
      </c>
      <c r="M1296" s="116">
        <v>250.46</v>
      </c>
      <c r="N1296" s="116">
        <v>255</v>
      </c>
      <c r="O1296" s="116">
        <v>249.1</v>
      </c>
      <c r="P1296" s="116">
        <v>254.3</v>
      </c>
      <c r="Q1296" s="116">
        <v>2504.6</v>
      </c>
      <c r="R1296">
        <v>311711</v>
      </c>
    </row>
    <row r="1297" spans="1:18" x14ac:dyDescent="0.25">
      <c r="A1297" s="170">
        <v>46009</v>
      </c>
      <c r="B1297" s="116">
        <v>255.07</v>
      </c>
      <c r="C1297" s="116">
        <v>247.95500000000001</v>
      </c>
      <c r="D1297" s="116">
        <v>246.9</v>
      </c>
      <c r="E1297" s="116">
        <v>250.505</v>
      </c>
      <c r="F1297" s="116">
        <v>2479.5500000000002</v>
      </c>
      <c r="G1297">
        <v>18632</v>
      </c>
      <c r="H1297" s="116"/>
      <c r="I1297" s="116"/>
      <c r="L1297" s="170">
        <v>46009</v>
      </c>
      <c r="M1297" s="116">
        <v>247.91</v>
      </c>
      <c r="N1297" s="116">
        <v>255.49</v>
      </c>
      <c r="O1297" s="116">
        <v>246.85</v>
      </c>
      <c r="P1297" s="116">
        <v>251</v>
      </c>
      <c r="Q1297" s="116">
        <v>2479.1</v>
      </c>
      <c r="R1297">
        <v>694593</v>
      </c>
    </row>
    <row r="1298" spans="1:18" x14ac:dyDescent="0.25">
      <c r="A1298" s="170">
        <v>46010</v>
      </c>
      <c r="B1298" s="116">
        <v>252.25</v>
      </c>
      <c r="C1298" s="116">
        <v>251.73500000000001</v>
      </c>
      <c r="D1298" s="116">
        <v>244.86500000000001</v>
      </c>
      <c r="E1298" s="116">
        <v>249.36500000000001</v>
      </c>
      <c r="F1298" s="116">
        <v>2517.35</v>
      </c>
      <c r="G1298">
        <v>31507</v>
      </c>
      <c r="H1298" s="116"/>
      <c r="I1298" s="116"/>
      <c r="L1298" s="170">
        <v>46010</v>
      </c>
      <c r="M1298" s="116">
        <v>251.81</v>
      </c>
      <c r="N1298" s="116">
        <v>252.49</v>
      </c>
      <c r="O1298" s="116">
        <v>244.91</v>
      </c>
      <c r="P1298" s="116">
        <v>249</v>
      </c>
      <c r="Q1298" s="116">
        <v>2518.1</v>
      </c>
      <c r="R1298">
        <v>588239</v>
      </c>
    </row>
    <row r="1299" spans="1:18" x14ac:dyDescent="0.25">
      <c r="A1299" s="170">
        <v>46013</v>
      </c>
      <c r="B1299" s="116">
        <v>259.01499999999999</v>
      </c>
      <c r="C1299" s="116">
        <v>258.13</v>
      </c>
      <c r="D1299" s="116">
        <v>251.4</v>
      </c>
      <c r="E1299" s="116">
        <v>252.495</v>
      </c>
      <c r="F1299" s="116">
        <v>2581.3000000000002</v>
      </c>
      <c r="G1299">
        <v>14861</v>
      </c>
      <c r="H1299" s="116"/>
      <c r="I1299" s="116"/>
      <c r="L1299" s="170">
        <v>46013</v>
      </c>
      <c r="M1299" s="116">
        <v>258.16000000000003</v>
      </c>
      <c r="N1299" s="116">
        <v>259.24</v>
      </c>
      <c r="O1299" s="116">
        <v>251.48</v>
      </c>
      <c r="P1299" s="116">
        <v>251.83</v>
      </c>
      <c r="Q1299" s="116">
        <v>2581.6</v>
      </c>
      <c r="R1299">
        <v>520494</v>
      </c>
    </row>
    <row r="1300" spans="1:18" x14ac:dyDescent="0.25">
      <c r="A1300" s="170">
        <v>46014</v>
      </c>
      <c r="B1300" s="116">
        <v>258.495</v>
      </c>
      <c r="C1300" s="116">
        <v>255.63</v>
      </c>
      <c r="D1300" s="116">
        <v>254.2</v>
      </c>
      <c r="E1300" s="116">
        <v>258.495</v>
      </c>
      <c r="F1300" s="116">
        <v>2556.3000000000002</v>
      </c>
      <c r="G1300">
        <v>9333</v>
      </c>
      <c r="H1300" s="116"/>
      <c r="I1300" s="116"/>
      <c r="L1300" s="170">
        <v>46014</v>
      </c>
      <c r="M1300" s="116">
        <v>255.71</v>
      </c>
      <c r="N1300" s="116">
        <v>258.52999999999997</v>
      </c>
      <c r="O1300" s="116">
        <v>253.97</v>
      </c>
      <c r="P1300" s="116">
        <v>258.19</v>
      </c>
      <c r="Q1300" s="116">
        <v>2557.1</v>
      </c>
      <c r="R1300">
        <v>298077</v>
      </c>
    </row>
    <row r="1301" spans="1:18" x14ac:dyDescent="0.25">
      <c r="A1301" s="170">
        <v>46015</v>
      </c>
      <c r="B1301" s="116">
        <v>257.56</v>
      </c>
      <c r="C1301" s="116">
        <v>252.3</v>
      </c>
      <c r="D1301" s="116">
        <v>252.10499999999999</v>
      </c>
      <c r="E1301" s="116">
        <v>255.57499999999999</v>
      </c>
      <c r="F1301" s="116">
        <v>2523</v>
      </c>
      <c r="G1301">
        <v>8600</v>
      </c>
      <c r="H1301" s="116"/>
      <c r="I1301" s="116"/>
      <c r="L1301" s="170">
        <v>46015</v>
      </c>
      <c r="M1301" s="116">
        <v>252.38</v>
      </c>
      <c r="N1301" s="116">
        <v>257.60000000000002</v>
      </c>
      <c r="O1301" s="116">
        <v>252.01</v>
      </c>
      <c r="P1301" s="116">
        <v>255</v>
      </c>
      <c r="Q1301" s="116">
        <v>2523.8000000000002</v>
      </c>
      <c r="R1301">
        <v>410374</v>
      </c>
    </row>
    <row r="1302" spans="1:18" x14ac:dyDescent="0.25">
      <c r="A1302" s="170">
        <v>46017</v>
      </c>
      <c r="B1302" s="116">
        <v>254.44</v>
      </c>
      <c r="C1302" s="116">
        <v>249.53</v>
      </c>
      <c r="D1302" s="116">
        <v>248.41499999999999</v>
      </c>
      <c r="E1302" s="116">
        <v>252.25</v>
      </c>
      <c r="F1302" s="116">
        <v>2495.3000000000002</v>
      </c>
      <c r="G1302">
        <v>18434</v>
      </c>
      <c r="H1302" s="116"/>
      <c r="I1302" s="116"/>
      <c r="L1302" s="170">
        <v>46017</v>
      </c>
      <c r="M1302" s="116">
        <v>249.58</v>
      </c>
      <c r="N1302" s="116">
        <v>254.71</v>
      </c>
      <c r="O1302" s="116">
        <v>248.47</v>
      </c>
      <c r="P1302" s="116">
        <v>252.18</v>
      </c>
      <c r="Q1302" s="116">
        <v>2495.8000000000002</v>
      </c>
      <c r="R1302">
        <v>454602</v>
      </c>
    </row>
    <row r="1303" spans="1:18" x14ac:dyDescent="0.25">
      <c r="A1303" s="170">
        <v>46020</v>
      </c>
      <c r="B1303" s="116">
        <v>249.655</v>
      </c>
      <c r="C1303" s="116">
        <v>240.95500000000001</v>
      </c>
      <c r="D1303" s="116">
        <v>240.3</v>
      </c>
      <c r="E1303" s="116">
        <v>248.2</v>
      </c>
      <c r="F1303" s="116">
        <v>2409.5500000000002</v>
      </c>
      <c r="G1303">
        <v>26208</v>
      </c>
      <c r="H1303" s="116"/>
      <c r="I1303" s="116"/>
      <c r="L1303" s="170">
        <v>46020</v>
      </c>
      <c r="M1303" s="116">
        <v>241.02</v>
      </c>
      <c r="N1303" s="116">
        <v>249.87</v>
      </c>
      <c r="O1303" s="116">
        <v>240.3</v>
      </c>
      <c r="P1303" s="116">
        <v>249.42</v>
      </c>
      <c r="Q1303" s="116">
        <v>2410.1999999999998</v>
      </c>
      <c r="R1303">
        <v>774828</v>
      </c>
    </row>
    <row r="1304" spans="1:18" x14ac:dyDescent="0.25">
      <c r="A1304" s="170">
        <v>46021</v>
      </c>
      <c r="B1304" s="116">
        <v>241.405</v>
      </c>
      <c r="C1304" s="116">
        <v>234.815</v>
      </c>
      <c r="D1304" s="116">
        <v>232.6</v>
      </c>
      <c r="E1304" s="116">
        <v>240.95500000000001</v>
      </c>
      <c r="F1304" s="116">
        <v>2348.15</v>
      </c>
      <c r="G1304">
        <v>67063</v>
      </c>
      <c r="H1304" s="116"/>
      <c r="I1304" s="116"/>
      <c r="L1304" s="170">
        <v>46021</v>
      </c>
      <c r="M1304" s="116">
        <v>234.71</v>
      </c>
      <c r="N1304" s="116">
        <v>241.59</v>
      </c>
      <c r="O1304" s="116">
        <v>232.5</v>
      </c>
      <c r="P1304" s="116">
        <v>240.67</v>
      </c>
      <c r="Q1304" s="116">
        <v>2347.1</v>
      </c>
      <c r="R1304">
        <v>2650632</v>
      </c>
    </row>
    <row r="1305" spans="1:18" x14ac:dyDescent="0.25">
      <c r="A1305" s="170">
        <v>46022</v>
      </c>
      <c r="B1305" s="116">
        <v>239.73</v>
      </c>
      <c r="C1305" s="116">
        <v>234.41499999999999</v>
      </c>
      <c r="D1305" s="116">
        <v>233.16</v>
      </c>
      <c r="E1305" s="116">
        <v>236.255</v>
      </c>
      <c r="F1305" s="116">
        <v>2344.15</v>
      </c>
      <c r="G1305">
        <v>39789</v>
      </c>
      <c r="H1305" s="116"/>
      <c r="I1305" s="116"/>
      <c r="L1305" s="170">
        <v>46022</v>
      </c>
      <c r="M1305" s="116">
        <v>234.4</v>
      </c>
      <c r="N1305" s="116">
        <v>239.5</v>
      </c>
      <c r="O1305" s="116">
        <v>233.1</v>
      </c>
      <c r="P1305" s="116">
        <v>237.48</v>
      </c>
      <c r="Q1305" s="116">
        <v>2344</v>
      </c>
      <c r="R1305">
        <v>923550</v>
      </c>
    </row>
    <row r="1306" spans="1:18" x14ac:dyDescent="0.25">
      <c r="A1306" s="170">
        <v>46023</v>
      </c>
      <c r="B1306" s="116">
        <v>237.42</v>
      </c>
      <c r="C1306" s="116">
        <v>236.35499999999999</v>
      </c>
      <c r="D1306" s="116">
        <v>232.155</v>
      </c>
      <c r="E1306" s="116">
        <v>234.95500000000001</v>
      </c>
      <c r="F1306" s="116">
        <v>2363.5500000000002</v>
      </c>
      <c r="G1306">
        <v>34783</v>
      </c>
      <c r="H1306" s="116"/>
      <c r="I1306" s="116"/>
      <c r="L1306" s="170">
        <v>46023</v>
      </c>
      <c r="M1306" s="116">
        <v>236.28</v>
      </c>
      <c r="N1306" s="116">
        <v>237.5</v>
      </c>
      <c r="O1306" s="116">
        <v>232.07</v>
      </c>
      <c r="P1306" s="116">
        <v>235.2</v>
      </c>
      <c r="Q1306" s="116">
        <v>2362.8000000000002</v>
      </c>
      <c r="R1306">
        <v>474163</v>
      </c>
    </row>
    <row r="1307" spans="1:18" x14ac:dyDescent="0.25">
      <c r="A1307" s="170">
        <v>46024</v>
      </c>
      <c r="B1307" s="116">
        <v>240.27500000000001</v>
      </c>
      <c r="C1307" s="116">
        <v>238.77</v>
      </c>
      <c r="D1307" s="116">
        <v>235.73</v>
      </c>
      <c r="E1307" s="116">
        <v>237.3</v>
      </c>
      <c r="F1307" s="116">
        <v>2387.6999999999998</v>
      </c>
      <c r="G1307">
        <v>39168</v>
      </c>
      <c r="H1307" s="116"/>
      <c r="I1307" s="116"/>
      <c r="L1307" s="170">
        <v>46024</v>
      </c>
      <c r="M1307" s="116">
        <v>238.79</v>
      </c>
      <c r="N1307" s="116">
        <v>240.27</v>
      </c>
      <c r="O1307" s="116">
        <v>235.7</v>
      </c>
      <c r="P1307" s="116">
        <v>237.5</v>
      </c>
      <c r="Q1307" s="116">
        <v>2387.9</v>
      </c>
      <c r="R1307">
        <v>1052817</v>
      </c>
    </row>
    <row r="1308" spans="1:18" x14ac:dyDescent="0.25">
      <c r="A1308" s="170">
        <v>46027</v>
      </c>
      <c r="B1308" s="116">
        <v>242.6</v>
      </c>
      <c r="C1308" s="116">
        <v>240.19499999999999</v>
      </c>
      <c r="D1308" s="116">
        <v>236.76</v>
      </c>
      <c r="E1308" s="116">
        <v>238.69499999999999</v>
      </c>
      <c r="F1308" s="116">
        <v>2401.9499999999998</v>
      </c>
      <c r="G1308">
        <v>21664</v>
      </c>
      <c r="H1308" s="116"/>
      <c r="I1308" s="116"/>
      <c r="L1308" s="170">
        <v>46027</v>
      </c>
      <c r="M1308" s="116">
        <v>240.2</v>
      </c>
      <c r="N1308" s="116">
        <v>242.7</v>
      </c>
      <c r="O1308" s="116">
        <v>236.64</v>
      </c>
      <c r="P1308" s="116">
        <v>238.01</v>
      </c>
      <c r="Q1308" s="116">
        <v>2402</v>
      </c>
      <c r="R1308">
        <v>871363</v>
      </c>
    </row>
    <row r="1309" spans="1:18" x14ac:dyDescent="0.25">
      <c r="A1309" s="170">
        <v>46028</v>
      </c>
      <c r="B1309" s="116">
        <v>245.375</v>
      </c>
      <c r="C1309" s="116">
        <v>241.02500000000001</v>
      </c>
      <c r="D1309" s="116">
        <v>239.15</v>
      </c>
      <c r="E1309" s="116">
        <v>240.995</v>
      </c>
      <c r="F1309" s="116">
        <v>2410.25</v>
      </c>
      <c r="G1309">
        <v>21911</v>
      </c>
      <c r="H1309" s="116"/>
      <c r="I1309" s="116"/>
      <c r="L1309" s="170">
        <v>46028</v>
      </c>
      <c r="M1309" s="116">
        <v>241.13</v>
      </c>
      <c r="N1309" s="116">
        <v>245.47</v>
      </c>
      <c r="O1309" s="116">
        <v>239.03</v>
      </c>
      <c r="P1309" s="116">
        <v>240.7</v>
      </c>
      <c r="Q1309" s="116">
        <v>2411.3000000000002</v>
      </c>
      <c r="R1309">
        <v>462973</v>
      </c>
    </row>
    <row r="1310" spans="1:18" x14ac:dyDescent="0.25">
      <c r="A1310" s="170">
        <v>46029</v>
      </c>
      <c r="B1310" s="116">
        <v>248.215</v>
      </c>
      <c r="C1310" s="116">
        <v>247.22499999999999</v>
      </c>
      <c r="D1310" s="116">
        <v>239.6</v>
      </c>
      <c r="E1310" s="116">
        <v>240.91499999999999</v>
      </c>
      <c r="F1310" s="116">
        <v>2472.25</v>
      </c>
      <c r="G1310">
        <v>19651</v>
      </c>
      <c r="H1310" s="116"/>
      <c r="I1310" s="116"/>
      <c r="L1310" s="170">
        <v>46029</v>
      </c>
      <c r="M1310" s="116">
        <v>247.06</v>
      </c>
      <c r="N1310" s="116">
        <v>248.19</v>
      </c>
      <c r="O1310" s="116">
        <v>239.13</v>
      </c>
      <c r="P1310" s="116">
        <v>240</v>
      </c>
      <c r="Q1310" s="116">
        <v>2470.6</v>
      </c>
      <c r="R1310">
        <v>553833</v>
      </c>
    </row>
    <row r="1311" spans="1:18" x14ac:dyDescent="0.25">
      <c r="A1311" s="170">
        <v>46030</v>
      </c>
      <c r="B1311" s="116">
        <v>251.70500000000001</v>
      </c>
      <c r="C1311" s="116">
        <v>241.16</v>
      </c>
      <c r="D1311" s="116">
        <v>239.99</v>
      </c>
      <c r="E1311" s="116">
        <v>251.7</v>
      </c>
      <c r="F1311" s="116">
        <v>2411.6</v>
      </c>
      <c r="G1311">
        <v>81636</v>
      </c>
      <c r="H1311" s="116"/>
      <c r="I1311" s="116"/>
      <c r="L1311" s="170">
        <v>46030</v>
      </c>
      <c r="M1311" s="116">
        <v>241.26</v>
      </c>
      <c r="N1311" s="116">
        <v>251.74</v>
      </c>
      <c r="O1311" s="116">
        <v>239.81</v>
      </c>
      <c r="P1311" s="116">
        <v>251</v>
      </c>
      <c r="Q1311" s="116">
        <v>2412.6</v>
      </c>
      <c r="R1311">
        <v>1538452</v>
      </c>
    </row>
    <row r="1312" spans="1:18" x14ac:dyDescent="0.25">
      <c r="A1312" s="170">
        <v>46031</v>
      </c>
      <c r="B1312" s="116">
        <v>243.39</v>
      </c>
      <c r="C1312" s="116">
        <v>233.34</v>
      </c>
      <c r="D1312" s="116">
        <v>231.33</v>
      </c>
      <c r="E1312" s="116">
        <v>242</v>
      </c>
      <c r="F1312" s="116">
        <v>2333.4</v>
      </c>
      <c r="G1312">
        <v>36337</v>
      </c>
      <c r="H1312" s="116"/>
      <c r="I1312" s="116"/>
      <c r="L1312" s="170">
        <v>46031</v>
      </c>
      <c r="M1312" s="116">
        <v>233.35</v>
      </c>
      <c r="N1312" s="116">
        <v>242.92</v>
      </c>
      <c r="O1312" s="116">
        <v>231.3</v>
      </c>
      <c r="P1312" s="116">
        <v>242.43</v>
      </c>
      <c r="Q1312" s="116">
        <v>2333.5</v>
      </c>
      <c r="R1312">
        <v>807688</v>
      </c>
    </row>
    <row r="1313" spans="1:18" x14ac:dyDescent="0.25">
      <c r="A1313" s="170">
        <v>46034</v>
      </c>
      <c r="B1313" s="116">
        <v>237.495</v>
      </c>
      <c r="C1313" s="116">
        <v>237.05</v>
      </c>
      <c r="D1313" s="116">
        <v>229.755</v>
      </c>
      <c r="E1313" s="116">
        <v>232.04</v>
      </c>
      <c r="F1313" s="116">
        <v>2370.5</v>
      </c>
      <c r="G1313">
        <v>31422</v>
      </c>
      <c r="H1313" s="116"/>
      <c r="I1313" s="116"/>
      <c r="L1313" s="170">
        <v>46034</v>
      </c>
      <c r="M1313" s="116">
        <v>236.85</v>
      </c>
      <c r="N1313" s="116">
        <v>237.5</v>
      </c>
      <c r="O1313" s="116">
        <v>229.76</v>
      </c>
      <c r="P1313" s="116">
        <v>233.5</v>
      </c>
      <c r="Q1313" s="116">
        <v>2368.5</v>
      </c>
      <c r="R1313">
        <v>1008249</v>
      </c>
    </row>
    <row r="1314" spans="1:18" x14ac:dyDescent="0.25">
      <c r="A1314" s="170">
        <v>46035</v>
      </c>
      <c r="B1314" s="116">
        <v>245.5</v>
      </c>
      <c r="C1314" s="116">
        <v>243.92</v>
      </c>
      <c r="D1314" s="116">
        <v>237.51</v>
      </c>
      <c r="E1314" s="116">
        <v>237.51</v>
      </c>
      <c r="F1314" s="116">
        <v>2439.1999999999998</v>
      </c>
      <c r="G1314">
        <v>81608</v>
      </c>
      <c r="H1314" s="116"/>
      <c r="I1314" s="116"/>
      <c r="L1314" s="170">
        <v>46035</v>
      </c>
      <c r="M1314" s="116">
        <v>243.93</v>
      </c>
      <c r="N1314" s="116">
        <v>245.5</v>
      </c>
      <c r="O1314" s="116">
        <v>237.5</v>
      </c>
      <c r="P1314" s="116">
        <v>237.8</v>
      </c>
      <c r="Q1314" s="116">
        <v>2439.3000000000002</v>
      </c>
      <c r="R1314">
        <v>1328986</v>
      </c>
    </row>
    <row r="1315" spans="1:18" x14ac:dyDescent="0.25">
      <c r="A1315" s="170">
        <v>46036</v>
      </c>
      <c r="B1315" s="116">
        <v>253.10499999999999</v>
      </c>
      <c r="C1315" s="116">
        <v>252.52500000000001</v>
      </c>
      <c r="D1315" s="116">
        <v>243.535</v>
      </c>
      <c r="E1315" s="116">
        <v>245.13499999999999</v>
      </c>
      <c r="F1315" s="116">
        <v>2525.25</v>
      </c>
      <c r="G1315">
        <v>59657</v>
      </c>
      <c r="H1315" s="116"/>
      <c r="I1315" s="116"/>
      <c r="L1315" s="170">
        <v>46036</v>
      </c>
      <c r="M1315" s="116">
        <v>252.54</v>
      </c>
      <c r="N1315" s="116">
        <v>253.2</v>
      </c>
      <c r="O1315" s="116">
        <v>243.5</v>
      </c>
      <c r="P1315" s="116">
        <v>244.51</v>
      </c>
      <c r="Q1315" s="116">
        <v>2525.4</v>
      </c>
      <c r="R1315">
        <v>1313670</v>
      </c>
    </row>
    <row r="1316" spans="1:18" x14ac:dyDescent="0.25">
      <c r="A1316" s="170">
        <v>46038</v>
      </c>
      <c r="B1316" s="116">
        <v>276.73</v>
      </c>
      <c r="C1316" s="116">
        <v>275.60000000000002</v>
      </c>
      <c r="D1316" s="116">
        <v>258.56</v>
      </c>
      <c r="E1316" s="116">
        <v>259.42</v>
      </c>
      <c r="F1316" s="116">
        <v>2756</v>
      </c>
      <c r="G1316">
        <v>256414</v>
      </c>
      <c r="H1316" s="116"/>
      <c r="I1316" s="116"/>
      <c r="L1316" s="170">
        <v>46038</v>
      </c>
      <c r="M1316" s="116">
        <v>275.22000000000003</v>
      </c>
      <c r="N1316" s="116">
        <v>276.67</v>
      </c>
      <c r="O1316" s="116">
        <v>258</v>
      </c>
      <c r="P1316" s="116">
        <v>258.8</v>
      </c>
      <c r="Q1316" s="116">
        <v>2752.2</v>
      </c>
      <c r="R1316">
        <v>5582743</v>
      </c>
    </row>
    <row r="1317" spans="1:18" x14ac:dyDescent="0.25">
      <c r="A1317" s="170">
        <v>46041</v>
      </c>
      <c r="B1317" s="116">
        <v>277.82499999999999</v>
      </c>
      <c r="C1317" s="116">
        <v>269.41500000000002</v>
      </c>
      <c r="D1317" s="116">
        <v>268.05</v>
      </c>
      <c r="E1317" s="116">
        <v>276.5</v>
      </c>
      <c r="F1317" s="116">
        <v>2694.15</v>
      </c>
      <c r="G1317">
        <v>102970</v>
      </c>
      <c r="H1317" s="116"/>
      <c r="I1317" s="116"/>
      <c r="L1317" s="170">
        <v>46041</v>
      </c>
      <c r="M1317" s="116">
        <v>269.51</v>
      </c>
      <c r="N1317" s="116">
        <v>277.86</v>
      </c>
      <c r="O1317" s="116">
        <v>268.04000000000002</v>
      </c>
      <c r="P1317" s="116">
        <v>276.5</v>
      </c>
      <c r="Q1317" s="116">
        <v>2695.1</v>
      </c>
      <c r="R1317">
        <v>1172964</v>
      </c>
    </row>
    <row r="1318" spans="1:18" x14ac:dyDescent="0.25">
      <c r="A1318" s="170">
        <v>46042</v>
      </c>
      <c r="B1318" s="116">
        <v>269.93</v>
      </c>
      <c r="C1318" s="116">
        <v>263.08999999999997</v>
      </c>
      <c r="D1318" s="116">
        <v>262.41500000000002</v>
      </c>
      <c r="E1318" s="116">
        <v>269.93</v>
      </c>
      <c r="F1318" s="116">
        <v>2630.9</v>
      </c>
      <c r="G1318">
        <v>42766</v>
      </c>
      <c r="H1318" s="116"/>
      <c r="I1318" s="116"/>
      <c r="L1318" s="170">
        <v>46042</v>
      </c>
      <c r="M1318" s="116">
        <v>263.58</v>
      </c>
      <c r="N1318" s="116">
        <v>269.41000000000003</v>
      </c>
      <c r="O1318" s="116">
        <v>262.39999999999998</v>
      </c>
      <c r="P1318" s="116">
        <v>269.39999999999998</v>
      </c>
      <c r="Q1318" s="116">
        <v>2635.8</v>
      </c>
      <c r="R1318">
        <v>910266</v>
      </c>
    </row>
    <row r="1319" spans="1:18" x14ac:dyDescent="0.25">
      <c r="A1319" s="170">
        <v>46043</v>
      </c>
      <c r="B1319" s="116">
        <v>262.94499999999999</v>
      </c>
      <c r="C1319" s="116">
        <v>252.87</v>
      </c>
      <c r="D1319" s="116">
        <v>251.82499999999999</v>
      </c>
      <c r="E1319" s="116">
        <v>260.3</v>
      </c>
      <c r="F1319" s="116">
        <v>2528.6999999999998</v>
      </c>
      <c r="G1319">
        <v>48260</v>
      </c>
      <c r="H1319" s="116"/>
      <c r="I1319" s="116"/>
      <c r="L1319" s="170">
        <v>46043</v>
      </c>
      <c r="M1319" s="116">
        <v>253.19</v>
      </c>
      <c r="N1319" s="116">
        <v>262.95999999999998</v>
      </c>
      <c r="O1319" s="116">
        <v>251.8</v>
      </c>
      <c r="P1319" s="116">
        <v>260.89999999999998</v>
      </c>
      <c r="Q1319" s="116">
        <v>2531.9</v>
      </c>
      <c r="R1319">
        <v>1116127</v>
      </c>
    </row>
    <row r="1320" spans="1:18" x14ac:dyDescent="0.25">
      <c r="A1320" s="170">
        <v>46044</v>
      </c>
      <c r="B1320" s="116">
        <v>260.72500000000002</v>
      </c>
      <c r="C1320" s="116">
        <v>256.57499999999999</v>
      </c>
      <c r="D1320" s="116">
        <v>254.005</v>
      </c>
      <c r="E1320" s="116">
        <v>256.79000000000002</v>
      </c>
      <c r="F1320" s="116">
        <v>2565.75</v>
      </c>
      <c r="G1320">
        <v>27026</v>
      </c>
      <c r="H1320" s="116"/>
      <c r="I1320" s="116"/>
      <c r="L1320" s="170">
        <v>46044</v>
      </c>
      <c r="M1320" s="116">
        <v>256.66000000000003</v>
      </c>
      <c r="N1320" s="116">
        <v>260.69</v>
      </c>
      <c r="O1320" s="116">
        <v>254.1</v>
      </c>
      <c r="P1320" s="116">
        <v>255.72</v>
      </c>
      <c r="Q1320" s="116">
        <v>2566.6</v>
      </c>
      <c r="R1320">
        <v>588128</v>
      </c>
    </row>
    <row r="1321" spans="1:18" x14ac:dyDescent="0.25">
      <c r="A1321" s="170">
        <v>46045</v>
      </c>
      <c r="B1321" s="116">
        <v>260.39999999999998</v>
      </c>
      <c r="C1321" s="116">
        <v>251.61</v>
      </c>
      <c r="D1321" s="116">
        <v>250.2</v>
      </c>
      <c r="E1321" s="116">
        <v>257.85000000000002</v>
      </c>
      <c r="F1321" s="116">
        <v>2516.1</v>
      </c>
      <c r="G1321">
        <v>23953</v>
      </c>
      <c r="H1321" s="116"/>
      <c r="I1321" s="116"/>
      <c r="L1321" s="170">
        <v>46045</v>
      </c>
      <c r="M1321" s="116">
        <v>251.51</v>
      </c>
      <c r="N1321" s="116">
        <v>260.49</v>
      </c>
      <c r="O1321" s="116">
        <v>250.12</v>
      </c>
      <c r="P1321" s="116">
        <v>256.66000000000003</v>
      </c>
      <c r="Q1321" s="116">
        <v>2515.1</v>
      </c>
      <c r="R1321">
        <v>522156</v>
      </c>
    </row>
    <row r="1322" spans="1:18" x14ac:dyDescent="0.25">
      <c r="A1322" s="170">
        <v>46049</v>
      </c>
      <c r="B1322" s="116">
        <v>255.79499999999999</v>
      </c>
      <c r="C1322" s="116">
        <v>254.58</v>
      </c>
      <c r="D1322" s="116">
        <v>249.29</v>
      </c>
      <c r="E1322" s="116">
        <v>250.11500000000001</v>
      </c>
      <c r="F1322" s="116">
        <v>2545.8000000000002</v>
      </c>
      <c r="G1322">
        <v>39760</v>
      </c>
      <c r="H1322" s="116"/>
      <c r="I1322" s="116"/>
      <c r="L1322" s="170">
        <v>46049</v>
      </c>
      <c r="M1322" s="116">
        <v>254.31</v>
      </c>
      <c r="N1322" s="116">
        <v>256</v>
      </c>
      <c r="O1322" s="116">
        <v>249.2</v>
      </c>
      <c r="P1322" s="116">
        <v>251.52</v>
      </c>
      <c r="Q1322" s="116">
        <v>2543.1</v>
      </c>
      <c r="R1322">
        <v>442718</v>
      </c>
    </row>
    <row r="1323" spans="1:18" x14ac:dyDescent="0.25">
      <c r="A1323" s="170">
        <v>46050</v>
      </c>
      <c r="B1323" s="116">
        <v>262</v>
      </c>
      <c r="C1323" s="116">
        <v>261.51</v>
      </c>
      <c r="D1323" s="116">
        <v>255.26499999999999</v>
      </c>
      <c r="E1323" s="116">
        <v>255.26499999999999</v>
      </c>
      <c r="F1323" s="116">
        <v>2615.1</v>
      </c>
      <c r="G1323">
        <v>38572</v>
      </c>
      <c r="H1323" s="116"/>
      <c r="I1323" s="116"/>
      <c r="L1323" s="170">
        <v>46050</v>
      </c>
      <c r="M1323" s="116">
        <v>261.51</v>
      </c>
      <c r="N1323" s="116">
        <v>262.18</v>
      </c>
      <c r="O1323" s="116">
        <v>255.66</v>
      </c>
      <c r="P1323" s="116">
        <v>255.98</v>
      </c>
      <c r="Q1323" s="116">
        <v>2615.1</v>
      </c>
      <c r="R1323">
        <v>572526</v>
      </c>
    </row>
    <row r="1324" spans="1:18" x14ac:dyDescent="0.25">
      <c r="A1324" s="170">
        <v>46051</v>
      </c>
      <c r="B1324" s="116">
        <v>263.86500000000001</v>
      </c>
      <c r="C1324" s="116">
        <v>258.78500000000003</v>
      </c>
      <c r="D1324" s="116">
        <v>256.5</v>
      </c>
      <c r="E1324" s="116">
        <v>261.51</v>
      </c>
      <c r="F1324" s="116">
        <v>2587.85</v>
      </c>
      <c r="G1324">
        <v>29040</v>
      </c>
      <c r="H1324" s="116"/>
      <c r="I1324" s="116"/>
      <c r="L1324" s="170">
        <v>46051</v>
      </c>
      <c r="M1324" s="116">
        <v>258.83999999999997</v>
      </c>
      <c r="N1324" s="116">
        <v>263.8</v>
      </c>
      <c r="O1324" s="116">
        <v>256.39</v>
      </c>
      <c r="P1324" s="116">
        <v>261.51</v>
      </c>
      <c r="Q1324" s="116">
        <v>2588.4</v>
      </c>
      <c r="R1324">
        <v>299541</v>
      </c>
    </row>
    <row r="1325" spans="1:18" x14ac:dyDescent="0.25">
      <c r="A1325" s="170">
        <v>46052</v>
      </c>
      <c r="B1325" s="116">
        <v>259.76</v>
      </c>
      <c r="C1325" s="116">
        <v>253.85499999999999</v>
      </c>
      <c r="D1325" s="116">
        <v>251.185</v>
      </c>
      <c r="E1325" s="116">
        <v>256.71499999999997</v>
      </c>
      <c r="F1325" s="116">
        <v>2538.5500000000002</v>
      </c>
      <c r="G1325">
        <v>14048</v>
      </c>
      <c r="H1325" s="116"/>
      <c r="I1325" s="116"/>
      <c r="L1325" s="170">
        <v>46052</v>
      </c>
      <c r="M1325" s="116">
        <v>254.09</v>
      </c>
      <c r="N1325" s="116">
        <v>259.83999999999997</v>
      </c>
      <c r="O1325" s="116">
        <v>251.1</v>
      </c>
      <c r="P1325" s="116">
        <v>257.5</v>
      </c>
      <c r="Q1325" s="116">
        <v>2540.9</v>
      </c>
      <c r="R1325">
        <v>486693</v>
      </c>
    </row>
    <row r="1326" spans="1:18" x14ac:dyDescent="0.25">
      <c r="A1326" s="170">
        <v>46054</v>
      </c>
      <c r="B1326" s="116">
        <v>252.25</v>
      </c>
      <c r="C1326" s="116">
        <v>231.245</v>
      </c>
      <c r="D1326" s="116">
        <v>220.1</v>
      </c>
      <c r="E1326" s="116">
        <v>251.82</v>
      </c>
      <c r="F1326" s="116">
        <v>2312.4499999999998</v>
      </c>
      <c r="G1326">
        <v>290979</v>
      </c>
      <c r="H1326" s="116"/>
      <c r="I1326" s="116"/>
      <c r="L1326" s="170">
        <v>46054</v>
      </c>
      <c r="M1326" s="116">
        <v>231.3</v>
      </c>
      <c r="N1326" s="116">
        <v>252.21</v>
      </c>
      <c r="O1326" s="116">
        <v>219.95</v>
      </c>
      <c r="P1326" s="116">
        <v>251.8</v>
      </c>
      <c r="Q1326" s="116">
        <v>2313</v>
      </c>
      <c r="R1326">
        <v>4203788</v>
      </c>
    </row>
    <row r="1327" spans="1:18" x14ac:dyDescent="0.25">
      <c r="A1327" s="170">
        <v>46055</v>
      </c>
      <c r="B1327" s="116">
        <v>241.60499999999999</v>
      </c>
      <c r="C1327" s="116">
        <v>240.505</v>
      </c>
      <c r="D1327" s="116">
        <v>226.005</v>
      </c>
      <c r="E1327" s="116">
        <v>231.065</v>
      </c>
      <c r="F1327" s="116">
        <v>2405.0500000000002</v>
      </c>
      <c r="G1327">
        <v>62289</v>
      </c>
      <c r="H1327" s="116"/>
      <c r="I1327" s="116"/>
      <c r="L1327" s="170">
        <v>46055</v>
      </c>
      <c r="M1327" s="116">
        <v>240.13</v>
      </c>
      <c r="N1327" s="116">
        <v>241.75</v>
      </c>
      <c r="O1327" s="116">
        <v>225.61</v>
      </c>
      <c r="P1327" s="116">
        <v>231.3</v>
      </c>
      <c r="Q1327" s="116">
        <v>2401.3000000000002</v>
      </c>
      <c r="R1327">
        <v>1816812</v>
      </c>
    </row>
    <row r="1328" spans="1:18" x14ac:dyDescent="0.25">
      <c r="A1328" s="170">
        <v>46056</v>
      </c>
      <c r="B1328" s="116">
        <v>266.05500000000001</v>
      </c>
      <c r="C1328" s="116">
        <v>258.77</v>
      </c>
      <c r="D1328" s="116">
        <v>248.11</v>
      </c>
      <c r="E1328" s="116">
        <v>248.11</v>
      </c>
      <c r="F1328" s="116">
        <v>2587.6999999999998</v>
      </c>
      <c r="G1328">
        <v>233925</v>
      </c>
      <c r="H1328" s="116"/>
      <c r="I1328" s="116"/>
      <c r="L1328" s="170">
        <v>46056</v>
      </c>
      <c r="M1328" s="116">
        <v>258.77999999999997</v>
      </c>
      <c r="N1328" s="116">
        <v>266.39</v>
      </c>
      <c r="O1328" s="116">
        <v>250</v>
      </c>
      <c r="P1328" s="116">
        <v>250</v>
      </c>
      <c r="Q1328" s="116">
        <v>2587.8000000000002</v>
      </c>
      <c r="R1328">
        <v>2816376</v>
      </c>
    </row>
    <row r="1329" spans="1:18" x14ac:dyDescent="0.25">
      <c r="A1329" s="170">
        <v>46057</v>
      </c>
      <c r="B1329" s="116">
        <v>269.32499999999999</v>
      </c>
      <c r="C1329" s="116">
        <v>268.57</v>
      </c>
      <c r="D1329" s="116">
        <v>257.04000000000002</v>
      </c>
      <c r="E1329" s="116">
        <v>259.98500000000001</v>
      </c>
      <c r="F1329" s="116">
        <v>2685.7</v>
      </c>
      <c r="G1329">
        <v>43406</v>
      </c>
      <c r="H1329" s="116"/>
      <c r="I1329" s="116"/>
      <c r="L1329" s="170">
        <v>46057</v>
      </c>
      <c r="M1329" s="116">
        <v>268.67</v>
      </c>
      <c r="N1329" s="116">
        <v>269.5</v>
      </c>
      <c r="O1329" s="116">
        <v>256.67</v>
      </c>
      <c r="P1329" s="116">
        <v>259</v>
      </c>
      <c r="Q1329" s="116">
        <v>2686.7</v>
      </c>
      <c r="R1329">
        <v>1390887</v>
      </c>
    </row>
    <row r="1330" spans="1:18" x14ac:dyDescent="0.25">
      <c r="A1330" s="170">
        <v>46058</v>
      </c>
      <c r="B1330" s="116">
        <v>268.64</v>
      </c>
      <c r="C1330" s="116">
        <v>264.21499999999997</v>
      </c>
      <c r="D1330" s="116">
        <v>262.01</v>
      </c>
      <c r="E1330" s="116">
        <v>262.01</v>
      </c>
      <c r="F1330" s="116">
        <v>2642.15</v>
      </c>
      <c r="G1330">
        <v>21285</v>
      </c>
      <c r="H1330" s="116"/>
      <c r="I1330" s="116"/>
      <c r="L1330" s="170">
        <v>46058</v>
      </c>
      <c r="M1330" s="116">
        <v>264.5</v>
      </c>
      <c r="N1330" s="116">
        <v>268.23</v>
      </c>
      <c r="O1330" s="116">
        <v>262.61</v>
      </c>
      <c r="P1330" s="116">
        <v>266.5</v>
      </c>
      <c r="Q1330" s="116">
        <v>2645</v>
      </c>
      <c r="R1330">
        <v>604584</v>
      </c>
    </row>
    <row r="1331" spans="1:18" x14ac:dyDescent="0.25">
      <c r="A1331" s="170">
        <v>46059</v>
      </c>
      <c r="B1331" s="116">
        <v>264.79000000000002</v>
      </c>
      <c r="C1331" s="116">
        <v>263.85000000000002</v>
      </c>
      <c r="D1331" s="116">
        <v>256.77</v>
      </c>
      <c r="E1331" s="116">
        <v>263.97500000000002</v>
      </c>
      <c r="F1331" s="116">
        <v>2638.5</v>
      </c>
      <c r="G1331">
        <v>19359</v>
      </c>
      <c r="H1331" s="116"/>
      <c r="I1331" s="116"/>
      <c r="L1331" s="170">
        <v>46059</v>
      </c>
      <c r="M1331" s="116">
        <v>264.2</v>
      </c>
      <c r="N1331" s="116">
        <v>264.85000000000002</v>
      </c>
      <c r="O1331" s="116">
        <v>256.52</v>
      </c>
      <c r="P1331" s="116">
        <v>261.81</v>
      </c>
      <c r="Q1331" s="116">
        <v>2642</v>
      </c>
      <c r="R1331">
        <v>469671</v>
      </c>
    </row>
    <row r="1332" spans="1:18" x14ac:dyDescent="0.25">
      <c r="A1332" s="170">
        <v>46062</v>
      </c>
      <c r="B1332" s="116">
        <v>272.3</v>
      </c>
      <c r="C1332" s="116">
        <v>271.49</v>
      </c>
      <c r="D1332" s="116">
        <v>265.16500000000002</v>
      </c>
      <c r="E1332" s="116">
        <v>265.16500000000002</v>
      </c>
      <c r="F1332" s="116">
        <v>2714.9</v>
      </c>
      <c r="G1332">
        <v>26993</v>
      </c>
      <c r="H1332" s="116"/>
      <c r="I1332" s="116"/>
      <c r="L1332" s="170">
        <v>46062</v>
      </c>
      <c r="M1332" s="116">
        <v>271.55</v>
      </c>
      <c r="N1332" s="116">
        <v>272.45999999999998</v>
      </c>
      <c r="O1332" s="116">
        <v>264.99</v>
      </c>
      <c r="P1332" s="116">
        <v>265.2</v>
      </c>
      <c r="Q1332" s="116">
        <v>2715.5</v>
      </c>
      <c r="R1332">
        <v>704225</v>
      </c>
    </row>
    <row r="1333" spans="1:18" x14ac:dyDescent="0.25">
      <c r="A1333" s="170">
        <v>46063</v>
      </c>
      <c r="B1333" s="116">
        <v>280.7</v>
      </c>
      <c r="C1333" s="116">
        <v>278.28500000000003</v>
      </c>
      <c r="D1333" s="116">
        <v>271.81</v>
      </c>
      <c r="E1333" s="116">
        <v>272.79500000000002</v>
      </c>
      <c r="F1333" s="116">
        <v>2782.85</v>
      </c>
      <c r="G1333">
        <v>35729</v>
      </c>
      <c r="H1333" s="116"/>
      <c r="I1333" s="116"/>
      <c r="L1333" s="170">
        <v>46063</v>
      </c>
      <c r="M1333" s="116">
        <v>278.3</v>
      </c>
      <c r="N1333" s="116">
        <v>280.87</v>
      </c>
      <c r="O1333" s="116">
        <v>271.62</v>
      </c>
      <c r="P1333" s="116">
        <v>272.39999999999998</v>
      </c>
      <c r="Q1333" s="116">
        <v>2783</v>
      </c>
      <c r="R1333">
        <v>870730</v>
      </c>
    </row>
    <row r="1334" spans="1:18" x14ac:dyDescent="0.25">
      <c r="A1334" s="170">
        <v>46064</v>
      </c>
      <c r="B1334" s="116">
        <v>279.89999999999998</v>
      </c>
      <c r="C1334" s="116">
        <v>278.10000000000002</v>
      </c>
      <c r="D1334" s="116">
        <v>275.22500000000002</v>
      </c>
      <c r="E1334" s="116">
        <v>275.22500000000002</v>
      </c>
      <c r="F1334" s="116">
        <v>2781</v>
      </c>
      <c r="G1334">
        <v>26558</v>
      </c>
      <c r="H1334" s="116"/>
      <c r="I1334" s="116"/>
      <c r="L1334" s="170">
        <v>46064</v>
      </c>
      <c r="M1334" s="116">
        <v>278.11</v>
      </c>
      <c r="N1334" s="116">
        <v>280</v>
      </c>
      <c r="O1334" s="116">
        <v>276.41000000000003</v>
      </c>
      <c r="P1334" s="116">
        <v>278</v>
      </c>
      <c r="Q1334" s="116">
        <v>2781.1</v>
      </c>
      <c r="R1334">
        <v>485122</v>
      </c>
    </row>
    <row r="1335" spans="1:18" x14ac:dyDescent="0.25">
      <c r="A1335" s="170">
        <v>46065</v>
      </c>
      <c r="B1335" s="116">
        <v>277.48500000000001</v>
      </c>
      <c r="C1335" s="116">
        <v>275.05</v>
      </c>
      <c r="D1335" s="116">
        <v>270.62</v>
      </c>
      <c r="E1335" s="116">
        <v>277.48500000000001</v>
      </c>
      <c r="F1335" s="116">
        <v>2750.5</v>
      </c>
      <c r="G1335">
        <v>22703</v>
      </c>
      <c r="H1335" s="116"/>
      <c r="I1335" s="116"/>
      <c r="L1335" s="170">
        <v>46065</v>
      </c>
      <c r="M1335" s="116">
        <v>275.2</v>
      </c>
      <c r="N1335" s="116">
        <v>276.8</v>
      </c>
      <c r="O1335" s="116">
        <v>270.52999999999997</v>
      </c>
      <c r="P1335" s="116">
        <v>276.8</v>
      </c>
      <c r="Q1335" s="116">
        <v>2752</v>
      </c>
      <c r="R1335">
        <v>458423</v>
      </c>
    </row>
    <row r="1336" spans="1:18" x14ac:dyDescent="0.25">
      <c r="A1336" s="170">
        <v>46066</v>
      </c>
      <c r="B1336" s="116">
        <v>272.89999999999998</v>
      </c>
      <c r="C1336" s="116">
        <v>269.35000000000002</v>
      </c>
      <c r="D1336" s="116">
        <v>267</v>
      </c>
      <c r="E1336" s="116">
        <v>270.51499999999999</v>
      </c>
      <c r="F1336" s="116">
        <v>2693.5</v>
      </c>
      <c r="G1336">
        <v>21947</v>
      </c>
      <c r="H1336" s="116"/>
      <c r="I1336" s="116"/>
      <c r="L1336" s="170">
        <v>46066</v>
      </c>
      <c r="M1336" s="116">
        <v>269.83</v>
      </c>
      <c r="N1336" s="116">
        <v>273.33999999999997</v>
      </c>
      <c r="O1336" s="116">
        <v>266.98</v>
      </c>
      <c r="P1336" s="116">
        <v>270.89999999999998</v>
      </c>
      <c r="Q1336" s="116">
        <v>2698.3</v>
      </c>
      <c r="R1336">
        <v>603593</v>
      </c>
    </row>
    <row r="1337" spans="1:18" x14ac:dyDescent="0.25">
      <c r="A1337" s="170">
        <v>46069</v>
      </c>
      <c r="B1337" s="116">
        <v>259.87</v>
      </c>
      <c r="C1337" s="116">
        <v>257.55500000000001</v>
      </c>
      <c r="D1337" s="116">
        <v>244.345</v>
      </c>
      <c r="E1337" s="116">
        <v>253.96</v>
      </c>
      <c r="F1337" s="116">
        <v>2575.5500000000002</v>
      </c>
      <c r="G1337">
        <v>58442</v>
      </c>
      <c r="H1337" s="116"/>
      <c r="I1337" s="116"/>
      <c r="L1337" s="170">
        <v>46069</v>
      </c>
      <c r="M1337" s="116">
        <v>257.27999999999997</v>
      </c>
      <c r="N1337" s="116">
        <v>260</v>
      </c>
      <c r="O1337" s="116">
        <v>244.1</v>
      </c>
      <c r="P1337" s="116">
        <v>252.99</v>
      </c>
      <c r="Q1337" s="116">
        <v>2572.8000000000002</v>
      </c>
      <c r="R1337">
        <v>1996002</v>
      </c>
    </row>
    <row r="1338" spans="1:18" x14ac:dyDescent="0.25">
      <c r="A1338" s="170">
        <v>46070</v>
      </c>
      <c r="B1338" s="116">
        <v>260.875</v>
      </c>
      <c r="C1338" s="116">
        <v>257.01499999999999</v>
      </c>
      <c r="D1338" s="116">
        <v>254.10499999999999</v>
      </c>
      <c r="E1338" s="116">
        <v>257</v>
      </c>
      <c r="F1338" s="116">
        <v>2570.15</v>
      </c>
      <c r="G1338">
        <v>30574</v>
      </c>
      <c r="H1338" s="116"/>
      <c r="I1338" s="116"/>
      <c r="L1338" s="170">
        <v>46070</v>
      </c>
      <c r="M1338" s="116">
        <v>257.02</v>
      </c>
      <c r="N1338" s="116">
        <v>260.99</v>
      </c>
      <c r="O1338" s="116">
        <v>254.14</v>
      </c>
      <c r="P1338" s="116">
        <v>256.51</v>
      </c>
      <c r="Q1338" s="116">
        <v>2570.1999999999998</v>
      </c>
      <c r="R1338">
        <v>882255</v>
      </c>
    </row>
    <row r="1339" spans="1:18" x14ac:dyDescent="0.25">
      <c r="A1339" s="170">
        <v>46071</v>
      </c>
      <c r="B1339" s="116">
        <v>265.625</v>
      </c>
      <c r="C1339" s="116">
        <v>258.8</v>
      </c>
      <c r="D1339" s="116">
        <v>257.69</v>
      </c>
      <c r="E1339" s="116">
        <v>259</v>
      </c>
      <c r="F1339" s="116">
        <v>2588</v>
      </c>
      <c r="G1339">
        <v>31056</v>
      </c>
      <c r="H1339" s="116"/>
      <c r="I1339" s="116"/>
      <c r="L1339" s="170">
        <v>46071</v>
      </c>
      <c r="M1339" s="116">
        <v>259.18</v>
      </c>
      <c r="N1339" s="116">
        <v>265.48</v>
      </c>
      <c r="O1339" s="116">
        <v>257.58999999999997</v>
      </c>
      <c r="P1339" s="116">
        <v>258.3</v>
      </c>
      <c r="Q1339" s="116">
        <v>2591.8000000000002</v>
      </c>
      <c r="R1339">
        <v>907111</v>
      </c>
    </row>
    <row r="1340" spans="1:18" x14ac:dyDescent="0.25">
      <c r="A1340" s="170">
        <v>46072</v>
      </c>
      <c r="B1340" s="116">
        <v>261.88</v>
      </c>
      <c r="C1340" s="116">
        <v>250.91</v>
      </c>
      <c r="D1340" s="116">
        <v>250.29499999999999</v>
      </c>
      <c r="E1340" s="116">
        <v>261.48500000000001</v>
      </c>
      <c r="F1340" s="116">
        <v>2509.1</v>
      </c>
      <c r="G1340">
        <v>41565</v>
      </c>
      <c r="H1340" s="116"/>
      <c r="I1340" s="116"/>
      <c r="L1340" s="170">
        <v>46072</v>
      </c>
      <c r="M1340" s="116">
        <v>250.96</v>
      </c>
      <c r="N1340" s="116">
        <v>262.5</v>
      </c>
      <c r="O1340" s="116">
        <v>250.22</v>
      </c>
      <c r="P1340" s="116">
        <v>260.89999999999998</v>
      </c>
      <c r="Q1340" s="116">
        <v>2509.6</v>
      </c>
      <c r="R1340">
        <v>853537</v>
      </c>
    </row>
    <row r="1341" spans="1:18" x14ac:dyDescent="0.25">
      <c r="A1341" s="170">
        <v>46073</v>
      </c>
      <c r="B1341" s="116">
        <v>254.29499999999999</v>
      </c>
      <c r="C1341" s="116">
        <v>249.785</v>
      </c>
      <c r="D1341" s="116">
        <v>248.465</v>
      </c>
      <c r="E1341" s="116">
        <v>251.5</v>
      </c>
      <c r="F1341" s="116">
        <v>2497.85</v>
      </c>
      <c r="G1341">
        <v>21844</v>
      </c>
      <c r="H1341" s="116"/>
      <c r="I1341" s="116"/>
      <c r="L1341" s="170">
        <v>46073</v>
      </c>
      <c r="M1341" s="116">
        <v>249.63</v>
      </c>
      <c r="N1341" s="116">
        <v>254.39</v>
      </c>
      <c r="O1341" s="116">
        <v>248.25</v>
      </c>
      <c r="P1341" s="116">
        <v>250.9</v>
      </c>
      <c r="Q1341" s="116">
        <v>2496.3000000000002</v>
      </c>
      <c r="R1341">
        <v>674949</v>
      </c>
    </row>
    <row r="1342" spans="1:18" x14ac:dyDescent="0.25">
      <c r="A1342" s="170">
        <v>46076</v>
      </c>
      <c r="B1342" s="116">
        <v>253</v>
      </c>
      <c r="C1342" s="116">
        <v>248.99</v>
      </c>
      <c r="D1342" s="116">
        <v>246.62</v>
      </c>
      <c r="E1342" s="116">
        <v>253</v>
      </c>
      <c r="F1342" s="116">
        <v>2489.9</v>
      </c>
      <c r="G1342">
        <v>26569</v>
      </c>
      <c r="H1342" s="116"/>
      <c r="I1342" s="116"/>
      <c r="L1342" s="170">
        <v>46076</v>
      </c>
      <c r="M1342" s="116">
        <v>249.13</v>
      </c>
      <c r="N1342" s="116">
        <v>253</v>
      </c>
      <c r="O1342" s="116">
        <v>246.8</v>
      </c>
      <c r="P1342" s="116">
        <v>252.4</v>
      </c>
      <c r="Q1342" s="116">
        <v>2491.3000000000002</v>
      </c>
      <c r="R1342">
        <v>526335</v>
      </c>
    </row>
    <row r="1343" spans="1:18" x14ac:dyDescent="0.25">
      <c r="A1343" s="170">
        <v>46077</v>
      </c>
      <c r="B1343" s="116">
        <v>249.5</v>
      </c>
      <c r="C1343" s="116">
        <v>246.16</v>
      </c>
      <c r="D1343" s="116">
        <v>245.49</v>
      </c>
      <c r="E1343" s="116">
        <v>248.49</v>
      </c>
      <c r="F1343" s="116">
        <v>2461.6</v>
      </c>
      <c r="G1343">
        <v>17149</v>
      </c>
      <c r="H1343" s="116"/>
      <c r="I1343" s="116"/>
      <c r="L1343" s="170">
        <v>46077</v>
      </c>
      <c r="M1343" s="116">
        <v>246.02</v>
      </c>
      <c r="N1343" s="116">
        <v>249.53</v>
      </c>
      <c r="O1343" s="116">
        <v>245.4</v>
      </c>
      <c r="P1343" s="116">
        <v>249.11</v>
      </c>
      <c r="Q1343" s="116">
        <v>2460.1999999999998</v>
      </c>
      <c r="R1343">
        <v>568449</v>
      </c>
    </row>
    <row r="1344" spans="1:18" x14ac:dyDescent="0.25">
      <c r="A1344" s="170">
        <v>46078</v>
      </c>
      <c r="B1344" s="116">
        <v>250.45</v>
      </c>
      <c r="C1344" s="116">
        <v>249.12</v>
      </c>
      <c r="D1344" s="116">
        <v>241.405</v>
      </c>
      <c r="E1344" s="116">
        <v>248.4</v>
      </c>
      <c r="F1344" s="116">
        <v>2491.1999999999998</v>
      </c>
      <c r="G1344">
        <v>34619</v>
      </c>
      <c r="H1344" s="116"/>
      <c r="I1344" s="116"/>
      <c r="L1344" s="170">
        <v>46078</v>
      </c>
      <c r="M1344" s="116">
        <v>248.99</v>
      </c>
      <c r="N1344" s="116">
        <v>250.4</v>
      </c>
      <c r="O1344" s="116">
        <v>241.5</v>
      </c>
      <c r="P1344" s="116">
        <v>247.4</v>
      </c>
      <c r="Q1344" s="116">
        <v>2489.9</v>
      </c>
      <c r="R1344">
        <v>947656</v>
      </c>
    </row>
    <row r="1345" spans="1:18" x14ac:dyDescent="0.25">
      <c r="A1345" s="170">
        <v>46079</v>
      </c>
      <c r="B1345" s="116">
        <v>255</v>
      </c>
      <c r="C1345" s="116">
        <v>246.3</v>
      </c>
      <c r="D1345" s="116">
        <v>241.5</v>
      </c>
      <c r="E1345" s="116">
        <v>251.35</v>
      </c>
      <c r="F1345" s="116">
        <v>246.3</v>
      </c>
      <c r="G1345">
        <v>728141</v>
      </c>
      <c r="H1345" s="116"/>
      <c r="I1345" s="116"/>
      <c r="L1345" s="170">
        <v>46079</v>
      </c>
      <c r="M1345" s="116">
        <v>246.5</v>
      </c>
      <c r="N1345" s="116">
        <v>254.9</v>
      </c>
      <c r="O1345" s="116">
        <v>241.4</v>
      </c>
      <c r="P1345" s="116">
        <v>251</v>
      </c>
      <c r="Q1345" s="116">
        <v>246.5</v>
      </c>
      <c r="R1345">
        <v>7992020</v>
      </c>
    </row>
    <row r="1346" spans="1:18" x14ac:dyDescent="0.25">
      <c r="A1346" s="170">
        <v>46080</v>
      </c>
      <c r="B1346" s="116">
        <v>244.25</v>
      </c>
      <c r="C1346" s="116">
        <v>233.7</v>
      </c>
      <c r="D1346" s="116">
        <v>230.2</v>
      </c>
      <c r="E1346" s="116">
        <v>243</v>
      </c>
      <c r="F1346" s="116">
        <v>233.7</v>
      </c>
      <c r="G1346">
        <v>892082</v>
      </c>
      <c r="H1346" s="116"/>
      <c r="I1346" s="116"/>
      <c r="L1346" s="170">
        <v>46080</v>
      </c>
      <c r="M1346" s="116">
        <v>233.2</v>
      </c>
      <c r="N1346" s="116">
        <v>244.2</v>
      </c>
      <c r="O1346" s="116">
        <v>229.9</v>
      </c>
      <c r="P1346" s="116">
        <v>242.1</v>
      </c>
      <c r="Q1346" s="116">
        <v>233.2</v>
      </c>
      <c r="R1346">
        <v>8282159</v>
      </c>
    </row>
    <row r="1347" spans="1:18" x14ac:dyDescent="0.25">
      <c r="A1347" s="170">
        <v>46083</v>
      </c>
      <c r="B1347" s="116">
        <v>231.6</v>
      </c>
      <c r="C1347" s="116">
        <v>226.35</v>
      </c>
      <c r="D1347" s="116">
        <v>215.45</v>
      </c>
      <c r="E1347" s="116">
        <v>215.45</v>
      </c>
      <c r="F1347" s="116">
        <v>226.35</v>
      </c>
      <c r="G1347">
        <v>563735</v>
      </c>
      <c r="H1347" s="116"/>
      <c r="I1347" s="116"/>
      <c r="L1347" s="170">
        <v>46083</v>
      </c>
      <c r="M1347" s="116">
        <v>226.32</v>
      </c>
      <c r="N1347" s="116">
        <v>231.62</v>
      </c>
      <c r="O1347" s="116">
        <v>220</v>
      </c>
      <c r="P1347" s="116">
        <v>220.1</v>
      </c>
      <c r="Q1347" s="116">
        <v>226.32</v>
      </c>
      <c r="R1347">
        <v>7012943</v>
      </c>
    </row>
    <row r="1348" spans="1:18" x14ac:dyDescent="0.25">
      <c r="A1348" s="170">
        <v>46085</v>
      </c>
      <c r="B1348" s="116">
        <v>223.3</v>
      </c>
      <c r="C1348" s="116">
        <v>221.75</v>
      </c>
      <c r="D1348" s="116">
        <v>217.55</v>
      </c>
      <c r="E1348" s="116">
        <v>221.85</v>
      </c>
      <c r="F1348" s="116">
        <v>221.75</v>
      </c>
      <c r="G1348">
        <v>481695</v>
      </c>
      <c r="H1348" s="116"/>
      <c r="I1348" s="116"/>
      <c r="L1348" s="170">
        <v>46085</v>
      </c>
      <c r="M1348" s="116">
        <v>221.75</v>
      </c>
      <c r="N1348" s="116">
        <v>223.25</v>
      </c>
      <c r="O1348" s="116">
        <v>217.52</v>
      </c>
      <c r="P1348" s="116">
        <v>222.2</v>
      </c>
      <c r="Q1348" s="116">
        <v>221.75</v>
      </c>
      <c r="R1348">
        <v>5600383</v>
      </c>
    </row>
    <row r="1349" spans="1:18" x14ac:dyDescent="0.25">
      <c r="A1349" s="170">
        <v>46086</v>
      </c>
      <c r="B1349" s="116">
        <v>225.7</v>
      </c>
      <c r="C1349" s="116">
        <v>224.75</v>
      </c>
      <c r="D1349" s="116">
        <v>220.8</v>
      </c>
      <c r="E1349" s="116">
        <v>223.2</v>
      </c>
      <c r="F1349" s="116">
        <v>224.75</v>
      </c>
      <c r="G1349">
        <v>426595</v>
      </c>
      <c r="H1349" s="116"/>
      <c r="I1349" s="116"/>
      <c r="L1349" s="170">
        <v>46086</v>
      </c>
      <c r="M1349" s="116">
        <v>224.68</v>
      </c>
      <c r="N1349" s="116">
        <v>225.88</v>
      </c>
      <c r="O1349" s="116">
        <v>220.74</v>
      </c>
      <c r="P1349" s="116">
        <v>223.8</v>
      </c>
      <c r="Q1349" s="116">
        <v>224.68</v>
      </c>
      <c r="R1349">
        <v>4622589</v>
      </c>
    </row>
    <row r="1350" spans="1:18" x14ac:dyDescent="0.25">
      <c r="A1350" s="170">
        <v>46087</v>
      </c>
      <c r="B1350" s="116">
        <v>230.4</v>
      </c>
      <c r="C1350" s="116">
        <v>219.65</v>
      </c>
      <c r="D1350" s="116">
        <v>218.35</v>
      </c>
      <c r="E1350" s="116">
        <v>226.05</v>
      </c>
      <c r="F1350" s="116">
        <v>219.65</v>
      </c>
      <c r="G1350">
        <v>493395</v>
      </c>
      <c r="H1350" s="116"/>
      <c r="I1350" s="116"/>
      <c r="L1350" s="170">
        <v>46087</v>
      </c>
      <c r="M1350" s="116">
        <v>219.56</v>
      </c>
      <c r="N1350" s="116">
        <v>230.51</v>
      </c>
      <c r="O1350" s="116">
        <v>218.2</v>
      </c>
      <c r="P1350" s="116">
        <v>226.5</v>
      </c>
      <c r="Q1350" s="116">
        <v>219.56</v>
      </c>
      <c r="R1350">
        <v>9633447</v>
      </c>
    </row>
    <row r="1351" spans="1:18" x14ac:dyDescent="0.25">
      <c r="A1351" s="170">
        <v>46090</v>
      </c>
      <c r="B1351" s="116">
        <v>220</v>
      </c>
      <c r="C1351" s="116">
        <v>219.1</v>
      </c>
      <c r="D1351" s="116">
        <v>209</v>
      </c>
      <c r="E1351" s="116">
        <v>214.25</v>
      </c>
      <c r="F1351" s="116">
        <v>219.1</v>
      </c>
      <c r="G1351">
        <v>389598</v>
      </c>
      <c r="H1351" s="116"/>
      <c r="I1351" s="116"/>
      <c r="L1351" s="170">
        <v>46090</v>
      </c>
      <c r="M1351" s="116">
        <v>218.96</v>
      </c>
      <c r="N1351" s="116">
        <v>219.99</v>
      </c>
      <c r="O1351" s="116">
        <v>209</v>
      </c>
      <c r="P1351" s="116">
        <v>215</v>
      </c>
      <c r="Q1351" s="116">
        <v>218.96</v>
      </c>
      <c r="R1351">
        <v>8704812</v>
      </c>
    </row>
    <row r="1352" spans="1:18" x14ac:dyDescent="0.25">
      <c r="A1352" s="170">
        <v>46091</v>
      </c>
      <c r="B1352" s="116">
        <v>226.5</v>
      </c>
      <c r="C1352" s="116">
        <v>225.4</v>
      </c>
      <c r="D1352" s="116">
        <v>220.3</v>
      </c>
      <c r="E1352" s="116">
        <v>223.4</v>
      </c>
      <c r="F1352" s="116">
        <v>225.4</v>
      </c>
      <c r="G1352">
        <v>311702</v>
      </c>
      <c r="H1352" s="116"/>
      <c r="I1352" s="116"/>
      <c r="L1352" s="170">
        <v>46091</v>
      </c>
      <c r="M1352" s="116">
        <v>225.31</v>
      </c>
      <c r="N1352" s="116">
        <v>226.5</v>
      </c>
      <c r="O1352" s="116">
        <v>220.25</v>
      </c>
      <c r="P1352" s="116">
        <v>222.99</v>
      </c>
      <c r="Q1352" s="116">
        <v>225.31</v>
      </c>
      <c r="R1352">
        <v>4421152</v>
      </c>
    </row>
    <row r="1353" spans="1:18" x14ac:dyDescent="0.25">
      <c r="A1353" s="170">
        <v>46092</v>
      </c>
      <c r="B1353" s="116">
        <v>227.6</v>
      </c>
      <c r="C1353" s="116">
        <v>218.75</v>
      </c>
      <c r="D1353" s="116">
        <v>218</v>
      </c>
      <c r="E1353" s="116">
        <v>226.8</v>
      </c>
      <c r="F1353" s="116">
        <v>218.75</v>
      </c>
      <c r="G1353">
        <v>234953</v>
      </c>
      <c r="H1353" s="116"/>
      <c r="I1353" s="116"/>
      <c r="L1353" s="170">
        <v>46092</v>
      </c>
      <c r="M1353" s="116">
        <v>218.53</v>
      </c>
      <c r="N1353" s="116">
        <v>227.7</v>
      </c>
      <c r="O1353" s="116">
        <v>217.8</v>
      </c>
      <c r="P1353" s="116">
        <v>226.05</v>
      </c>
      <c r="Q1353" s="116">
        <v>218.53</v>
      </c>
      <c r="R1353">
        <v>4391522</v>
      </c>
    </row>
    <row r="1354" spans="1:18" x14ac:dyDescent="0.25">
      <c r="A1354" s="170">
        <v>46093</v>
      </c>
      <c r="B1354" s="116">
        <v>217.1</v>
      </c>
      <c r="C1354" s="116">
        <v>213</v>
      </c>
      <c r="D1354" s="116">
        <v>212.25</v>
      </c>
      <c r="E1354" s="116">
        <v>215.75</v>
      </c>
      <c r="F1354" s="116">
        <v>213</v>
      </c>
      <c r="G1354">
        <v>560803</v>
      </c>
      <c r="H1354" s="116"/>
      <c r="I1354" s="116"/>
      <c r="L1354" s="170">
        <v>46093</v>
      </c>
      <c r="M1354" s="116">
        <v>213.07</v>
      </c>
      <c r="N1354" s="116">
        <v>217.5</v>
      </c>
      <c r="O1354" s="116">
        <v>212.36</v>
      </c>
      <c r="P1354" s="116">
        <v>216</v>
      </c>
      <c r="Q1354" s="116">
        <v>213.07</v>
      </c>
      <c r="R1354">
        <v>10674079</v>
      </c>
    </row>
    <row r="1355" spans="1:18" x14ac:dyDescent="0.25">
      <c r="A1355" s="170">
        <v>46094</v>
      </c>
      <c r="B1355" s="116">
        <v>218.3</v>
      </c>
      <c r="C1355" s="116">
        <v>216.2</v>
      </c>
      <c r="D1355" s="116">
        <v>208.9</v>
      </c>
      <c r="E1355" s="116">
        <v>212.5</v>
      </c>
      <c r="F1355" s="116">
        <v>216.2</v>
      </c>
      <c r="G1355">
        <v>1391817</v>
      </c>
      <c r="H1355" s="116"/>
      <c r="I1355" s="116"/>
      <c r="L1355" s="170">
        <v>46094</v>
      </c>
      <c r="M1355" s="116">
        <v>215.58</v>
      </c>
      <c r="N1355" s="116">
        <v>218.38</v>
      </c>
      <c r="O1355" s="116">
        <v>208.63</v>
      </c>
      <c r="P1355" s="116">
        <v>212.82</v>
      </c>
      <c r="Q1355" s="116">
        <v>215.58</v>
      </c>
      <c r="R1355">
        <v>10402529</v>
      </c>
    </row>
    <row r="1356" spans="1:18" x14ac:dyDescent="0.25">
      <c r="A1356" s="170">
        <v>46097</v>
      </c>
      <c r="B1356" s="116">
        <v>217.85</v>
      </c>
      <c r="C1356" s="116">
        <v>216.9</v>
      </c>
      <c r="D1356" s="116">
        <v>210.65</v>
      </c>
      <c r="E1356" s="116">
        <v>213.7</v>
      </c>
      <c r="F1356" s="116">
        <v>216.9</v>
      </c>
      <c r="G1356">
        <v>857651</v>
      </c>
      <c r="H1356" s="116"/>
      <c r="I1356" s="116"/>
      <c r="L1356" s="170">
        <v>46097</v>
      </c>
      <c r="M1356" s="116">
        <v>216.63</v>
      </c>
      <c r="N1356" s="116">
        <v>217.9</v>
      </c>
      <c r="O1356" s="116">
        <v>210.62</v>
      </c>
      <c r="P1356" s="116">
        <v>215.58</v>
      </c>
      <c r="Q1356" s="116">
        <v>216.63</v>
      </c>
      <c r="R1356">
        <v>9982288</v>
      </c>
    </row>
    <row r="1357" spans="1:18" x14ac:dyDescent="0.25">
      <c r="A1357" s="170">
        <v>46098</v>
      </c>
      <c r="B1357" s="116">
        <v>221.2</v>
      </c>
      <c r="C1357" s="116">
        <v>217</v>
      </c>
      <c r="D1357" s="116">
        <v>214.5</v>
      </c>
      <c r="E1357" s="116">
        <v>217.95</v>
      </c>
      <c r="F1357" s="116">
        <v>217</v>
      </c>
      <c r="G1357">
        <v>1278298</v>
      </c>
      <c r="H1357" s="116"/>
      <c r="I1357" s="116"/>
      <c r="L1357" s="170">
        <v>46098</v>
      </c>
      <c r="M1357" s="116">
        <v>216.98</v>
      </c>
      <c r="N1357" s="116">
        <v>221.2</v>
      </c>
      <c r="O1357" s="116">
        <v>214.5</v>
      </c>
      <c r="P1357" s="116">
        <v>218</v>
      </c>
      <c r="Q1357" s="116">
        <v>216.98</v>
      </c>
      <c r="R1357">
        <v>10682186</v>
      </c>
    </row>
    <row r="1358" spans="1:18" x14ac:dyDescent="0.25">
      <c r="A1358" s="170">
        <v>46099</v>
      </c>
      <c r="B1358" s="116">
        <v>237.85</v>
      </c>
      <c r="C1358" s="116">
        <v>236.1</v>
      </c>
      <c r="D1358" s="116">
        <v>217.25</v>
      </c>
      <c r="E1358" s="116">
        <v>217.5</v>
      </c>
      <c r="F1358" s="116">
        <v>236.1</v>
      </c>
      <c r="G1358">
        <v>1895293</v>
      </c>
      <c r="H1358" s="116"/>
      <c r="I1358" s="116"/>
      <c r="L1358" s="170">
        <v>46099</v>
      </c>
      <c r="M1358" s="116">
        <v>236.21</v>
      </c>
      <c r="N1358" s="116">
        <v>237.9</v>
      </c>
      <c r="O1358" s="116">
        <v>217.16</v>
      </c>
      <c r="P1358" s="116">
        <v>217.9</v>
      </c>
      <c r="Q1358" s="116">
        <v>236.21</v>
      </c>
      <c r="R1358">
        <v>25414506</v>
      </c>
    </row>
    <row r="1359" spans="1:18" x14ac:dyDescent="0.25">
      <c r="A1359" s="170">
        <v>46100</v>
      </c>
      <c r="B1359" s="116">
        <v>234.95</v>
      </c>
      <c r="C1359" s="116">
        <v>232.6</v>
      </c>
      <c r="D1359" s="116">
        <v>228</v>
      </c>
      <c r="E1359" s="116">
        <v>229.5</v>
      </c>
      <c r="F1359" s="116">
        <v>232.6</v>
      </c>
      <c r="G1359">
        <v>310363</v>
      </c>
      <c r="H1359" s="116"/>
      <c r="I1359" s="116"/>
      <c r="L1359" s="170">
        <v>46100</v>
      </c>
      <c r="M1359" s="116">
        <v>232.42</v>
      </c>
      <c r="N1359" s="116">
        <v>234.91</v>
      </c>
      <c r="O1359" s="116">
        <v>228.01</v>
      </c>
      <c r="P1359" s="116">
        <v>230</v>
      </c>
      <c r="Q1359" s="116">
        <v>232.42</v>
      </c>
      <c r="R1359">
        <v>9785627</v>
      </c>
    </row>
    <row r="1360" spans="1:18" x14ac:dyDescent="0.25">
      <c r="A1360" s="170">
        <v>46101</v>
      </c>
      <c r="B1360" s="116">
        <v>237.7</v>
      </c>
      <c r="C1360" s="116">
        <v>231</v>
      </c>
      <c r="D1360" s="116">
        <v>229.85</v>
      </c>
      <c r="E1360" s="116">
        <v>236.55</v>
      </c>
      <c r="F1360" s="116">
        <v>231</v>
      </c>
      <c r="G1360">
        <v>275794</v>
      </c>
      <c r="H1360" s="116"/>
      <c r="I1360" s="116"/>
      <c r="L1360" s="170">
        <v>46101</v>
      </c>
      <c r="M1360" s="116">
        <v>231.32</v>
      </c>
      <c r="N1360" s="116">
        <v>237.8</v>
      </c>
      <c r="O1360" s="116">
        <v>230</v>
      </c>
      <c r="P1360" s="116">
        <v>235.9</v>
      </c>
      <c r="Q1360" s="116">
        <v>231.32</v>
      </c>
      <c r="R1360">
        <v>6007983</v>
      </c>
    </row>
    <row r="1361" spans="1:18" x14ac:dyDescent="0.25">
      <c r="A1361" s="170">
        <v>46104</v>
      </c>
      <c r="B1361" s="116">
        <v>228.25</v>
      </c>
      <c r="C1361" s="116">
        <v>220.9</v>
      </c>
      <c r="D1361" s="116">
        <v>218.85</v>
      </c>
      <c r="E1361" s="116">
        <v>227.45</v>
      </c>
      <c r="F1361" s="116">
        <v>220.9</v>
      </c>
      <c r="G1361">
        <v>176475</v>
      </c>
      <c r="H1361" s="116"/>
      <c r="I1361" s="116"/>
      <c r="L1361" s="170">
        <v>46104</v>
      </c>
      <c r="M1361" s="116">
        <v>220.91</v>
      </c>
      <c r="N1361" s="116">
        <v>228.6</v>
      </c>
      <c r="O1361" s="116">
        <v>218.8</v>
      </c>
      <c r="P1361" s="116">
        <v>227</v>
      </c>
      <c r="Q1361" s="116">
        <v>220.91</v>
      </c>
      <c r="R1361">
        <v>6295384</v>
      </c>
    </row>
    <row r="1362" spans="1:18" x14ac:dyDescent="0.25">
      <c r="A1362" s="170">
        <v>46105</v>
      </c>
      <c r="B1362" s="116">
        <v>231.55</v>
      </c>
      <c r="C1362" s="116">
        <v>230.5</v>
      </c>
      <c r="D1362" s="116">
        <v>223.2</v>
      </c>
      <c r="E1362" s="116">
        <v>228.15</v>
      </c>
      <c r="F1362" s="116">
        <v>230.5</v>
      </c>
      <c r="G1362">
        <v>187046</v>
      </c>
      <c r="H1362" s="116"/>
      <c r="I1362" s="116"/>
      <c r="L1362" s="170">
        <v>46105</v>
      </c>
      <c r="M1362" s="116">
        <v>230.44</v>
      </c>
      <c r="N1362" s="116">
        <v>231.49</v>
      </c>
      <c r="O1362" s="116">
        <v>223.15</v>
      </c>
      <c r="P1362" s="116">
        <v>226.99</v>
      </c>
      <c r="Q1362" s="116">
        <v>230.44</v>
      </c>
      <c r="R1362">
        <v>6207473</v>
      </c>
    </row>
    <row r="1363" spans="1:18" x14ac:dyDescent="0.25">
      <c r="A1363" s="170">
        <v>46106</v>
      </c>
      <c r="B1363" s="116">
        <v>243.7</v>
      </c>
      <c r="C1363" s="116">
        <v>241.3</v>
      </c>
      <c r="D1363" s="116">
        <v>232.6</v>
      </c>
      <c r="E1363" s="116">
        <v>232.6</v>
      </c>
      <c r="F1363" s="116">
        <v>241.3</v>
      </c>
      <c r="G1363">
        <v>588395</v>
      </c>
      <c r="H1363" s="116"/>
      <c r="I1363" s="116"/>
      <c r="L1363" s="170">
        <v>46106</v>
      </c>
      <c r="M1363" s="116">
        <v>241.67</v>
      </c>
      <c r="N1363" s="116">
        <v>243.8</v>
      </c>
      <c r="O1363" s="116">
        <v>233.1</v>
      </c>
      <c r="P1363" s="116">
        <v>233.5</v>
      </c>
      <c r="Q1363" s="116">
        <v>241.67</v>
      </c>
      <c r="R1363">
        <v>8880739</v>
      </c>
    </row>
    <row r="1364" spans="1:18" x14ac:dyDescent="0.25">
      <c r="A1364" s="170">
        <v>46108</v>
      </c>
      <c r="B1364" s="116">
        <v>242.65</v>
      </c>
      <c r="C1364" s="116">
        <v>234.95</v>
      </c>
      <c r="D1364" s="116">
        <v>233.75</v>
      </c>
      <c r="E1364" s="116">
        <v>236.7</v>
      </c>
      <c r="F1364" s="116">
        <v>234.95</v>
      </c>
      <c r="G1364">
        <v>181952</v>
      </c>
      <c r="H1364" s="116"/>
      <c r="I1364" s="116"/>
      <c r="L1364" s="170">
        <v>46108</v>
      </c>
      <c r="M1364" s="116">
        <v>235.27</v>
      </c>
      <c r="N1364" s="116">
        <v>243</v>
      </c>
      <c r="O1364" s="116">
        <v>233.72</v>
      </c>
      <c r="P1364" s="116">
        <v>238</v>
      </c>
      <c r="Q1364" s="116">
        <v>235.27</v>
      </c>
      <c r="R1364">
        <v>7528583</v>
      </c>
    </row>
    <row r="1365" spans="1:18" x14ac:dyDescent="0.25">
      <c r="A1365" s="170">
        <v>46111</v>
      </c>
      <c r="B1365" s="116">
        <v>234.2</v>
      </c>
      <c r="C1365" s="116">
        <v>227.55</v>
      </c>
      <c r="D1365" s="116">
        <v>226.1</v>
      </c>
      <c r="E1365" s="116">
        <v>230</v>
      </c>
      <c r="F1365" s="116">
        <v>227.55</v>
      </c>
      <c r="G1365">
        <v>193918</v>
      </c>
      <c r="H1365" s="116"/>
      <c r="I1365" s="116"/>
      <c r="L1365" s="170">
        <v>46111</v>
      </c>
      <c r="M1365" s="116">
        <v>227.53</v>
      </c>
      <c r="N1365" s="116">
        <v>234.39</v>
      </c>
      <c r="O1365" s="116">
        <v>226</v>
      </c>
      <c r="P1365" s="116">
        <v>229.8</v>
      </c>
      <c r="Q1365" s="116">
        <v>227.53</v>
      </c>
      <c r="R1365">
        <v>6704081</v>
      </c>
    </row>
    <row r="1366" spans="1:18" x14ac:dyDescent="0.25">
      <c r="A1366" s="170">
        <v>46113</v>
      </c>
      <c r="B1366" s="116">
        <v>244.45</v>
      </c>
      <c r="C1366" s="116">
        <v>240.5</v>
      </c>
      <c r="D1366" s="116">
        <v>236</v>
      </c>
      <c r="E1366" s="116">
        <v>240.75</v>
      </c>
      <c r="F1366" s="116">
        <v>240.5</v>
      </c>
      <c r="G1366">
        <v>565563</v>
      </c>
      <c r="H1366" s="116"/>
      <c r="I1366" s="116"/>
      <c r="L1366" s="170">
        <v>46113</v>
      </c>
      <c r="M1366" s="116">
        <v>240.6</v>
      </c>
      <c r="N1366" s="116">
        <v>244.45</v>
      </c>
      <c r="O1366" s="116">
        <v>238.01</v>
      </c>
      <c r="P1366" s="116">
        <v>238.96</v>
      </c>
      <c r="Q1366" s="116">
        <v>240.6</v>
      </c>
      <c r="R1366">
        <v>9009539</v>
      </c>
    </row>
    <row r="1367" spans="1:18" x14ac:dyDescent="0.25">
      <c r="A1367" s="170">
        <v>46114</v>
      </c>
      <c r="B1367" s="116">
        <v>241.9</v>
      </c>
      <c r="C1367" s="116">
        <v>240.8</v>
      </c>
      <c r="D1367" s="116">
        <v>228.45</v>
      </c>
      <c r="E1367" s="116">
        <v>232.5</v>
      </c>
      <c r="F1367" s="116">
        <v>240.8</v>
      </c>
      <c r="G1367">
        <v>158848</v>
      </c>
      <c r="H1367" s="116"/>
      <c r="I1367" s="116"/>
      <c r="L1367" s="170">
        <v>46114</v>
      </c>
      <c r="M1367" s="116">
        <v>240.85</v>
      </c>
      <c r="N1367" s="116">
        <v>241.92</v>
      </c>
      <c r="O1367" s="116">
        <v>228.45</v>
      </c>
      <c r="P1367" s="116">
        <v>233</v>
      </c>
      <c r="Q1367" s="116">
        <v>240.85</v>
      </c>
      <c r="R1367">
        <v>7690927</v>
      </c>
    </row>
    <row r="1368" spans="1:18" x14ac:dyDescent="0.25">
      <c r="A1368" s="170">
        <v>46118</v>
      </c>
      <c r="B1368" s="116">
        <v>247</v>
      </c>
      <c r="C1368" s="116">
        <v>246.15</v>
      </c>
      <c r="D1368" s="116">
        <v>237</v>
      </c>
      <c r="E1368" s="116">
        <v>243.25</v>
      </c>
      <c r="F1368" s="116">
        <v>246.15</v>
      </c>
      <c r="G1368">
        <v>174965</v>
      </c>
      <c r="H1368" s="116"/>
      <c r="I1368" s="116"/>
      <c r="L1368" s="170">
        <v>46118</v>
      </c>
      <c r="M1368" s="116">
        <v>246.05</v>
      </c>
      <c r="N1368" s="116">
        <v>246.91</v>
      </c>
      <c r="O1368" s="116">
        <v>236.7</v>
      </c>
      <c r="P1368" s="116">
        <v>241</v>
      </c>
      <c r="Q1368" s="116">
        <v>246.05</v>
      </c>
      <c r="R1368">
        <v>5924466</v>
      </c>
    </row>
    <row r="1369" spans="1:18" x14ac:dyDescent="0.25">
      <c r="A1369" s="170">
        <v>46119</v>
      </c>
      <c r="B1369" s="116">
        <v>248</v>
      </c>
      <c r="C1369" s="116">
        <v>246</v>
      </c>
      <c r="D1369" s="116">
        <v>242.2</v>
      </c>
      <c r="E1369" s="116">
        <v>245</v>
      </c>
      <c r="F1369" s="116">
        <v>246</v>
      </c>
      <c r="G1369">
        <v>269754</v>
      </c>
      <c r="H1369" s="116"/>
      <c r="I1369" s="116"/>
      <c r="L1369" s="170">
        <v>46119</v>
      </c>
      <c r="M1369" s="116">
        <v>246.1</v>
      </c>
      <c r="N1369" s="116">
        <v>248</v>
      </c>
      <c r="O1369" s="116">
        <v>242.33</v>
      </c>
      <c r="P1369" s="116">
        <v>245</v>
      </c>
      <c r="Q1369" s="116">
        <v>246.1</v>
      </c>
      <c r="R1369">
        <v>3628752</v>
      </c>
    </row>
    <row r="1370" spans="1:18" x14ac:dyDescent="0.25">
      <c r="A1370" s="170">
        <v>46120</v>
      </c>
      <c r="B1370" s="116">
        <v>268.7</v>
      </c>
      <c r="C1370" s="116">
        <v>267.45</v>
      </c>
      <c r="D1370" s="116">
        <v>253</v>
      </c>
      <c r="E1370" s="116">
        <v>257.05</v>
      </c>
      <c r="F1370" s="116">
        <v>267.45</v>
      </c>
      <c r="G1370">
        <v>531045</v>
      </c>
      <c r="H1370" s="116"/>
      <c r="I1370" s="116"/>
      <c r="L1370" s="170">
        <v>46120</v>
      </c>
      <c r="M1370" s="116">
        <v>267.62</v>
      </c>
      <c r="N1370" s="116">
        <v>269</v>
      </c>
      <c r="O1370" s="116">
        <v>253.01</v>
      </c>
      <c r="P1370" s="116">
        <v>255</v>
      </c>
      <c r="Q1370" s="116">
        <v>267.62</v>
      </c>
      <c r="R1370">
        <v>16338003</v>
      </c>
    </row>
    <row r="1371" spans="1:18" x14ac:dyDescent="0.25">
      <c r="A1371" s="170">
        <v>46121</v>
      </c>
      <c r="B1371" s="116">
        <v>284</v>
      </c>
      <c r="C1371" s="116">
        <v>281.75</v>
      </c>
      <c r="D1371" s="116">
        <v>266</v>
      </c>
      <c r="E1371" s="116">
        <v>272.55</v>
      </c>
      <c r="F1371" s="116">
        <v>281.75</v>
      </c>
      <c r="G1371">
        <v>835481</v>
      </c>
      <c r="H1371" s="116"/>
      <c r="I1371" s="116"/>
      <c r="L1371" s="170">
        <v>46121</v>
      </c>
      <c r="M1371" s="116">
        <v>281.8</v>
      </c>
      <c r="N1371" s="116">
        <v>284.2</v>
      </c>
      <c r="O1371" s="116">
        <v>265.8</v>
      </c>
      <c r="P1371" s="116">
        <v>270</v>
      </c>
      <c r="Q1371" s="116">
        <v>281.8</v>
      </c>
      <c r="R1371">
        <v>29671494</v>
      </c>
    </row>
    <row r="1372" spans="1:18" x14ac:dyDescent="0.25">
      <c r="A1372" s="170">
        <v>46122</v>
      </c>
      <c r="B1372" s="116">
        <v>287.8</v>
      </c>
      <c r="C1372" s="116">
        <v>280.8</v>
      </c>
      <c r="D1372" s="116">
        <v>280.05</v>
      </c>
      <c r="E1372" s="116">
        <v>281.85000000000002</v>
      </c>
      <c r="F1372" s="116">
        <v>280.8</v>
      </c>
      <c r="G1372">
        <v>437500</v>
      </c>
      <c r="H1372" s="116"/>
      <c r="I1372" s="116"/>
      <c r="L1372" s="170">
        <v>46122</v>
      </c>
      <c r="M1372" s="116">
        <v>280.99</v>
      </c>
      <c r="N1372" s="116">
        <v>287.89999999999998</v>
      </c>
      <c r="O1372" s="116">
        <v>279.54000000000002</v>
      </c>
      <c r="P1372" s="116">
        <v>281.49</v>
      </c>
      <c r="Q1372" s="116">
        <v>280.99</v>
      </c>
      <c r="R1372">
        <v>14403261</v>
      </c>
    </row>
    <row r="1373" spans="1:18" x14ac:dyDescent="0.25">
      <c r="A1373" s="170">
        <v>46125</v>
      </c>
      <c r="B1373" s="116">
        <v>282.75</v>
      </c>
      <c r="C1373" s="116">
        <v>280.7</v>
      </c>
      <c r="D1373" s="116">
        <v>272.95</v>
      </c>
      <c r="E1373" s="116">
        <v>275</v>
      </c>
      <c r="F1373" s="116">
        <v>280.7</v>
      </c>
      <c r="G1373">
        <v>409920</v>
      </c>
      <c r="H1373" s="116"/>
      <c r="I1373" s="116"/>
      <c r="L1373" s="170">
        <v>46125</v>
      </c>
      <c r="M1373" s="116">
        <v>280.45999999999998</v>
      </c>
      <c r="N1373" s="116">
        <v>282.8</v>
      </c>
      <c r="O1373" s="116">
        <v>273</v>
      </c>
      <c r="P1373" s="116">
        <v>273</v>
      </c>
      <c r="Q1373" s="116">
        <v>280.45999999999998</v>
      </c>
      <c r="R1373">
        <v>6934623</v>
      </c>
    </row>
    <row r="1374" spans="1:18" x14ac:dyDescent="0.25">
      <c r="A1374" s="170">
        <v>46127</v>
      </c>
      <c r="B1374" s="116">
        <v>298.89999999999998</v>
      </c>
      <c r="C1374" s="116">
        <v>297.64999999999998</v>
      </c>
      <c r="D1374" s="116">
        <v>286.35000000000002</v>
      </c>
      <c r="E1374" s="116">
        <v>287.05</v>
      </c>
      <c r="F1374" s="116">
        <v>297.64999999999998</v>
      </c>
      <c r="G1374">
        <v>1173719</v>
      </c>
      <c r="H1374" s="116"/>
      <c r="I1374" s="116"/>
      <c r="L1374" s="170">
        <v>46127</v>
      </c>
      <c r="M1374" s="116">
        <v>297.76</v>
      </c>
      <c r="N1374" s="116">
        <v>298.89999999999998</v>
      </c>
      <c r="O1374" s="116">
        <v>286.12</v>
      </c>
      <c r="P1374" s="116">
        <v>287.8</v>
      </c>
      <c r="Q1374" s="116">
        <v>297.76</v>
      </c>
      <c r="R1374">
        <v>21051102</v>
      </c>
    </row>
    <row r="1375" spans="1:18" x14ac:dyDescent="0.25">
      <c r="A1375" s="170">
        <v>46128</v>
      </c>
      <c r="B1375" s="116">
        <v>301.35000000000002</v>
      </c>
      <c r="C1375" s="116">
        <v>292.39999999999998</v>
      </c>
      <c r="D1375" s="116">
        <v>288.7</v>
      </c>
      <c r="E1375" s="116">
        <v>299.89999999999998</v>
      </c>
      <c r="F1375" s="116">
        <v>292.39999999999998</v>
      </c>
      <c r="G1375">
        <v>523502</v>
      </c>
      <c r="H1375" s="116"/>
      <c r="I1375" s="116"/>
      <c r="L1375" s="170">
        <v>46128</v>
      </c>
      <c r="M1375" s="116">
        <v>292.61</v>
      </c>
      <c r="N1375" s="116">
        <v>301.5</v>
      </c>
      <c r="O1375" s="116">
        <v>288.72000000000003</v>
      </c>
      <c r="P1375" s="116">
        <v>299.35000000000002</v>
      </c>
      <c r="Q1375" s="116">
        <v>292.61</v>
      </c>
      <c r="R1375">
        <v>14443355</v>
      </c>
    </row>
    <row r="1376" spans="1:18" x14ac:dyDescent="0.25">
      <c r="A1376" s="170">
        <v>46129</v>
      </c>
      <c r="B1376" s="116">
        <v>327.05</v>
      </c>
      <c r="C1376" s="116">
        <v>323.35000000000002</v>
      </c>
      <c r="D1376" s="116">
        <v>297.7</v>
      </c>
      <c r="E1376" s="116">
        <v>304.8</v>
      </c>
      <c r="F1376" s="116">
        <v>323.35000000000002</v>
      </c>
      <c r="G1376">
        <v>2656927</v>
      </c>
      <c r="H1376" s="116"/>
      <c r="I1376" s="116"/>
      <c r="L1376" s="170">
        <v>46129</v>
      </c>
      <c r="M1376" s="116">
        <v>322.47000000000003</v>
      </c>
      <c r="N1376" s="116">
        <v>324.39999999999998</v>
      </c>
      <c r="O1376" s="116">
        <v>297.51</v>
      </c>
      <c r="P1376" s="116">
        <v>302</v>
      </c>
      <c r="Q1376" s="116">
        <v>322.47000000000003</v>
      </c>
      <c r="R1376">
        <v>80869288</v>
      </c>
    </row>
    <row r="1377" spans="1:18" x14ac:dyDescent="0.25">
      <c r="A1377" s="170">
        <v>46132</v>
      </c>
      <c r="B1377" s="116">
        <v>327.75</v>
      </c>
      <c r="C1377" s="116">
        <v>319</v>
      </c>
      <c r="D1377" s="116">
        <v>314.10000000000002</v>
      </c>
      <c r="E1377" s="116">
        <v>322.64999999999998</v>
      </c>
      <c r="F1377" s="116">
        <v>319</v>
      </c>
      <c r="G1377">
        <v>1457675</v>
      </c>
      <c r="H1377" s="116"/>
      <c r="I1377" s="116"/>
      <c r="L1377" s="170">
        <v>46132</v>
      </c>
      <c r="M1377" s="116">
        <v>319.16000000000003</v>
      </c>
      <c r="N1377" s="116">
        <v>327.95</v>
      </c>
      <c r="O1377" s="116">
        <v>314.2</v>
      </c>
      <c r="P1377" s="116">
        <v>322.60000000000002</v>
      </c>
      <c r="Q1377" s="116">
        <v>319.16000000000003</v>
      </c>
      <c r="R1377">
        <v>23135454</v>
      </c>
    </row>
    <row r="1378" spans="1:18" x14ac:dyDescent="0.25">
      <c r="A1378" s="170">
        <v>46133</v>
      </c>
      <c r="B1378" s="116">
        <v>326.5</v>
      </c>
      <c r="C1378" s="116">
        <v>323.95</v>
      </c>
      <c r="D1378" s="116">
        <v>318.89999999999998</v>
      </c>
      <c r="E1378" s="116">
        <v>319.95</v>
      </c>
      <c r="F1378" s="116">
        <v>323.95</v>
      </c>
      <c r="G1378">
        <v>363390</v>
      </c>
      <c r="H1378" s="116"/>
      <c r="I1378" s="116"/>
      <c r="L1378" s="170">
        <v>46133</v>
      </c>
      <c r="M1378" s="116">
        <v>324.05</v>
      </c>
      <c r="N1378" s="116">
        <v>326.64999999999998</v>
      </c>
      <c r="O1378" s="116">
        <v>318.73</v>
      </c>
      <c r="P1378" s="116">
        <v>319.35000000000002</v>
      </c>
      <c r="Q1378" s="116">
        <v>324.05</v>
      </c>
      <c r="R1378">
        <v>13064927</v>
      </c>
    </row>
    <row r="1379" spans="1:18" x14ac:dyDescent="0.25">
      <c r="A1379" s="170">
        <v>46134</v>
      </c>
      <c r="B1379" s="116">
        <v>330.1</v>
      </c>
      <c r="C1379" s="116">
        <v>328.4</v>
      </c>
      <c r="D1379" s="116">
        <v>323.45</v>
      </c>
      <c r="E1379" s="116">
        <v>326.25</v>
      </c>
      <c r="F1379" s="116">
        <v>328.4</v>
      </c>
      <c r="G1379">
        <v>379165</v>
      </c>
      <c r="H1379" s="116"/>
      <c r="I1379" s="116"/>
      <c r="L1379" s="170">
        <v>46134</v>
      </c>
      <c r="M1379" s="116">
        <v>328.59</v>
      </c>
      <c r="N1379" s="116">
        <v>330.23</v>
      </c>
      <c r="O1379" s="116">
        <v>323.20999999999998</v>
      </c>
      <c r="P1379" s="116">
        <v>324.05</v>
      </c>
      <c r="Q1379" s="116">
        <v>328.59</v>
      </c>
      <c r="R1379">
        <v>11503789</v>
      </c>
    </row>
    <row r="1380" spans="1:18" x14ac:dyDescent="0.25">
      <c r="A1380" s="170">
        <v>46135</v>
      </c>
      <c r="B1380" s="116">
        <v>328.45</v>
      </c>
      <c r="C1380" s="116">
        <v>321</v>
      </c>
      <c r="D1380" s="116">
        <v>320.3</v>
      </c>
      <c r="E1380" s="116">
        <v>328.45</v>
      </c>
      <c r="F1380" s="116">
        <v>321</v>
      </c>
      <c r="G1380">
        <v>229628</v>
      </c>
      <c r="H1380" s="116"/>
      <c r="I1380" s="116"/>
      <c r="L1380" s="170">
        <v>46135</v>
      </c>
      <c r="M1380" s="116">
        <v>321.20999999999998</v>
      </c>
      <c r="N1380" s="116">
        <v>328</v>
      </c>
      <c r="O1380" s="116">
        <v>320.31</v>
      </c>
      <c r="P1380" s="116">
        <v>328</v>
      </c>
      <c r="Q1380" s="116">
        <v>321.20999999999998</v>
      </c>
      <c r="R1380">
        <v>6611292</v>
      </c>
    </row>
    <row r="1381" spans="1:18" x14ac:dyDescent="0.25">
      <c r="A1381" s="170">
        <v>46136</v>
      </c>
      <c r="B1381" s="116">
        <v>323.14999999999998</v>
      </c>
      <c r="C1381" s="116">
        <v>314.75</v>
      </c>
      <c r="D1381" s="116">
        <v>309.45</v>
      </c>
      <c r="E1381" s="116">
        <v>323.14999999999998</v>
      </c>
      <c r="F1381" s="116">
        <v>314.75</v>
      </c>
      <c r="G1381">
        <v>391357</v>
      </c>
      <c r="H1381" s="116"/>
      <c r="I1381" s="116"/>
      <c r="L1381" s="170">
        <v>46136</v>
      </c>
      <c r="M1381" s="116">
        <v>314.52</v>
      </c>
      <c r="N1381" s="116">
        <v>323</v>
      </c>
      <c r="O1381" s="116">
        <v>309.51</v>
      </c>
      <c r="P1381" s="116">
        <v>322.81</v>
      </c>
      <c r="Q1381" s="116">
        <v>314.52</v>
      </c>
      <c r="R1381">
        <v>9294838</v>
      </c>
    </row>
    <row r="1382" spans="1:18" x14ac:dyDescent="0.25">
      <c r="A1382" s="170">
        <v>46139</v>
      </c>
      <c r="B1382" s="116">
        <v>321.75</v>
      </c>
      <c r="C1382" s="116">
        <v>318.64999999999998</v>
      </c>
      <c r="D1382" s="116">
        <v>316.05</v>
      </c>
      <c r="E1382" s="116">
        <v>316.05</v>
      </c>
      <c r="F1382" s="116">
        <v>318.64999999999998</v>
      </c>
      <c r="G1382">
        <v>401664</v>
      </c>
      <c r="H1382" s="116"/>
      <c r="I1382" s="116"/>
      <c r="L1382" s="170">
        <v>46139</v>
      </c>
      <c r="M1382" s="116">
        <v>318.64</v>
      </c>
      <c r="N1382" s="116">
        <v>322.98</v>
      </c>
      <c r="O1382" s="116">
        <v>316.52</v>
      </c>
      <c r="P1382" s="116">
        <v>316.85000000000002</v>
      </c>
      <c r="Q1382" s="116">
        <v>318.64</v>
      </c>
      <c r="R1382">
        <v>5143144</v>
      </c>
    </row>
    <row r="1383" spans="1:18" x14ac:dyDescent="0.25">
      <c r="A1383" s="170">
        <v>46140</v>
      </c>
      <c r="B1383" s="116">
        <v>320.5</v>
      </c>
      <c r="C1383" s="116">
        <v>319.05</v>
      </c>
      <c r="D1383" s="116">
        <v>316.14999999999998</v>
      </c>
      <c r="E1383" s="116">
        <v>318.14999999999998</v>
      </c>
      <c r="F1383" s="116">
        <v>319.05</v>
      </c>
      <c r="G1383">
        <v>200963</v>
      </c>
      <c r="H1383" s="116"/>
      <c r="I1383" s="116"/>
      <c r="L1383" s="170">
        <v>46140</v>
      </c>
      <c r="M1383" s="116">
        <v>319.27</v>
      </c>
      <c r="N1383" s="116">
        <v>320.43</v>
      </c>
      <c r="O1383" s="116">
        <v>316</v>
      </c>
      <c r="P1383" s="116">
        <v>318.14999999999998</v>
      </c>
      <c r="Q1383" s="116">
        <v>319.27</v>
      </c>
      <c r="R1383">
        <v>4252695</v>
      </c>
    </row>
    <row r="1384" spans="1:18" x14ac:dyDescent="0.25">
      <c r="A1384" s="170">
        <v>46141</v>
      </c>
      <c r="B1384" s="116">
        <v>323</v>
      </c>
      <c r="C1384" s="116">
        <v>313.35000000000002</v>
      </c>
      <c r="D1384" s="116">
        <v>312</v>
      </c>
      <c r="E1384" s="116">
        <v>320.2</v>
      </c>
      <c r="F1384" s="116">
        <v>313.35000000000002</v>
      </c>
      <c r="G1384">
        <v>176168</v>
      </c>
      <c r="H1384" s="116"/>
      <c r="I1384" s="116"/>
      <c r="L1384" s="170">
        <v>46141</v>
      </c>
      <c r="M1384" s="116">
        <v>313.10000000000002</v>
      </c>
      <c r="N1384" s="116">
        <v>323.39999999999998</v>
      </c>
      <c r="O1384" s="116">
        <v>311.79000000000002</v>
      </c>
      <c r="P1384" s="116">
        <v>319.27</v>
      </c>
      <c r="Q1384" s="116">
        <v>313.10000000000002</v>
      </c>
      <c r="R1384">
        <v>4413662</v>
      </c>
    </row>
    <row r="1385" spans="1:18" x14ac:dyDescent="0.25">
      <c r="A1385" s="170">
        <v>46142</v>
      </c>
      <c r="B1385" s="116">
        <v>311.5</v>
      </c>
      <c r="C1385" s="116">
        <v>308.7</v>
      </c>
      <c r="D1385" s="116">
        <v>305.89999999999998</v>
      </c>
      <c r="E1385" s="116">
        <v>310.3</v>
      </c>
      <c r="F1385" s="116">
        <v>308.7</v>
      </c>
      <c r="G1385">
        <v>278458</v>
      </c>
      <c r="H1385" s="116"/>
      <c r="I1385" s="116"/>
      <c r="L1385" s="170">
        <v>46142</v>
      </c>
      <c r="M1385" s="116">
        <v>308.70999999999998</v>
      </c>
      <c r="N1385" s="116">
        <v>311.55</v>
      </c>
      <c r="O1385" s="116">
        <v>306.12</v>
      </c>
      <c r="P1385" s="116">
        <v>311.36</v>
      </c>
      <c r="Q1385" s="116">
        <v>308.70999999999998</v>
      </c>
      <c r="R1385">
        <v>3939153</v>
      </c>
    </row>
    <row r="1386" spans="1:18" x14ac:dyDescent="0.25">
      <c r="A1386" s="170">
        <v>46146</v>
      </c>
      <c r="B1386" s="116">
        <v>313.3</v>
      </c>
      <c r="C1386" s="116">
        <v>307.7</v>
      </c>
      <c r="D1386" s="116">
        <v>304</v>
      </c>
      <c r="E1386" s="116">
        <v>309</v>
      </c>
      <c r="F1386" s="116">
        <v>307.7</v>
      </c>
      <c r="G1386">
        <v>206392</v>
      </c>
      <c r="H1386" s="116"/>
      <c r="I1386" s="116"/>
      <c r="L1386" s="170">
        <v>46146</v>
      </c>
      <c r="M1386" s="116">
        <v>307.7</v>
      </c>
      <c r="N1386" s="116">
        <v>313.5</v>
      </c>
      <c r="O1386" s="116">
        <v>303.95</v>
      </c>
      <c r="P1386" s="116">
        <v>308.7</v>
      </c>
      <c r="Q1386" s="116">
        <v>307.7</v>
      </c>
      <c r="R1386">
        <v>5085193</v>
      </c>
    </row>
    <row r="1387" spans="1:18" x14ac:dyDescent="0.25">
      <c r="A1387" s="170">
        <v>46147</v>
      </c>
      <c r="B1387" s="116">
        <v>317.35000000000002</v>
      </c>
      <c r="C1387" s="116">
        <v>314.55</v>
      </c>
      <c r="D1387" s="116">
        <v>303.8</v>
      </c>
      <c r="E1387" s="116">
        <v>307.14999999999998</v>
      </c>
      <c r="F1387" s="116">
        <v>314.55</v>
      </c>
      <c r="G1387">
        <v>358854</v>
      </c>
      <c r="H1387" s="116"/>
      <c r="I1387" s="116"/>
      <c r="L1387" s="170">
        <v>46147</v>
      </c>
      <c r="M1387" s="116">
        <v>314.39999999999998</v>
      </c>
      <c r="N1387" s="116">
        <v>317.5</v>
      </c>
      <c r="O1387" s="116">
        <v>303.7</v>
      </c>
      <c r="P1387" s="116">
        <v>307.89999999999998</v>
      </c>
      <c r="Q1387" s="116">
        <v>314.39999999999998</v>
      </c>
      <c r="R1387">
        <v>6117395</v>
      </c>
    </row>
    <row r="1388" spans="1:18" x14ac:dyDescent="0.25">
      <c r="A1388" s="170">
        <v>46148</v>
      </c>
      <c r="B1388" s="116">
        <v>318.55</v>
      </c>
      <c r="C1388" s="116">
        <v>316.8</v>
      </c>
      <c r="D1388" s="116">
        <v>310.64999999999998</v>
      </c>
      <c r="E1388" s="116">
        <v>314.85000000000002</v>
      </c>
      <c r="F1388" s="116">
        <v>316.8</v>
      </c>
      <c r="G1388">
        <v>353842</v>
      </c>
      <c r="H1388" s="116"/>
      <c r="I1388" s="116"/>
      <c r="L1388" s="170">
        <v>46148</v>
      </c>
      <c r="M1388" s="116">
        <v>316.85000000000002</v>
      </c>
      <c r="N1388" s="116">
        <v>318.60000000000002</v>
      </c>
      <c r="O1388" s="116">
        <v>310.60000000000002</v>
      </c>
      <c r="P1388" s="116">
        <v>316.75</v>
      </c>
      <c r="Q1388" s="116">
        <v>316.85000000000002</v>
      </c>
      <c r="R1388">
        <v>5077995</v>
      </c>
    </row>
    <row r="1389" spans="1:18" x14ac:dyDescent="0.25">
      <c r="A1389" s="170">
        <v>46149</v>
      </c>
      <c r="B1389" s="116">
        <v>324.75</v>
      </c>
      <c r="C1389" s="116">
        <v>322.39999999999998</v>
      </c>
      <c r="D1389" s="116">
        <v>315.60000000000002</v>
      </c>
      <c r="E1389" s="116">
        <v>318.75</v>
      </c>
      <c r="F1389" s="116">
        <v>322.39999999999998</v>
      </c>
      <c r="G1389">
        <v>209307</v>
      </c>
      <c r="H1389" s="116"/>
      <c r="I1389" s="116"/>
      <c r="L1389" s="170">
        <v>46149</v>
      </c>
      <c r="M1389" s="116">
        <v>322.60000000000002</v>
      </c>
      <c r="N1389" s="116">
        <v>324.7</v>
      </c>
      <c r="O1389" s="116">
        <v>315.55</v>
      </c>
      <c r="P1389" s="116">
        <v>318.39999999999998</v>
      </c>
      <c r="Q1389" s="116">
        <v>322.60000000000002</v>
      </c>
      <c r="R1389">
        <v>6220705</v>
      </c>
    </row>
    <row r="1390" spans="1:18" x14ac:dyDescent="0.25">
      <c r="A1390" s="170">
        <v>46150</v>
      </c>
      <c r="B1390" s="116">
        <v>335</v>
      </c>
      <c r="C1390" s="116">
        <v>326.10000000000002</v>
      </c>
      <c r="D1390" s="116">
        <v>319</v>
      </c>
      <c r="E1390" s="116">
        <v>322.8</v>
      </c>
      <c r="F1390" s="116">
        <v>326.10000000000002</v>
      </c>
      <c r="G1390">
        <v>473123</v>
      </c>
      <c r="H1390" s="116"/>
      <c r="I1390" s="116"/>
      <c r="L1390" s="170">
        <v>46150</v>
      </c>
      <c r="M1390" s="116">
        <v>326</v>
      </c>
      <c r="N1390" s="116">
        <v>334.95</v>
      </c>
      <c r="O1390" s="116">
        <v>319</v>
      </c>
      <c r="P1390" s="116">
        <v>322</v>
      </c>
      <c r="Q1390" s="116">
        <v>326</v>
      </c>
      <c r="R1390">
        <v>12373135</v>
      </c>
    </row>
    <row r="1391" spans="1:18" x14ac:dyDescent="0.25">
      <c r="A1391" s="170">
        <v>46153</v>
      </c>
      <c r="B1391" s="116">
        <v>327</v>
      </c>
      <c r="C1391" s="116">
        <v>317.10000000000002</v>
      </c>
      <c r="D1391" s="116">
        <v>311.10000000000002</v>
      </c>
      <c r="E1391" s="116">
        <v>311.10000000000002</v>
      </c>
      <c r="F1391" s="116">
        <v>317.10000000000002</v>
      </c>
      <c r="G1391">
        <v>494295</v>
      </c>
      <c r="H1391" s="116"/>
      <c r="I1391" s="116"/>
      <c r="L1391" s="170">
        <v>46153</v>
      </c>
      <c r="M1391" s="116">
        <v>317.2</v>
      </c>
      <c r="N1391" s="116">
        <v>326.95</v>
      </c>
      <c r="O1391" s="116">
        <v>316.14999999999998</v>
      </c>
      <c r="P1391" s="116">
        <v>323.75</v>
      </c>
      <c r="Q1391" s="116">
        <v>317.2</v>
      </c>
      <c r="R1391">
        <v>4569661</v>
      </c>
    </row>
    <row r="1392" spans="1:18" x14ac:dyDescent="0.25">
      <c r="A1392" s="170">
        <v>46154</v>
      </c>
      <c r="B1392" s="116">
        <v>317.10000000000002</v>
      </c>
      <c r="C1392" s="116">
        <v>299.75</v>
      </c>
      <c r="D1392" s="116">
        <v>296.8</v>
      </c>
      <c r="E1392" s="116">
        <v>317.10000000000002</v>
      </c>
      <c r="F1392" s="116">
        <v>299.75</v>
      </c>
      <c r="G1392">
        <v>406825</v>
      </c>
      <c r="H1392" s="116"/>
      <c r="I1392" s="116"/>
      <c r="L1392" s="170">
        <v>46154</v>
      </c>
      <c r="M1392" s="116">
        <v>299.10000000000002</v>
      </c>
      <c r="N1392" s="116">
        <v>315.95</v>
      </c>
      <c r="O1392" s="116">
        <v>296.95</v>
      </c>
      <c r="P1392" s="116">
        <v>315.64999999999998</v>
      </c>
      <c r="Q1392" s="116">
        <v>299.10000000000002</v>
      </c>
      <c r="R1392">
        <v>8637203</v>
      </c>
    </row>
    <row r="1393" spans="1:18" x14ac:dyDescent="0.25">
      <c r="A1393" s="170">
        <v>46155</v>
      </c>
      <c r="B1393" s="116">
        <v>303.39999999999998</v>
      </c>
      <c r="C1393" s="116">
        <v>298.05</v>
      </c>
      <c r="D1393" s="116">
        <v>297</v>
      </c>
      <c r="E1393" s="116">
        <v>299.8</v>
      </c>
      <c r="F1393" s="116">
        <v>298.05</v>
      </c>
      <c r="G1393">
        <v>465477</v>
      </c>
      <c r="H1393" s="116"/>
      <c r="I1393" s="116"/>
      <c r="L1393" s="170">
        <v>46155</v>
      </c>
      <c r="M1393" s="116">
        <v>298.14999999999998</v>
      </c>
      <c r="N1393" s="116">
        <v>303.39999999999998</v>
      </c>
      <c r="O1393" s="116">
        <v>297.05</v>
      </c>
      <c r="P1393" s="116">
        <v>300.10000000000002</v>
      </c>
      <c r="Q1393" s="116">
        <v>298.14999999999998</v>
      </c>
      <c r="R1393">
        <v>4043706</v>
      </c>
    </row>
    <row r="1394" spans="1:18" x14ac:dyDescent="0.25">
      <c r="A1394" s="170">
        <v>46156</v>
      </c>
      <c r="B1394" s="116">
        <v>306.10000000000002</v>
      </c>
      <c r="C1394" s="116">
        <v>303.7</v>
      </c>
      <c r="D1394" s="116">
        <v>290.89999999999998</v>
      </c>
      <c r="E1394" s="116">
        <v>302.7</v>
      </c>
      <c r="F1394" s="116">
        <v>303.7</v>
      </c>
      <c r="G1394">
        <v>247825</v>
      </c>
      <c r="H1394" s="116"/>
      <c r="I1394" s="116"/>
      <c r="L1394" s="170">
        <v>46156</v>
      </c>
      <c r="M1394" s="116">
        <v>303.7</v>
      </c>
      <c r="N1394" s="116">
        <v>306.3</v>
      </c>
      <c r="O1394" s="116">
        <v>290.8</v>
      </c>
      <c r="P1394" s="116">
        <v>300.3</v>
      </c>
      <c r="Q1394" s="116">
        <v>303.7</v>
      </c>
      <c r="R1394">
        <v>8288598</v>
      </c>
    </row>
    <row r="1395" spans="1:18" x14ac:dyDescent="0.25">
      <c r="A1395" s="170">
        <v>46157</v>
      </c>
      <c r="B1395" s="116">
        <v>311.60000000000002</v>
      </c>
      <c r="C1395" s="116">
        <v>306.5</v>
      </c>
      <c r="D1395" s="116">
        <v>303.2</v>
      </c>
      <c r="E1395" s="116">
        <v>305</v>
      </c>
      <c r="F1395" s="116">
        <v>306.5</v>
      </c>
      <c r="G1395">
        <v>335953</v>
      </c>
      <c r="H1395" s="116"/>
      <c r="I1395" s="116"/>
      <c r="L1395" s="170">
        <v>46157</v>
      </c>
      <c r="M1395" s="116">
        <v>306.85000000000002</v>
      </c>
      <c r="N1395" s="116">
        <v>311.55</v>
      </c>
      <c r="O1395" s="116">
        <v>303.14999999999998</v>
      </c>
      <c r="P1395" s="116">
        <v>305.3</v>
      </c>
      <c r="Q1395" s="116">
        <v>306.85000000000002</v>
      </c>
      <c r="R1395">
        <v>6072039</v>
      </c>
    </row>
    <row r="1396" spans="1:18" x14ac:dyDescent="0.25">
      <c r="A1396" s="170">
        <v>46160</v>
      </c>
      <c r="B1396" s="116">
        <v>304.89999999999998</v>
      </c>
      <c r="C1396" s="116">
        <v>304.05</v>
      </c>
      <c r="D1396" s="116">
        <v>298.5</v>
      </c>
      <c r="E1396" s="116">
        <v>303</v>
      </c>
      <c r="F1396" s="116">
        <v>304.05</v>
      </c>
      <c r="G1396">
        <v>189635</v>
      </c>
      <c r="H1396" s="116"/>
      <c r="I1396" s="116"/>
      <c r="L1396" s="170">
        <v>46160</v>
      </c>
      <c r="M1396" s="116">
        <v>303.95</v>
      </c>
      <c r="N1396" s="116">
        <v>305</v>
      </c>
      <c r="O1396" s="116">
        <v>298.39999999999998</v>
      </c>
      <c r="P1396" s="116">
        <v>302.8</v>
      </c>
      <c r="Q1396" s="116">
        <v>303.95</v>
      </c>
      <c r="R1396">
        <v>4296924</v>
      </c>
    </row>
    <row r="1397" spans="1:18" x14ac:dyDescent="0.25">
      <c r="A1397" s="170">
        <v>46161</v>
      </c>
      <c r="B1397" s="116">
        <v>330</v>
      </c>
      <c r="C1397" s="116">
        <v>328.2</v>
      </c>
      <c r="D1397" s="116">
        <v>304</v>
      </c>
      <c r="E1397" s="116">
        <v>304.05</v>
      </c>
      <c r="F1397" s="116">
        <v>328.2</v>
      </c>
      <c r="G1397">
        <v>1500496</v>
      </c>
      <c r="H1397" s="116"/>
      <c r="I1397" s="116"/>
      <c r="L1397" s="170">
        <v>46161</v>
      </c>
      <c r="M1397" s="116">
        <v>328</v>
      </c>
      <c r="N1397" s="116">
        <v>330</v>
      </c>
      <c r="O1397" s="116">
        <v>303.89999999999998</v>
      </c>
      <c r="P1397" s="116">
        <v>303.95</v>
      </c>
      <c r="Q1397" s="116">
        <v>328</v>
      </c>
      <c r="R1397">
        <v>20805019</v>
      </c>
    </row>
    <row r="1398" spans="1:18" x14ac:dyDescent="0.25">
      <c r="A1398" s="170">
        <v>46162</v>
      </c>
      <c r="B1398" s="116">
        <v>328.5</v>
      </c>
      <c r="C1398" s="116">
        <v>324.8</v>
      </c>
      <c r="D1398" s="116">
        <v>321.10000000000002</v>
      </c>
      <c r="E1398" s="116">
        <v>325.75</v>
      </c>
      <c r="F1398" s="116">
        <v>324.8</v>
      </c>
      <c r="G1398">
        <v>619198</v>
      </c>
      <c r="H1398" s="116"/>
      <c r="I1398" s="116"/>
      <c r="L1398" s="170">
        <v>46162</v>
      </c>
      <c r="M1398" s="116">
        <v>325</v>
      </c>
      <c r="N1398" s="116">
        <v>328.55</v>
      </c>
      <c r="O1398" s="116">
        <v>321.25</v>
      </c>
      <c r="P1398" s="116">
        <v>326.39999999999998</v>
      </c>
      <c r="Q1398" s="116">
        <v>325</v>
      </c>
      <c r="R1398">
        <v>6591462</v>
      </c>
    </row>
    <row r="1399" spans="1:18" x14ac:dyDescent="0.25">
      <c r="A1399" s="170">
        <v>46163</v>
      </c>
      <c r="B1399" s="116">
        <v>343.35</v>
      </c>
      <c r="C1399" s="116">
        <v>339.7</v>
      </c>
      <c r="D1399" s="116">
        <v>327.25</v>
      </c>
      <c r="E1399" s="116">
        <v>328.85</v>
      </c>
      <c r="F1399" s="116">
        <v>339.7</v>
      </c>
      <c r="G1399">
        <v>960509</v>
      </c>
      <c r="H1399" s="116"/>
      <c r="I1399" s="116"/>
      <c r="L1399" s="170">
        <v>46163</v>
      </c>
      <c r="M1399" s="116">
        <v>339.65</v>
      </c>
      <c r="N1399" s="116">
        <v>343.3</v>
      </c>
      <c r="O1399" s="116">
        <v>327</v>
      </c>
      <c r="P1399" s="116">
        <v>327.8</v>
      </c>
      <c r="Q1399" s="116">
        <v>339.65</v>
      </c>
      <c r="R1399">
        <v>25211127</v>
      </c>
    </row>
    <row r="1400" spans="1:18" x14ac:dyDescent="0.25">
      <c r="A1400" s="170">
        <v>46164</v>
      </c>
      <c r="B1400" s="116">
        <v>345.7</v>
      </c>
      <c r="C1400" s="116">
        <v>339.35</v>
      </c>
      <c r="D1400" s="116">
        <v>335.6</v>
      </c>
      <c r="E1400" s="116">
        <v>341.1</v>
      </c>
      <c r="F1400" s="116">
        <v>339.35</v>
      </c>
      <c r="G1400">
        <v>739871</v>
      </c>
      <c r="H1400" s="116"/>
      <c r="I1400" s="116"/>
      <c r="L1400" s="170">
        <v>46164</v>
      </c>
      <c r="M1400" s="116">
        <v>339.35</v>
      </c>
      <c r="N1400" s="116">
        <v>345.65</v>
      </c>
      <c r="O1400" s="116">
        <v>335.65</v>
      </c>
      <c r="P1400" s="116">
        <v>341.95</v>
      </c>
      <c r="Q1400" s="116">
        <v>339.35</v>
      </c>
      <c r="R1400">
        <v>10307977</v>
      </c>
    </row>
    <row r="1401" spans="1:18" x14ac:dyDescent="0.25">
      <c r="A1401" s="170">
        <v>46167</v>
      </c>
      <c r="B1401" s="116">
        <v>348.6</v>
      </c>
      <c r="C1401" s="116">
        <v>346.55</v>
      </c>
      <c r="D1401" s="116">
        <v>342.5</v>
      </c>
      <c r="E1401" s="116">
        <v>344.35</v>
      </c>
      <c r="F1401" s="116">
        <v>346.55</v>
      </c>
      <c r="G1401">
        <v>604352</v>
      </c>
      <c r="H1401" s="116"/>
      <c r="I1401" s="116"/>
      <c r="L1401" s="170">
        <v>46167</v>
      </c>
      <c r="M1401" s="116">
        <v>346.45</v>
      </c>
      <c r="N1401" s="116">
        <v>348.7</v>
      </c>
      <c r="O1401" s="116">
        <v>342</v>
      </c>
      <c r="P1401" s="116">
        <v>342</v>
      </c>
      <c r="Q1401" s="116">
        <v>346.45</v>
      </c>
      <c r="R1401">
        <v>8423076</v>
      </c>
    </row>
    <row r="1402" spans="1:18" x14ac:dyDescent="0.25">
      <c r="A1402" s="170">
        <v>46168</v>
      </c>
      <c r="B1402" s="116">
        <v>351</v>
      </c>
      <c r="C1402" s="116">
        <v>344.4</v>
      </c>
      <c r="D1402" s="116">
        <v>341.15</v>
      </c>
      <c r="E1402" s="116">
        <v>341.15</v>
      </c>
      <c r="F1402" s="116">
        <v>344.4</v>
      </c>
      <c r="G1402">
        <v>594160</v>
      </c>
      <c r="H1402" s="116"/>
      <c r="I1402" s="116"/>
      <c r="L1402" s="170">
        <v>46168</v>
      </c>
      <c r="M1402" s="116">
        <v>344.45</v>
      </c>
      <c r="N1402" s="116">
        <v>351</v>
      </c>
      <c r="O1402" s="116">
        <v>343</v>
      </c>
      <c r="P1402" s="116">
        <v>347</v>
      </c>
      <c r="Q1402" s="116">
        <v>344.45</v>
      </c>
      <c r="R1402">
        <v>6678864</v>
      </c>
    </row>
    <row r="1403" spans="1:18" x14ac:dyDescent="0.25">
      <c r="A1403" s="170">
        <v>46169</v>
      </c>
      <c r="B1403" s="116">
        <v>350</v>
      </c>
      <c r="C1403" s="116">
        <v>337.15</v>
      </c>
      <c r="D1403" s="116">
        <v>335</v>
      </c>
      <c r="E1403" s="116">
        <v>345.45</v>
      </c>
      <c r="F1403" s="116">
        <v>337.15</v>
      </c>
      <c r="G1403">
        <v>277010</v>
      </c>
      <c r="H1403" s="116"/>
      <c r="I1403" s="116"/>
      <c r="L1403" s="170">
        <v>46169</v>
      </c>
      <c r="M1403" s="116">
        <v>336.95</v>
      </c>
      <c r="N1403" s="116">
        <v>350.25</v>
      </c>
      <c r="O1403" s="116">
        <v>335.05</v>
      </c>
      <c r="P1403" s="116">
        <v>345</v>
      </c>
      <c r="Q1403" s="116">
        <v>336.95</v>
      </c>
      <c r="R1403">
        <v>6777475</v>
      </c>
    </row>
    <row r="1404" spans="1:18" x14ac:dyDescent="0.25">
      <c r="A1404" s="170">
        <v>46171</v>
      </c>
      <c r="B1404" s="116">
        <v>344</v>
      </c>
      <c r="C1404" s="116">
        <v>337.25</v>
      </c>
      <c r="D1404" s="116">
        <v>335.55</v>
      </c>
      <c r="E1404" s="116">
        <v>337.4</v>
      </c>
      <c r="F1404" s="116">
        <v>337.25</v>
      </c>
      <c r="G1404">
        <v>454759</v>
      </c>
      <c r="H1404" s="116"/>
      <c r="I1404" s="116"/>
      <c r="L1404" s="170">
        <v>46171</v>
      </c>
      <c r="M1404" s="116">
        <v>337.3</v>
      </c>
      <c r="N1404" s="116">
        <v>344</v>
      </c>
      <c r="O1404" s="116">
        <v>335.3</v>
      </c>
      <c r="P1404" s="116">
        <v>338.45</v>
      </c>
      <c r="Q1404" s="116">
        <v>337.3</v>
      </c>
      <c r="R1404">
        <v>5635640</v>
      </c>
    </row>
    <row r="1405" spans="1:18" x14ac:dyDescent="0.25">
      <c r="A1405" s="170">
        <v>46174</v>
      </c>
      <c r="B1405" s="116">
        <v>345.95</v>
      </c>
      <c r="C1405" s="116">
        <v>335.55</v>
      </c>
      <c r="D1405" s="116">
        <v>334.3</v>
      </c>
      <c r="E1405" s="116">
        <v>345.95</v>
      </c>
      <c r="F1405" s="116">
        <v>335.55</v>
      </c>
      <c r="G1405">
        <v>260634</v>
      </c>
      <c r="H1405" s="116"/>
      <c r="I1405" s="116"/>
      <c r="L1405" s="170">
        <v>46174</v>
      </c>
      <c r="M1405" s="116">
        <v>335.6</v>
      </c>
      <c r="N1405" s="116">
        <v>345.55</v>
      </c>
      <c r="O1405" s="116">
        <v>334.05</v>
      </c>
      <c r="P1405" s="116">
        <v>341</v>
      </c>
      <c r="Q1405" s="116">
        <v>335.6</v>
      </c>
      <c r="R1405">
        <v>6444968</v>
      </c>
    </row>
    <row r="1406" spans="1:18" x14ac:dyDescent="0.25">
      <c r="A1406" s="170">
        <v>46175</v>
      </c>
      <c r="B1406" s="116">
        <v>344.6</v>
      </c>
      <c r="C1406" s="116">
        <v>342.65</v>
      </c>
      <c r="D1406" s="116">
        <v>331.85</v>
      </c>
      <c r="E1406" s="116">
        <v>335</v>
      </c>
      <c r="F1406" s="116">
        <v>342.65</v>
      </c>
      <c r="G1406">
        <v>191996</v>
      </c>
      <c r="H1406" s="116"/>
      <c r="I1406" s="116"/>
      <c r="L1406" s="170">
        <v>46175</v>
      </c>
      <c r="M1406" s="116">
        <v>342.65</v>
      </c>
      <c r="N1406" s="116">
        <v>344.75</v>
      </c>
      <c r="O1406" s="116">
        <v>331.9</v>
      </c>
      <c r="P1406" s="116">
        <v>334.6</v>
      </c>
      <c r="Q1406" s="116">
        <v>342.65</v>
      </c>
      <c r="R1406">
        <v>6132413</v>
      </c>
    </row>
    <row r="1407" spans="1:18" x14ac:dyDescent="0.25">
      <c r="A1407" s="170">
        <v>46176</v>
      </c>
      <c r="B1407" s="116">
        <v>343.2</v>
      </c>
      <c r="C1407" s="116">
        <v>334.75</v>
      </c>
      <c r="D1407" s="116">
        <v>327.75</v>
      </c>
      <c r="E1407" s="116">
        <v>342.65</v>
      </c>
      <c r="F1407" s="116">
        <v>334.75</v>
      </c>
      <c r="G1407">
        <v>359699</v>
      </c>
      <c r="H1407" s="116"/>
      <c r="I1407" s="116"/>
      <c r="L1407" s="170">
        <v>46176</v>
      </c>
      <c r="M1407" s="116">
        <v>334.75</v>
      </c>
      <c r="N1407" s="116">
        <v>343.35</v>
      </c>
      <c r="O1407" s="116">
        <v>327.60000000000002</v>
      </c>
      <c r="P1407" s="116">
        <v>343</v>
      </c>
      <c r="Q1407" s="116">
        <v>334.75</v>
      </c>
      <c r="R1407">
        <v>6426900</v>
      </c>
    </row>
    <row r="1408" spans="1:18" x14ac:dyDescent="0.25">
      <c r="A1408" s="170">
        <v>46177</v>
      </c>
      <c r="B1408" s="116">
        <v>343.4</v>
      </c>
      <c r="C1408" s="116">
        <v>337.3</v>
      </c>
      <c r="D1408" s="116">
        <v>332.45</v>
      </c>
      <c r="E1408" s="116">
        <v>332.45</v>
      </c>
      <c r="F1408" s="116">
        <v>337.3</v>
      </c>
      <c r="G1408">
        <v>480954</v>
      </c>
      <c r="H1408" s="116"/>
      <c r="I1408" s="116"/>
      <c r="L1408" s="170">
        <v>46177</v>
      </c>
      <c r="M1408" s="116">
        <v>337.7</v>
      </c>
      <c r="N1408" s="116">
        <v>343.55</v>
      </c>
      <c r="O1408" s="116">
        <v>334</v>
      </c>
      <c r="P1408" s="116">
        <v>334</v>
      </c>
      <c r="Q1408" s="116">
        <v>337.7</v>
      </c>
      <c r="R1408">
        <v>6699518</v>
      </c>
    </row>
    <row r="1409" spans="1:18" x14ac:dyDescent="0.25">
      <c r="A1409" s="170">
        <v>46178</v>
      </c>
      <c r="B1409" s="116">
        <v>342</v>
      </c>
      <c r="C1409" s="116">
        <v>332.9</v>
      </c>
      <c r="D1409" s="116">
        <v>319.55</v>
      </c>
      <c r="E1409" s="116">
        <v>338.05</v>
      </c>
      <c r="F1409" s="116">
        <v>332.9</v>
      </c>
      <c r="G1409">
        <v>940579</v>
      </c>
      <c r="H1409" s="116"/>
      <c r="I1409" s="116"/>
      <c r="L1409" s="170">
        <v>46178</v>
      </c>
      <c r="M1409" s="116">
        <v>332.6</v>
      </c>
      <c r="N1409" s="116">
        <v>342.4</v>
      </c>
      <c r="O1409" s="116">
        <v>319.5</v>
      </c>
      <c r="P1409" s="116">
        <v>337.7</v>
      </c>
      <c r="Q1409" s="116">
        <v>332.6</v>
      </c>
      <c r="R1409">
        <v>13273649</v>
      </c>
    </row>
    <row r="1410" spans="1:18" x14ac:dyDescent="0.25">
      <c r="A1410" s="170">
        <v>46181</v>
      </c>
      <c r="B1410" s="116">
        <v>334.5</v>
      </c>
      <c r="C1410" s="116">
        <v>325.55</v>
      </c>
      <c r="D1410" s="116">
        <v>322.5</v>
      </c>
      <c r="E1410" s="116">
        <v>327</v>
      </c>
      <c r="F1410" s="116">
        <v>325.55</v>
      </c>
      <c r="G1410">
        <v>330313</v>
      </c>
      <c r="H1410" s="116"/>
      <c r="I1410" s="116"/>
      <c r="L1410" s="170">
        <v>46181</v>
      </c>
      <c r="M1410" s="116">
        <v>325.7</v>
      </c>
      <c r="N1410" s="116">
        <v>334.9</v>
      </c>
      <c r="O1410" s="116">
        <v>323</v>
      </c>
      <c r="P1410" s="116">
        <v>325.89999999999998</v>
      </c>
      <c r="Q1410" s="116">
        <v>325.7</v>
      </c>
      <c r="R1410">
        <v>3744837</v>
      </c>
    </row>
    <row r="1411" spans="1:18" x14ac:dyDescent="0.25">
      <c r="A1411" s="170">
        <v>46182</v>
      </c>
      <c r="B1411" s="116">
        <v>339.3</v>
      </c>
      <c r="C1411" s="116">
        <v>337.45</v>
      </c>
      <c r="D1411" s="116">
        <v>326.05</v>
      </c>
      <c r="E1411" s="116">
        <v>327.3</v>
      </c>
      <c r="F1411" s="116">
        <v>337.45</v>
      </c>
      <c r="G1411">
        <v>144669</v>
      </c>
      <c r="H1411" s="116"/>
      <c r="I1411" s="116"/>
      <c r="L1411" s="170">
        <v>46182</v>
      </c>
      <c r="M1411" s="116">
        <v>337.55</v>
      </c>
      <c r="N1411" s="116">
        <v>339.2</v>
      </c>
      <c r="O1411" s="116">
        <v>326.75</v>
      </c>
      <c r="P1411" s="116">
        <v>327.9</v>
      </c>
      <c r="Q1411" s="116">
        <v>337.55</v>
      </c>
      <c r="R1411">
        <v>3829623</v>
      </c>
    </row>
    <row r="1412" spans="1:18" x14ac:dyDescent="0.25">
      <c r="A1412" s="170">
        <v>46183</v>
      </c>
      <c r="B1412" s="116">
        <v>341.75</v>
      </c>
      <c r="C1412" s="116">
        <v>329.95</v>
      </c>
      <c r="D1412" s="116">
        <v>328.55</v>
      </c>
      <c r="E1412" s="116">
        <v>341.75</v>
      </c>
      <c r="F1412" s="116">
        <v>329.95</v>
      </c>
      <c r="G1412">
        <v>143868</v>
      </c>
      <c r="H1412" s="116"/>
      <c r="I1412" s="116"/>
      <c r="L1412" s="170">
        <v>46183</v>
      </c>
      <c r="M1412" s="116">
        <v>329.85</v>
      </c>
      <c r="N1412" s="116">
        <v>340</v>
      </c>
      <c r="O1412" s="116">
        <v>328.4</v>
      </c>
      <c r="P1412" s="116">
        <v>339.9</v>
      </c>
      <c r="Q1412" s="116">
        <v>329.85</v>
      </c>
      <c r="R1412">
        <v>4260935</v>
      </c>
    </row>
    <row r="1413" spans="1:18" x14ac:dyDescent="0.25">
      <c r="A1413" s="170">
        <v>46184</v>
      </c>
      <c r="B1413" s="116">
        <v>334.75</v>
      </c>
      <c r="C1413" s="116">
        <v>323.5</v>
      </c>
      <c r="D1413" s="116">
        <v>321.55</v>
      </c>
      <c r="E1413" s="116">
        <v>327.2</v>
      </c>
      <c r="F1413" s="116">
        <v>323.5</v>
      </c>
      <c r="G1413">
        <v>294012</v>
      </c>
      <c r="H1413" s="116"/>
      <c r="I1413" s="116"/>
      <c r="L1413" s="170">
        <v>46184</v>
      </c>
      <c r="M1413" s="116">
        <v>323.75</v>
      </c>
      <c r="N1413" s="116">
        <v>334.85</v>
      </c>
      <c r="O1413" s="116">
        <v>321.64999999999998</v>
      </c>
      <c r="P1413" s="116">
        <v>328</v>
      </c>
      <c r="Q1413" s="116">
        <v>323.75</v>
      </c>
      <c r="R1413">
        <v>3670471</v>
      </c>
    </row>
    <row r="1414" spans="1:18" x14ac:dyDescent="0.25">
      <c r="A1414" s="170">
        <v>46185</v>
      </c>
      <c r="B1414" s="116">
        <v>340.45</v>
      </c>
      <c r="C1414" s="116">
        <v>339.45</v>
      </c>
      <c r="D1414" s="116">
        <v>325.10000000000002</v>
      </c>
      <c r="E1414" s="116">
        <v>329.85</v>
      </c>
      <c r="F1414" s="116">
        <v>339.45</v>
      </c>
      <c r="G1414">
        <v>283154</v>
      </c>
      <c r="H1414" s="116"/>
      <c r="I1414" s="116"/>
      <c r="L1414" s="170">
        <v>46185</v>
      </c>
      <c r="M1414" s="116">
        <v>339.5</v>
      </c>
      <c r="N1414" s="116">
        <v>340.3</v>
      </c>
      <c r="O1414" s="116">
        <v>325.05</v>
      </c>
      <c r="P1414" s="116">
        <v>329</v>
      </c>
      <c r="Q1414" s="116">
        <v>339.5</v>
      </c>
      <c r="R1414">
        <v>7318502</v>
      </c>
    </row>
    <row r="1415" spans="1:18" x14ac:dyDescent="0.25">
      <c r="A1415" s="170"/>
      <c r="B1415" s="116"/>
      <c r="C1415" s="116"/>
      <c r="D1415" s="116"/>
      <c r="E1415" s="116"/>
      <c r="F1415" s="116"/>
      <c r="H1415" s="116"/>
      <c r="I1415" s="116"/>
      <c r="L1415" s="170"/>
    </row>
    <row r="1416" spans="1:18" x14ac:dyDescent="0.25">
      <c r="A1416" s="170"/>
      <c r="B1416" s="116"/>
      <c r="C1416" s="116"/>
      <c r="D1416" s="116"/>
      <c r="E1416" s="116"/>
      <c r="F1416" s="116"/>
      <c r="H1416" s="116"/>
      <c r="I1416" s="116"/>
      <c r="L1416" s="170"/>
    </row>
    <row r="1417" spans="1:18" x14ac:dyDescent="0.25">
      <c r="A1417" s="170"/>
      <c r="B1417" s="116"/>
      <c r="C1417" s="116"/>
      <c r="D1417" s="116"/>
      <c r="E1417" s="116"/>
      <c r="F1417" s="116"/>
      <c r="H1417" s="116"/>
      <c r="I1417" s="116"/>
      <c r="L1417" s="170"/>
    </row>
    <row r="1418" spans="1:18" x14ac:dyDescent="0.25">
      <c r="A1418" s="170"/>
      <c r="B1418" s="116"/>
      <c r="C1418" s="116"/>
      <c r="D1418" s="116"/>
      <c r="E1418" s="116"/>
      <c r="F1418" s="116"/>
      <c r="H1418" s="116"/>
      <c r="I1418" s="116"/>
      <c r="L1418" s="170"/>
    </row>
    <row r="1419" spans="1:18" x14ac:dyDescent="0.25">
      <c r="A1419" s="170"/>
      <c r="B1419" s="116"/>
      <c r="C1419" s="116"/>
      <c r="D1419" s="116"/>
      <c r="E1419" s="116"/>
      <c r="F1419" s="116"/>
      <c r="H1419" s="116"/>
      <c r="I1419" s="116"/>
      <c r="L1419" s="170"/>
    </row>
    <row r="1420" spans="1:18" x14ac:dyDescent="0.25">
      <c r="A1420" s="170"/>
      <c r="B1420" s="116"/>
      <c r="C1420" s="116"/>
      <c r="D1420" s="116"/>
      <c r="E1420" s="116"/>
      <c r="F1420" s="116"/>
      <c r="H1420" s="116"/>
      <c r="I1420" s="116"/>
      <c r="L1420" s="170"/>
    </row>
    <row r="1421" spans="1:18" x14ac:dyDescent="0.25">
      <c r="A1421" s="170"/>
      <c r="B1421" s="116"/>
      <c r="C1421" s="116"/>
      <c r="D1421" s="116"/>
      <c r="E1421" s="116"/>
      <c r="F1421" s="116"/>
      <c r="H1421" s="116"/>
      <c r="I1421" s="116"/>
      <c r="L1421" s="170"/>
    </row>
    <row r="1422" spans="1:18" x14ac:dyDescent="0.25">
      <c r="A1422" s="170"/>
      <c r="B1422" s="116"/>
      <c r="C1422" s="116"/>
      <c r="D1422" s="116"/>
      <c r="E1422" s="116"/>
      <c r="F1422" s="116"/>
      <c r="H1422" s="116"/>
      <c r="I1422" s="116"/>
      <c r="L1422" s="170"/>
    </row>
    <row r="1423" spans="1:18" x14ac:dyDescent="0.25">
      <c r="A1423" s="170"/>
      <c r="B1423" s="116"/>
      <c r="C1423" s="116"/>
      <c r="D1423" s="116"/>
      <c r="E1423" s="116"/>
      <c r="F1423" s="116"/>
      <c r="H1423" s="116"/>
      <c r="I1423" s="116"/>
      <c r="L1423" s="170"/>
    </row>
    <row r="1424" spans="1:18" x14ac:dyDescent="0.25">
      <c r="A1424" s="170"/>
      <c r="B1424" s="116"/>
      <c r="C1424" s="116"/>
      <c r="D1424" s="116"/>
      <c r="E1424" s="116"/>
      <c r="F1424" s="116"/>
      <c r="H1424" s="116"/>
      <c r="I1424" s="116"/>
      <c r="L1424" s="170"/>
    </row>
    <row r="1425" spans="1:12" x14ac:dyDescent="0.25">
      <c r="A1425" s="170"/>
      <c r="B1425" s="116"/>
      <c r="C1425" s="116"/>
      <c r="D1425" s="116"/>
      <c r="E1425" s="116"/>
      <c r="F1425" s="116"/>
      <c r="H1425" s="116"/>
      <c r="I1425" s="116"/>
      <c r="L1425" s="170"/>
    </row>
    <row r="1426" spans="1:12" x14ac:dyDescent="0.25">
      <c r="A1426" s="170"/>
      <c r="B1426" s="116"/>
      <c r="C1426" s="116"/>
      <c r="D1426" s="116"/>
      <c r="E1426" s="116"/>
      <c r="F1426" s="116"/>
      <c r="H1426" s="116"/>
      <c r="I1426" s="116"/>
      <c r="L1426" s="170"/>
    </row>
    <row r="1427" spans="1:12" x14ac:dyDescent="0.25">
      <c r="A1427" s="170"/>
      <c r="B1427" s="116"/>
      <c r="C1427" s="116"/>
      <c r="D1427" s="116"/>
      <c r="E1427" s="116"/>
      <c r="F1427" s="116"/>
      <c r="H1427" s="116"/>
      <c r="I1427" s="116"/>
      <c r="L1427" s="170"/>
    </row>
    <row r="1428" spans="1:12" x14ac:dyDescent="0.25">
      <c r="A1428" s="170"/>
      <c r="B1428" s="116"/>
      <c r="C1428" s="116"/>
      <c r="D1428" s="116"/>
      <c r="E1428" s="116"/>
      <c r="F1428" s="116"/>
      <c r="H1428" s="116"/>
      <c r="I1428" s="116"/>
      <c r="L1428" s="170"/>
    </row>
    <row r="1429" spans="1:12" x14ac:dyDescent="0.25">
      <c r="A1429" s="170"/>
      <c r="B1429" s="116"/>
      <c r="C1429" s="116"/>
      <c r="D1429" s="116"/>
      <c r="E1429" s="116"/>
      <c r="F1429" s="116"/>
      <c r="H1429" s="116"/>
      <c r="I1429" s="116"/>
      <c r="L1429" s="170"/>
    </row>
    <row r="1430" spans="1:12" x14ac:dyDescent="0.25">
      <c r="A1430" s="170"/>
      <c r="B1430" s="116"/>
      <c r="C1430" s="116"/>
      <c r="D1430" s="116"/>
      <c r="E1430" s="116"/>
      <c r="F1430" s="116"/>
      <c r="H1430" s="116"/>
      <c r="I1430" s="116"/>
      <c r="L1430" s="170"/>
    </row>
    <row r="1431" spans="1:12" x14ac:dyDescent="0.25">
      <c r="A1431" s="170"/>
      <c r="B1431" s="116"/>
      <c r="C1431" s="116"/>
      <c r="D1431" s="116"/>
      <c r="E1431" s="116"/>
      <c r="F1431" s="116"/>
      <c r="H1431" s="116"/>
      <c r="I1431" s="116"/>
      <c r="L1431" s="170"/>
    </row>
    <row r="1432" spans="1:12" x14ac:dyDescent="0.25">
      <c r="A1432" s="170"/>
      <c r="B1432" s="116"/>
      <c r="C1432" s="116"/>
      <c r="D1432" s="116"/>
      <c r="E1432" s="116"/>
      <c r="F1432" s="116"/>
      <c r="H1432" s="116"/>
      <c r="I1432" s="116"/>
      <c r="L1432" s="170"/>
    </row>
    <row r="1433" spans="1:12" x14ac:dyDescent="0.25">
      <c r="A1433" s="170"/>
      <c r="B1433" s="116"/>
      <c r="C1433" s="116"/>
      <c r="D1433" s="116"/>
      <c r="E1433" s="116"/>
      <c r="F1433" s="116"/>
      <c r="H1433" s="116"/>
      <c r="I1433" s="116"/>
      <c r="L1433" s="170"/>
    </row>
    <row r="1434" spans="1:12" x14ac:dyDescent="0.25">
      <c r="A1434" s="170"/>
      <c r="B1434" s="116"/>
      <c r="C1434" s="116"/>
      <c r="D1434" s="116"/>
      <c r="E1434" s="116"/>
      <c r="F1434" s="116"/>
      <c r="H1434" s="116"/>
      <c r="I1434" s="116"/>
      <c r="L1434" s="170"/>
    </row>
    <row r="1435" spans="1:12" x14ac:dyDescent="0.25">
      <c r="A1435" s="170"/>
      <c r="B1435" s="116"/>
      <c r="C1435" s="116"/>
      <c r="D1435" s="116"/>
      <c r="E1435" s="116"/>
      <c r="F1435" s="116"/>
      <c r="H1435" s="116"/>
      <c r="I1435" s="116"/>
      <c r="L1435" s="170"/>
    </row>
    <row r="1436" spans="1:12" x14ac:dyDescent="0.25">
      <c r="A1436" s="170"/>
      <c r="B1436" s="116"/>
      <c r="C1436" s="116"/>
      <c r="D1436" s="116"/>
      <c r="E1436" s="116"/>
      <c r="F1436" s="116"/>
      <c r="H1436" s="116"/>
      <c r="I1436" s="116"/>
      <c r="L1436" s="170"/>
    </row>
    <row r="1437" spans="1:12" x14ac:dyDescent="0.25">
      <c r="A1437" s="170"/>
      <c r="B1437" s="116"/>
      <c r="C1437" s="116"/>
      <c r="D1437" s="116"/>
      <c r="E1437" s="116"/>
      <c r="F1437" s="116"/>
      <c r="H1437" s="116"/>
      <c r="I1437" s="116"/>
      <c r="L1437" s="170"/>
    </row>
    <row r="1438" spans="1:12" x14ac:dyDescent="0.25">
      <c r="A1438" s="170"/>
      <c r="B1438" s="116"/>
      <c r="C1438" s="116"/>
      <c r="D1438" s="116"/>
      <c r="E1438" s="116"/>
      <c r="F1438" s="116"/>
      <c r="H1438" s="116"/>
      <c r="I1438" s="116"/>
      <c r="L1438" s="170"/>
    </row>
    <row r="1439" spans="1:12" x14ac:dyDescent="0.25">
      <c r="A1439" s="170"/>
      <c r="B1439" s="116"/>
      <c r="C1439" s="116"/>
      <c r="D1439" s="116"/>
      <c r="E1439" s="116"/>
      <c r="F1439" s="116"/>
      <c r="H1439" s="116"/>
      <c r="I1439" s="116"/>
      <c r="L1439" s="170"/>
    </row>
    <row r="1440" spans="1:12" x14ac:dyDescent="0.25">
      <c r="A1440" s="170"/>
      <c r="B1440" s="116"/>
      <c r="C1440" s="116"/>
      <c r="D1440" s="116"/>
      <c r="E1440" s="116"/>
      <c r="F1440" s="116"/>
      <c r="H1440" s="116"/>
      <c r="I1440" s="116"/>
      <c r="L1440" s="170"/>
    </row>
    <row r="1441" spans="1:12" x14ac:dyDescent="0.25">
      <c r="A1441" s="170"/>
      <c r="B1441" s="116"/>
      <c r="C1441" s="116"/>
      <c r="D1441" s="116"/>
      <c r="E1441" s="116"/>
      <c r="F1441" s="116"/>
      <c r="H1441" s="116"/>
      <c r="I1441" s="116"/>
      <c r="L1441" s="170"/>
    </row>
    <row r="1442" spans="1:12" x14ac:dyDescent="0.25">
      <c r="A1442" s="170"/>
      <c r="B1442" s="116"/>
      <c r="C1442" s="116"/>
      <c r="D1442" s="116"/>
      <c r="E1442" s="116"/>
      <c r="F1442" s="116"/>
      <c r="H1442" s="116"/>
      <c r="I1442" s="116"/>
      <c r="L1442" s="170"/>
    </row>
    <row r="1443" spans="1:12" x14ac:dyDescent="0.25">
      <c r="A1443" s="170"/>
      <c r="B1443" s="116"/>
      <c r="C1443" s="116"/>
      <c r="D1443" s="116"/>
      <c r="E1443" s="116"/>
      <c r="F1443" s="116"/>
      <c r="H1443" s="116"/>
      <c r="I1443" s="116"/>
      <c r="L1443" s="170"/>
    </row>
    <row r="1444" spans="1:12" x14ac:dyDescent="0.25">
      <c r="A1444" s="170"/>
      <c r="B1444" s="116"/>
      <c r="C1444" s="116"/>
      <c r="D1444" s="116"/>
      <c r="E1444" s="116"/>
      <c r="F1444" s="116"/>
      <c r="H1444" s="116"/>
      <c r="I1444" s="116"/>
      <c r="L1444" s="170"/>
    </row>
    <row r="1445" spans="1:12" x14ac:dyDescent="0.25">
      <c r="A1445" s="170"/>
      <c r="B1445" s="116"/>
      <c r="C1445" s="116"/>
      <c r="D1445" s="116"/>
      <c r="E1445" s="116"/>
      <c r="F1445" s="116"/>
      <c r="H1445" s="116"/>
      <c r="I1445" s="116"/>
      <c r="L1445" s="170"/>
    </row>
    <row r="1446" spans="1:12" x14ac:dyDescent="0.25">
      <c r="A1446" s="170"/>
      <c r="B1446" s="116"/>
      <c r="C1446" s="116"/>
      <c r="D1446" s="116"/>
      <c r="E1446" s="116"/>
      <c r="F1446" s="116"/>
      <c r="H1446" s="116"/>
      <c r="I1446" s="116"/>
      <c r="L1446" s="170"/>
    </row>
    <row r="1447" spans="1:12" x14ac:dyDescent="0.25">
      <c r="A1447" s="170"/>
      <c r="B1447" s="116"/>
      <c r="C1447" s="116"/>
      <c r="D1447" s="116"/>
      <c r="E1447" s="116"/>
      <c r="F1447" s="116"/>
      <c r="H1447" s="116"/>
      <c r="I1447" s="116"/>
      <c r="L1447" s="170"/>
    </row>
    <row r="1448" spans="1:12" x14ac:dyDescent="0.25">
      <c r="A1448" s="170"/>
      <c r="B1448" s="116"/>
      <c r="C1448" s="116"/>
      <c r="D1448" s="116"/>
      <c r="E1448" s="116"/>
      <c r="F1448" s="116"/>
      <c r="H1448" s="116"/>
      <c r="I1448" s="116"/>
      <c r="L1448" s="170"/>
    </row>
    <row r="1449" spans="1:12" x14ac:dyDescent="0.25">
      <c r="A1449" s="170"/>
      <c r="B1449" s="116"/>
      <c r="C1449" s="116"/>
      <c r="D1449" s="116"/>
      <c r="E1449" s="116"/>
      <c r="F1449" s="116"/>
      <c r="H1449" s="116"/>
      <c r="I1449" s="116"/>
      <c r="L1449" s="170"/>
    </row>
    <row r="1450" spans="1:12" x14ac:dyDescent="0.25">
      <c r="A1450" s="170"/>
      <c r="B1450" s="116"/>
      <c r="C1450" s="116"/>
      <c r="D1450" s="116"/>
      <c r="E1450" s="116"/>
      <c r="F1450" s="116"/>
      <c r="H1450" s="116"/>
      <c r="I1450" s="116"/>
      <c r="L1450" s="170"/>
    </row>
    <row r="1451" spans="1:12" x14ac:dyDescent="0.25">
      <c r="A1451" s="170"/>
      <c r="B1451" s="116"/>
      <c r="C1451" s="116"/>
      <c r="D1451" s="116"/>
      <c r="E1451" s="116"/>
      <c r="F1451" s="116"/>
      <c r="H1451" s="116"/>
      <c r="I1451" s="116"/>
      <c r="L1451" s="170"/>
    </row>
    <row r="1452" spans="1:12" x14ac:dyDescent="0.25">
      <c r="A1452" s="170"/>
      <c r="B1452" s="116"/>
      <c r="C1452" s="116"/>
      <c r="D1452" s="116"/>
      <c r="E1452" s="116"/>
      <c r="F1452" s="116"/>
      <c r="H1452" s="116"/>
      <c r="I1452" s="116"/>
      <c r="L1452" s="170"/>
    </row>
    <row r="1453" spans="1:12" x14ac:dyDescent="0.25">
      <c r="A1453" s="170"/>
      <c r="B1453" s="116"/>
      <c r="C1453" s="116"/>
      <c r="D1453" s="116"/>
      <c r="E1453" s="116"/>
      <c r="F1453" s="116"/>
      <c r="H1453" s="116"/>
      <c r="I1453" s="116"/>
      <c r="L1453" s="170"/>
    </row>
    <row r="1454" spans="1:12" x14ac:dyDescent="0.25">
      <c r="A1454" s="170"/>
      <c r="B1454" s="116"/>
      <c r="C1454" s="116"/>
      <c r="D1454" s="116"/>
      <c r="E1454" s="116"/>
      <c r="F1454" s="116"/>
      <c r="H1454" s="116"/>
      <c r="I1454" s="116"/>
      <c r="L1454" s="170"/>
    </row>
    <row r="1455" spans="1:12" x14ac:dyDescent="0.25">
      <c r="A1455" s="170"/>
      <c r="B1455" s="116"/>
      <c r="C1455" s="116"/>
      <c r="D1455" s="116"/>
      <c r="E1455" s="116"/>
      <c r="F1455" s="116"/>
      <c r="H1455" s="116"/>
      <c r="I1455" s="116"/>
      <c r="L1455" s="170"/>
    </row>
    <row r="1456" spans="1:12" x14ac:dyDescent="0.25">
      <c r="A1456" s="170"/>
      <c r="B1456" s="116"/>
      <c r="C1456" s="116"/>
      <c r="D1456" s="116"/>
      <c r="E1456" s="116"/>
      <c r="F1456" s="116"/>
      <c r="H1456" s="116"/>
      <c r="I1456" s="116"/>
      <c r="L1456" s="170"/>
    </row>
    <row r="1457" spans="1:12" x14ac:dyDescent="0.25">
      <c r="A1457" s="170"/>
      <c r="B1457" s="116"/>
      <c r="C1457" s="116"/>
      <c r="D1457" s="116"/>
      <c r="E1457" s="116"/>
      <c r="F1457" s="116"/>
      <c r="H1457" s="116"/>
      <c r="I1457" s="116"/>
      <c r="L1457" s="170"/>
    </row>
    <row r="1458" spans="1:12" x14ac:dyDescent="0.25">
      <c r="A1458" s="170"/>
      <c r="B1458" s="116"/>
      <c r="C1458" s="116"/>
      <c r="D1458" s="116"/>
      <c r="E1458" s="116"/>
      <c r="F1458" s="116"/>
      <c r="H1458" s="116"/>
      <c r="I1458" s="116"/>
      <c r="L1458" s="170"/>
    </row>
    <row r="1459" spans="1:12" x14ac:dyDescent="0.25">
      <c r="A1459" s="170"/>
      <c r="B1459" s="116"/>
      <c r="C1459" s="116"/>
      <c r="D1459" s="116"/>
      <c r="E1459" s="116"/>
      <c r="F1459" s="116"/>
      <c r="H1459" s="116"/>
      <c r="I1459" s="116"/>
      <c r="L1459" s="170"/>
    </row>
    <row r="1460" spans="1:12" x14ac:dyDescent="0.25">
      <c r="A1460" s="170"/>
      <c r="B1460" s="116"/>
      <c r="C1460" s="116"/>
      <c r="D1460" s="116"/>
      <c r="E1460" s="116"/>
      <c r="F1460" s="116"/>
      <c r="H1460" s="116"/>
      <c r="I1460" s="116"/>
      <c r="L1460" s="170"/>
    </row>
    <row r="1461" spans="1:12" x14ac:dyDescent="0.25">
      <c r="A1461" s="170"/>
      <c r="B1461" s="116"/>
      <c r="C1461" s="116"/>
      <c r="D1461" s="116"/>
      <c r="E1461" s="116"/>
      <c r="F1461" s="116"/>
      <c r="H1461" s="116"/>
      <c r="I1461" s="116"/>
      <c r="L1461" s="170"/>
    </row>
    <row r="1462" spans="1:12" x14ac:dyDescent="0.25">
      <c r="A1462" s="170"/>
      <c r="B1462" s="116"/>
      <c r="C1462" s="116"/>
      <c r="D1462" s="116"/>
      <c r="E1462" s="116"/>
      <c r="F1462" s="116"/>
      <c r="H1462" s="116"/>
      <c r="I1462" s="116"/>
      <c r="L1462" s="170"/>
    </row>
    <row r="1463" spans="1:12" x14ac:dyDescent="0.25">
      <c r="A1463" s="170"/>
      <c r="B1463" s="116"/>
      <c r="C1463" s="116"/>
      <c r="D1463" s="116"/>
      <c r="E1463" s="116"/>
      <c r="F1463" s="116"/>
      <c r="H1463" s="116"/>
      <c r="I1463" s="116"/>
      <c r="L1463" s="170"/>
    </row>
    <row r="1464" spans="1:12" x14ac:dyDescent="0.25">
      <c r="A1464" s="170"/>
      <c r="B1464" s="116"/>
      <c r="C1464" s="116"/>
      <c r="D1464" s="116"/>
      <c r="E1464" s="116"/>
      <c r="F1464" s="116"/>
      <c r="H1464" s="116"/>
      <c r="I1464" s="116"/>
      <c r="L1464" s="170"/>
    </row>
    <row r="1465" spans="1:12" x14ac:dyDescent="0.25">
      <c r="A1465" s="170"/>
      <c r="B1465" s="116"/>
      <c r="C1465" s="116"/>
      <c r="D1465" s="116"/>
      <c r="E1465" s="116"/>
      <c r="F1465" s="116"/>
      <c r="H1465" s="116"/>
      <c r="I1465" s="116"/>
      <c r="L1465" s="170"/>
    </row>
    <row r="1466" spans="1:12" x14ac:dyDescent="0.25">
      <c r="A1466" s="170"/>
      <c r="B1466" s="116"/>
      <c r="C1466" s="116"/>
      <c r="D1466" s="116"/>
      <c r="E1466" s="116"/>
      <c r="F1466" s="116"/>
      <c r="H1466" s="116"/>
      <c r="I1466" s="116"/>
      <c r="L1466" s="170"/>
    </row>
    <row r="1467" spans="1:12" x14ac:dyDescent="0.25">
      <c r="A1467" s="170"/>
      <c r="B1467" s="116"/>
      <c r="C1467" s="116"/>
      <c r="D1467" s="116"/>
      <c r="E1467" s="116"/>
      <c r="F1467" s="116"/>
      <c r="H1467" s="116"/>
      <c r="I1467" s="116"/>
      <c r="L1467" s="170"/>
    </row>
    <row r="1468" spans="1:12" x14ac:dyDescent="0.25">
      <c r="A1468" s="170"/>
      <c r="B1468" s="116"/>
      <c r="C1468" s="116"/>
      <c r="D1468" s="116"/>
      <c r="E1468" s="116"/>
      <c r="F1468" s="116"/>
      <c r="H1468" s="116"/>
      <c r="I1468" s="116"/>
      <c r="L1468" s="170"/>
    </row>
    <row r="1469" spans="1:12" x14ac:dyDescent="0.25">
      <c r="A1469" s="170"/>
      <c r="B1469" s="116"/>
      <c r="C1469" s="116"/>
      <c r="D1469" s="116"/>
      <c r="E1469" s="116"/>
      <c r="F1469" s="116"/>
      <c r="H1469" s="116"/>
      <c r="I1469" s="116"/>
      <c r="L1469" s="170"/>
    </row>
    <row r="1470" spans="1:12" x14ac:dyDescent="0.25">
      <c r="A1470" s="170"/>
      <c r="B1470" s="116"/>
      <c r="C1470" s="116"/>
      <c r="D1470" s="116"/>
      <c r="E1470" s="116"/>
      <c r="F1470" s="116"/>
      <c r="H1470" s="116"/>
      <c r="I1470" s="116"/>
      <c r="L1470" s="170"/>
    </row>
    <row r="1471" spans="1:12" x14ac:dyDescent="0.25">
      <c r="A1471" s="170"/>
      <c r="B1471" s="116"/>
      <c r="C1471" s="116"/>
      <c r="D1471" s="116"/>
      <c r="E1471" s="116"/>
      <c r="F1471" s="116"/>
      <c r="H1471" s="116"/>
      <c r="I1471" s="116"/>
      <c r="L1471" s="170"/>
    </row>
    <row r="1472" spans="1:12" x14ac:dyDescent="0.25">
      <c r="A1472" s="170"/>
      <c r="B1472" s="116"/>
      <c r="C1472" s="116"/>
      <c r="D1472" s="116"/>
      <c r="E1472" s="116"/>
      <c r="F1472" s="116"/>
      <c r="H1472" s="116"/>
      <c r="I1472" s="116"/>
      <c r="L1472" s="170"/>
    </row>
    <row r="1473" spans="1:12" x14ac:dyDescent="0.25">
      <c r="A1473" s="170"/>
      <c r="B1473" s="116"/>
      <c r="C1473" s="116"/>
      <c r="D1473" s="116"/>
      <c r="E1473" s="116"/>
      <c r="F1473" s="116"/>
      <c r="H1473" s="116"/>
      <c r="I1473" s="116"/>
      <c r="L1473" s="170"/>
    </row>
    <row r="1474" spans="1:12" x14ac:dyDescent="0.25">
      <c r="A1474" s="170"/>
      <c r="B1474" s="116"/>
      <c r="C1474" s="116"/>
      <c r="D1474" s="116"/>
      <c r="E1474" s="116"/>
      <c r="F1474" s="116"/>
      <c r="H1474" s="116"/>
      <c r="I1474" s="116"/>
      <c r="L1474" s="170"/>
    </row>
    <row r="1475" spans="1:12" x14ac:dyDescent="0.25">
      <c r="A1475" s="170"/>
      <c r="B1475" s="116"/>
      <c r="C1475" s="116"/>
      <c r="D1475" s="116"/>
      <c r="E1475" s="116"/>
      <c r="F1475" s="116"/>
      <c r="H1475" s="116"/>
      <c r="I1475" s="116"/>
      <c r="L1475" s="170"/>
    </row>
    <row r="1476" spans="1:12" x14ac:dyDescent="0.25">
      <c r="A1476" s="170"/>
      <c r="B1476" s="116"/>
      <c r="C1476" s="116"/>
      <c r="D1476" s="116"/>
      <c r="E1476" s="116"/>
      <c r="F1476" s="116"/>
      <c r="H1476" s="116"/>
      <c r="I1476" s="116"/>
      <c r="L1476" s="170"/>
    </row>
    <row r="1477" spans="1:12" x14ac:dyDescent="0.25">
      <c r="A1477" s="170"/>
      <c r="B1477" s="116"/>
      <c r="C1477" s="116"/>
      <c r="D1477" s="116"/>
      <c r="E1477" s="116"/>
      <c r="F1477" s="116"/>
      <c r="H1477" s="116"/>
      <c r="I1477" s="116"/>
      <c r="L1477" s="170"/>
    </row>
    <row r="1478" spans="1:12" x14ac:dyDescent="0.25">
      <c r="A1478" s="170"/>
      <c r="B1478" s="116"/>
      <c r="C1478" s="116"/>
      <c r="D1478" s="116"/>
      <c r="E1478" s="116"/>
      <c r="F1478" s="116"/>
      <c r="H1478" s="116"/>
      <c r="I1478" s="116"/>
      <c r="L1478" s="170"/>
    </row>
    <row r="1479" spans="1:12" x14ac:dyDescent="0.25">
      <c r="A1479" s="170"/>
      <c r="B1479" s="116"/>
      <c r="C1479" s="116"/>
      <c r="D1479" s="116"/>
      <c r="E1479" s="116"/>
      <c r="F1479" s="116"/>
      <c r="H1479" s="116"/>
      <c r="I1479" s="116"/>
      <c r="L1479" s="170"/>
    </row>
    <row r="1480" spans="1:12" x14ac:dyDescent="0.25">
      <c r="A1480" s="170"/>
      <c r="B1480" s="116"/>
      <c r="C1480" s="116"/>
      <c r="D1480" s="116"/>
      <c r="E1480" s="116"/>
      <c r="F1480" s="116"/>
      <c r="H1480" s="116"/>
      <c r="I1480" s="116"/>
      <c r="L1480" s="170"/>
    </row>
    <row r="1481" spans="1:12" x14ac:dyDescent="0.25">
      <c r="A1481" s="170"/>
      <c r="B1481" s="116"/>
      <c r="C1481" s="116"/>
      <c r="D1481" s="116"/>
      <c r="E1481" s="116"/>
      <c r="F1481" s="116"/>
      <c r="H1481" s="116"/>
      <c r="I1481" s="116"/>
      <c r="L1481" s="170"/>
    </row>
    <row r="1482" spans="1:12" x14ac:dyDescent="0.25">
      <c r="A1482" s="170"/>
      <c r="B1482" s="116"/>
      <c r="C1482" s="116"/>
      <c r="D1482" s="116"/>
      <c r="E1482" s="116"/>
      <c r="F1482" s="116"/>
      <c r="H1482" s="116"/>
      <c r="I1482" s="116"/>
      <c r="L1482" s="170"/>
    </row>
    <row r="1483" spans="1:12" x14ac:dyDescent="0.25">
      <c r="A1483" s="170"/>
      <c r="B1483" s="116"/>
      <c r="C1483" s="116"/>
      <c r="D1483" s="116"/>
      <c r="E1483" s="116"/>
      <c r="F1483" s="116"/>
      <c r="H1483" s="116"/>
      <c r="I1483" s="116"/>
      <c r="L1483" s="170"/>
    </row>
    <row r="1484" spans="1:12" x14ac:dyDescent="0.25">
      <c r="A1484" s="170"/>
      <c r="B1484" s="116"/>
      <c r="C1484" s="116"/>
      <c r="D1484" s="116"/>
      <c r="E1484" s="116"/>
      <c r="F1484" s="116"/>
      <c r="H1484" s="116"/>
      <c r="I1484" s="116"/>
      <c r="L1484" s="170"/>
    </row>
    <row r="1485" spans="1:12" x14ac:dyDescent="0.25">
      <c r="A1485" s="170"/>
      <c r="B1485" s="116"/>
      <c r="C1485" s="116"/>
      <c r="D1485" s="116"/>
      <c r="E1485" s="116"/>
      <c r="F1485" s="116"/>
      <c r="H1485" s="116"/>
      <c r="I1485" s="116"/>
      <c r="L1485" s="170"/>
    </row>
    <row r="1486" spans="1:12" x14ac:dyDescent="0.25">
      <c r="A1486" s="170"/>
      <c r="B1486" s="116"/>
      <c r="C1486" s="116"/>
      <c r="D1486" s="116"/>
      <c r="E1486" s="116"/>
      <c r="F1486" s="116"/>
      <c r="H1486" s="116"/>
      <c r="I1486" s="116"/>
      <c r="L1486" s="170"/>
    </row>
    <row r="1487" spans="1:12" x14ac:dyDescent="0.25">
      <c r="A1487" s="170"/>
      <c r="B1487" s="116"/>
      <c r="C1487" s="116"/>
      <c r="D1487" s="116"/>
      <c r="E1487" s="116"/>
      <c r="F1487" s="116"/>
      <c r="H1487" s="116"/>
      <c r="I1487" s="116"/>
      <c r="L1487" s="170"/>
    </row>
    <row r="1488" spans="1:12" x14ac:dyDescent="0.25">
      <c r="A1488" s="170"/>
      <c r="B1488" s="116"/>
      <c r="C1488" s="116"/>
      <c r="D1488" s="116"/>
      <c r="E1488" s="116"/>
      <c r="F1488" s="116"/>
      <c r="H1488" s="116"/>
      <c r="I1488" s="116"/>
      <c r="L1488" s="170"/>
    </row>
    <row r="1489" spans="1:12" x14ac:dyDescent="0.25">
      <c r="A1489" s="170"/>
      <c r="B1489" s="116"/>
      <c r="C1489" s="116"/>
      <c r="D1489" s="116"/>
      <c r="E1489" s="116"/>
      <c r="F1489" s="116"/>
      <c r="H1489" s="116"/>
      <c r="I1489" s="116"/>
      <c r="L1489" s="170"/>
    </row>
    <row r="1490" spans="1:12" x14ac:dyDescent="0.25">
      <c r="A1490" s="170"/>
      <c r="B1490" s="116"/>
      <c r="C1490" s="116"/>
      <c r="D1490" s="116"/>
      <c r="E1490" s="116"/>
      <c r="F1490" s="116"/>
      <c r="H1490" s="116"/>
      <c r="I1490" s="116"/>
      <c r="L1490" s="170"/>
    </row>
    <row r="1491" spans="1:12" x14ac:dyDescent="0.25">
      <c r="A1491" s="170"/>
      <c r="B1491" s="116"/>
      <c r="C1491" s="116"/>
      <c r="D1491" s="116"/>
      <c r="E1491" s="116"/>
      <c r="F1491" s="116"/>
      <c r="H1491" s="116"/>
      <c r="I1491" s="116"/>
      <c r="L1491" s="170"/>
    </row>
    <row r="1492" spans="1:12" x14ac:dyDescent="0.25">
      <c r="A1492" s="170"/>
      <c r="B1492" s="116"/>
      <c r="C1492" s="116"/>
      <c r="D1492" s="116"/>
      <c r="E1492" s="116"/>
      <c r="F1492" s="116"/>
      <c r="H1492" s="116"/>
      <c r="I1492" s="116"/>
      <c r="L1492" s="170"/>
    </row>
    <row r="1493" spans="1:12" x14ac:dyDescent="0.25">
      <c r="A1493" s="170"/>
      <c r="B1493" s="116"/>
      <c r="C1493" s="116"/>
      <c r="D1493" s="116"/>
      <c r="E1493" s="116"/>
      <c r="F1493" s="116"/>
      <c r="H1493" s="116"/>
      <c r="I1493" s="116"/>
      <c r="L1493" s="170"/>
    </row>
    <row r="1494" spans="1:12" x14ac:dyDescent="0.25">
      <c r="A1494" s="170"/>
      <c r="B1494" s="116"/>
      <c r="C1494" s="116"/>
      <c r="D1494" s="116"/>
      <c r="E1494" s="116"/>
      <c r="F1494" s="116"/>
      <c r="H1494" s="116"/>
      <c r="I1494" s="116"/>
      <c r="L1494" s="170"/>
    </row>
    <row r="1495" spans="1:12" x14ac:dyDescent="0.25">
      <c r="A1495" s="170"/>
      <c r="B1495" s="116"/>
      <c r="C1495" s="116"/>
      <c r="D1495" s="116"/>
      <c r="E1495" s="116"/>
      <c r="F1495" s="116"/>
      <c r="H1495" s="116"/>
      <c r="I1495" s="116"/>
      <c r="L1495" s="170"/>
    </row>
    <row r="1496" spans="1:12" x14ac:dyDescent="0.25">
      <c r="A1496" s="170"/>
      <c r="B1496" s="116"/>
      <c r="C1496" s="116"/>
      <c r="D1496" s="116"/>
      <c r="E1496" s="116"/>
      <c r="F1496" s="116"/>
      <c r="H1496" s="116"/>
      <c r="I1496" s="116"/>
      <c r="L1496" s="170"/>
    </row>
    <row r="1497" spans="1:12" x14ac:dyDescent="0.25">
      <c r="A1497" s="170"/>
      <c r="B1497" s="116"/>
      <c r="C1497" s="116"/>
      <c r="D1497" s="116"/>
      <c r="E1497" s="116"/>
      <c r="F1497" s="116"/>
      <c r="H1497" s="116"/>
      <c r="I1497" s="116"/>
      <c r="L1497" s="170"/>
    </row>
    <row r="1498" spans="1:12" x14ac:dyDescent="0.25">
      <c r="A1498" s="170"/>
      <c r="B1498" s="116"/>
      <c r="C1498" s="116"/>
      <c r="D1498" s="116"/>
      <c r="E1498" s="116"/>
      <c r="F1498" s="116"/>
      <c r="H1498" s="116"/>
      <c r="I1498" s="116"/>
      <c r="L1498" s="170"/>
    </row>
    <row r="1499" spans="1:12" x14ac:dyDescent="0.25">
      <c r="A1499" s="170"/>
      <c r="B1499" s="116"/>
      <c r="C1499" s="116"/>
      <c r="D1499" s="116"/>
      <c r="E1499" s="116"/>
      <c r="F1499" s="116"/>
      <c r="H1499" s="116"/>
      <c r="I1499" s="116"/>
      <c r="L1499" s="170"/>
    </row>
    <row r="1500" spans="1:12" x14ac:dyDescent="0.25">
      <c r="A1500" s="170"/>
      <c r="B1500" s="116"/>
      <c r="C1500" s="116"/>
      <c r="D1500" s="116"/>
      <c r="E1500" s="116"/>
      <c r="F1500" s="116"/>
      <c r="H1500" s="116"/>
      <c r="I1500" s="116"/>
      <c r="L1500" s="170"/>
    </row>
    <row r="1501" spans="1:12" x14ac:dyDescent="0.25">
      <c r="A1501" s="170"/>
      <c r="B1501" s="116"/>
      <c r="C1501" s="116"/>
      <c r="D1501" s="116"/>
      <c r="E1501" s="116"/>
      <c r="F1501" s="116"/>
      <c r="H1501" s="116"/>
      <c r="I1501" s="116"/>
      <c r="L1501" s="170"/>
    </row>
    <row r="1502" spans="1:12" x14ac:dyDescent="0.25">
      <c r="A1502" s="170"/>
      <c r="B1502" s="116"/>
      <c r="C1502" s="116"/>
      <c r="D1502" s="116"/>
      <c r="E1502" s="116"/>
      <c r="F1502" s="116"/>
      <c r="H1502" s="116"/>
      <c r="I1502" s="116"/>
      <c r="L1502" s="170"/>
    </row>
    <row r="1503" spans="1:12" x14ac:dyDescent="0.25">
      <c r="A1503" s="170"/>
      <c r="B1503" s="116"/>
      <c r="C1503" s="116"/>
      <c r="D1503" s="116"/>
      <c r="E1503" s="116"/>
      <c r="F1503" s="116"/>
      <c r="H1503" s="116"/>
      <c r="I1503" s="116"/>
      <c r="L1503" s="170"/>
    </row>
    <row r="1504" spans="1:12" x14ac:dyDescent="0.25">
      <c r="A1504" s="170"/>
      <c r="B1504" s="116"/>
      <c r="C1504" s="116"/>
      <c r="D1504" s="116"/>
      <c r="E1504" s="116"/>
      <c r="F1504" s="116"/>
      <c r="H1504" s="116"/>
      <c r="I1504" s="116"/>
      <c r="L1504" s="170"/>
    </row>
    <row r="1505" spans="1:12" x14ac:dyDescent="0.25">
      <c r="A1505" s="170"/>
      <c r="B1505" s="116"/>
      <c r="C1505" s="116"/>
      <c r="D1505" s="116"/>
      <c r="E1505" s="116"/>
      <c r="F1505" s="116"/>
      <c r="H1505" s="116"/>
      <c r="I1505" s="116"/>
      <c r="L1505" s="170"/>
    </row>
    <row r="1506" spans="1:12" x14ac:dyDescent="0.25">
      <c r="A1506" s="170"/>
      <c r="B1506" s="116"/>
      <c r="C1506" s="116"/>
      <c r="D1506" s="116"/>
      <c r="E1506" s="116"/>
      <c r="F1506" s="116"/>
      <c r="H1506" s="116"/>
      <c r="I1506" s="116"/>
      <c r="L1506" s="170"/>
    </row>
    <row r="1507" spans="1:12" x14ac:dyDescent="0.25">
      <c r="A1507" s="170"/>
      <c r="B1507" s="116"/>
      <c r="C1507" s="116"/>
      <c r="D1507" s="116"/>
      <c r="E1507" s="116"/>
      <c r="F1507" s="116"/>
      <c r="H1507" s="116"/>
      <c r="I1507" s="116"/>
      <c r="L1507" s="170"/>
    </row>
    <row r="1508" spans="1:12" x14ac:dyDescent="0.25">
      <c r="A1508" s="170"/>
      <c r="B1508" s="116"/>
      <c r="C1508" s="116"/>
      <c r="D1508" s="116"/>
      <c r="E1508" s="116"/>
      <c r="F1508" s="116"/>
      <c r="H1508" s="116"/>
      <c r="I1508" s="116"/>
      <c r="L1508" s="170"/>
    </row>
    <row r="1509" spans="1:12" x14ac:dyDescent="0.25">
      <c r="A1509" s="170"/>
      <c r="B1509" s="116"/>
      <c r="C1509" s="116"/>
      <c r="D1509" s="116"/>
      <c r="E1509" s="116"/>
      <c r="F1509" s="116"/>
      <c r="H1509" s="116"/>
      <c r="I1509" s="116"/>
      <c r="L1509" s="170"/>
    </row>
    <row r="1510" spans="1:12" x14ac:dyDescent="0.25">
      <c r="A1510" s="170"/>
      <c r="B1510" s="116"/>
      <c r="C1510" s="116"/>
      <c r="D1510" s="116"/>
      <c r="E1510" s="116"/>
      <c r="F1510" s="116"/>
      <c r="H1510" s="116"/>
      <c r="I1510" s="116"/>
      <c r="L1510" s="170"/>
    </row>
    <row r="1511" spans="1:12" x14ac:dyDescent="0.25">
      <c r="A1511" s="170"/>
      <c r="B1511" s="116"/>
      <c r="C1511" s="116"/>
      <c r="D1511" s="116"/>
      <c r="E1511" s="116"/>
      <c r="F1511" s="116"/>
      <c r="H1511" s="116"/>
      <c r="I1511" s="116"/>
      <c r="L1511" s="170"/>
    </row>
    <row r="1512" spans="1:12" x14ac:dyDescent="0.25">
      <c r="A1512" s="170"/>
      <c r="B1512" s="116"/>
      <c r="C1512" s="116"/>
      <c r="D1512" s="116"/>
      <c r="E1512" s="116"/>
      <c r="F1512" s="116"/>
      <c r="H1512" s="116"/>
      <c r="I1512" s="116"/>
      <c r="L1512" s="170"/>
    </row>
    <row r="1513" spans="1:12" x14ac:dyDescent="0.25">
      <c r="A1513" s="170"/>
      <c r="B1513" s="116"/>
      <c r="C1513" s="116"/>
      <c r="D1513" s="116"/>
      <c r="E1513" s="116"/>
      <c r="F1513" s="116"/>
      <c r="H1513" s="116"/>
      <c r="I1513" s="116"/>
      <c r="L1513" s="170"/>
    </row>
    <row r="1514" spans="1:12" x14ac:dyDescent="0.25">
      <c r="A1514" s="170"/>
      <c r="B1514" s="116"/>
      <c r="C1514" s="116"/>
      <c r="D1514" s="116"/>
      <c r="E1514" s="116"/>
      <c r="F1514" s="116"/>
      <c r="H1514" s="116"/>
      <c r="I1514" s="116"/>
      <c r="L1514" s="170"/>
    </row>
    <row r="1515" spans="1:12" x14ac:dyDescent="0.25">
      <c r="A1515" s="170"/>
      <c r="B1515" s="116"/>
      <c r="C1515" s="116"/>
      <c r="D1515" s="116"/>
      <c r="E1515" s="116"/>
      <c r="F1515" s="116"/>
      <c r="H1515" s="116"/>
      <c r="I1515" s="116"/>
      <c r="L1515" s="170"/>
    </row>
    <row r="1516" spans="1:12" x14ac:dyDescent="0.25">
      <c r="A1516" s="170"/>
      <c r="B1516" s="116"/>
      <c r="C1516" s="116"/>
      <c r="D1516" s="116"/>
      <c r="E1516" s="116"/>
      <c r="F1516" s="116"/>
      <c r="H1516" s="116"/>
      <c r="I1516" s="116"/>
      <c r="L1516" s="170"/>
    </row>
    <row r="1517" spans="1:12" x14ac:dyDescent="0.25">
      <c r="A1517" s="170"/>
      <c r="B1517" s="116"/>
      <c r="C1517" s="116"/>
      <c r="D1517" s="116"/>
      <c r="E1517" s="116"/>
      <c r="F1517" s="116"/>
      <c r="H1517" s="116"/>
      <c r="I1517" s="116"/>
      <c r="L1517" s="170"/>
    </row>
    <row r="1518" spans="1:12" x14ac:dyDescent="0.25">
      <c r="A1518" s="170"/>
      <c r="B1518" s="116"/>
      <c r="C1518" s="116"/>
      <c r="D1518" s="116"/>
      <c r="E1518" s="116"/>
      <c r="F1518" s="116"/>
      <c r="H1518" s="116"/>
      <c r="I1518" s="116"/>
      <c r="L1518" s="170"/>
    </row>
    <row r="1519" spans="1:12" x14ac:dyDescent="0.25">
      <c r="A1519" s="170"/>
      <c r="B1519" s="116"/>
      <c r="C1519" s="116"/>
      <c r="D1519" s="116"/>
      <c r="E1519" s="116"/>
      <c r="F1519" s="116"/>
      <c r="H1519" s="116"/>
      <c r="I1519" s="116"/>
      <c r="L1519" s="170"/>
    </row>
    <row r="1520" spans="1:12" x14ac:dyDescent="0.25">
      <c r="A1520" s="170"/>
      <c r="B1520" s="116"/>
      <c r="C1520" s="116"/>
      <c r="D1520" s="116"/>
      <c r="E1520" s="116"/>
      <c r="F1520" s="116"/>
      <c r="H1520" s="116"/>
      <c r="I1520" s="116"/>
      <c r="L1520" s="170"/>
    </row>
    <row r="1521" spans="1:12" x14ac:dyDescent="0.25">
      <c r="A1521" s="170"/>
      <c r="B1521" s="116"/>
      <c r="C1521" s="116"/>
      <c r="D1521" s="116"/>
      <c r="E1521" s="116"/>
      <c r="F1521" s="116"/>
      <c r="H1521" s="116"/>
      <c r="I1521" s="116"/>
      <c r="L1521" s="170"/>
    </row>
    <row r="1522" spans="1:12" x14ac:dyDescent="0.25">
      <c r="A1522" s="170"/>
      <c r="B1522" s="116"/>
      <c r="C1522" s="116"/>
      <c r="D1522" s="116"/>
      <c r="E1522" s="116"/>
      <c r="F1522" s="116"/>
      <c r="H1522" s="116"/>
      <c r="I1522" s="116"/>
      <c r="L1522" s="170"/>
    </row>
    <row r="1523" spans="1:12" x14ac:dyDescent="0.25">
      <c r="A1523" s="170"/>
      <c r="B1523" s="116"/>
      <c r="C1523" s="116"/>
      <c r="D1523" s="116"/>
      <c r="E1523" s="116"/>
      <c r="F1523" s="116"/>
      <c r="H1523" s="116"/>
      <c r="I1523" s="116"/>
      <c r="L1523" s="170"/>
    </row>
    <row r="1524" spans="1:12" x14ac:dyDescent="0.25">
      <c r="A1524" s="170"/>
      <c r="B1524" s="116"/>
      <c r="C1524" s="116"/>
      <c r="D1524" s="116"/>
      <c r="E1524" s="116"/>
      <c r="F1524" s="116"/>
      <c r="H1524" s="116"/>
      <c r="I1524" s="116"/>
      <c r="L1524" s="170"/>
    </row>
    <row r="1525" spans="1:12" x14ac:dyDescent="0.25">
      <c r="A1525" s="170"/>
      <c r="B1525" s="116"/>
      <c r="C1525" s="116"/>
      <c r="D1525" s="116"/>
      <c r="E1525" s="116"/>
      <c r="F1525" s="116"/>
      <c r="H1525" s="116"/>
      <c r="I1525" s="116"/>
      <c r="L1525" s="170"/>
    </row>
    <row r="1526" spans="1:12" x14ac:dyDescent="0.25">
      <c r="A1526" s="170"/>
      <c r="B1526" s="116"/>
      <c r="C1526" s="116"/>
      <c r="D1526" s="116"/>
      <c r="E1526" s="116"/>
      <c r="F1526" s="116"/>
      <c r="H1526" s="116"/>
      <c r="I1526" s="116"/>
      <c r="L1526" s="170"/>
    </row>
    <row r="1527" spans="1:12" x14ac:dyDescent="0.25">
      <c r="A1527" s="170"/>
      <c r="B1527" s="116"/>
      <c r="C1527" s="116"/>
      <c r="D1527" s="116"/>
      <c r="E1527" s="116"/>
      <c r="F1527" s="116"/>
      <c r="H1527" s="116"/>
      <c r="I1527" s="116"/>
      <c r="L1527" s="170"/>
    </row>
    <row r="1528" spans="1:12" x14ac:dyDescent="0.25">
      <c r="A1528" s="170"/>
      <c r="B1528" s="116"/>
      <c r="C1528" s="116"/>
      <c r="D1528" s="116"/>
      <c r="E1528" s="116"/>
      <c r="F1528" s="116"/>
      <c r="H1528" s="116"/>
      <c r="I1528" s="116"/>
      <c r="L1528" s="170"/>
    </row>
    <row r="1529" spans="1:12" x14ac:dyDescent="0.25">
      <c r="A1529" s="170"/>
      <c r="B1529" s="116"/>
      <c r="C1529" s="116"/>
      <c r="D1529" s="116"/>
      <c r="E1529" s="116"/>
      <c r="F1529" s="116"/>
      <c r="H1529" s="116"/>
      <c r="I1529" s="116"/>
      <c r="L1529" s="170"/>
    </row>
    <row r="1530" spans="1:12" x14ac:dyDescent="0.25">
      <c r="A1530" s="170"/>
      <c r="B1530" s="116"/>
      <c r="C1530" s="116"/>
      <c r="D1530" s="116"/>
      <c r="E1530" s="116"/>
      <c r="F1530" s="116"/>
      <c r="H1530" s="116"/>
      <c r="I1530" s="116"/>
      <c r="L1530" s="170"/>
    </row>
    <row r="1531" spans="1:12" x14ac:dyDescent="0.25">
      <c r="A1531" s="170"/>
      <c r="B1531" s="116"/>
      <c r="C1531" s="116"/>
      <c r="D1531" s="116"/>
      <c r="E1531" s="116"/>
      <c r="F1531" s="116"/>
      <c r="H1531" s="116"/>
      <c r="I1531" s="116"/>
      <c r="L1531" s="170"/>
    </row>
    <row r="1532" spans="1:12" x14ac:dyDescent="0.25">
      <c r="A1532" s="170"/>
      <c r="B1532" s="116"/>
      <c r="C1532" s="116"/>
      <c r="D1532" s="116"/>
      <c r="E1532" s="116"/>
      <c r="F1532" s="116"/>
      <c r="H1532" s="116"/>
      <c r="I1532" s="116"/>
      <c r="L1532" s="170"/>
    </row>
    <row r="1533" spans="1:12" x14ac:dyDescent="0.25">
      <c r="A1533" s="170"/>
      <c r="B1533" s="116"/>
      <c r="C1533" s="116"/>
      <c r="D1533" s="116"/>
      <c r="E1533" s="116"/>
      <c r="F1533" s="116"/>
      <c r="H1533" s="116"/>
      <c r="I1533" s="116"/>
      <c r="L1533" s="170"/>
    </row>
    <row r="1534" spans="1:12" x14ac:dyDescent="0.25">
      <c r="A1534" s="170"/>
      <c r="B1534" s="116"/>
      <c r="C1534" s="116"/>
      <c r="D1534" s="116"/>
      <c r="E1534" s="116"/>
      <c r="F1534" s="116"/>
      <c r="H1534" s="116"/>
      <c r="I1534" s="116"/>
      <c r="L1534" s="170"/>
    </row>
    <row r="1535" spans="1:12" x14ac:dyDescent="0.25">
      <c r="A1535" s="170"/>
      <c r="B1535" s="116"/>
      <c r="C1535" s="116"/>
      <c r="D1535" s="116"/>
      <c r="E1535" s="116"/>
      <c r="F1535" s="116"/>
      <c r="H1535" s="116"/>
      <c r="I1535" s="116"/>
      <c r="L1535" s="170"/>
    </row>
    <row r="1536" spans="1:12" x14ac:dyDescent="0.25">
      <c r="A1536" s="170"/>
      <c r="B1536" s="116"/>
      <c r="C1536" s="116"/>
      <c r="D1536" s="116"/>
      <c r="E1536" s="116"/>
      <c r="F1536" s="116"/>
      <c r="H1536" s="116"/>
      <c r="I1536" s="116"/>
      <c r="L1536" s="170"/>
    </row>
    <row r="1537" spans="1:12" x14ac:dyDescent="0.25">
      <c r="A1537" s="170"/>
      <c r="B1537" s="116"/>
      <c r="C1537" s="116"/>
      <c r="D1537" s="116"/>
      <c r="E1537" s="116"/>
      <c r="F1537" s="116"/>
      <c r="H1537" s="116"/>
      <c r="I1537" s="116"/>
      <c r="L1537" s="170"/>
    </row>
    <row r="1538" spans="1:12" x14ac:dyDescent="0.25">
      <c r="A1538" s="170"/>
      <c r="B1538" s="116"/>
      <c r="C1538" s="116"/>
      <c r="D1538" s="116"/>
      <c r="E1538" s="116"/>
      <c r="F1538" s="116"/>
      <c r="H1538" s="116"/>
      <c r="I1538" s="116"/>
      <c r="L1538" s="170"/>
    </row>
    <row r="1539" spans="1:12" x14ac:dyDescent="0.25">
      <c r="A1539" s="170"/>
      <c r="B1539" s="116"/>
      <c r="C1539" s="116"/>
      <c r="D1539" s="116"/>
      <c r="E1539" s="116"/>
      <c r="F1539" s="116"/>
      <c r="H1539" s="116"/>
      <c r="I1539" s="116"/>
      <c r="L1539" s="170"/>
    </row>
    <row r="1540" spans="1:12" x14ac:dyDescent="0.25">
      <c r="A1540" s="170"/>
      <c r="B1540" s="116"/>
      <c r="C1540" s="116"/>
      <c r="D1540" s="116"/>
      <c r="E1540" s="116"/>
      <c r="F1540" s="116"/>
      <c r="H1540" s="116"/>
      <c r="I1540" s="116"/>
      <c r="L1540" s="170"/>
    </row>
    <row r="1541" spans="1:12" x14ac:dyDescent="0.25">
      <c r="A1541" s="170"/>
      <c r="B1541" s="116"/>
      <c r="C1541" s="116"/>
      <c r="D1541" s="116"/>
      <c r="E1541" s="116"/>
      <c r="F1541" s="116"/>
      <c r="H1541" s="116"/>
      <c r="I1541" s="116"/>
      <c r="L1541" s="170"/>
    </row>
    <row r="1542" spans="1:12" x14ac:dyDescent="0.25">
      <c r="A1542" s="170"/>
      <c r="B1542" s="116"/>
      <c r="C1542" s="116"/>
      <c r="D1542" s="116"/>
      <c r="E1542" s="116"/>
      <c r="F1542" s="116"/>
      <c r="H1542" s="116"/>
      <c r="I1542" s="116"/>
      <c r="L1542" s="170"/>
    </row>
    <row r="1543" spans="1:12" x14ac:dyDescent="0.25">
      <c r="A1543" s="170"/>
      <c r="B1543" s="116"/>
      <c r="C1543" s="116"/>
      <c r="D1543" s="116"/>
      <c r="E1543" s="116"/>
      <c r="F1543" s="116"/>
      <c r="H1543" s="116"/>
      <c r="I1543" s="116"/>
      <c r="L1543" s="170"/>
    </row>
    <row r="1544" spans="1:12" x14ac:dyDescent="0.25">
      <c r="A1544" s="170"/>
      <c r="B1544" s="116"/>
      <c r="C1544" s="116"/>
      <c r="D1544" s="116"/>
      <c r="E1544" s="116"/>
      <c r="F1544" s="116"/>
      <c r="H1544" s="116"/>
      <c r="I1544" s="116"/>
      <c r="L1544" s="170"/>
    </row>
    <row r="1545" spans="1:12" x14ac:dyDescent="0.25">
      <c r="A1545" s="170"/>
      <c r="B1545" s="116"/>
      <c r="C1545" s="116"/>
      <c r="D1545" s="116"/>
      <c r="E1545" s="116"/>
      <c r="F1545" s="116"/>
      <c r="H1545" s="116"/>
      <c r="I1545" s="116"/>
      <c r="L1545" s="170"/>
    </row>
    <row r="1546" spans="1:12" x14ac:dyDescent="0.25">
      <c r="A1546" s="170"/>
      <c r="B1546" s="116"/>
      <c r="C1546" s="116"/>
      <c r="D1546" s="116"/>
      <c r="E1546" s="116"/>
      <c r="F1546" s="116"/>
      <c r="H1546" s="116"/>
      <c r="I1546" s="116"/>
      <c r="L1546" s="170"/>
    </row>
    <row r="1547" spans="1:12" x14ac:dyDescent="0.25">
      <c r="A1547" s="170"/>
      <c r="B1547" s="116"/>
      <c r="C1547" s="116"/>
      <c r="D1547" s="116"/>
      <c r="E1547" s="116"/>
      <c r="F1547" s="116"/>
      <c r="H1547" s="116"/>
      <c r="I1547" s="116"/>
      <c r="L1547" s="170"/>
    </row>
    <row r="1548" spans="1:12" x14ac:dyDescent="0.25">
      <c r="A1548" s="170"/>
      <c r="B1548" s="116"/>
      <c r="C1548" s="116"/>
      <c r="D1548" s="116"/>
      <c r="E1548" s="116"/>
      <c r="F1548" s="116"/>
      <c r="H1548" s="116"/>
      <c r="I1548" s="116"/>
      <c r="L1548" s="170"/>
    </row>
    <row r="1549" spans="1:12" x14ac:dyDescent="0.25">
      <c r="A1549" s="170"/>
      <c r="B1549" s="116"/>
      <c r="C1549" s="116"/>
      <c r="D1549" s="116"/>
      <c r="E1549" s="116"/>
      <c r="F1549" s="116"/>
      <c r="H1549" s="116"/>
      <c r="I1549" s="116"/>
      <c r="L1549" s="170"/>
    </row>
    <row r="1550" spans="1:12" x14ac:dyDescent="0.25">
      <c r="A1550" s="170"/>
      <c r="B1550" s="116"/>
      <c r="C1550" s="116"/>
      <c r="D1550" s="116"/>
      <c r="E1550" s="116"/>
      <c r="F1550" s="116"/>
      <c r="H1550" s="116"/>
      <c r="I1550" s="116"/>
      <c r="L1550" s="170"/>
    </row>
    <row r="1551" spans="1:12" x14ac:dyDescent="0.25">
      <c r="A1551" s="170"/>
      <c r="B1551" s="116"/>
      <c r="C1551" s="116"/>
      <c r="D1551" s="116"/>
      <c r="E1551" s="116"/>
      <c r="F1551" s="116"/>
      <c r="H1551" s="116"/>
      <c r="I1551" s="116"/>
      <c r="L1551" s="170"/>
    </row>
    <row r="1552" spans="1:12" x14ac:dyDescent="0.25">
      <c r="A1552" s="170"/>
      <c r="B1552" s="116"/>
      <c r="C1552" s="116"/>
      <c r="D1552" s="116"/>
      <c r="E1552" s="116"/>
      <c r="F1552" s="116"/>
      <c r="H1552" s="116"/>
      <c r="I1552" s="116"/>
      <c r="L1552" s="170"/>
    </row>
    <row r="1553" spans="1:18" x14ac:dyDescent="0.25">
      <c r="A1553" s="170"/>
      <c r="B1553" s="116"/>
      <c r="C1553" s="116"/>
      <c r="D1553" s="116"/>
      <c r="E1553" s="116"/>
      <c r="F1553" s="116"/>
      <c r="H1553" s="116"/>
      <c r="I1553" s="116"/>
      <c r="L1553" s="170"/>
    </row>
    <row r="1554" spans="1:18" x14ac:dyDescent="0.25">
      <c r="A1554" s="170"/>
      <c r="B1554" s="116"/>
      <c r="C1554" s="116"/>
      <c r="D1554" s="116"/>
      <c r="E1554" s="116"/>
      <c r="F1554" s="116"/>
      <c r="H1554" s="116"/>
      <c r="I1554" s="116"/>
      <c r="L1554" s="170"/>
    </row>
    <row r="1555" spans="1:18" x14ac:dyDescent="0.25">
      <c r="A1555" s="170"/>
      <c r="B1555" s="116"/>
      <c r="C1555" s="116"/>
      <c r="D1555" s="116"/>
      <c r="E1555" s="116"/>
      <c r="F1555" s="116"/>
      <c r="H1555" s="116"/>
      <c r="I1555" s="116"/>
      <c r="L1555" s="170"/>
    </row>
    <row r="1556" spans="1:18" x14ac:dyDescent="0.25">
      <c r="A1556" s="170"/>
      <c r="B1556" s="116"/>
      <c r="C1556" s="116"/>
      <c r="D1556" s="116"/>
      <c r="E1556" s="116"/>
      <c r="F1556" s="116"/>
      <c r="H1556" s="116"/>
      <c r="I1556" s="116"/>
      <c r="L1556" s="170"/>
    </row>
    <row r="1557" spans="1:18" x14ac:dyDescent="0.25">
      <c r="A1557" s="170"/>
      <c r="B1557" s="116"/>
      <c r="C1557" s="116"/>
      <c r="D1557" s="116"/>
      <c r="E1557" s="116"/>
      <c r="F1557" s="116"/>
      <c r="H1557" s="116"/>
      <c r="I1557" s="116"/>
      <c r="L1557" s="170"/>
    </row>
    <row r="1558" spans="1:18" x14ac:dyDescent="0.25">
      <c r="A1558" s="170"/>
      <c r="B1558" s="116"/>
      <c r="C1558" s="116"/>
      <c r="D1558" s="116"/>
      <c r="E1558" s="116"/>
      <c r="F1558" s="116"/>
      <c r="H1558" s="116"/>
      <c r="I1558" s="116"/>
      <c r="L1558" s="170"/>
    </row>
    <row r="1559" spans="1:18" x14ac:dyDescent="0.25">
      <c r="A1559" s="170"/>
      <c r="B1559" s="116"/>
      <c r="C1559" s="116"/>
      <c r="D1559" s="116"/>
      <c r="E1559" s="116"/>
      <c r="F1559" s="116"/>
      <c r="H1559" s="116"/>
      <c r="I1559" s="116"/>
      <c r="L1559" s="170"/>
    </row>
    <row r="1560" spans="1:18" x14ac:dyDescent="0.25">
      <c r="A1560" s="170"/>
      <c r="B1560" s="116"/>
      <c r="C1560" s="116"/>
      <c r="D1560" s="116"/>
      <c r="E1560" s="116"/>
      <c r="F1560" s="116"/>
      <c r="H1560" s="116"/>
      <c r="I1560" s="116"/>
      <c r="L1560" s="170"/>
    </row>
    <row r="1561" spans="1:18" x14ac:dyDescent="0.25">
      <c r="A1561" s="170"/>
      <c r="B1561" s="116"/>
      <c r="C1561" s="116"/>
      <c r="D1561" s="116"/>
      <c r="E1561" s="116"/>
      <c r="F1561" s="116"/>
      <c r="H1561" s="116"/>
      <c r="I1561" s="116"/>
      <c r="L1561" s="170"/>
    </row>
    <row r="1562" spans="1:18" x14ac:dyDescent="0.25">
      <c r="A1562" s="170"/>
      <c r="B1562" s="116"/>
      <c r="C1562" s="116"/>
      <c r="D1562" s="116"/>
      <c r="E1562" s="116"/>
      <c r="F1562" s="116"/>
      <c r="H1562" s="116"/>
      <c r="I1562" s="116"/>
      <c r="L1562" s="170"/>
    </row>
    <row r="1563" spans="1:18" x14ac:dyDescent="0.25">
      <c r="A1563" s="170"/>
      <c r="B1563" s="116"/>
      <c r="C1563" s="116"/>
      <c r="D1563" s="116"/>
      <c r="E1563" s="116"/>
      <c r="F1563" s="116"/>
      <c r="H1563" s="116"/>
      <c r="I1563" s="116"/>
      <c r="L1563" s="170"/>
    </row>
    <row r="1564" spans="1:18" x14ac:dyDescent="0.25">
      <c r="A1564" s="170"/>
      <c r="B1564" s="116"/>
      <c r="C1564" s="116"/>
      <c r="D1564" s="116"/>
      <c r="E1564" s="116"/>
      <c r="F1564" s="116"/>
      <c r="H1564" s="116"/>
      <c r="I1564" s="116"/>
      <c r="L1564" s="170"/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2026-06-15T09:25:39Z</dcterms:modified>
  <cp:category/>
  <cp:contentStatus/>
</cp:coreProperties>
</file>